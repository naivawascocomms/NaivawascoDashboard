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ta\Desktop\programs\NWS CODEX\NAIVAWASCO\"/>
    </mc:Choice>
  </mc:AlternateContent>
  <bookViews>
    <workbookView xWindow="0" yWindow="0" windowWidth="30720" windowHeight="13410" tabRatio="582"/>
  </bookViews>
  <sheets>
    <sheet name="ZONES" sheetId="1" r:id="rId1"/>
    <sheet name="DMA" sheetId="27" r:id="rId2"/>
    <sheet name="WEEKLY REPORT" sheetId="2" r:id="rId3"/>
    <sheet name="Sheet1" sheetId="15" r:id="rId4"/>
  </sheets>
  <calcPr calcId="162913"/>
</workbook>
</file>

<file path=xl/calcChain.xml><?xml version="1.0" encoding="utf-8"?>
<calcChain xmlns="http://schemas.openxmlformats.org/spreadsheetml/2006/main">
  <c r="R1589" i="1" l="1"/>
  <c r="P1588" i="1"/>
  <c r="P1589" i="1"/>
  <c r="P1590" i="1"/>
  <c r="M982" i="27"/>
  <c r="M983" i="27"/>
  <c r="M984" i="27"/>
  <c r="J981" i="27"/>
  <c r="J982" i="27"/>
  <c r="J983" i="27"/>
  <c r="J984" i="27"/>
  <c r="H981" i="27"/>
  <c r="H982" i="27"/>
  <c r="H983" i="27"/>
  <c r="B979" i="27" l="1"/>
  <c r="B982" i="27"/>
  <c r="D982" i="27" s="1"/>
  <c r="B983" i="27"/>
  <c r="D983" i="27" s="1"/>
  <c r="D979" i="27"/>
  <c r="B978" i="27"/>
  <c r="D977" i="27"/>
  <c r="D978" i="27"/>
  <c r="D952" i="27"/>
  <c r="D955" i="27"/>
  <c r="D958" i="27"/>
  <c r="D959" i="27"/>
  <c r="D962" i="27"/>
  <c r="D967" i="27"/>
  <c r="D970" i="27"/>
  <c r="D975" i="27"/>
  <c r="B955" i="27"/>
  <c r="B956" i="27"/>
  <c r="D956" i="27" s="1"/>
  <c r="B957" i="27"/>
  <c r="D957" i="27" s="1"/>
  <c r="B958" i="27"/>
  <c r="B959" i="27"/>
  <c r="B960" i="27"/>
  <c r="D960" i="27" s="1"/>
  <c r="B961" i="27"/>
  <c r="D961" i="27" s="1"/>
  <c r="B962" i="27"/>
  <c r="B963" i="27"/>
  <c r="D963" i="27" s="1"/>
  <c r="B964" i="27"/>
  <c r="D964" i="27" s="1"/>
  <c r="B965" i="27"/>
  <c r="D965" i="27" s="1"/>
  <c r="B966" i="27"/>
  <c r="D966" i="27" s="1"/>
  <c r="B967" i="27"/>
  <c r="B968" i="27"/>
  <c r="D968" i="27" s="1"/>
  <c r="B969" i="27"/>
  <c r="D969" i="27" s="1"/>
  <c r="B970" i="27"/>
  <c r="B971" i="27"/>
  <c r="D971" i="27" s="1"/>
  <c r="B972" i="27"/>
  <c r="D972" i="27" s="1"/>
  <c r="B973" i="27"/>
  <c r="D973" i="27" s="1"/>
  <c r="B974" i="27"/>
  <c r="D974" i="27" s="1"/>
  <c r="B975" i="27"/>
  <c r="B976" i="27"/>
  <c r="D976" i="27" s="1"/>
  <c r="B977" i="27"/>
  <c r="G980" i="27"/>
  <c r="G979" i="27"/>
  <c r="K979" i="27"/>
  <c r="K980" i="27"/>
  <c r="K981" i="27"/>
  <c r="M981" i="27" s="1"/>
  <c r="K982" i="27"/>
  <c r="M977" i="27"/>
  <c r="M979" i="27"/>
  <c r="M980" i="27"/>
  <c r="N979" i="27"/>
  <c r="N980" i="27"/>
  <c r="N981" i="27"/>
  <c r="N982" i="27"/>
  <c r="P979" i="27"/>
  <c r="P980" i="27"/>
  <c r="P981" i="27"/>
  <c r="P982" i="27"/>
  <c r="J977" i="27" l="1"/>
  <c r="J978" i="27"/>
  <c r="J979" i="27"/>
  <c r="H977" i="27"/>
  <c r="H978" i="27"/>
  <c r="H979" i="27"/>
  <c r="H980" i="27"/>
  <c r="J980" i="27" s="1"/>
  <c r="P978" i="27"/>
  <c r="E957" i="27" l="1"/>
  <c r="E958" i="27"/>
  <c r="E959" i="27"/>
  <c r="E960" i="27"/>
  <c r="G960" i="27" s="1"/>
  <c r="E961" i="27"/>
  <c r="G961" i="27" s="1"/>
  <c r="E962" i="27"/>
  <c r="E963" i="27"/>
  <c r="G963" i="27" s="1"/>
  <c r="E964" i="27"/>
  <c r="G964" i="27" s="1"/>
  <c r="E965" i="27"/>
  <c r="E966" i="27"/>
  <c r="E967" i="27"/>
  <c r="G967" i="27" s="1"/>
  <c r="E968" i="27"/>
  <c r="G968" i="27" s="1"/>
  <c r="E969" i="27"/>
  <c r="E970" i="27"/>
  <c r="E971" i="27"/>
  <c r="G971" i="27" s="1"/>
  <c r="E972" i="27"/>
  <c r="G972" i="27" s="1"/>
  <c r="E973" i="27"/>
  <c r="G973" i="27" s="1"/>
  <c r="E974" i="27"/>
  <c r="E975" i="27"/>
  <c r="G975" i="27" s="1"/>
  <c r="E976" i="27"/>
  <c r="G976" i="27" s="1"/>
  <c r="E977" i="27"/>
  <c r="E978" i="27"/>
  <c r="E979" i="27"/>
  <c r="E980" i="27"/>
  <c r="G952" i="27"/>
  <c r="G953" i="27"/>
  <c r="G954" i="27"/>
  <c r="G955" i="27"/>
  <c r="G959" i="27"/>
  <c r="G962" i="27"/>
  <c r="G965" i="27"/>
  <c r="G966" i="27"/>
  <c r="G969" i="27"/>
  <c r="G970" i="27"/>
  <c r="G974" i="27"/>
  <c r="G977" i="27"/>
  <c r="G978" i="27"/>
  <c r="P977" i="27"/>
  <c r="R1583" i="1"/>
  <c r="R1584" i="1"/>
  <c r="R1588" i="1"/>
  <c r="P1584" i="1"/>
  <c r="P1585" i="1"/>
  <c r="R1585" i="1" s="1"/>
  <c r="P1586" i="1"/>
  <c r="R1586" i="1" s="1"/>
  <c r="P1587" i="1"/>
  <c r="R1587" i="1" s="1"/>
  <c r="P976" i="27" l="1"/>
  <c r="N976" i="27"/>
  <c r="N977" i="27"/>
  <c r="N978" i="27"/>
  <c r="M976" i="27"/>
  <c r="J976" i="27"/>
  <c r="R1582" i="1" l="1"/>
  <c r="M975" i="27"/>
  <c r="J975" i="27"/>
  <c r="K975" i="27"/>
  <c r="K976" i="27"/>
  <c r="K977" i="27"/>
  <c r="K978" i="27"/>
  <c r="M978" i="27" s="1"/>
  <c r="P975" i="27"/>
  <c r="P974" i="27" l="1"/>
  <c r="M974" i="27"/>
  <c r="R1581" i="1"/>
  <c r="P1581" i="1"/>
  <c r="P1582" i="1"/>
  <c r="P1583" i="1"/>
  <c r="J973" i="27"/>
  <c r="M973" i="27"/>
  <c r="K973" i="27"/>
  <c r="K974" i="27"/>
  <c r="P973" i="27"/>
  <c r="N973" i="27"/>
  <c r="N974" i="27"/>
  <c r="N975" i="27"/>
  <c r="R1580" i="1"/>
  <c r="J972" i="27"/>
  <c r="M972" i="27"/>
  <c r="R1579" i="1"/>
  <c r="J971" i="27" l="1"/>
  <c r="M971" i="27"/>
  <c r="R1578" i="1"/>
  <c r="AE1577" i="1" l="1"/>
  <c r="AE1578" i="1"/>
  <c r="AE1579" i="1"/>
  <c r="AG1576" i="1"/>
  <c r="AG1577" i="1"/>
  <c r="AG1578" i="1"/>
  <c r="AG1579" i="1"/>
  <c r="J970" i="27"/>
  <c r="H970" i="27"/>
  <c r="H971" i="27"/>
  <c r="H972" i="27"/>
  <c r="H973" i="27"/>
  <c r="H974" i="27"/>
  <c r="J974" i="27" s="1"/>
  <c r="H975" i="27"/>
  <c r="H976" i="27"/>
  <c r="M970" i="27"/>
  <c r="R1577" i="1"/>
  <c r="R1576" i="1" l="1"/>
  <c r="P954" i="27"/>
  <c r="P955" i="27"/>
  <c r="P956" i="27"/>
  <c r="P957" i="27"/>
  <c r="P958" i="27"/>
  <c r="P959" i="27"/>
  <c r="P960" i="27"/>
  <c r="P961" i="27"/>
  <c r="P962" i="27"/>
  <c r="P963" i="27"/>
  <c r="N953" i="27"/>
  <c r="N954" i="27"/>
  <c r="N955" i="27"/>
  <c r="N956" i="27"/>
  <c r="N957" i="27"/>
  <c r="N958" i="27"/>
  <c r="N959" i="27"/>
  <c r="N960" i="27"/>
  <c r="N961" i="27"/>
  <c r="N962" i="27"/>
  <c r="N963" i="27"/>
  <c r="N964" i="27"/>
  <c r="J969" i="27"/>
  <c r="P1576" i="1" l="1"/>
  <c r="P1577" i="1"/>
  <c r="P1578" i="1"/>
  <c r="P1579" i="1"/>
  <c r="P1580" i="1"/>
  <c r="R1575" i="1"/>
  <c r="R1574" i="1"/>
  <c r="R1573" i="1"/>
  <c r="V1572" i="1"/>
  <c r="V1571" i="1"/>
  <c r="V1573" i="1"/>
  <c r="V1574" i="1"/>
  <c r="P1571" i="1" l="1"/>
  <c r="P1572" i="1"/>
  <c r="P1573" i="1"/>
  <c r="P1574" i="1"/>
  <c r="P1575" i="1"/>
  <c r="P966" i="27" l="1"/>
  <c r="P967" i="27"/>
  <c r="N965" i="27"/>
  <c r="P965" i="27" s="1"/>
  <c r="N966" i="27"/>
  <c r="N967" i="27"/>
  <c r="N968" i="27"/>
  <c r="P968" i="27" s="1"/>
  <c r="N969" i="27"/>
  <c r="P969" i="27" s="1"/>
  <c r="N970" i="27"/>
  <c r="P970" i="27" s="1"/>
  <c r="N971" i="27"/>
  <c r="P971" i="27" s="1"/>
  <c r="N972" i="27"/>
  <c r="P972" i="27" s="1"/>
  <c r="P964" i="27"/>
  <c r="P1570" i="1"/>
  <c r="H957" i="27" l="1"/>
  <c r="H958" i="27"/>
  <c r="H959" i="27"/>
  <c r="J959" i="27" s="1"/>
  <c r="H960" i="27"/>
  <c r="J960" i="27" s="1"/>
  <c r="H961" i="27"/>
  <c r="H962" i="27"/>
  <c r="H963" i="27"/>
  <c r="J963" i="27" s="1"/>
  <c r="H964" i="27"/>
  <c r="J964" i="27" s="1"/>
  <c r="H965" i="27"/>
  <c r="J965" i="27" s="1"/>
  <c r="H966" i="27"/>
  <c r="H967" i="27"/>
  <c r="J967" i="27" s="1"/>
  <c r="H968" i="27"/>
  <c r="J968" i="27" s="1"/>
  <c r="H969" i="27"/>
  <c r="J957" i="27"/>
  <c r="J958" i="27"/>
  <c r="J961" i="27"/>
  <c r="J962" i="27"/>
  <c r="J966" i="27"/>
  <c r="M961" i="27"/>
  <c r="K953" i="27"/>
  <c r="K954" i="27"/>
  <c r="M954" i="27" s="1"/>
  <c r="K955" i="27"/>
  <c r="M955" i="27" s="1"/>
  <c r="K956" i="27"/>
  <c r="M956" i="27" s="1"/>
  <c r="K957" i="27"/>
  <c r="M957" i="27" s="1"/>
  <c r="K958" i="27"/>
  <c r="M958" i="27" s="1"/>
  <c r="K959" i="27"/>
  <c r="M959" i="27" s="1"/>
  <c r="K960" i="27"/>
  <c r="M960" i="27" s="1"/>
  <c r="K961" i="27"/>
  <c r="K962" i="27"/>
  <c r="M962" i="27" s="1"/>
  <c r="K963" i="27"/>
  <c r="M963" i="27" s="1"/>
  <c r="K964" i="27"/>
  <c r="M964" i="27" s="1"/>
  <c r="K965" i="27"/>
  <c r="M965" i="27" s="1"/>
  <c r="K966" i="27"/>
  <c r="M966" i="27" s="1"/>
  <c r="K967" i="27"/>
  <c r="M967" i="27" s="1"/>
  <c r="K968" i="27"/>
  <c r="M968" i="27" s="1"/>
  <c r="K969" i="27"/>
  <c r="M969" i="27" s="1"/>
  <c r="K970" i="27"/>
  <c r="K971" i="27"/>
  <c r="K972" i="27"/>
  <c r="M953" i="27"/>
  <c r="R1558" i="1" l="1"/>
  <c r="R1559" i="1"/>
  <c r="R1562" i="1"/>
  <c r="R1563" i="1"/>
  <c r="R1564" i="1"/>
  <c r="R1565" i="1"/>
  <c r="R1566" i="1"/>
  <c r="R1567" i="1"/>
  <c r="R1570" i="1"/>
  <c r="R1571" i="1"/>
  <c r="R1572" i="1"/>
  <c r="P1562" i="1"/>
  <c r="P1563" i="1"/>
  <c r="P1564" i="1"/>
  <c r="P1565" i="1"/>
  <c r="P1566" i="1"/>
  <c r="P1567" i="1"/>
  <c r="P1568" i="1"/>
  <c r="R1568" i="1" s="1"/>
  <c r="P1569" i="1"/>
  <c r="R1569" i="1" s="1"/>
  <c r="H1563" i="1"/>
  <c r="H1564" i="1"/>
  <c r="G1564" i="1"/>
  <c r="H949" i="27" l="1"/>
  <c r="R1557" i="1" l="1"/>
  <c r="P1557" i="1"/>
  <c r="P1558" i="1"/>
  <c r="P1559" i="1"/>
  <c r="P1560" i="1"/>
  <c r="R1560" i="1" s="1"/>
  <c r="P1561" i="1"/>
  <c r="R1561" i="1" s="1"/>
  <c r="R1556" i="1" l="1"/>
  <c r="J949" i="27"/>
  <c r="K945" i="27"/>
  <c r="M945" i="27" s="1"/>
  <c r="R1555" i="1"/>
  <c r="M944" i="27"/>
  <c r="H1553" i="1"/>
  <c r="J1551" i="1"/>
  <c r="J1552" i="1"/>
  <c r="J1553" i="1"/>
  <c r="R1550" i="1"/>
  <c r="R1551" i="1"/>
  <c r="R1552" i="1"/>
  <c r="R1553" i="1"/>
  <c r="P1551" i="1"/>
  <c r="P1552" i="1"/>
  <c r="P1553" i="1"/>
  <c r="P1554" i="1"/>
  <c r="R1554" i="1" s="1"/>
  <c r="P1555" i="1"/>
  <c r="P1556" i="1"/>
  <c r="R1549" i="1" l="1"/>
  <c r="P1549" i="1"/>
  <c r="P1550" i="1"/>
  <c r="Y1548" i="1"/>
  <c r="R1543" i="1" l="1"/>
  <c r="R1544" i="1"/>
  <c r="R1545" i="1"/>
  <c r="R1546" i="1"/>
  <c r="R1547" i="1"/>
  <c r="P1544" i="1"/>
  <c r="P1545" i="1"/>
  <c r="P1546" i="1"/>
  <c r="P1547" i="1"/>
  <c r="P1548" i="1"/>
  <c r="R1548" i="1" s="1"/>
  <c r="G937" i="27" l="1"/>
  <c r="B938" i="27"/>
  <c r="D938" i="27" s="1"/>
  <c r="B939" i="27"/>
  <c r="D939" i="27" s="1"/>
  <c r="B940" i="27"/>
  <c r="D940" i="27" s="1"/>
  <c r="B941" i="27"/>
  <c r="D941" i="27" s="1"/>
  <c r="B942" i="27"/>
  <c r="D942" i="27" s="1"/>
  <c r="B943" i="27"/>
  <c r="D943" i="27" s="1"/>
  <c r="B944" i="27"/>
  <c r="D944" i="27" s="1"/>
  <c r="B945" i="27"/>
  <c r="D945" i="27" s="1"/>
  <c r="B946" i="27"/>
  <c r="D946" i="27" s="1"/>
  <c r="B947" i="27"/>
  <c r="D947" i="27" s="1"/>
  <c r="B948" i="27"/>
  <c r="D948" i="27" s="1"/>
  <c r="B949" i="27"/>
  <c r="D949" i="27" s="1"/>
  <c r="B950" i="27"/>
  <c r="D950" i="27" s="1"/>
  <c r="B951" i="27"/>
  <c r="D951" i="27" s="1"/>
  <c r="B952" i="27"/>
  <c r="B953" i="27"/>
  <c r="D953" i="27" s="1"/>
  <c r="B954" i="27"/>
  <c r="D954" i="27" s="1"/>
  <c r="E936" i="27"/>
  <c r="G936" i="27" s="1"/>
  <c r="E937" i="27"/>
  <c r="E938" i="27"/>
  <c r="G938" i="27" s="1"/>
  <c r="E939" i="27"/>
  <c r="G939" i="27" s="1"/>
  <c r="E940" i="27"/>
  <c r="G940" i="27" s="1"/>
  <c r="E941" i="27"/>
  <c r="G941" i="27" s="1"/>
  <c r="E942" i="27"/>
  <c r="G942" i="27" s="1"/>
  <c r="E943" i="27"/>
  <c r="G943" i="27" s="1"/>
  <c r="E944" i="27"/>
  <c r="G944" i="27" s="1"/>
  <c r="E945" i="27"/>
  <c r="G945" i="27" s="1"/>
  <c r="E946" i="27"/>
  <c r="G946" i="27" s="1"/>
  <c r="E947" i="27"/>
  <c r="G947" i="27" s="1"/>
  <c r="E948" i="27"/>
  <c r="G948" i="27" s="1"/>
  <c r="E949" i="27"/>
  <c r="G949" i="27" s="1"/>
  <c r="E950" i="27"/>
  <c r="G950" i="27" s="1"/>
  <c r="G951" i="27"/>
  <c r="E954" i="27"/>
  <c r="E955" i="27"/>
  <c r="E956" i="27"/>
  <c r="G956" i="27" s="1"/>
  <c r="G957" i="27"/>
  <c r="G958" i="27"/>
  <c r="K936" i="27"/>
  <c r="K937" i="27"/>
  <c r="M937" i="27" s="1"/>
  <c r="K938" i="27"/>
  <c r="M938" i="27" s="1"/>
  <c r="K939" i="27"/>
  <c r="M939" i="27" s="1"/>
  <c r="K940" i="27"/>
  <c r="M940" i="27" s="1"/>
  <c r="K941" i="27"/>
  <c r="M941" i="27" s="1"/>
  <c r="K942" i="27"/>
  <c r="M942" i="27" s="1"/>
  <c r="K943" i="27"/>
  <c r="M943" i="27" s="1"/>
  <c r="K946" i="27"/>
  <c r="M946" i="27" s="1"/>
  <c r="K947" i="27"/>
  <c r="M947" i="27" s="1"/>
  <c r="K948" i="27"/>
  <c r="M948" i="27" s="1"/>
  <c r="K949" i="27"/>
  <c r="M949" i="27" s="1"/>
  <c r="K950" i="27"/>
  <c r="M950" i="27" s="1"/>
  <c r="K951" i="27"/>
  <c r="M951" i="27" s="1"/>
  <c r="K952" i="27"/>
  <c r="M952" i="27" s="1"/>
  <c r="H937" i="27"/>
  <c r="H938" i="27"/>
  <c r="H939" i="27"/>
  <c r="H940" i="27"/>
  <c r="J940" i="27" s="1"/>
  <c r="H941" i="27"/>
  <c r="J941" i="27" s="1"/>
  <c r="H942" i="27"/>
  <c r="J942" i="27" s="1"/>
  <c r="H943" i="27"/>
  <c r="J943" i="27" s="1"/>
  <c r="H944" i="27"/>
  <c r="J944" i="27" s="1"/>
  <c r="H945" i="27"/>
  <c r="J945" i="27" s="1"/>
  <c r="H946" i="27"/>
  <c r="J946" i="27" s="1"/>
  <c r="H947" i="27"/>
  <c r="J947" i="27" s="1"/>
  <c r="H948" i="27"/>
  <c r="J948" i="27" s="1"/>
  <c r="J950" i="27"/>
  <c r="H951" i="27"/>
  <c r="J951" i="27" s="1"/>
  <c r="H952" i="27"/>
  <c r="J952" i="27" s="1"/>
  <c r="H953" i="27"/>
  <c r="J953" i="27" s="1"/>
  <c r="H954" i="27"/>
  <c r="J954" i="27" s="1"/>
  <c r="H955" i="27"/>
  <c r="J955" i="27" s="1"/>
  <c r="H956" i="27"/>
  <c r="J956" i="27" s="1"/>
  <c r="M936" i="27" l="1"/>
  <c r="K934" i="27" l="1"/>
  <c r="M934" i="27" s="1"/>
  <c r="K935" i="27"/>
  <c r="M935" i="27" s="1"/>
  <c r="J937" i="27"/>
  <c r="J938" i="27"/>
  <c r="J939" i="27"/>
  <c r="H933" i="27"/>
  <c r="H934" i="27"/>
  <c r="J934" i="27" s="1"/>
  <c r="H935" i="27"/>
  <c r="J935" i="27" s="1"/>
  <c r="H936" i="27"/>
  <c r="J936" i="27" s="1"/>
  <c r="D935" i="27"/>
  <c r="B935" i="27"/>
  <c r="B936" i="27"/>
  <c r="D936" i="27" s="1"/>
  <c r="B937" i="27"/>
  <c r="D937" i="27" s="1"/>
  <c r="R1542" i="1"/>
  <c r="R1541" i="1" l="1"/>
  <c r="J933" i="27" l="1"/>
  <c r="E930" i="27"/>
  <c r="E923" i="27"/>
  <c r="G923" i="27" s="1"/>
  <c r="E924" i="27"/>
  <c r="E925" i="27"/>
  <c r="E926" i="27"/>
  <c r="G926" i="27" s="1"/>
  <c r="E927" i="27"/>
  <c r="E928" i="27"/>
  <c r="G928" i="27" s="1"/>
  <c r="E929" i="27"/>
  <c r="G929" i="27" s="1"/>
  <c r="G930" i="27"/>
  <c r="E931" i="27"/>
  <c r="G931" i="27" s="1"/>
  <c r="E932" i="27"/>
  <c r="E933" i="27"/>
  <c r="G933" i="27" s="1"/>
  <c r="E934" i="27"/>
  <c r="G934" i="27" s="1"/>
  <c r="E935" i="27"/>
  <c r="G935" i="27" s="1"/>
  <c r="G924" i="27"/>
  <c r="G925" i="27"/>
  <c r="G927" i="27"/>
  <c r="G932" i="27"/>
  <c r="P1540" i="1"/>
  <c r="P1541" i="1"/>
  <c r="P1542" i="1"/>
  <c r="P1543" i="1"/>
  <c r="H927" i="27" l="1"/>
  <c r="H928" i="27"/>
  <c r="J928" i="27" s="1"/>
  <c r="H929" i="27"/>
  <c r="H930" i="27"/>
  <c r="J930" i="27" s="1"/>
  <c r="H931" i="27"/>
  <c r="H932" i="27"/>
  <c r="J932" i="27" s="1"/>
  <c r="K927" i="27"/>
  <c r="M927" i="27" s="1"/>
  <c r="K928" i="27"/>
  <c r="M928" i="27" s="1"/>
  <c r="K929" i="27"/>
  <c r="K930" i="27"/>
  <c r="M930" i="27" s="1"/>
  <c r="K931" i="27"/>
  <c r="M931" i="27" s="1"/>
  <c r="K932" i="27"/>
  <c r="M932" i="27" s="1"/>
  <c r="K933" i="27"/>
  <c r="M933" i="27" s="1"/>
  <c r="J927" i="27"/>
  <c r="J929" i="27"/>
  <c r="J931" i="27"/>
  <c r="M929" i="27"/>
  <c r="R1534" i="1"/>
  <c r="R1536" i="1"/>
  <c r="R1540" i="1"/>
  <c r="P1535" i="1"/>
  <c r="R1535" i="1" s="1"/>
  <c r="P1536" i="1"/>
  <c r="P1537" i="1"/>
  <c r="R1537" i="1" s="1"/>
  <c r="P1538" i="1"/>
  <c r="R1538" i="1" s="1"/>
  <c r="P1539" i="1"/>
  <c r="R1539" i="1" s="1"/>
  <c r="B926" i="27" l="1"/>
  <c r="B927" i="27"/>
  <c r="B928" i="27"/>
  <c r="B929" i="27"/>
  <c r="D929" i="27" s="1"/>
  <c r="B930" i="27"/>
  <c r="D930" i="27" s="1"/>
  <c r="B931" i="27"/>
  <c r="D931" i="27" s="1"/>
  <c r="B932" i="27"/>
  <c r="D932" i="27" s="1"/>
  <c r="B933" i="27"/>
  <c r="D933" i="27" s="1"/>
  <c r="B934" i="27"/>
  <c r="D934" i="27" s="1"/>
  <c r="R1533" i="1"/>
  <c r="E918" i="27" l="1"/>
  <c r="G918" i="27" s="1"/>
  <c r="E919" i="27"/>
  <c r="G919" i="27" s="1"/>
  <c r="E920" i="27"/>
  <c r="G920" i="27" s="1"/>
  <c r="E921" i="27"/>
  <c r="G921" i="27" s="1"/>
  <c r="E922" i="27"/>
  <c r="G922" i="27" s="1"/>
  <c r="D926" i="27"/>
  <c r="D927" i="27"/>
  <c r="D928" i="27"/>
  <c r="H924" i="27"/>
  <c r="J924" i="27" s="1"/>
  <c r="H925" i="27"/>
  <c r="H926" i="27"/>
  <c r="J926" i="27" s="1"/>
  <c r="J925" i="27"/>
  <c r="K925" i="27"/>
  <c r="M925" i="27" s="1"/>
  <c r="K926" i="27"/>
  <c r="M926" i="27" s="1"/>
  <c r="R1532" i="1"/>
  <c r="P1532" i="1"/>
  <c r="P1533" i="1"/>
  <c r="P1534" i="1"/>
  <c r="P1531" i="1"/>
  <c r="H922" i="27"/>
  <c r="H923" i="27"/>
  <c r="J923" i="27" s="1"/>
  <c r="K922" i="27"/>
  <c r="K923" i="27"/>
  <c r="M923" i="27" s="1"/>
  <c r="K924" i="27"/>
  <c r="M924" i="27" s="1"/>
  <c r="B922" i="27"/>
  <c r="B923" i="27"/>
  <c r="D923" i="27" s="1"/>
  <c r="B924" i="27"/>
  <c r="D924" i="27" s="1"/>
  <c r="B925" i="27"/>
  <c r="D925" i="27" s="1"/>
  <c r="R1529" i="1" l="1"/>
  <c r="R1530" i="1"/>
  <c r="R1531" i="1"/>
  <c r="P1529" i="1"/>
  <c r="P1530" i="1"/>
  <c r="R1528" i="1" l="1"/>
  <c r="AA1524" i="1"/>
  <c r="AA1525" i="1"/>
  <c r="AA1526" i="1"/>
  <c r="J922" i="27"/>
  <c r="H921" i="27"/>
  <c r="J921" i="27" s="1"/>
  <c r="H920" i="27"/>
  <c r="J920" i="27" s="1"/>
  <c r="R1527" i="1"/>
  <c r="D922" i="27" l="1"/>
  <c r="B919" i="27"/>
  <c r="D919" i="27" s="1"/>
  <c r="B920" i="27"/>
  <c r="D920" i="27" s="1"/>
  <c r="D921" i="27"/>
  <c r="M919" i="27"/>
  <c r="M922" i="27"/>
  <c r="K919" i="27"/>
  <c r="K920" i="27"/>
  <c r="M920" i="27" s="1"/>
  <c r="K921" i="27"/>
  <c r="M921" i="27" s="1"/>
  <c r="R1526" i="1"/>
  <c r="H918" i="27" l="1"/>
  <c r="J918" i="27" s="1"/>
  <c r="H919" i="27"/>
  <c r="J919" i="27" s="1"/>
  <c r="R1525" i="1"/>
  <c r="P1525" i="1"/>
  <c r="P1526" i="1"/>
  <c r="P1527" i="1"/>
  <c r="P1528" i="1"/>
  <c r="R1523" i="1"/>
  <c r="E907" i="27"/>
  <c r="E908" i="27"/>
  <c r="E909" i="27"/>
  <c r="E910" i="27"/>
  <c r="E911" i="27"/>
  <c r="E912" i="27"/>
  <c r="E913" i="27"/>
  <c r="E914" i="27"/>
  <c r="E915" i="27"/>
  <c r="E916" i="27"/>
  <c r="E917" i="27"/>
  <c r="G917" i="27" s="1"/>
  <c r="G902" i="27" l="1"/>
  <c r="G903" i="27"/>
  <c r="G910" i="27"/>
  <c r="G911" i="27"/>
  <c r="G915" i="27"/>
  <c r="G916" i="27"/>
  <c r="G895" i="27"/>
  <c r="R1522" i="1"/>
  <c r="P1521" i="1" l="1"/>
  <c r="P1522" i="1"/>
  <c r="P1523" i="1"/>
  <c r="P1524" i="1"/>
  <c r="R1524" i="1" s="1"/>
  <c r="H914" i="27" l="1"/>
  <c r="J914" i="27" s="1"/>
  <c r="H915" i="27"/>
  <c r="J915" i="27" s="1"/>
  <c r="H916" i="27"/>
  <c r="J916" i="27" s="1"/>
  <c r="H917" i="27"/>
  <c r="J917" i="27" s="1"/>
  <c r="R1518" i="1" l="1"/>
  <c r="R1519" i="1"/>
  <c r="R1520" i="1"/>
  <c r="R1521" i="1"/>
  <c r="P1519" i="1"/>
  <c r="P1520" i="1"/>
  <c r="H910" i="27" l="1"/>
  <c r="H911" i="27"/>
  <c r="H912" i="27"/>
  <c r="H913" i="27"/>
  <c r="J913" i="27" s="1"/>
  <c r="R1514" i="1" l="1"/>
  <c r="R1515" i="1"/>
  <c r="R1516" i="1"/>
  <c r="R1517" i="1"/>
  <c r="P1512" i="1"/>
  <c r="P1513" i="1"/>
  <c r="P1514" i="1"/>
  <c r="P1515" i="1"/>
  <c r="P1516" i="1"/>
  <c r="P1517" i="1"/>
  <c r="P1518" i="1"/>
  <c r="H903" i="27" l="1"/>
  <c r="J903" i="27" s="1"/>
  <c r="H904" i="27"/>
  <c r="J904" i="27" s="1"/>
  <c r="H905" i="27"/>
  <c r="J905" i="27" s="1"/>
  <c r="H906" i="27"/>
  <c r="J906" i="27" s="1"/>
  <c r="H907" i="27"/>
  <c r="J907" i="27" s="1"/>
  <c r="H908" i="27"/>
  <c r="H909" i="27"/>
  <c r="J909" i="27" s="1"/>
  <c r="J908" i="27"/>
  <c r="J910" i="27"/>
  <c r="J911" i="27"/>
  <c r="J912" i="27"/>
  <c r="S1509" i="1" l="1"/>
  <c r="S1510" i="1"/>
  <c r="S1511" i="1"/>
  <c r="S1512" i="1"/>
  <c r="S1513" i="1"/>
  <c r="S1514" i="1"/>
  <c r="S1515" i="1"/>
  <c r="U1515" i="1" s="1"/>
  <c r="S1516" i="1"/>
  <c r="U1516" i="1" s="1"/>
  <c r="U1509" i="1"/>
  <c r="U1510" i="1"/>
  <c r="U1511" i="1"/>
  <c r="U1512" i="1"/>
  <c r="U1513" i="1"/>
  <c r="U1514" i="1"/>
  <c r="V1511" i="1" l="1"/>
  <c r="X1511" i="1" s="1"/>
  <c r="V1512" i="1"/>
  <c r="X1512" i="1" s="1"/>
  <c r="V1513" i="1"/>
  <c r="X1513" i="1" s="1"/>
  <c r="V1514" i="1"/>
  <c r="X1514" i="1" s="1"/>
  <c r="V1515" i="1"/>
  <c r="X1515" i="1" s="1"/>
  <c r="V1516" i="1"/>
  <c r="X1516" i="1" s="1"/>
  <c r="V1517" i="1"/>
  <c r="P1508" i="1" l="1"/>
  <c r="R1508" i="1" s="1"/>
  <c r="P1509" i="1"/>
  <c r="R1509" i="1" s="1"/>
  <c r="P1510" i="1"/>
  <c r="R1510" i="1" s="1"/>
  <c r="P1511" i="1"/>
  <c r="R1511" i="1" s="1"/>
  <c r="R1512" i="1"/>
  <c r="R1513" i="1"/>
  <c r="H900" i="27" l="1"/>
  <c r="H901" i="27"/>
  <c r="J901" i="27" s="1"/>
  <c r="H902" i="27"/>
  <c r="J902" i="27" s="1"/>
  <c r="J900" i="27" l="1"/>
  <c r="H896" i="27"/>
  <c r="J896" i="27" s="1"/>
  <c r="H897" i="27"/>
  <c r="J897" i="27" s="1"/>
  <c r="H898" i="27"/>
  <c r="J898" i="27" s="1"/>
  <c r="H899" i="27"/>
  <c r="J899" i="27" s="1"/>
  <c r="P1502" i="1"/>
  <c r="P1503" i="1"/>
  <c r="P1504" i="1"/>
  <c r="P1505" i="1"/>
  <c r="R1505" i="1" s="1"/>
  <c r="P1506" i="1"/>
  <c r="R1506" i="1" s="1"/>
  <c r="P1507" i="1"/>
  <c r="R1507" i="1" s="1"/>
  <c r="R1503" i="1" l="1"/>
  <c r="R1504" i="1"/>
  <c r="J889" i="27" l="1"/>
  <c r="J890" i="27"/>
  <c r="H889" i="27"/>
  <c r="H890" i="27"/>
  <c r="H891" i="27"/>
  <c r="J891" i="27" s="1"/>
  <c r="H892" i="27"/>
  <c r="J892" i="27" s="1"/>
  <c r="H893" i="27"/>
  <c r="J893" i="27" s="1"/>
  <c r="H894" i="27"/>
  <c r="J894" i="27" s="1"/>
  <c r="H895" i="27"/>
  <c r="J895" i="27" s="1"/>
  <c r="P1498" i="1"/>
  <c r="R1498" i="1" s="1"/>
  <c r="P1499" i="1"/>
  <c r="R1499" i="1" s="1"/>
  <c r="P1500" i="1"/>
  <c r="R1500" i="1" s="1"/>
  <c r="P1501" i="1"/>
  <c r="R1501" i="1" s="1"/>
  <c r="R1502" i="1"/>
  <c r="P1494" i="1"/>
  <c r="P1495" i="1"/>
  <c r="P1496" i="1"/>
  <c r="R1496" i="1" s="1"/>
  <c r="P1497" i="1"/>
  <c r="R1497" i="1" s="1"/>
  <c r="H886" i="27" l="1"/>
  <c r="J886" i="27" s="1"/>
  <c r="H887" i="27"/>
  <c r="J887" i="27" s="1"/>
  <c r="H888" i="27"/>
  <c r="J888" i="27" s="1"/>
  <c r="J884" i="27" l="1"/>
  <c r="H881" i="27"/>
  <c r="J881" i="27" s="1"/>
  <c r="H882" i="27"/>
  <c r="J882" i="27" s="1"/>
  <c r="H883" i="27"/>
  <c r="J883" i="27" s="1"/>
  <c r="H884" i="27"/>
  <c r="H885" i="27"/>
  <c r="J885" i="27" s="1"/>
  <c r="P1486" i="1"/>
  <c r="R1486" i="1" s="1"/>
  <c r="P1487" i="1"/>
  <c r="P1488" i="1"/>
  <c r="P1489" i="1"/>
  <c r="R1489" i="1" s="1"/>
  <c r="P1490" i="1"/>
  <c r="R1490" i="1" s="1"/>
  <c r="P1491" i="1"/>
  <c r="P1492" i="1"/>
  <c r="R1492" i="1" s="1"/>
  <c r="P1493" i="1"/>
  <c r="R1493" i="1" s="1"/>
  <c r="R1494" i="1"/>
  <c r="R1487" i="1"/>
  <c r="R1488" i="1"/>
  <c r="R1491" i="1"/>
  <c r="R1495" i="1"/>
  <c r="H873" i="27" l="1"/>
  <c r="H874" i="27"/>
  <c r="H875" i="27"/>
  <c r="J875" i="27" s="1"/>
  <c r="H876" i="27"/>
  <c r="J876" i="27" s="1"/>
  <c r="H877" i="27"/>
  <c r="J877" i="27" s="1"/>
  <c r="H878" i="27"/>
  <c r="H879" i="27"/>
  <c r="J879" i="27" s="1"/>
  <c r="H880" i="27"/>
  <c r="J880" i="27" s="1"/>
  <c r="J873" i="27"/>
  <c r="J874" i="27"/>
  <c r="J878" i="27"/>
  <c r="P1482" i="1"/>
  <c r="P1483" i="1"/>
  <c r="P1484" i="1"/>
  <c r="P1485" i="1"/>
  <c r="R1485" i="1" s="1"/>
  <c r="AB1477" i="1" l="1"/>
  <c r="AB1478" i="1"/>
  <c r="AB1479" i="1"/>
  <c r="AB1480" i="1"/>
  <c r="J871" i="27" l="1"/>
  <c r="J872" i="27"/>
  <c r="H870" i="27"/>
  <c r="J870" i="27" s="1"/>
  <c r="H871" i="27"/>
  <c r="H872" i="27"/>
  <c r="AB1476" i="1" l="1"/>
  <c r="AD1476" i="1" s="1"/>
  <c r="AD1477" i="1"/>
  <c r="AD1478" i="1"/>
  <c r="H863" i="27" l="1"/>
  <c r="H864" i="27"/>
  <c r="H865" i="27"/>
  <c r="H866" i="27"/>
  <c r="J866" i="27" s="1"/>
  <c r="H867" i="27"/>
  <c r="J867" i="27" s="1"/>
  <c r="H868" i="27"/>
  <c r="J868" i="27" s="1"/>
  <c r="H869" i="27"/>
  <c r="J869" i="27" s="1"/>
  <c r="P1470" i="1" l="1"/>
  <c r="P1471" i="1"/>
  <c r="P1472" i="1"/>
  <c r="P1473" i="1"/>
  <c r="P1474" i="1"/>
  <c r="R1474" i="1" s="1"/>
  <c r="P1475" i="1"/>
  <c r="R1475" i="1" s="1"/>
  <c r="P1476" i="1"/>
  <c r="R1476" i="1" s="1"/>
  <c r="P1477" i="1"/>
  <c r="R1477" i="1" s="1"/>
  <c r="P1478" i="1"/>
  <c r="R1478" i="1" s="1"/>
  <c r="P1479" i="1"/>
  <c r="R1479" i="1" s="1"/>
  <c r="P1480" i="1"/>
  <c r="R1480" i="1" s="1"/>
  <c r="P1481" i="1"/>
  <c r="R1481" i="1" s="1"/>
  <c r="R1482" i="1"/>
  <c r="R1483" i="1"/>
  <c r="R1484" i="1"/>
  <c r="J863" i="27" l="1"/>
  <c r="J864" i="27"/>
  <c r="J865" i="27"/>
  <c r="H861" i="27"/>
  <c r="J861" i="27" s="1"/>
  <c r="H862" i="27"/>
  <c r="J862" i="27" s="1"/>
  <c r="R1470" i="1"/>
  <c r="R1471" i="1"/>
  <c r="R1472" i="1"/>
  <c r="R1473" i="1"/>
  <c r="P1469" i="1"/>
  <c r="R1469" i="1" s="1"/>
  <c r="E860" i="27" l="1"/>
  <c r="E861" i="27"/>
  <c r="E862" i="27"/>
  <c r="E863" i="27"/>
  <c r="G863" i="27" s="1"/>
  <c r="H859" i="27"/>
  <c r="H860" i="27"/>
  <c r="J860" i="27" s="1"/>
  <c r="AB1466" i="1"/>
  <c r="G842" i="27" l="1"/>
  <c r="G843" i="27"/>
  <c r="G844" i="27"/>
  <c r="G845" i="27"/>
  <c r="G846" i="27"/>
  <c r="G847" i="27"/>
  <c r="G848" i="27"/>
  <c r="G849" i="27"/>
  <c r="G850" i="27"/>
  <c r="G851" i="27"/>
  <c r="G852" i="27"/>
  <c r="G853" i="27"/>
  <c r="G854" i="27"/>
  <c r="G855" i="27"/>
  <c r="G856" i="27"/>
  <c r="G857" i="27"/>
  <c r="G833" i="27"/>
  <c r="G834" i="27"/>
  <c r="G835" i="27"/>
  <c r="G836" i="27"/>
  <c r="G837" i="27"/>
  <c r="G838" i="27"/>
  <c r="G839" i="27"/>
  <c r="G840" i="27"/>
  <c r="G841" i="27"/>
  <c r="G858" i="27"/>
  <c r="G859" i="27"/>
  <c r="G860" i="27"/>
  <c r="G862" i="27"/>
  <c r="E828" i="27"/>
  <c r="G828" i="27" s="1"/>
  <c r="G827" i="27"/>
  <c r="G829" i="27"/>
  <c r="G830" i="27"/>
  <c r="G831" i="27"/>
  <c r="G832" i="27"/>
  <c r="E816" i="27"/>
  <c r="E817" i="27"/>
  <c r="E818" i="27"/>
  <c r="E819" i="27"/>
  <c r="G819" i="27" s="1"/>
  <c r="E820" i="27"/>
  <c r="E821" i="27"/>
  <c r="G821" i="27" s="1"/>
  <c r="E822" i="27"/>
  <c r="G822" i="27" s="1"/>
  <c r="E823" i="27"/>
  <c r="G823" i="27" s="1"/>
  <c r="E824" i="27"/>
  <c r="E825" i="27"/>
  <c r="G825" i="27" s="1"/>
  <c r="E826" i="27"/>
  <c r="G826" i="27" s="1"/>
  <c r="G861" i="27"/>
  <c r="E864" i="27"/>
  <c r="G864" i="27" s="1"/>
  <c r="E865" i="27"/>
  <c r="G865" i="27" s="1"/>
  <c r="E866" i="27"/>
  <c r="G866" i="27" s="1"/>
  <c r="E867" i="27"/>
  <c r="G867" i="27" s="1"/>
  <c r="E868" i="27"/>
  <c r="G868" i="27" s="1"/>
  <c r="E869" i="27"/>
  <c r="G869" i="27" s="1"/>
  <c r="E870" i="27"/>
  <c r="G870" i="27" s="1"/>
  <c r="E871" i="27"/>
  <c r="G871" i="27" s="1"/>
  <c r="E872" i="27"/>
  <c r="G872" i="27" s="1"/>
  <c r="E873" i="27"/>
  <c r="G873" i="27" s="1"/>
  <c r="E874" i="27"/>
  <c r="G874" i="27" s="1"/>
  <c r="E875" i="27"/>
  <c r="G875" i="27" s="1"/>
  <c r="E876" i="27"/>
  <c r="G876" i="27" s="1"/>
  <c r="E877" i="27"/>
  <c r="G877" i="27" s="1"/>
  <c r="E878" i="27"/>
  <c r="G878" i="27" s="1"/>
  <c r="E879" i="27"/>
  <c r="G879" i="27" s="1"/>
  <c r="E880" i="27"/>
  <c r="G880" i="27" s="1"/>
  <c r="E881" i="27"/>
  <c r="G881" i="27" s="1"/>
  <c r="E882" i="27"/>
  <c r="G882" i="27" s="1"/>
  <c r="E883" i="27"/>
  <c r="G883" i="27" s="1"/>
  <c r="E884" i="27"/>
  <c r="G884" i="27" s="1"/>
  <c r="E885" i="27"/>
  <c r="G885" i="27" s="1"/>
  <c r="E886" i="27"/>
  <c r="G886" i="27" s="1"/>
  <c r="E887" i="27"/>
  <c r="G887" i="27" s="1"/>
  <c r="E888" i="27"/>
  <c r="G888" i="27" s="1"/>
  <c r="E889" i="27"/>
  <c r="G889" i="27" s="1"/>
  <c r="E890" i="27"/>
  <c r="G890" i="27" s="1"/>
  <c r="E891" i="27"/>
  <c r="G891" i="27" s="1"/>
  <c r="E892" i="27"/>
  <c r="G892" i="27" s="1"/>
  <c r="E893" i="27"/>
  <c r="G893" i="27" s="1"/>
  <c r="E894" i="27"/>
  <c r="G894" i="27" s="1"/>
  <c r="E896" i="27"/>
  <c r="G896" i="27" s="1"/>
  <c r="E897" i="27"/>
  <c r="G897" i="27" s="1"/>
  <c r="E898" i="27"/>
  <c r="G898" i="27" s="1"/>
  <c r="G820" i="27"/>
  <c r="G824" i="27"/>
  <c r="E899" i="27"/>
  <c r="G899" i="27" s="1"/>
  <c r="E900" i="27"/>
  <c r="G900" i="27" s="1"/>
  <c r="E901" i="27"/>
  <c r="G901" i="27" s="1"/>
  <c r="E904" i="27"/>
  <c r="G904" i="27" s="1"/>
  <c r="E905" i="27"/>
  <c r="G905" i="27" s="1"/>
  <c r="E906" i="27"/>
  <c r="G906" i="27" s="1"/>
  <c r="G907" i="27"/>
  <c r="G908" i="27"/>
  <c r="G909" i="27"/>
  <c r="G912" i="27"/>
  <c r="G913" i="27"/>
  <c r="G914" i="27"/>
  <c r="P1464" i="1" l="1"/>
  <c r="P1465" i="1"/>
  <c r="P1466" i="1"/>
  <c r="P1467" i="1"/>
  <c r="R1467" i="1" s="1"/>
  <c r="P1468" i="1"/>
  <c r="R1468" i="1" s="1"/>
  <c r="R1464" i="1"/>
  <c r="R1465" i="1"/>
  <c r="R1466" i="1"/>
  <c r="J856" i="27" l="1"/>
  <c r="J859" i="27"/>
  <c r="H856" i="27"/>
  <c r="H857" i="27"/>
  <c r="J857" i="27" s="1"/>
  <c r="H858" i="27"/>
  <c r="J858" i="27" s="1"/>
  <c r="H853" i="27" l="1"/>
  <c r="H854" i="27"/>
  <c r="H855" i="27"/>
  <c r="J853" i="27"/>
  <c r="J854" i="27"/>
  <c r="J855" i="27"/>
  <c r="P1459" i="1" l="1"/>
  <c r="P1460" i="1"/>
  <c r="R1460" i="1" s="1"/>
  <c r="P1461" i="1"/>
  <c r="R1461" i="1" s="1"/>
  <c r="P1462" i="1"/>
  <c r="R1462" i="1" s="1"/>
  <c r="P1463" i="1"/>
  <c r="R1463" i="1" s="1"/>
  <c r="AB1458" i="1" l="1"/>
  <c r="AD1458" i="1" s="1"/>
  <c r="AB1459" i="1"/>
  <c r="AD1459" i="1" s="1"/>
  <c r="AB1460" i="1"/>
  <c r="AD1460" i="1" s="1"/>
  <c r="AB1461" i="1"/>
  <c r="AD1461" i="1" s="1"/>
  <c r="AB1462" i="1"/>
  <c r="AD1462" i="1" s="1"/>
  <c r="AB1463" i="1"/>
  <c r="AD1463" i="1" s="1"/>
  <c r="AB1464" i="1"/>
  <c r="AD1464" i="1" s="1"/>
  <c r="AB1465" i="1"/>
  <c r="AB1467" i="1"/>
  <c r="H848" i="27" l="1"/>
  <c r="H849" i="27"/>
  <c r="H850" i="27"/>
  <c r="J850" i="27" s="1"/>
  <c r="H851" i="27"/>
  <c r="J851" i="27" s="1"/>
  <c r="H852" i="27"/>
  <c r="J852" i="27" s="1"/>
  <c r="J848" i="27"/>
  <c r="J849" i="27"/>
  <c r="R1459" i="1"/>
  <c r="P1454" i="1"/>
  <c r="R1454" i="1" s="1"/>
  <c r="P1455" i="1"/>
  <c r="R1455" i="1" s="1"/>
  <c r="P1456" i="1"/>
  <c r="R1456" i="1" s="1"/>
  <c r="P1457" i="1"/>
  <c r="R1457" i="1" s="1"/>
  <c r="P1458" i="1"/>
  <c r="R1458" i="1" s="1"/>
  <c r="H845" i="27" l="1"/>
  <c r="H846" i="27"/>
  <c r="J846" i="27" s="1"/>
  <c r="H847" i="27"/>
  <c r="J847" i="27" s="1"/>
  <c r="H840" i="27" l="1"/>
  <c r="H841" i="27"/>
  <c r="H842" i="27"/>
  <c r="H843" i="27"/>
  <c r="J843" i="27" s="1"/>
  <c r="H844" i="27"/>
  <c r="J840" i="27"/>
  <c r="J841" i="27"/>
  <c r="J842" i="27"/>
  <c r="J844" i="27"/>
  <c r="J845" i="27"/>
  <c r="V1447" i="1"/>
  <c r="P1446" i="1"/>
  <c r="R1446" i="1" s="1"/>
  <c r="P1447" i="1"/>
  <c r="P1448" i="1"/>
  <c r="R1448" i="1" s="1"/>
  <c r="P1449" i="1"/>
  <c r="R1449" i="1" s="1"/>
  <c r="P1451" i="1"/>
  <c r="R1451" i="1" s="1"/>
  <c r="P1452" i="1"/>
  <c r="R1452" i="1" s="1"/>
  <c r="P1453" i="1"/>
  <c r="R1453" i="1" s="1"/>
  <c r="R1447" i="1"/>
  <c r="R1450" i="1"/>
  <c r="P1445" i="1" l="1"/>
  <c r="R1445" i="1" s="1"/>
  <c r="AE1443" i="1"/>
  <c r="AE1444" i="1"/>
  <c r="AG1444" i="1" s="1"/>
  <c r="AE1445" i="1"/>
  <c r="AG1445" i="1" s="1"/>
  <c r="AE1446" i="1"/>
  <c r="AG1446" i="1" s="1"/>
  <c r="AE1447" i="1"/>
  <c r="AG1447" i="1" s="1"/>
  <c r="AE1448" i="1"/>
  <c r="AE1449" i="1"/>
  <c r="AG1443" i="1"/>
  <c r="H832" i="27" l="1"/>
  <c r="J832" i="27" s="1"/>
  <c r="H833" i="27"/>
  <c r="J833" i="27" s="1"/>
  <c r="H834" i="27"/>
  <c r="J834" i="27" s="1"/>
  <c r="H835" i="27"/>
  <c r="J835" i="27" s="1"/>
  <c r="H836" i="27"/>
  <c r="J836" i="27" s="1"/>
  <c r="H837" i="27"/>
  <c r="J837" i="27" s="1"/>
  <c r="H838" i="27"/>
  <c r="J838" i="27" s="1"/>
  <c r="H839" i="27"/>
  <c r="J839" i="27" s="1"/>
  <c r="P1441" i="1" l="1"/>
  <c r="R1441" i="1" s="1"/>
  <c r="P1442" i="1"/>
  <c r="R1442" i="1" s="1"/>
  <c r="P1443" i="1"/>
  <c r="R1443" i="1" s="1"/>
  <c r="P1444" i="1"/>
  <c r="R1444" i="1" s="1"/>
  <c r="P1436" i="1" l="1"/>
  <c r="P1437" i="1"/>
  <c r="P1438" i="1"/>
  <c r="P1439" i="1"/>
  <c r="R1439" i="1" s="1"/>
  <c r="P1440" i="1"/>
  <c r="R1440" i="1" s="1"/>
  <c r="P1435" i="1"/>
  <c r="R1436" i="1" l="1"/>
  <c r="R1437" i="1"/>
  <c r="R1438" i="1"/>
  <c r="H824" i="27"/>
  <c r="J824" i="27" s="1"/>
  <c r="H825" i="27"/>
  <c r="H826" i="27"/>
  <c r="H827" i="27"/>
  <c r="H828" i="27"/>
  <c r="H829" i="27"/>
  <c r="H830" i="27"/>
  <c r="H831" i="27"/>
  <c r="J831" i="27" s="1"/>
  <c r="J825" i="27"/>
  <c r="J826" i="27"/>
  <c r="J827" i="27"/>
  <c r="J828" i="27"/>
  <c r="J829" i="27"/>
  <c r="J830" i="27"/>
  <c r="B1433" i="1"/>
  <c r="B1434" i="1"/>
  <c r="B1435" i="1"/>
  <c r="B1436" i="1"/>
  <c r="B1437" i="1"/>
  <c r="B1438" i="1"/>
  <c r="P1431" i="1" l="1"/>
  <c r="P1432" i="1"/>
  <c r="R1432" i="1" s="1"/>
  <c r="P1433" i="1"/>
  <c r="R1433" i="1" s="1"/>
  <c r="P1434" i="1"/>
  <c r="R1434" i="1" s="1"/>
  <c r="R1435" i="1"/>
  <c r="R1431" i="1" l="1"/>
  <c r="P1428" i="1"/>
  <c r="R1428" i="1" s="1"/>
  <c r="P1429" i="1"/>
  <c r="R1429" i="1" s="1"/>
  <c r="P1430" i="1"/>
  <c r="R1430" i="1" s="1"/>
  <c r="K818" i="27" l="1"/>
  <c r="M818" i="27" s="1"/>
  <c r="K819" i="27"/>
  <c r="M819" i="27" s="1"/>
  <c r="K820" i="27"/>
  <c r="M820" i="27" s="1"/>
  <c r="K821" i="27"/>
  <c r="M821" i="27" s="1"/>
  <c r="K822" i="27"/>
  <c r="M822" i="27" s="1"/>
  <c r="K823" i="27"/>
  <c r="M823" i="27" s="1"/>
  <c r="K824" i="27"/>
  <c r="M824" i="27" s="1"/>
  <c r="H818" i="27"/>
  <c r="J818" i="27" s="1"/>
  <c r="H819" i="27"/>
  <c r="J819" i="27" s="1"/>
  <c r="H820" i="27"/>
  <c r="J820" i="27" s="1"/>
  <c r="H821" i="27"/>
  <c r="J821" i="27" s="1"/>
  <c r="H822" i="27"/>
  <c r="J822" i="27" s="1"/>
  <c r="H823" i="27"/>
  <c r="J823" i="27" s="1"/>
  <c r="G818" i="27"/>
  <c r="K817" i="27" l="1"/>
  <c r="M817" i="27" s="1"/>
  <c r="K816" i="27"/>
  <c r="M758" i="27" l="1"/>
  <c r="K760" i="27"/>
  <c r="M760" i="27" s="1"/>
  <c r="K761" i="27"/>
  <c r="M761" i="27" s="1"/>
  <c r="K762" i="27"/>
  <c r="M762" i="27" s="1"/>
  <c r="K763" i="27"/>
  <c r="M763" i="27" s="1"/>
  <c r="K764" i="27"/>
  <c r="M764" i="27" s="1"/>
  <c r="K765" i="27"/>
  <c r="M765" i="27" s="1"/>
  <c r="K766" i="27"/>
  <c r="M766" i="27" s="1"/>
  <c r="K767" i="27"/>
  <c r="M767" i="27" s="1"/>
  <c r="K768" i="27"/>
  <c r="M768" i="27" s="1"/>
  <c r="K769" i="27"/>
  <c r="M769" i="27" s="1"/>
  <c r="K770" i="27"/>
  <c r="M770" i="27" s="1"/>
  <c r="K771" i="27"/>
  <c r="M771" i="27" s="1"/>
  <c r="K772" i="27"/>
  <c r="M772" i="27" s="1"/>
  <c r="K773" i="27"/>
  <c r="M773" i="27" s="1"/>
  <c r="K774" i="27"/>
  <c r="M774" i="27" s="1"/>
  <c r="K775" i="27"/>
  <c r="M775" i="27" s="1"/>
  <c r="K776" i="27"/>
  <c r="M776" i="27" s="1"/>
  <c r="K777" i="27"/>
  <c r="M777" i="27" s="1"/>
  <c r="K778" i="27"/>
  <c r="M778" i="27" s="1"/>
  <c r="K779" i="27"/>
  <c r="M779" i="27" s="1"/>
  <c r="K780" i="27"/>
  <c r="M780" i="27" s="1"/>
  <c r="K781" i="27"/>
  <c r="M781" i="27" s="1"/>
  <c r="K782" i="27"/>
  <c r="M782" i="27" s="1"/>
  <c r="K783" i="27"/>
  <c r="M783" i="27" s="1"/>
  <c r="K784" i="27"/>
  <c r="M784" i="27" s="1"/>
  <c r="K785" i="27"/>
  <c r="M785" i="27" s="1"/>
  <c r="K786" i="27"/>
  <c r="M786" i="27" s="1"/>
  <c r="K787" i="27"/>
  <c r="M787" i="27" s="1"/>
  <c r="K788" i="27"/>
  <c r="M788" i="27" s="1"/>
  <c r="K789" i="27"/>
  <c r="M789" i="27" s="1"/>
  <c r="K790" i="27"/>
  <c r="M790" i="27" s="1"/>
  <c r="K791" i="27"/>
  <c r="M791" i="27" s="1"/>
  <c r="K792" i="27"/>
  <c r="M792" i="27" s="1"/>
  <c r="K793" i="27"/>
  <c r="M793" i="27" s="1"/>
  <c r="K794" i="27"/>
  <c r="M794" i="27" s="1"/>
  <c r="K795" i="27"/>
  <c r="M795" i="27" s="1"/>
  <c r="K796" i="27"/>
  <c r="M796" i="27" s="1"/>
  <c r="K797" i="27"/>
  <c r="M797" i="27" s="1"/>
  <c r="K798" i="27"/>
  <c r="M798" i="27" s="1"/>
  <c r="K799" i="27"/>
  <c r="M799" i="27" s="1"/>
  <c r="K800" i="27"/>
  <c r="M800" i="27" s="1"/>
  <c r="K801" i="27"/>
  <c r="M801" i="27" s="1"/>
  <c r="K802" i="27"/>
  <c r="M802" i="27" s="1"/>
  <c r="K803" i="27"/>
  <c r="M803" i="27" s="1"/>
  <c r="K804" i="27"/>
  <c r="M804" i="27" s="1"/>
  <c r="K805" i="27"/>
  <c r="M805" i="27" s="1"/>
  <c r="K806" i="27"/>
  <c r="M806" i="27" s="1"/>
  <c r="K807" i="27"/>
  <c r="M807" i="27" s="1"/>
  <c r="K808" i="27"/>
  <c r="M808" i="27" s="1"/>
  <c r="K809" i="27"/>
  <c r="M809" i="27" s="1"/>
  <c r="K810" i="27"/>
  <c r="M810" i="27" s="1"/>
  <c r="K811" i="27"/>
  <c r="M811" i="27" s="1"/>
  <c r="K812" i="27"/>
  <c r="M812" i="27" s="1"/>
  <c r="K813" i="27"/>
  <c r="M813" i="27" s="1"/>
  <c r="K814" i="27"/>
  <c r="M814" i="27" s="1"/>
  <c r="K815" i="27"/>
  <c r="M815" i="27" s="1"/>
  <c r="M816" i="27"/>
  <c r="K825" i="27"/>
  <c r="M825" i="27" s="1"/>
  <c r="K826" i="27"/>
  <c r="M826" i="27" s="1"/>
  <c r="K827" i="27"/>
  <c r="M827" i="27" s="1"/>
  <c r="K828" i="27"/>
  <c r="M828" i="27" s="1"/>
  <c r="K829" i="27"/>
  <c r="M829" i="27" s="1"/>
  <c r="K830" i="27"/>
  <c r="M830" i="27" s="1"/>
  <c r="K831" i="27"/>
  <c r="M831" i="27" s="1"/>
  <c r="K832" i="27"/>
  <c r="M832" i="27" s="1"/>
  <c r="K833" i="27"/>
  <c r="M833" i="27" s="1"/>
  <c r="K834" i="27"/>
  <c r="M834" i="27" s="1"/>
  <c r="K835" i="27"/>
  <c r="M835" i="27" s="1"/>
  <c r="K836" i="27"/>
  <c r="M836" i="27" s="1"/>
  <c r="K837" i="27"/>
  <c r="M837" i="27" s="1"/>
  <c r="K838" i="27"/>
  <c r="M838" i="27" s="1"/>
  <c r="K839" i="27"/>
  <c r="M839" i="27" s="1"/>
  <c r="K840" i="27"/>
  <c r="M840" i="27" s="1"/>
  <c r="K841" i="27"/>
  <c r="M841" i="27" s="1"/>
  <c r="K842" i="27"/>
  <c r="M842" i="27" s="1"/>
  <c r="K843" i="27"/>
  <c r="M843" i="27" s="1"/>
  <c r="K844" i="27"/>
  <c r="M844" i="27" s="1"/>
  <c r="K845" i="27"/>
  <c r="M845" i="27" s="1"/>
  <c r="K846" i="27"/>
  <c r="M846" i="27" s="1"/>
  <c r="K847" i="27"/>
  <c r="M847" i="27" s="1"/>
  <c r="K848" i="27"/>
  <c r="M848" i="27" s="1"/>
  <c r="K849" i="27"/>
  <c r="M849" i="27" s="1"/>
  <c r="K850" i="27"/>
  <c r="M850" i="27" s="1"/>
  <c r="K851" i="27"/>
  <c r="M851" i="27" s="1"/>
  <c r="K852" i="27"/>
  <c r="M852" i="27" s="1"/>
  <c r="K853" i="27"/>
  <c r="M853" i="27" s="1"/>
  <c r="K854" i="27"/>
  <c r="M854" i="27" s="1"/>
  <c r="K855" i="27"/>
  <c r="M855" i="27" s="1"/>
  <c r="K856" i="27"/>
  <c r="M856" i="27" s="1"/>
  <c r="K857" i="27"/>
  <c r="M857" i="27" s="1"/>
  <c r="K858" i="27"/>
  <c r="M858" i="27" s="1"/>
  <c r="K859" i="27"/>
  <c r="M859" i="27" s="1"/>
  <c r="K860" i="27"/>
  <c r="M860" i="27" s="1"/>
  <c r="K861" i="27"/>
  <c r="M861" i="27" s="1"/>
  <c r="K862" i="27"/>
  <c r="M862" i="27" s="1"/>
  <c r="K863" i="27"/>
  <c r="M863" i="27" s="1"/>
  <c r="K864" i="27"/>
  <c r="M864" i="27" s="1"/>
  <c r="K865" i="27"/>
  <c r="M865" i="27" s="1"/>
  <c r="K866" i="27"/>
  <c r="M866" i="27" s="1"/>
  <c r="K867" i="27"/>
  <c r="M867" i="27" s="1"/>
  <c r="K868" i="27"/>
  <c r="M868" i="27" s="1"/>
  <c r="K869" i="27"/>
  <c r="M869" i="27" s="1"/>
  <c r="K870" i="27"/>
  <c r="M870" i="27" s="1"/>
  <c r="K871" i="27"/>
  <c r="M871" i="27" s="1"/>
  <c r="K872" i="27"/>
  <c r="M872" i="27" s="1"/>
  <c r="K873" i="27"/>
  <c r="M873" i="27" s="1"/>
  <c r="K874" i="27"/>
  <c r="M874" i="27" s="1"/>
  <c r="K875" i="27"/>
  <c r="M875" i="27" s="1"/>
  <c r="K876" i="27"/>
  <c r="M876" i="27" s="1"/>
  <c r="K877" i="27"/>
  <c r="M877" i="27" s="1"/>
  <c r="K878" i="27"/>
  <c r="M878" i="27" s="1"/>
  <c r="K879" i="27"/>
  <c r="M879" i="27" s="1"/>
  <c r="K880" i="27"/>
  <c r="M880" i="27" s="1"/>
  <c r="K881" i="27"/>
  <c r="M881" i="27" s="1"/>
  <c r="K882" i="27"/>
  <c r="M882" i="27" s="1"/>
  <c r="K883" i="27"/>
  <c r="M883" i="27" s="1"/>
  <c r="K884" i="27"/>
  <c r="M884" i="27" s="1"/>
  <c r="K885" i="27"/>
  <c r="M885" i="27" s="1"/>
  <c r="K886" i="27"/>
  <c r="M886" i="27" s="1"/>
  <c r="K887" i="27"/>
  <c r="M887" i="27" s="1"/>
  <c r="K888" i="27"/>
  <c r="M888" i="27" s="1"/>
  <c r="K889" i="27"/>
  <c r="M889" i="27" s="1"/>
  <c r="K890" i="27"/>
  <c r="M890" i="27" s="1"/>
  <c r="K891" i="27"/>
  <c r="M891" i="27" s="1"/>
  <c r="K892" i="27"/>
  <c r="M892" i="27" s="1"/>
  <c r="K893" i="27"/>
  <c r="M893" i="27" s="1"/>
  <c r="K894" i="27"/>
  <c r="M894" i="27" s="1"/>
  <c r="K895" i="27"/>
  <c r="M895" i="27" s="1"/>
  <c r="K896" i="27"/>
  <c r="M896" i="27" s="1"/>
  <c r="K897" i="27"/>
  <c r="M897" i="27" s="1"/>
  <c r="K898" i="27"/>
  <c r="M898" i="27" s="1"/>
  <c r="K899" i="27"/>
  <c r="M899" i="27" s="1"/>
  <c r="K900" i="27"/>
  <c r="M900" i="27" s="1"/>
  <c r="K901" i="27"/>
  <c r="M901" i="27" s="1"/>
  <c r="K902" i="27"/>
  <c r="M902" i="27" s="1"/>
  <c r="K903" i="27"/>
  <c r="M903" i="27" s="1"/>
  <c r="K904" i="27"/>
  <c r="M904" i="27" s="1"/>
  <c r="K905" i="27"/>
  <c r="M905" i="27" s="1"/>
  <c r="K906" i="27"/>
  <c r="M906" i="27" s="1"/>
  <c r="K907" i="27"/>
  <c r="M907" i="27" s="1"/>
  <c r="K908" i="27"/>
  <c r="M908" i="27" s="1"/>
  <c r="K909" i="27"/>
  <c r="M909" i="27" s="1"/>
  <c r="K910" i="27"/>
  <c r="M910" i="27" s="1"/>
  <c r="K911" i="27"/>
  <c r="M911" i="27" s="1"/>
  <c r="K912" i="27"/>
  <c r="M912" i="27" s="1"/>
  <c r="K913" i="27"/>
  <c r="M913" i="27" s="1"/>
  <c r="K914" i="27"/>
  <c r="M914" i="27" s="1"/>
  <c r="K915" i="27"/>
  <c r="M915" i="27" s="1"/>
  <c r="K916" i="27"/>
  <c r="M916" i="27" s="1"/>
  <c r="K917" i="27"/>
  <c r="M917" i="27" s="1"/>
  <c r="K918" i="27"/>
  <c r="M918" i="27" s="1"/>
  <c r="K759" i="27"/>
  <c r="M759" i="27" s="1"/>
  <c r="P1423" i="1" l="1"/>
  <c r="R1423" i="1" s="1"/>
  <c r="P1424" i="1"/>
  <c r="R1424" i="1" s="1"/>
  <c r="P1425" i="1"/>
  <c r="R1425" i="1" s="1"/>
  <c r="P1426" i="1"/>
  <c r="R1426" i="1" s="1"/>
  <c r="P1427" i="1"/>
  <c r="R1427" i="1" s="1"/>
  <c r="H812" i="27" l="1"/>
  <c r="J812" i="27" s="1"/>
  <c r="H813" i="27"/>
  <c r="J813" i="27" s="1"/>
  <c r="H814" i="27"/>
  <c r="J814" i="27" s="1"/>
  <c r="H815" i="27"/>
  <c r="J815" i="27" s="1"/>
  <c r="H816" i="27"/>
  <c r="J816" i="27" s="1"/>
  <c r="H817" i="27"/>
  <c r="J817" i="27" s="1"/>
  <c r="G817" i="27"/>
  <c r="E813" i="27"/>
  <c r="G813" i="27" s="1"/>
  <c r="E814" i="27"/>
  <c r="G814" i="27" s="1"/>
  <c r="E815" i="27"/>
  <c r="G815" i="27" s="1"/>
  <c r="G816" i="27"/>
  <c r="P1422" i="1"/>
  <c r="R1422" i="1" s="1"/>
  <c r="B1422" i="1"/>
  <c r="H798" i="27" l="1"/>
  <c r="H799" i="27"/>
  <c r="J799" i="27" s="1"/>
  <c r="H800" i="27"/>
  <c r="J800" i="27" s="1"/>
  <c r="H801" i="27"/>
  <c r="J801" i="27" s="1"/>
  <c r="H802" i="27"/>
  <c r="H803" i="27"/>
  <c r="H804" i="27"/>
  <c r="J804" i="27" s="1"/>
  <c r="H805" i="27"/>
  <c r="J805" i="27" s="1"/>
  <c r="H806" i="27"/>
  <c r="H807" i="27"/>
  <c r="J807" i="27" s="1"/>
  <c r="H808" i="27"/>
  <c r="J808" i="27" s="1"/>
  <c r="H809" i="27"/>
  <c r="J809" i="27" s="1"/>
  <c r="H810" i="27"/>
  <c r="H811" i="27"/>
  <c r="J811" i="27" s="1"/>
  <c r="H797" i="27"/>
  <c r="J797" i="27" s="1"/>
  <c r="E797" i="27"/>
  <c r="G797" i="27" s="1"/>
  <c r="E798" i="27"/>
  <c r="G798" i="27" s="1"/>
  <c r="E799" i="27"/>
  <c r="G799" i="27" s="1"/>
  <c r="E800" i="27"/>
  <c r="G800" i="27" s="1"/>
  <c r="E801" i="27"/>
  <c r="G801" i="27" s="1"/>
  <c r="E802" i="27"/>
  <c r="G802" i="27" s="1"/>
  <c r="E803" i="27"/>
  <c r="G803" i="27" s="1"/>
  <c r="E804" i="27"/>
  <c r="G804" i="27" s="1"/>
  <c r="E805" i="27"/>
  <c r="G805" i="27" s="1"/>
  <c r="E806" i="27"/>
  <c r="G806" i="27" s="1"/>
  <c r="E807" i="27"/>
  <c r="G807" i="27" s="1"/>
  <c r="E808" i="27"/>
  <c r="G808" i="27" s="1"/>
  <c r="E809" i="27"/>
  <c r="G809" i="27" s="1"/>
  <c r="E810" i="27"/>
  <c r="G810" i="27" s="1"/>
  <c r="E811" i="27"/>
  <c r="G811" i="27" s="1"/>
  <c r="E812" i="27"/>
  <c r="G812" i="27" s="1"/>
  <c r="E796" i="27"/>
  <c r="G796" i="27" s="1"/>
  <c r="H796" i="27"/>
  <c r="J796" i="27" s="1"/>
  <c r="J790" i="27"/>
  <c r="J791" i="27"/>
  <c r="J792" i="27"/>
  <c r="J793" i="27"/>
  <c r="J794" i="27"/>
  <c r="J795" i="27"/>
  <c r="J798" i="27"/>
  <c r="J802" i="27"/>
  <c r="J803" i="27"/>
  <c r="J806" i="27"/>
  <c r="J810" i="27"/>
  <c r="J789" i="27"/>
  <c r="G791" i="27"/>
  <c r="G792" i="27"/>
  <c r="G793" i="27"/>
  <c r="G794" i="27"/>
  <c r="G795" i="27"/>
  <c r="G790" i="27"/>
  <c r="P1416" i="1"/>
  <c r="R1416" i="1" s="1"/>
  <c r="P1417" i="1"/>
  <c r="R1417" i="1" s="1"/>
  <c r="P1418" i="1"/>
  <c r="R1418" i="1" s="1"/>
  <c r="P1419" i="1"/>
  <c r="R1419" i="1" s="1"/>
  <c r="P1420" i="1"/>
  <c r="R1420" i="1" s="1"/>
  <c r="P1421" i="1"/>
  <c r="R1421" i="1" s="1"/>
  <c r="P1409" i="1" l="1"/>
  <c r="P1410" i="1"/>
  <c r="P1411" i="1"/>
  <c r="P1412" i="1"/>
  <c r="R1412" i="1" s="1"/>
  <c r="P1413" i="1"/>
  <c r="R1413" i="1" s="1"/>
  <c r="P1414" i="1"/>
  <c r="R1414" i="1" s="1"/>
  <c r="P1415" i="1"/>
  <c r="R1415" i="1" s="1"/>
  <c r="P1381" i="1" l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D3" i="27" l="1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B205" i="27"/>
  <c r="D205" i="27"/>
  <c r="B206" i="27"/>
  <c r="D206" i="27" s="1"/>
  <c r="B207" i="27"/>
  <c r="D207" i="27" s="1"/>
  <c r="B208" i="27"/>
  <c r="D208" i="27" s="1"/>
  <c r="B209" i="27"/>
  <c r="D209" i="27" s="1"/>
  <c r="B210" i="27"/>
  <c r="D210" i="27" s="1"/>
  <c r="B211" i="27"/>
  <c r="D211" i="27" s="1"/>
  <c r="B212" i="27"/>
  <c r="D212" i="27" s="1"/>
  <c r="B213" i="27"/>
  <c r="D213" i="27" s="1"/>
  <c r="B214" i="27"/>
  <c r="D214" i="27" s="1"/>
  <c r="B215" i="27"/>
  <c r="D215" i="27" s="1"/>
  <c r="B216" i="27"/>
  <c r="D216" i="27" s="1"/>
  <c r="B217" i="27"/>
  <c r="D217" i="27" s="1"/>
  <c r="B218" i="27"/>
  <c r="D218" i="27" s="1"/>
  <c r="B219" i="27"/>
  <c r="D219" i="27" s="1"/>
  <c r="B220" i="27"/>
  <c r="D220" i="27" s="1"/>
  <c r="B221" i="27"/>
  <c r="D221" i="27" s="1"/>
  <c r="B222" i="27"/>
  <c r="D222" i="27" s="1"/>
  <c r="B223" i="27"/>
  <c r="D223" i="27" s="1"/>
  <c r="B224" i="27"/>
  <c r="D224" i="27" s="1"/>
  <c r="B225" i="27"/>
  <c r="D225" i="27" s="1"/>
  <c r="B226" i="27"/>
  <c r="D226" i="27" s="1"/>
  <c r="B227" i="27"/>
  <c r="D227" i="27" s="1"/>
  <c r="B228" i="27"/>
  <c r="D228" i="27" s="1"/>
  <c r="B229" i="27"/>
  <c r="D229" i="27" s="1"/>
  <c r="B230" i="27"/>
  <c r="D230" i="27" s="1"/>
  <c r="B231" i="27"/>
  <c r="D231" i="27" s="1"/>
  <c r="B232" i="27"/>
  <c r="D232" i="27" s="1"/>
  <c r="B233" i="27"/>
  <c r="D233" i="27" s="1"/>
  <c r="B234" i="27"/>
  <c r="D234" i="27" s="1"/>
  <c r="B235" i="27"/>
  <c r="D235" i="27" s="1"/>
  <c r="B236" i="27"/>
  <c r="D236" i="27" s="1"/>
  <c r="B237" i="27"/>
  <c r="D237" i="27" s="1"/>
  <c r="B238" i="27"/>
  <c r="D238" i="27" s="1"/>
  <c r="B239" i="27"/>
  <c r="D239" i="27" s="1"/>
  <c r="B240" i="27"/>
  <c r="D240" i="27" s="1"/>
  <c r="B241" i="27"/>
  <c r="D241" i="27" s="1"/>
  <c r="B242" i="27"/>
  <c r="D242" i="27" s="1"/>
  <c r="B243" i="27"/>
  <c r="D243" i="27" s="1"/>
  <c r="B244" i="27"/>
  <c r="D244" i="27" s="1"/>
  <c r="B245" i="27"/>
  <c r="D245" i="27" s="1"/>
  <c r="B246" i="27"/>
  <c r="D246" i="27" s="1"/>
  <c r="B247" i="27"/>
  <c r="D247" i="27" s="1"/>
  <c r="B248" i="27"/>
  <c r="D248" i="27" s="1"/>
  <c r="B249" i="27"/>
  <c r="D249" i="27" s="1"/>
  <c r="B250" i="27"/>
  <c r="D250" i="27" s="1"/>
  <c r="B251" i="27"/>
  <c r="D251" i="27" s="1"/>
  <c r="B252" i="27"/>
  <c r="D252" i="27" s="1"/>
  <c r="B253" i="27"/>
  <c r="D253" i="27" s="1"/>
  <c r="B254" i="27"/>
  <c r="D254" i="27" s="1"/>
  <c r="B255" i="27"/>
  <c r="D255" i="27" s="1"/>
  <c r="B256" i="27"/>
  <c r="D256" i="27" s="1"/>
  <c r="B257" i="27"/>
  <c r="D257" i="27" s="1"/>
  <c r="B258" i="27"/>
  <c r="D258" i="27" s="1"/>
  <c r="B259" i="27"/>
  <c r="D259" i="27" s="1"/>
  <c r="B260" i="27"/>
  <c r="D260" i="27" s="1"/>
  <c r="B261" i="27"/>
  <c r="D261" i="27" s="1"/>
  <c r="B262" i="27"/>
  <c r="D262" i="27" s="1"/>
  <c r="B263" i="27"/>
  <c r="D263" i="27" s="1"/>
  <c r="B264" i="27"/>
  <c r="D264" i="27" s="1"/>
  <c r="B265" i="27"/>
  <c r="D265" i="27" s="1"/>
  <c r="B266" i="27"/>
  <c r="D266" i="27" s="1"/>
  <c r="B267" i="27"/>
  <c r="D267" i="27" s="1"/>
  <c r="B268" i="27"/>
  <c r="D268" i="27" s="1"/>
  <c r="B269" i="27"/>
  <c r="D269" i="27" s="1"/>
  <c r="B270" i="27"/>
  <c r="D270" i="27" s="1"/>
  <c r="B271" i="27"/>
  <c r="D271" i="27" s="1"/>
  <c r="B272" i="27"/>
  <c r="D272" i="27" s="1"/>
  <c r="B273" i="27"/>
  <c r="D273" i="27" s="1"/>
  <c r="B274" i="27"/>
  <c r="D274" i="27" s="1"/>
  <c r="B275" i="27"/>
  <c r="D275" i="27" s="1"/>
  <c r="B276" i="27"/>
  <c r="D276" i="27" s="1"/>
  <c r="B277" i="27"/>
  <c r="D277" i="27" s="1"/>
  <c r="B278" i="27"/>
  <c r="D278" i="27" s="1"/>
  <c r="B279" i="27"/>
  <c r="D279" i="27" s="1"/>
  <c r="B280" i="27"/>
  <c r="D280" i="27" s="1"/>
  <c r="B281" i="27"/>
  <c r="D281" i="27" s="1"/>
  <c r="B282" i="27"/>
  <c r="D282" i="27" s="1"/>
  <c r="B283" i="27"/>
  <c r="D283" i="27" s="1"/>
  <c r="B284" i="27"/>
  <c r="D284" i="27" s="1"/>
  <c r="B285" i="27"/>
  <c r="D285" i="27" s="1"/>
  <c r="B286" i="27"/>
  <c r="D286" i="27" s="1"/>
  <c r="B287" i="27"/>
  <c r="D287" i="27" s="1"/>
  <c r="B288" i="27"/>
  <c r="D288" i="27" s="1"/>
  <c r="B289" i="27"/>
  <c r="D289" i="27" s="1"/>
  <c r="B290" i="27"/>
  <c r="D290" i="27" s="1"/>
  <c r="B291" i="27"/>
  <c r="D291" i="27" s="1"/>
  <c r="B292" i="27"/>
  <c r="D292" i="27" s="1"/>
  <c r="B293" i="27"/>
  <c r="D293" i="27" s="1"/>
  <c r="B294" i="27"/>
  <c r="D294" i="27" s="1"/>
  <c r="B295" i="27"/>
  <c r="D295" i="27" s="1"/>
  <c r="B296" i="27"/>
  <c r="D296" i="27" s="1"/>
  <c r="B297" i="27"/>
  <c r="D297" i="27" s="1"/>
  <c r="B298" i="27"/>
  <c r="D298" i="27" s="1"/>
  <c r="B299" i="27"/>
  <c r="D299" i="27" s="1"/>
  <c r="B300" i="27"/>
  <c r="D300" i="27" s="1"/>
  <c r="B301" i="27"/>
  <c r="D301" i="27" s="1"/>
  <c r="B302" i="27"/>
  <c r="D302" i="27" s="1"/>
  <c r="B303" i="27"/>
  <c r="D303" i="27" s="1"/>
  <c r="B304" i="27"/>
  <c r="D304" i="27" s="1"/>
  <c r="B305" i="27"/>
  <c r="D305" i="27" s="1"/>
  <c r="B306" i="27"/>
  <c r="D306" i="27"/>
  <c r="B307" i="27"/>
  <c r="D307" i="27" s="1"/>
  <c r="B308" i="27"/>
  <c r="D308" i="27" s="1"/>
  <c r="B309" i="27"/>
  <c r="D309" i="27" s="1"/>
  <c r="B310" i="27"/>
  <c r="D310" i="27" s="1"/>
  <c r="B311" i="27"/>
  <c r="D311" i="27" s="1"/>
  <c r="B312" i="27"/>
  <c r="D312" i="27" s="1"/>
  <c r="B313" i="27"/>
  <c r="D313" i="27" s="1"/>
  <c r="B314" i="27"/>
  <c r="D314" i="27" s="1"/>
  <c r="B315" i="27"/>
  <c r="D315" i="27" s="1"/>
  <c r="B316" i="27"/>
  <c r="D316" i="27" s="1"/>
  <c r="B317" i="27"/>
  <c r="D317" i="27" s="1"/>
  <c r="B318" i="27"/>
  <c r="D318" i="27" s="1"/>
  <c r="B319" i="27"/>
  <c r="D319" i="27" s="1"/>
  <c r="B320" i="27"/>
  <c r="D320" i="27" s="1"/>
  <c r="B321" i="27"/>
  <c r="D321" i="27" s="1"/>
  <c r="B322" i="27"/>
  <c r="D322" i="27" s="1"/>
  <c r="B323" i="27"/>
  <c r="D323" i="27" s="1"/>
  <c r="B324" i="27"/>
  <c r="D324" i="27" s="1"/>
  <c r="B325" i="27"/>
  <c r="D325" i="27" s="1"/>
  <c r="B326" i="27"/>
  <c r="D326" i="27" s="1"/>
  <c r="B327" i="27"/>
  <c r="D327" i="27" s="1"/>
  <c r="B328" i="27"/>
  <c r="D328" i="27" s="1"/>
  <c r="B329" i="27"/>
  <c r="D329" i="27" s="1"/>
  <c r="B330" i="27"/>
  <c r="D330" i="27" s="1"/>
  <c r="B331" i="27"/>
  <c r="D331" i="27" s="1"/>
  <c r="B332" i="27"/>
  <c r="D332" i="27" s="1"/>
  <c r="B333" i="27"/>
  <c r="D333" i="27" s="1"/>
  <c r="B334" i="27"/>
  <c r="D334" i="27" s="1"/>
  <c r="B335" i="27"/>
  <c r="D335" i="27" s="1"/>
  <c r="B336" i="27"/>
  <c r="D336" i="27" s="1"/>
  <c r="B337" i="27"/>
  <c r="D337" i="27" s="1"/>
  <c r="B338" i="27"/>
  <c r="D338" i="27" s="1"/>
  <c r="B339" i="27"/>
  <c r="D339" i="27" s="1"/>
  <c r="B340" i="27"/>
  <c r="D340" i="27" s="1"/>
  <c r="B341" i="27"/>
  <c r="D341" i="27" s="1"/>
  <c r="B342" i="27"/>
  <c r="D342" i="27" s="1"/>
  <c r="B343" i="27"/>
  <c r="D343" i="27" s="1"/>
  <c r="B344" i="27"/>
  <c r="D344" i="27" s="1"/>
  <c r="B345" i="27"/>
  <c r="D345" i="27" s="1"/>
  <c r="B346" i="27"/>
  <c r="D346" i="27" s="1"/>
  <c r="B347" i="27"/>
  <c r="D347" i="27" s="1"/>
  <c r="B348" i="27"/>
  <c r="D348" i="27" s="1"/>
  <c r="B349" i="27"/>
  <c r="D349" i="27" s="1"/>
  <c r="B350" i="27"/>
  <c r="D350" i="27" s="1"/>
  <c r="B351" i="27"/>
  <c r="D351" i="27" s="1"/>
  <c r="B352" i="27"/>
  <c r="D352" i="27" s="1"/>
  <c r="B353" i="27"/>
  <c r="D353" i="27" s="1"/>
  <c r="B354" i="27"/>
  <c r="D354" i="27" s="1"/>
  <c r="B355" i="27"/>
  <c r="D355" i="27" s="1"/>
  <c r="B356" i="27"/>
  <c r="D356" i="27" s="1"/>
  <c r="B357" i="27"/>
  <c r="D357" i="27" s="1"/>
  <c r="B358" i="27"/>
  <c r="D358" i="27" s="1"/>
  <c r="B359" i="27"/>
  <c r="D359" i="27" s="1"/>
  <c r="B360" i="27"/>
  <c r="D360" i="27" s="1"/>
  <c r="B361" i="27"/>
  <c r="D361" i="27" s="1"/>
  <c r="B362" i="27"/>
  <c r="D362" i="27" s="1"/>
  <c r="B363" i="27"/>
  <c r="D363" i="27" s="1"/>
  <c r="B364" i="27"/>
  <c r="D364" i="27" s="1"/>
  <c r="B365" i="27"/>
  <c r="D365" i="27" s="1"/>
  <c r="B366" i="27"/>
  <c r="D366" i="27" s="1"/>
  <c r="B367" i="27"/>
  <c r="D367" i="27" s="1"/>
  <c r="B368" i="27"/>
  <c r="D368" i="27" s="1"/>
  <c r="B369" i="27"/>
  <c r="D369" i="27" s="1"/>
  <c r="B370" i="27"/>
  <c r="D370" i="27" s="1"/>
  <c r="B371" i="27"/>
  <c r="D371" i="27" s="1"/>
  <c r="B372" i="27"/>
  <c r="D372" i="27" s="1"/>
  <c r="B373" i="27"/>
  <c r="D373" i="27" s="1"/>
  <c r="B374" i="27"/>
  <c r="D374" i="27" s="1"/>
  <c r="B375" i="27"/>
  <c r="D375" i="27" s="1"/>
  <c r="B376" i="27"/>
  <c r="D376" i="27" s="1"/>
  <c r="B377" i="27"/>
  <c r="D377" i="27" s="1"/>
  <c r="B378" i="27"/>
  <c r="D378" i="27" s="1"/>
  <c r="B379" i="27"/>
  <c r="D379" i="27" s="1"/>
  <c r="B380" i="27"/>
  <c r="D380" i="27" s="1"/>
  <c r="B381" i="27"/>
  <c r="D381" i="27" s="1"/>
  <c r="B382" i="27"/>
  <c r="D382" i="27" s="1"/>
  <c r="B383" i="27"/>
  <c r="D383" i="27" s="1"/>
  <c r="B384" i="27"/>
  <c r="D384" i="27" s="1"/>
  <c r="B385" i="27"/>
  <c r="D385" i="27" s="1"/>
  <c r="B386" i="27"/>
  <c r="D386" i="27" s="1"/>
  <c r="B387" i="27"/>
  <c r="B388" i="27"/>
  <c r="D388" i="27" s="1"/>
  <c r="B389" i="27"/>
  <c r="D389" i="27" s="1"/>
  <c r="B390" i="27"/>
  <c r="D390" i="27" s="1"/>
  <c r="B391" i="27"/>
  <c r="D391" i="27" s="1"/>
  <c r="B392" i="27"/>
  <c r="D392" i="27" s="1"/>
  <c r="B393" i="27"/>
  <c r="D393" i="27" s="1"/>
  <c r="B394" i="27"/>
  <c r="D394" i="27" s="1"/>
  <c r="B395" i="27"/>
  <c r="D395" i="27" s="1"/>
  <c r="B396" i="27"/>
  <c r="D396" i="27" s="1"/>
  <c r="B397" i="27"/>
  <c r="D397" i="27" s="1"/>
  <c r="B398" i="27"/>
  <c r="D398" i="27" s="1"/>
  <c r="B399" i="27"/>
  <c r="D399" i="27" s="1"/>
  <c r="B400" i="27"/>
  <c r="D400" i="27" s="1"/>
  <c r="B401" i="27"/>
  <c r="D401" i="27" s="1"/>
  <c r="B402" i="27"/>
  <c r="D402" i="27" s="1"/>
  <c r="B403" i="27"/>
  <c r="D403" i="27" s="1"/>
  <c r="B404" i="27"/>
  <c r="D404" i="27" s="1"/>
  <c r="B405" i="27"/>
  <c r="D405" i="27" s="1"/>
  <c r="B406" i="27"/>
  <c r="D406" i="27" s="1"/>
  <c r="B407" i="27"/>
  <c r="D407" i="27" s="1"/>
  <c r="B408" i="27"/>
  <c r="D408" i="27" s="1"/>
  <c r="B409" i="27"/>
  <c r="D409" i="27" s="1"/>
  <c r="B410" i="27"/>
  <c r="D410" i="27" s="1"/>
  <c r="B411" i="27"/>
  <c r="D411" i="27" s="1"/>
  <c r="B412" i="27"/>
  <c r="D412" i="27" s="1"/>
  <c r="B413" i="27"/>
  <c r="D413" i="27" s="1"/>
  <c r="B414" i="27"/>
  <c r="D414" i="27" s="1"/>
  <c r="B415" i="27"/>
  <c r="D415" i="27" s="1"/>
  <c r="B416" i="27"/>
  <c r="D416" i="27" s="1"/>
  <c r="B417" i="27"/>
  <c r="D417" i="27" s="1"/>
  <c r="B418" i="27"/>
  <c r="D418" i="27" s="1"/>
  <c r="B419" i="27"/>
  <c r="D419" i="27" s="1"/>
  <c r="B420" i="27"/>
  <c r="D420" i="27" s="1"/>
  <c r="B421" i="27"/>
  <c r="D421" i="27" s="1"/>
  <c r="B422" i="27"/>
  <c r="D422" i="27" s="1"/>
  <c r="B423" i="27"/>
  <c r="D423" i="27" s="1"/>
  <c r="B424" i="27"/>
  <c r="D424" i="27" s="1"/>
  <c r="B425" i="27"/>
  <c r="D425" i="27" s="1"/>
  <c r="B426" i="27"/>
  <c r="D426" i="27" s="1"/>
  <c r="B427" i="27"/>
  <c r="D427" i="27" s="1"/>
  <c r="B428" i="27"/>
  <c r="D428" i="27" s="1"/>
  <c r="B429" i="27"/>
  <c r="D429" i="27" s="1"/>
  <c r="B430" i="27"/>
  <c r="D430" i="27" s="1"/>
  <c r="B431" i="27"/>
  <c r="D431" i="27" s="1"/>
  <c r="B432" i="27"/>
  <c r="D432" i="27" s="1"/>
  <c r="B433" i="27"/>
  <c r="D433" i="27" s="1"/>
  <c r="B434" i="27"/>
  <c r="D434" i="27" s="1"/>
  <c r="B435" i="27"/>
  <c r="D435" i="27" s="1"/>
  <c r="B436" i="27"/>
  <c r="D436" i="27" s="1"/>
  <c r="B437" i="27"/>
  <c r="D437" i="27" s="1"/>
  <c r="B438" i="27"/>
  <c r="D438" i="27" s="1"/>
  <c r="B439" i="27"/>
  <c r="D439" i="27" s="1"/>
  <c r="B440" i="27"/>
  <c r="D440" i="27" s="1"/>
  <c r="B441" i="27"/>
  <c r="D441" i="27" s="1"/>
  <c r="B442" i="27"/>
  <c r="D442" i="27" s="1"/>
  <c r="B443" i="27"/>
  <c r="D443" i="27" s="1"/>
  <c r="B444" i="27"/>
  <c r="D444" i="27" s="1"/>
  <c r="B445" i="27"/>
  <c r="D445" i="27" s="1"/>
  <c r="B446" i="27"/>
  <c r="D446" i="27" s="1"/>
  <c r="B447" i="27"/>
  <c r="D447" i="27" s="1"/>
  <c r="B448" i="27"/>
  <c r="D448" i="27" s="1"/>
  <c r="B449" i="27"/>
  <c r="D449" i="27" s="1"/>
  <c r="B450" i="27"/>
  <c r="D450" i="27" s="1"/>
  <c r="B451" i="27"/>
  <c r="D451" i="27" s="1"/>
  <c r="B452" i="27"/>
  <c r="D452" i="27" s="1"/>
  <c r="B453" i="27"/>
  <c r="D453" i="27" s="1"/>
  <c r="B454" i="27"/>
  <c r="D454" i="27" s="1"/>
  <c r="B455" i="27"/>
  <c r="D455" i="27" s="1"/>
  <c r="B456" i="27"/>
  <c r="D456" i="27" s="1"/>
  <c r="B457" i="27"/>
  <c r="D457" i="27" s="1"/>
  <c r="B458" i="27"/>
  <c r="D458" i="27" s="1"/>
  <c r="B459" i="27"/>
  <c r="D459" i="27" s="1"/>
  <c r="B460" i="27"/>
  <c r="D460" i="27" s="1"/>
  <c r="B461" i="27"/>
  <c r="D461" i="27" s="1"/>
  <c r="B462" i="27"/>
  <c r="D462" i="27" s="1"/>
  <c r="B463" i="27"/>
  <c r="D463" i="27" s="1"/>
  <c r="B464" i="27"/>
  <c r="D464" i="27" s="1"/>
  <c r="B465" i="27"/>
  <c r="D465" i="27" s="1"/>
  <c r="B466" i="27"/>
  <c r="D466" i="27" s="1"/>
  <c r="B467" i="27"/>
  <c r="D467" i="27" s="1"/>
  <c r="B468" i="27"/>
  <c r="D468" i="27" s="1"/>
  <c r="B469" i="27"/>
  <c r="D469" i="27" s="1"/>
  <c r="B470" i="27"/>
  <c r="D470" i="27" s="1"/>
  <c r="B471" i="27"/>
  <c r="D471" i="27" s="1"/>
  <c r="B472" i="27"/>
  <c r="D472" i="27" s="1"/>
  <c r="B473" i="27"/>
  <c r="D473" i="27" s="1"/>
  <c r="B474" i="27"/>
  <c r="D474" i="27" s="1"/>
  <c r="B475" i="27"/>
  <c r="D475" i="27" s="1"/>
  <c r="B476" i="27"/>
  <c r="D476" i="27" s="1"/>
  <c r="B477" i="27"/>
  <c r="D477" i="27" s="1"/>
  <c r="B478" i="27"/>
  <c r="D478" i="27" s="1"/>
  <c r="B479" i="27"/>
  <c r="D479" i="27" s="1"/>
  <c r="B480" i="27"/>
  <c r="D480" i="27" s="1"/>
  <c r="B481" i="27"/>
  <c r="D481" i="27" s="1"/>
  <c r="B482" i="27"/>
  <c r="D482" i="27" s="1"/>
  <c r="B483" i="27"/>
  <c r="D483" i="27" s="1"/>
  <c r="B484" i="27"/>
  <c r="D484" i="27" s="1"/>
  <c r="B485" i="27"/>
  <c r="D485" i="27" s="1"/>
  <c r="B486" i="27"/>
  <c r="D486" i="27" s="1"/>
  <c r="B487" i="27"/>
  <c r="D487" i="27" s="1"/>
  <c r="B488" i="27"/>
  <c r="D488" i="27" s="1"/>
  <c r="B489" i="27"/>
  <c r="D489" i="27" s="1"/>
  <c r="B490" i="27"/>
  <c r="D490" i="27" s="1"/>
  <c r="B491" i="27"/>
  <c r="D491" i="27" s="1"/>
  <c r="B492" i="27"/>
  <c r="D492" i="27" s="1"/>
  <c r="B493" i="27"/>
  <c r="D493" i="27" s="1"/>
  <c r="B494" i="27"/>
  <c r="D494" i="27" s="1"/>
  <c r="B495" i="27"/>
  <c r="D495" i="27" s="1"/>
  <c r="B496" i="27"/>
  <c r="D496" i="27" s="1"/>
  <c r="B497" i="27"/>
  <c r="D497" i="27" s="1"/>
  <c r="B498" i="27"/>
  <c r="D498" i="27" s="1"/>
  <c r="B499" i="27"/>
  <c r="D499" i="27" s="1"/>
  <c r="B500" i="27"/>
  <c r="D500" i="27" s="1"/>
  <c r="B501" i="27"/>
  <c r="D501" i="27" s="1"/>
  <c r="B502" i="27"/>
  <c r="D502" i="27" s="1"/>
  <c r="B503" i="27"/>
  <c r="D503" i="27" s="1"/>
  <c r="B504" i="27"/>
  <c r="D504" i="27" s="1"/>
  <c r="B505" i="27"/>
  <c r="D505" i="27" s="1"/>
  <c r="B506" i="27"/>
  <c r="D506" i="27" s="1"/>
  <c r="B507" i="27"/>
  <c r="D507" i="27" s="1"/>
  <c r="B508" i="27"/>
  <c r="D508" i="27" s="1"/>
  <c r="B509" i="27"/>
  <c r="D509" i="27" s="1"/>
  <c r="B510" i="27"/>
  <c r="D510" i="27" s="1"/>
  <c r="B511" i="27"/>
  <c r="D511" i="27" s="1"/>
  <c r="B512" i="27"/>
  <c r="D512" i="27" s="1"/>
  <c r="B513" i="27"/>
  <c r="D513" i="27" s="1"/>
  <c r="B514" i="27"/>
  <c r="D514" i="27" s="1"/>
  <c r="B515" i="27"/>
  <c r="D515" i="27" s="1"/>
  <c r="B516" i="27"/>
  <c r="D516" i="27" s="1"/>
  <c r="B517" i="27"/>
  <c r="D517" i="27" s="1"/>
  <c r="B518" i="27"/>
  <c r="D518" i="27" s="1"/>
  <c r="B519" i="27"/>
  <c r="D519" i="27" s="1"/>
  <c r="B520" i="27"/>
  <c r="B521" i="27"/>
  <c r="D521" i="27" s="1"/>
  <c r="B522" i="27"/>
  <c r="D522" i="27" s="1"/>
  <c r="B523" i="27"/>
  <c r="D523" i="27" s="1"/>
  <c r="B524" i="27"/>
  <c r="D524" i="27" s="1"/>
  <c r="B525" i="27"/>
  <c r="D525" i="27" s="1"/>
  <c r="B526" i="27"/>
  <c r="D526" i="27" s="1"/>
  <c r="B527" i="27"/>
  <c r="D527" i="27" s="1"/>
  <c r="B528" i="27"/>
  <c r="D528" i="27" s="1"/>
  <c r="B529" i="27"/>
  <c r="D529" i="27" s="1"/>
  <c r="B530" i="27"/>
  <c r="D530" i="27" s="1"/>
  <c r="B531" i="27"/>
  <c r="D531" i="27" s="1"/>
  <c r="B532" i="27"/>
  <c r="D532" i="27" s="1"/>
  <c r="B533" i="27"/>
  <c r="D533" i="27" s="1"/>
  <c r="B534" i="27"/>
  <c r="D534" i="27" s="1"/>
  <c r="B535" i="27"/>
  <c r="D535" i="27" s="1"/>
  <c r="B536" i="27"/>
  <c r="D536" i="27" s="1"/>
  <c r="B537" i="27"/>
  <c r="D537" i="27" s="1"/>
  <c r="B538" i="27"/>
  <c r="D538" i="27" s="1"/>
  <c r="B539" i="27"/>
  <c r="D539" i="27" s="1"/>
  <c r="B540" i="27"/>
  <c r="D540" i="27" s="1"/>
  <c r="B541" i="27"/>
  <c r="D541" i="27" s="1"/>
  <c r="B542" i="27"/>
  <c r="D542" i="27" s="1"/>
  <c r="B543" i="27"/>
  <c r="D543" i="27" s="1"/>
  <c r="B544" i="27"/>
  <c r="D544" i="27" s="1"/>
  <c r="B545" i="27"/>
  <c r="D545" i="27" s="1"/>
  <c r="B546" i="27"/>
  <c r="D546" i="27" s="1"/>
  <c r="B547" i="27"/>
  <c r="D547" i="27" s="1"/>
  <c r="B548" i="27"/>
  <c r="D548" i="27" s="1"/>
  <c r="B549" i="27"/>
  <c r="D549" i="27" s="1"/>
  <c r="B550" i="27"/>
  <c r="D550" i="27" s="1"/>
  <c r="B551" i="27"/>
  <c r="D551" i="27" s="1"/>
  <c r="B552" i="27"/>
  <c r="B553" i="27"/>
  <c r="D553" i="27" s="1"/>
  <c r="B554" i="27"/>
  <c r="D554" i="27" s="1"/>
  <c r="B555" i="27"/>
  <c r="D555" i="27" s="1"/>
  <c r="B556" i="27"/>
  <c r="D556" i="27" s="1"/>
  <c r="B557" i="27"/>
  <c r="D557" i="27" s="1"/>
  <c r="B558" i="27"/>
  <c r="D558" i="27" s="1"/>
  <c r="B559" i="27"/>
  <c r="D559" i="27" s="1"/>
  <c r="B560" i="27"/>
  <c r="D560" i="27" s="1"/>
  <c r="B561" i="27"/>
  <c r="D561" i="27" s="1"/>
  <c r="B562" i="27"/>
  <c r="D562" i="27" s="1"/>
  <c r="B563" i="27"/>
  <c r="D563" i="27" s="1"/>
  <c r="B564" i="27"/>
  <c r="D564" i="27" s="1"/>
  <c r="B565" i="27"/>
  <c r="D565" i="27" s="1"/>
  <c r="B566" i="27"/>
  <c r="D566" i="27" s="1"/>
  <c r="B567" i="27"/>
  <c r="D567" i="27" s="1"/>
  <c r="B568" i="27"/>
  <c r="D568" i="27" s="1"/>
  <c r="B569" i="27"/>
  <c r="D569" i="27" s="1"/>
  <c r="B570" i="27"/>
  <c r="D570" i="27" s="1"/>
  <c r="B571" i="27"/>
  <c r="D571" i="27" s="1"/>
  <c r="B572" i="27"/>
  <c r="D572" i="27" s="1"/>
  <c r="B573" i="27"/>
  <c r="D573" i="27" s="1"/>
  <c r="B574" i="27"/>
  <c r="D574" i="27" s="1"/>
  <c r="B575" i="27"/>
  <c r="D575" i="27" s="1"/>
  <c r="B576" i="27"/>
  <c r="D576" i="27" s="1"/>
  <c r="B577" i="27"/>
  <c r="D577" i="27" s="1"/>
  <c r="B578" i="27"/>
  <c r="D578" i="27" s="1"/>
  <c r="B579" i="27"/>
  <c r="D579" i="27" s="1"/>
  <c r="B580" i="27"/>
  <c r="D580" i="27" s="1"/>
  <c r="B581" i="27"/>
  <c r="D581" i="27" s="1"/>
  <c r="B582" i="27"/>
  <c r="D582" i="27" s="1"/>
  <c r="B583" i="27"/>
  <c r="D583" i="27" s="1"/>
  <c r="B584" i="27"/>
  <c r="D584" i="27" s="1"/>
  <c r="B585" i="27"/>
  <c r="D585" i="27" s="1"/>
  <c r="B586" i="27"/>
  <c r="D586" i="27" s="1"/>
  <c r="B587" i="27"/>
  <c r="D587" i="27" s="1"/>
  <c r="B588" i="27"/>
  <c r="D588" i="27" s="1"/>
  <c r="B589" i="27"/>
  <c r="D589" i="27" s="1"/>
  <c r="B590" i="27"/>
  <c r="D590" i="27" s="1"/>
  <c r="B591" i="27"/>
  <c r="D591" i="27" s="1"/>
  <c r="B592" i="27"/>
  <c r="D592" i="27" s="1"/>
  <c r="B593" i="27"/>
  <c r="D593" i="27" s="1"/>
  <c r="B594" i="27"/>
  <c r="D594" i="27" s="1"/>
  <c r="B595" i="27"/>
  <c r="D595" i="27" s="1"/>
  <c r="B596" i="27"/>
  <c r="D596" i="27" s="1"/>
  <c r="B597" i="27"/>
  <c r="D597" i="27" s="1"/>
  <c r="B598" i="27"/>
  <c r="D598" i="27" s="1"/>
  <c r="B599" i="27"/>
  <c r="D599" i="27" s="1"/>
  <c r="B600" i="27"/>
  <c r="D600" i="27" s="1"/>
  <c r="B601" i="27"/>
  <c r="D601" i="27" s="1"/>
  <c r="B602" i="27"/>
  <c r="D602" i="27" s="1"/>
  <c r="B603" i="27"/>
  <c r="D603" i="27" s="1"/>
  <c r="B604" i="27"/>
  <c r="D604" i="27" s="1"/>
  <c r="B605" i="27"/>
  <c r="D605" i="27" s="1"/>
  <c r="B606" i="27"/>
  <c r="D606" i="27" s="1"/>
  <c r="B607" i="27"/>
  <c r="D607" i="27" s="1"/>
  <c r="B608" i="27"/>
  <c r="D608" i="27" s="1"/>
  <c r="B609" i="27"/>
  <c r="D609" i="27" s="1"/>
  <c r="B610" i="27"/>
  <c r="D610" i="27" s="1"/>
  <c r="B611" i="27"/>
  <c r="D611" i="27" s="1"/>
  <c r="B612" i="27"/>
  <c r="D612" i="27" s="1"/>
  <c r="B613" i="27"/>
  <c r="D613" i="27" s="1"/>
  <c r="B614" i="27"/>
  <c r="B615" i="27"/>
  <c r="B616" i="27"/>
  <c r="B617" i="27"/>
  <c r="D617" i="27" s="1"/>
  <c r="B618" i="27"/>
  <c r="D618" i="27" s="1"/>
  <c r="B619" i="27"/>
  <c r="D619" i="27" s="1"/>
  <c r="B620" i="27"/>
  <c r="D620" i="27" s="1"/>
  <c r="B621" i="27"/>
  <c r="D621" i="27" s="1"/>
  <c r="B622" i="27"/>
  <c r="D622" i="27" s="1"/>
  <c r="B623" i="27"/>
  <c r="D623" i="27" s="1"/>
  <c r="B624" i="27"/>
  <c r="B625" i="27"/>
  <c r="D625" i="27" s="1"/>
  <c r="B626" i="27"/>
  <c r="D626" i="27" s="1"/>
  <c r="B627" i="27"/>
  <c r="B628" i="27"/>
  <c r="D628" i="27" s="1"/>
  <c r="B629" i="27"/>
  <c r="D629" i="27" s="1"/>
  <c r="B630" i="27"/>
  <c r="D630" i="27" s="1"/>
  <c r="B631" i="27"/>
  <c r="D631" i="27" s="1"/>
  <c r="B632" i="27"/>
  <c r="D632" i="27" s="1"/>
  <c r="B633" i="27"/>
  <c r="D633" i="27" s="1"/>
  <c r="B634" i="27"/>
  <c r="D634" i="27" s="1"/>
  <c r="B635" i="27"/>
  <c r="D635" i="27" s="1"/>
  <c r="B636" i="27"/>
  <c r="D636" i="27" s="1"/>
  <c r="B637" i="27"/>
  <c r="D637" i="27" s="1"/>
  <c r="B638" i="27"/>
  <c r="D638" i="27" s="1"/>
  <c r="B639" i="27"/>
  <c r="D639" i="27" s="1"/>
  <c r="B640" i="27"/>
  <c r="D640" i="27" s="1"/>
  <c r="B641" i="27"/>
  <c r="D641" i="27" s="1"/>
  <c r="B642" i="27"/>
  <c r="D642" i="27" s="1"/>
  <c r="B643" i="27"/>
  <c r="D643" i="27" s="1"/>
  <c r="B644" i="27"/>
  <c r="D644" i="27" s="1"/>
  <c r="B645" i="27"/>
  <c r="D645" i="27" s="1"/>
  <c r="B646" i="27"/>
  <c r="D646" i="27" s="1"/>
  <c r="B647" i="27"/>
  <c r="D647" i="27" s="1"/>
  <c r="B648" i="27"/>
  <c r="D648" i="27" s="1"/>
  <c r="B649" i="27"/>
  <c r="D649" i="27" s="1"/>
  <c r="B650" i="27"/>
  <c r="D650" i="27" s="1"/>
  <c r="B651" i="27"/>
  <c r="D651" i="27" s="1"/>
  <c r="B652" i="27"/>
  <c r="D652" i="27" s="1"/>
  <c r="B653" i="27"/>
  <c r="D653" i="27" s="1"/>
  <c r="B654" i="27"/>
  <c r="D654" i="27" s="1"/>
  <c r="B655" i="27"/>
  <c r="D655" i="27" s="1"/>
  <c r="B656" i="27"/>
  <c r="D656" i="27" s="1"/>
  <c r="B657" i="27"/>
  <c r="D657" i="27" s="1"/>
  <c r="B658" i="27"/>
  <c r="D658" i="27" s="1"/>
  <c r="B659" i="27"/>
  <c r="D659" i="27" s="1"/>
  <c r="D660" i="27"/>
  <c r="B661" i="27"/>
  <c r="D661" i="27" s="1"/>
  <c r="B662" i="27"/>
  <c r="D662" i="27" s="1"/>
  <c r="B663" i="27"/>
  <c r="D663" i="27" s="1"/>
  <c r="B664" i="27"/>
  <c r="D664" i="27" s="1"/>
  <c r="B665" i="27"/>
  <c r="D665" i="27" s="1"/>
  <c r="B666" i="27"/>
  <c r="D666" i="27" s="1"/>
  <c r="B667" i="27"/>
  <c r="D667" i="27" s="1"/>
  <c r="B668" i="27"/>
  <c r="D668" i="27" s="1"/>
  <c r="B669" i="27"/>
  <c r="D669" i="27" s="1"/>
  <c r="B670" i="27"/>
  <c r="D670" i="27" s="1"/>
  <c r="B671" i="27"/>
  <c r="D671" i="27" s="1"/>
  <c r="B672" i="27"/>
  <c r="D672" i="27" s="1"/>
  <c r="B673" i="27"/>
  <c r="D673" i="27" s="1"/>
  <c r="B674" i="27"/>
  <c r="D674" i="27" s="1"/>
  <c r="B675" i="27"/>
  <c r="D675" i="27" s="1"/>
  <c r="B676" i="27"/>
  <c r="D676" i="27" s="1"/>
  <c r="B677" i="27"/>
  <c r="D677" i="27" s="1"/>
  <c r="B678" i="27"/>
  <c r="D678" i="27" s="1"/>
  <c r="B679" i="27"/>
  <c r="D679" i="27" s="1"/>
  <c r="B680" i="27"/>
  <c r="D680" i="27" s="1"/>
  <c r="B681" i="27"/>
  <c r="D681" i="27" s="1"/>
  <c r="B682" i="27"/>
  <c r="D682" i="27" s="1"/>
  <c r="B683" i="27"/>
  <c r="D683" i="27" s="1"/>
  <c r="B684" i="27"/>
  <c r="D684" i="27" s="1"/>
  <c r="B685" i="27"/>
  <c r="D685" i="27" s="1"/>
  <c r="B686" i="27"/>
  <c r="D686" i="27" s="1"/>
  <c r="B687" i="27"/>
  <c r="D687" i="27" s="1"/>
  <c r="B688" i="27"/>
  <c r="D688" i="27" s="1"/>
  <c r="B689" i="27"/>
  <c r="D689" i="27" s="1"/>
  <c r="B690" i="27"/>
  <c r="D690" i="27" s="1"/>
  <c r="B691" i="27"/>
  <c r="D691" i="27" s="1"/>
  <c r="B692" i="27"/>
  <c r="D692" i="27" s="1"/>
  <c r="B693" i="27"/>
  <c r="D693" i="27" s="1"/>
  <c r="B694" i="27"/>
  <c r="D694" i="27" s="1"/>
  <c r="B695" i="27"/>
  <c r="D695" i="27" s="1"/>
  <c r="B696" i="27"/>
  <c r="D696" i="27" s="1"/>
  <c r="B697" i="27"/>
  <c r="D697" i="27" s="1"/>
  <c r="B698" i="27"/>
  <c r="D698" i="27" s="1"/>
  <c r="B699" i="27"/>
  <c r="D699" i="27" s="1"/>
  <c r="B700" i="27"/>
  <c r="D700" i="27" s="1"/>
  <c r="B701" i="27"/>
  <c r="D701" i="27" s="1"/>
  <c r="B702" i="27"/>
  <c r="D702" i="27" s="1"/>
  <c r="B703" i="27"/>
  <c r="D703" i="27" s="1"/>
  <c r="B704" i="27"/>
  <c r="D704" i="27" s="1"/>
  <c r="B705" i="27"/>
  <c r="D705" i="27" s="1"/>
  <c r="B706" i="27"/>
  <c r="D706" i="27" s="1"/>
  <c r="B707" i="27"/>
  <c r="D707" i="27" s="1"/>
  <c r="B708" i="27"/>
  <c r="D708" i="27" s="1"/>
  <c r="B709" i="27"/>
  <c r="D709" i="27" s="1"/>
  <c r="B710" i="27"/>
  <c r="D710" i="27" s="1"/>
  <c r="B711" i="27"/>
  <c r="D711" i="27" s="1"/>
  <c r="B712" i="27"/>
  <c r="D712" i="27" s="1"/>
  <c r="B713" i="27"/>
  <c r="D713" i="27" s="1"/>
  <c r="B714" i="27"/>
  <c r="D714" i="27" s="1"/>
  <c r="B715" i="27"/>
  <c r="D715" i="27" s="1"/>
  <c r="B716" i="27"/>
  <c r="D716" i="27" s="1"/>
  <c r="B717" i="27"/>
  <c r="D717" i="27" s="1"/>
  <c r="B718" i="27"/>
  <c r="D718" i="27" s="1"/>
  <c r="B719" i="27"/>
  <c r="D719" i="27" s="1"/>
  <c r="B720" i="27"/>
  <c r="D720" i="27" s="1"/>
  <c r="B721" i="27"/>
  <c r="D721" i="27" s="1"/>
  <c r="B722" i="27"/>
  <c r="D722" i="27" s="1"/>
  <c r="B723" i="27"/>
  <c r="D723" i="27" s="1"/>
  <c r="B724" i="27"/>
  <c r="D724" i="27" s="1"/>
  <c r="B725" i="27"/>
  <c r="D725" i="27" s="1"/>
  <c r="B726" i="27"/>
  <c r="D726" i="27" s="1"/>
  <c r="B727" i="27"/>
  <c r="D727" i="27" s="1"/>
  <c r="B728" i="27"/>
  <c r="D728" i="27" s="1"/>
  <c r="B729" i="27"/>
  <c r="D729" i="27" s="1"/>
  <c r="B730" i="27"/>
  <c r="D730" i="27" s="1"/>
  <c r="B731" i="27"/>
  <c r="D731" i="27" s="1"/>
  <c r="B732" i="27"/>
  <c r="D732" i="27" s="1"/>
  <c r="B733" i="27"/>
  <c r="D733" i="27" s="1"/>
  <c r="B734" i="27"/>
  <c r="D734" i="27" s="1"/>
  <c r="B735" i="27"/>
  <c r="D735" i="27" s="1"/>
  <c r="B736" i="27"/>
  <c r="D736" i="27" s="1"/>
  <c r="B737" i="27"/>
  <c r="D737" i="27" s="1"/>
  <c r="B738" i="27"/>
  <c r="D738" i="27" s="1"/>
  <c r="B739" i="27"/>
  <c r="D739" i="27" s="1"/>
  <c r="B740" i="27"/>
  <c r="D740" i="27" s="1"/>
  <c r="B741" i="27"/>
  <c r="D741" i="27" s="1"/>
  <c r="B742" i="27"/>
  <c r="B743" i="27"/>
  <c r="D743" i="27" s="1"/>
  <c r="B744" i="27"/>
  <c r="B745" i="27"/>
  <c r="B746" i="27"/>
  <c r="D746" i="27" s="1"/>
  <c r="B747" i="27"/>
  <c r="D747" i="27" s="1"/>
  <c r="B748" i="27"/>
  <c r="D748" i="27" s="1"/>
  <c r="B749" i="27"/>
  <c r="D749" i="27" s="1"/>
  <c r="B750" i="27"/>
  <c r="D750" i="27" s="1"/>
  <c r="B751" i="27"/>
  <c r="D751" i="27" s="1"/>
  <c r="B752" i="27"/>
  <c r="D752" i="27" s="1"/>
  <c r="B753" i="27"/>
  <c r="D753" i="27" s="1"/>
  <c r="B754" i="27"/>
  <c r="D754" i="27" s="1"/>
  <c r="B755" i="27"/>
  <c r="D755" i="27" s="1"/>
  <c r="B756" i="27"/>
  <c r="D756" i="27" s="1"/>
  <c r="B757" i="27"/>
  <c r="B758" i="27"/>
  <c r="D758" i="27" s="1"/>
  <c r="B759" i="27"/>
  <c r="D759" i="27" s="1"/>
  <c r="B760" i="27"/>
  <c r="D760" i="27" s="1"/>
  <c r="B761" i="27"/>
  <c r="D761" i="27" s="1"/>
  <c r="B762" i="27"/>
  <c r="D762" i="27" s="1"/>
  <c r="B763" i="27"/>
  <c r="D763" i="27" s="1"/>
  <c r="B764" i="27"/>
  <c r="D764" i="27" s="1"/>
  <c r="B765" i="27"/>
  <c r="D765" i="27" s="1"/>
  <c r="B766" i="27"/>
  <c r="D766" i="27" s="1"/>
  <c r="B767" i="27"/>
  <c r="D767" i="27" s="1"/>
  <c r="B768" i="27"/>
  <c r="D768" i="27" s="1"/>
  <c r="B769" i="27"/>
  <c r="D769" i="27" s="1"/>
  <c r="B770" i="27"/>
  <c r="D770" i="27" s="1"/>
  <c r="B771" i="27"/>
  <c r="D771" i="27" s="1"/>
  <c r="B772" i="27"/>
  <c r="D772" i="27" s="1"/>
  <c r="B773" i="27"/>
  <c r="D773" i="27" s="1"/>
  <c r="B774" i="27"/>
  <c r="D774" i="27" s="1"/>
  <c r="B775" i="27"/>
  <c r="D775" i="27" s="1"/>
  <c r="B776" i="27"/>
  <c r="D776" i="27" s="1"/>
  <c r="B777" i="27"/>
  <c r="D777" i="27" s="1"/>
  <c r="B778" i="27"/>
  <c r="D778" i="27" s="1"/>
  <c r="D779" i="27"/>
  <c r="D780" i="27"/>
  <c r="D781" i="27"/>
  <c r="B782" i="27"/>
  <c r="D782" i="27" s="1"/>
  <c r="B783" i="27"/>
  <c r="D783" i="27" s="1"/>
  <c r="B784" i="27"/>
  <c r="D784" i="27" s="1"/>
  <c r="B785" i="27"/>
  <c r="D785" i="27" s="1"/>
  <c r="B786" i="27"/>
  <c r="D786" i="27" s="1"/>
  <c r="B787" i="27"/>
  <c r="D787" i="27" s="1"/>
  <c r="B788" i="27"/>
  <c r="D788" i="27" s="1"/>
  <c r="B789" i="27"/>
  <c r="D789" i="27" s="1"/>
  <c r="B790" i="27"/>
  <c r="D790" i="27" s="1"/>
  <c r="B791" i="27"/>
  <c r="D791" i="27" s="1"/>
  <c r="B792" i="27"/>
  <c r="D792" i="27" s="1"/>
  <c r="B793" i="27"/>
  <c r="D793" i="27" s="1"/>
  <c r="B794" i="27"/>
  <c r="D794" i="27" s="1"/>
  <c r="B795" i="27"/>
  <c r="D795" i="27" s="1"/>
  <c r="B796" i="27"/>
  <c r="D796" i="27" s="1"/>
  <c r="B797" i="27"/>
  <c r="D797" i="27" s="1"/>
  <c r="B798" i="27"/>
  <c r="D798" i="27" s="1"/>
  <c r="B799" i="27"/>
  <c r="D799" i="27" s="1"/>
  <c r="B800" i="27"/>
  <c r="D800" i="27" s="1"/>
  <c r="B801" i="27"/>
  <c r="D801" i="27" s="1"/>
  <c r="B802" i="27"/>
  <c r="D802" i="27" s="1"/>
  <c r="B803" i="27"/>
  <c r="D803" i="27" s="1"/>
  <c r="B804" i="27"/>
  <c r="D804" i="27" s="1"/>
  <c r="B805" i="27"/>
  <c r="D805" i="27" s="1"/>
  <c r="B806" i="27"/>
  <c r="D806" i="27" s="1"/>
  <c r="B807" i="27"/>
  <c r="D807" i="27" s="1"/>
  <c r="B808" i="27"/>
  <c r="D808" i="27" s="1"/>
  <c r="B809" i="27"/>
  <c r="D809" i="27" s="1"/>
  <c r="B810" i="27"/>
  <c r="D810" i="27" s="1"/>
  <c r="B811" i="27"/>
  <c r="D811" i="27" s="1"/>
  <c r="B812" i="27"/>
  <c r="D812" i="27" s="1"/>
  <c r="B813" i="27"/>
  <c r="D813" i="27" s="1"/>
  <c r="B814" i="27"/>
  <c r="D814" i="27" s="1"/>
  <c r="B815" i="27"/>
  <c r="D815" i="27" s="1"/>
  <c r="B816" i="27"/>
  <c r="D816" i="27" s="1"/>
  <c r="B817" i="27"/>
  <c r="D817" i="27" s="1"/>
  <c r="B818" i="27"/>
  <c r="D818" i="27" s="1"/>
  <c r="B819" i="27"/>
  <c r="D819" i="27" s="1"/>
  <c r="B820" i="27"/>
  <c r="D820" i="27" s="1"/>
  <c r="B821" i="27"/>
  <c r="D821" i="27" s="1"/>
  <c r="B822" i="27"/>
  <c r="D822" i="27" s="1"/>
  <c r="B823" i="27"/>
  <c r="D823" i="27" s="1"/>
  <c r="B824" i="27"/>
  <c r="D824" i="27" s="1"/>
  <c r="B825" i="27"/>
  <c r="D825" i="27" s="1"/>
  <c r="B826" i="27"/>
  <c r="D826" i="27" s="1"/>
  <c r="B827" i="27"/>
  <c r="D827" i="27" s="1"/>
  <c r="B828" i="27"/>
  <c r="D828" i="27" s="1"/>
  <c r="B829" i="27"/>
  <c r="D829" i="27" s="1"/>
  <c r="B830" i="27"/>
  <c r="D830" i="27" s="1"/>
  <c r="B831" i="27"/>
  <c r="D831" i="27" s="1"/>
  <c r="B832" i="27"/>
  <c r="D832" i="27" s="1"/>
  <c r="B833" i="27"/>
  <c r="D833" i="27" s="1"/>
  <c r="B834" i="27"/>
  <c r="D834" i="27" s="1"/>
  <c r="B835" i="27"/>
  <c r="D835" i="27" s="1"/>
  <c r="B836" i="27"/>
  <c r="D836" i="27" s="1"/>
  <c r="B837" i="27"/>
  <c r="D837" i="27" s="1"/>
  <c r="B838" i="27"/>
  <c r="D838" i="27" s="1"/>
  <c r="B839" i="27"/>
  <c r="D839" i="27" s="1"/>
  <c r="B840" i="27"/>
  <c r="D840" i="27" s="1"/>
  <c r="B841" i="27"/>
  <c r="D841" i="27" s="1"/>
  <c r="B842" i="27"/>
  <c r="D842" i="27" s="1"/>
  <c r="B843" i="27"/>
  <c r="D843" i="27" s="1"/>
  <c r="B844" i="27"/>
  <c r="D844" i="27" s="1"/>
  <c r="B845" i="27"/>
  <c r="D845" i="27" s="1"/>
  <c r="B846" i="27"/>
  <c r="D846" i="27" s="1"/>
  <c r="B847" i="27"/>
  <c r="D847" i="27" s="1"/>
  <c r="B848" i="27"/>
  <c r="D848" i="27" s="1"/>
  <c r="B849" i="27"/>
  <c r="D849" i="27" s="1"/>
  <c r="B850" i="27"/>
  <c r="D850" i="27" s="1"/>
  <c r="B851" i="27"/>
  <c r="D851" i="27" s="1"/>
  <c r="B852" i="27"/>
  <c r="D852" i="27" s="1"/>
  <c r="B853" i="27"/>
  <c r="D853" i="27" s="1"/>
  <c r="B854" i="27"/>
  <c r="D854" i="27" s="1"/>
  <c r="B855" i="27"/>
  <c r="D855" i="27" s="1"/>
  <c r="B856" i="27"/>
  <c r="D856" i="27" s="1"/>
  <c r="B857" i="27"/>
  <c r="D857" i="27" s="1"/>
  <c r="B858" i="27"/>
  <c r="D858" i="27" s="1"/>
  <c r="B859" i="27"/>
  <c r="D859" i="27" s="1"/>
  <c r="B860" i="27"/>
  <c r="D860" i="27" s="1"/>
  <c r="B861" i="27"/>
  <c r="D861" i="27" s="1"/>
  <c r="B862" i="27"/>
  <c r="D862" i="27" s="1"/>
  <c r="B863" i="27"/>
  <c r="D863" i="27" s="1"/>
  <c r="B864" i="27"/>
  <c r="D864" i="27" s="1"/>
  <c r="B865" i="27"/>
  <c r="D865" i="27" s="1"/>
  <c r="B866" i="27"/>
  <c r="D866" i="27" s="1"/>
  <c r="B867" i="27"/>
  <c r="D867" i="27" s="1"/>
  <c r="B868" i="27"/>
  <c r="D868" i="27" s="1"/>
  <c r="B869" i="27"/>
  <c r="D869" i="27" s="1"/>
  <c r="B870" i="27"/>
  <c r="D870" i="27" s="1"/>
  <c r="B871" i="27"/>
  <c r="D871" i="27" s="1"/>
  <c r="B872" i="27"/>
  <c r="D872" i="27" s="1"/>
  <c r="B873" i="27"/>
  <c r="D873" i="27" s="1"/>
  <c r="B874" i="27"/>
  <c r="D874" i="27" s="1"/>
  <c r="B875" i="27"/>
  <c r="D875" i="27" s="1"/>
  <c r="B876" i="27"/>
  <c r="D876" i="27" s="1"/>
  <c r="B877" i="27"/>
  <c r="D877" i="27" s="1"/>
  <c r="B878" i="27"/>
  <c r="D878" i="27" s="1"/>
  <c r="B879" i="27"/>
  <c r="D879" i="27" s="1"/>
  <c r="B880" i="27"/>
  <c r="D880" i="27" s="1"/>
  <c r="B881" i="27"/>
  <c r="D881" i="27" s="1"/>
  <c r="B882" i="27"/>
  <c r="D882" i="27" s="1"/>
  <c r="B883" i="27"/>
  <c r="D883" i="27" s="1"/>
  <c r="B884" i="27"/>
  <c r="D884" i="27" s="1"/>
  <c r="B885" i="27"/>
  <c r="D885" i="27" s="1"/>
  <c r="B886" i="27"/>
  <c r="D886" i="27" s="1"/>
  <c r="B887" i="27"/>
  <c r="D887" i="27" s="1"/>
  <c r="B888" i="27"/>
  <c r="D888" i="27" s="1"/>
  <c r="B889" i="27"/>
  <c r="D889" i="27" s="1"/>
  <c r="B890" i="27"/>
  <c r="D890" i="27" s="1"/>
  <c r="B891" i="27"/>
  <c r="D891" i="27" s="1"/>
  <c r="B892" i="27"/>
  <c r="D892" i="27" s="1"/>
  <c r="B893" i="27"/>
  <c r="D893" i="27" s="1"/>
  <c r="B894" i="27"/>
  <c r="D894" i="27" s="1"/>
  <c r="B895" i="27"/>
  <c r="D895" i="27" s="1"/>
  <c r="B896" i="27"/>
  <c r="D896" i="27" s="1"/>
  <c r="B897" i="27"/>
  <c r="D897" i="27" s="1"/>
  <c r="B898" i="27"/>
  <c r="D898" i="27" s="1"/>
  <c r="B899" i="27"/>
  <c r="D899" i="27" s="1"/>
  <c r="B900" i="27"/>
  <c r="D900" i="27" s="1"/>
  <c r="B901" i="27"/>
  <c r="D901" i="27" s="1"/>
  <c r="B902" i="27"/>
  <c r="D902" i="27" s="1"/>
  <c r="B903" i="27"/>
  <c r="D903" i="27" s="1"/>
  <c r="B904" i="27"/>
  <c r="D904" i="27" s="1"/>
  <c r="B905" i="27"/>
  <c r="D905" i="27" s="1"/>
  <c r="B906" i="27"/>
  <c r="D906" i="27" s="1"/>
  <c r="B907" i="27"/>
  <c r="D907" i="27" s="1"/>
  <c r="B908" i="27"/>
  <c r="D908" i="27" s="1"/>
  <c r="B909" i="27"/>
  <c r="D909" i="27" s="1"/>
  <c r="B910" i="27"/>
  <c r="D910" i="27" s="1"/>
  <c r="B911" i="27"/>
  <c r="D911" i="27" s="1"/>
  <c r="B912" i="27"/>
  <c r="D912" i="27" s="1"/>
  <c r="B913" i="27"/>
  <c r="D913" i="27" s="1"/>
  <c r="B914" i="27"/>
  <c r="D914" i="27" s="1"/>
  <c r="B915" i="27"/>
  <c r="D915" i="27" s="1"/>
  <c r="B916" i="27"/>
  <c r="D916" i="27" s="1"/>
  <c r="B917" i="27"/>
  <c r="D917" i="27" s="1"/>
  <c r="B918" i="27"/>
  <c r="D918" i="27" s="1"/>
  <c r="Y1389" i="1" l="1"/>
  <c r="E2131" i="2" l="1"/>
  <c r="D2131" i="2"/>
  <c r="C2131" i="2"/>
  <c r="E2130" i="2"/>
  <c r="E2129" i="2"/>
  <c r="E2128" i="2"/>
  <c r="E2127" i="2"/>
  <c r="E2126" i="2"/>
  <c r="E2119" i="2"/>
  <c r="D2119" i="2"/>
  <c r="C2119" i="2"/>
  <c r="E2118" i="2"/>
  <c r="E2117" i="2"/>
  <c r="E2116" i="2"/>
  <c r="E2115" i="2"/>
  <c r="E2114" i="2"/>
  <c r="E2111" i="2"/>
  <c r="D2111" i="2"/>
  <c r="E2110" i="2"/>
  <c r="E2109" i="2"/>
  <c r="E2108" i="2"/>
  <c r="E2107" i="2"/>
  <c r="E2106" i="2"/>
  <c r="E2105" i="2"/>
  <c r="E2104" i="2"/>
  <c r="E2097" i="2"/>
  <c r="D2097" i="2"/>
  <c r="E2096" i="2"/>
  <c r="E2095" i="2"/>
  <c r="E2094" i="2"/>
  <c r="E2093" i="2"/>
  <c r="E2092" i="2"/>
  <c r="E2091" i="2"/>
  <c r="E2090" i="2"/>
  <c r="E2084" i="2"/>
  <c r="D2084" i="2"/>
  <c r="E2083" i="2"/>
  <c r="E2082" i="2"/>
  <c r="E2081" i="2"/>
  <c r="E2080" i="2"/>
  <c r="E2079" i="2"/>
  <c r="E2078" i="2"/>
  <c r="E2077" i="2"/>
  <c r="E2071" i="2"/>
  <c r="D2071" i="2"/>
  <c r="E2070" i="2"/>
  <c r="E2069" i="2"/>
  <c r="E2068" i="2"/>
  <c r="E2067" i="2"/>
  <c r="E2066" i="2"/>
  <c r="E2065" i="2"/>
  <c r="E2064" i="2"/>
  <c r="E2057" i="2"/>
  <c r="D2057" i="2"/>
  <c r="E2056" i="2"/>
  <c r="E2055" i="2"/>
  <c r="E2054" i="2"/>
  <c r="E2053" i="2"/>
  <c r="E2052" i="2"/>
  <c r="E2051" i="2"/>
  <c r="E2050" i="2"/>
  <c r="D716" i="2"/>
  <c r="D714" i="2"/>
  <c r="G710" i="2"/>
  <c r="G708" i="2"/>
  <c r="D683" i="2"/>
  <c r="D681" i="2"/>
  <c r="G677" i="2"/>
  <c r="G675" i="2"/>
  <c r="AE1594" i="1"/>
  <c r="AG1594" i="1" s="1"/>
  <c r="AB1594" i="1"/>
  <c r="AD1594" i="1" s="1"/>
  <c r="Y1594" i="1"/>
  <c r="AA1594" i="1" s="1"/>
  <c r="V1594" i="1"/>
  <c r="X1594" i="1" s="1"/>
  <c r="S1594" i="1"/>
  <c r="U1594" i="1" s="1"/>
  <c r="L1594" i="1"/>
  <c r="N1594" i="1" s="1"/>
  <c r="H1594" i="1"/>
  <c r="J1594" i="1" s="1"/>
  <c r="E1594" i="1"/>
  <c r="G1594" i="1" s="1"/>
  <c r="B1594" i="1"/>
  <c r="D1594" i="1" s="1"/>
  <c r="AE1593" i="1"/>
  <c r="AG1593" i="1" s="1"/>
  <c r="AB1593" i="1"/>
  <c r="AD1593" i="1" s="1"/>
  <c r="Y1593" i="1"/>
  <c r="AA1593" i="1" s="1"/>
  <c r="V1593" i="1"/>
  <c r="X1593" i="1" s="1"/>
  <c r="S1593" i="1"/>
  <c r="U1593" i="1" s="1"/>
  <c r="L1593" i="1"/>
  <c r="N1593" i="1" s="1"/>
  <c r="H1593" i="1"/>
  <c r="J1593" i="1" s="1"/>
  <c r="E1593" i="1"/>
  <c r="G1593" i="1" s="1"/>
  <c r="B1593" i="1"/>
  <c r="D1593" i="1" s="1"/>
  <c r="AE1592" i="1"/>
  <c r="AG1592" i="1" s="1"/>
  <c r="AH1592" i="1" s="1"/>
  <c r="AB1592" i="1"/>
  <c r="AD1592" i="1" s="1"/>
  <c r="Y1592" i="1"/>
  <c r="AA1592" i="1" s="1"/>
  <c r="V1592" i="1"/>
  <c r="X1592" i="1" s="1"/>
  <c r="S1592" i="1"/>
  <c r="U1592" i="1" s="1"/>
  <c r="L1592" i="1"/>
  <c r="N1592" i="1" s="1"/>
  <c r="H1592" i="1"/>
  <c r="J1592" i="1" s="1"/>
  <c r="E1592" i="1"/>
  <c r="G1592" i="1" s="1"/>
  <c r="B1592" i="1"/>
  <c r="D1592" i="1" s="1"/>
  <c r="AE1591" i="1"/>
  <c r="AG1591" i="1" s="1"/>
  <c r="AB1591" i="1"/>
  <c r="AD1591" i="1" s="1"/>
  <c r="Y1591" i="1"/>
  <c r="AA1591" i="1" s="1"/>
  <c r="X1591" i="1"/>
  <c r="V1591" i="1"/>
  <c r="S1591" i="1"/>
  <c r="U1591" i="1" s="1"/>
  <c r="L1591" i="1"/>
  <c r="N1591" i="1" s="1"/>
  <c r="H1591" i="1"/>
  <c r="J1591" i="1" s="1"/>
  <c r="E1591" i="1"/>
  <c r="G1591" i="1" s="1"/>
  <c r="B1591" i="1"/>
  <c r="D1591" i="1" s="1"/>
  <c r="AE1590" i="1"/>
  <c r="AG1590" i="1" s="1"/>
  <c r="AB1590" i="1"/>
  <c r="AD1590" i="1" s="1"/>
  <c r="Y1590" i="1"/>
  <c r="AA1590" i="1" s="1"/>
  <c r="V1590" i="1"/>
  <c r="X1590" i="1" s="1"/>
  <c r="S1590" i="1"/>
  <c r="U1590" i="1" s="1"/>
  <c r="L1590" i="1"/>
  <c r="N1590" i="1" s="1"/>
  <c r="H1590" i="1"/>
  <c r="J1590" i="1" s="1"/>
  <c r="E1590" i="1"/>
  <c r="G1590" i="1" s="1"/>
  <c r="B1590" i="1"/>
  <c r="D1590" i="1" s="1"/>
  <c r="AE1589" i="1"/>
  <c r="AG1589" i="1" s="1"/>
  <c r="AB1589" i="1"/>
  <c r="AD1589" i="1" s="1"/>
  <c r="Y1589" i="1"/>
  <c r="AA1589" i="1" s="1"/>
  <c r="V1589" i="1"/>
  <c r="X1589" i="1" s="1"/>
  <c r="S1589" i="1"/>
  <c r="U1589" i="1" s="1"/>
  <c r="L1589" i="1"/>
  <c r="N1589" i="1" s="1"/>
  <c r="H1589" i="1"/>
  <c r="J1589" i="1" s="1"/>
  <c r="E1589" i="1"/>
  <c r="G1589" i="1" s="1"/>
  <c r="B1589" i="1"/>
  <c r="D1589" i="1" s="1"/>
  <c r="AE1588" i="1"/>
  <c r="AG1588" i="1" s="1"/>
  <c r="AB1588" i="1"/>
  <c r="AD1588" i="1" s="1"/>
  <c r="Y1588" i="1"/>
  <c r="AA1588" i="1" s="1"/>
  <c r="V1588" i="1"/>
  <c r="X1588" i="1" s="1"/>
  <c r="S1588" i="1"/>
  <c r="U1588" i="1" s="1"/>
  <c r="L1588" i="1"/>
  <c r="N1588" i="1" s="1"/>
  <c r="H1588" i="1"/>
  <c r="J1588" i="1" s="1"/>
  <c r="E1588" i="1"/>
  <c r="G1588" i="1" s="1"/>
  <c r="B1588" i="1"/>
  <c r="D1588" i="1" s="1"/>
  <c r="AE1587" i="1"/>
  <c r="AG1587" i="1" s="1"/>
  <c r="AB1587" i="1"/>
  <c r="AD1587" i="1" s="1"/>
  <c r="Y1587" i="1"/>
  <c r="AA1587" i="1" s="1"/>
  <c r="V1587" i="1"/>
  <c r="X1587" i="1" s="1"/>
  <c r="S1587" i="1"/>
  <c r="U1587" i="1" s="1"/>
  <c r="L1587" i="1"/>
  <c r="N1587" i="1" s="1"/>
  <c r="H1587" i="1"/>
  <c r="J1587" i="1" s="1"/>
  <c r="E1587" i="1"/>
  <c r="G1587" i="1" s="1"/>
  <c r="B1587" i="1"/>
  <c r="D1587" i="1" s="1"/>
  <c r="AE1586" i="1"/>
  <c r="AG1586" i="1" s="1"/>
  <c r="AB1586" i="1"/>
  <c r="AD1586" i="1" s="1"/>
  <c r="Y1586" i="1"/>
  <c r="AA1586" i="1" s="1"/>
  <c r="V1586" i="1"/>
  <c r="X1586" i="1" s="1"/>
  <c r="S1586" i="1"/>
  <c r="U1586" i="1" s="1"/>
  <c r="L1586" i="1"/>
  <c r="N1586" i="1" s="1"/>
  <c r="H1586" i="1"/>
  <c r="J1586" i="1" s="1"/>
  <c r="E1586" i="1"/>
  <c r="G1586" i="1" s="1"/>
  <c r="B1586" i="1"/>
  <c r="D1586" i="1" s="1"/>
  <c r="AE1585" i="1"/>
  <c r="AG1585" i="1" s="1"/>
  <c r="AB1585" i="1"/>
  <c r="AD1585" i="1" s="1"/>
  <c r="Y1585" i="1"/>
  <c r="AA1585" i="1" s="1"/>
  <c r="V1585" i="1"/>
  <c r="X1585" i="1" s="1"/>
  <c r="S1585" i="1"/>
  <c r="U1585" i="1" s="1"/>
  <c r="L1585" i="1"/>
  <c r="N1585" i="1" s="1"/>
  <c r="H1585" i="1"/>
  <c r="J1585" i="1" s="1"/>
  <c r="E1585" i="1"/>
  <c r="G1585" i="1" s="1"/>
  <c r="B1585" i="1"/>
  <c r="D1585" i="1" s="1"/>
  <c r="AE1584" i="1"/>
  <c r="AG1584" i="1" s="1"/>
  <c r="AB1584" i="1"/>
  <c r="AD1584" i="1" s="1"/>
  <c r="Y1584" i="1"/>
  <c r="AA1584" i="1" s="1"/>
  <c r="V1584" i="1"/>
  <c r="X1584" i="1" s="1"/>
  <c r="S1584" i="1"/>
  <c r="U1584" i="1" s="1"/>
  <c r="L1584" i="1"/>
  <c r="N1584" i="1" s="1"/>
  <c r="H1584" i="1"/>
  <c r="J1584" i="1" s="1"/>
  <c r="E1584" i="1"/>
  <c r="G1584" i="1" s="1"/>
  <c r="B1584" i="1"/>
  <c r="D1584" i="1" s="1"/>
  <c r="AE1583" i="1"/>
  <c r="AG1583" i="1" s="1"/>
  <c r="AB1583" i="1"/>
  <c r="AD1583" i="1" s="1"/>
  <c r="Y1583" i="1"/>
  <c r="AA1583" i="1" s="1"/>
  <c r="V1583" i="1"/>
  <c r="X1583" i="1" s="1"/>
  <c r="S1583" i="1"/>
  <c r="U1583" i="1" s="1"/>
  <c r="L1583" i="1"/>
  <c r="N1583" i="1" s="1"/>
  <c r="H1583" i="1"/>
  <c r="J1583" i="1" s="1"/>
  <c r="E1583" i="1"/>
  <c r="G1583" i="1" s="1"/>
  <c r="B1583" i="1"/>
  <c r="D1583" i="1" s="1"/>
  <c r="AE1582" i="1"/>
  <c r="AG1582" i="1" s="1"/>
  <c r="AB1582" i="1"/>
  <c r="AD1582" i="1" s="1"/>
  <c r="Y1582" i="1"/>
  <c r="AA1582" i="1" s="1"/>
  <c r="V1582" i="1"/>
  <c r="X1582" i="1" s="1"/>
  <c r="S1582" i="1"/>
  <c r="U1582" i="1" s="1"/>
  <c r="L1582" i="1"/>
  <c r="N1582" i="1" s="1"/>
  <c r="H1582" i="1"/>
  <c r="J1582" i="1" s="1"/>
  <c r="E1582" i="1"/>
  <c r="G1582" i="1" s="1"/>
  <c r="B1582" i="1"/>
  <c r="D1582" i="1" s="1"/>
  <c r="AE1581" i="1"/>
  <c r="AG1581" i="1" s="1"/>
  <c r="AB1581" i="1"/>
  <c r="AD1581" i="1" s="1"/>
  <c r="Y1581" i="1"/>
  <c r="AA1581" i="1" s="1"/>
  <c r="V1581" i="1"/>
  <c r="X1581" i="1" s="1"/>
  <c r="S1581" i="1"/>
  <c r="U1581" i="1" s="1"/>
  <c r="L1581" i="1"/>
  <c r="N1581" i="1" s="1"/>
  <c r="H1581" i="1"/>
  <c r="J1581" i="1" s="1"/>
  <c r="E1581" i="1"/>
  <c r="G1581" i="1" s="1"/>
  <c r="B1581" i="1"/>
  <c r="D1581" i="1" s="1"/>
  <c r="AE1580" i="1"/>
  <c r="AG1580" i="1" s="1"/>
  <c r="AB1580" i="1"/>
  <c r="AD1580" i="1" s="1"/>
  <c r="Y1580" i="1"/>
  <c r="AA1580" i="1" s="1"/>
  <c r="V1580" i="1"/>
  <c r="X1580" i="1" s="1"/>
  <c r="S1580" i="1"/>
  <c r="U1580" i="1" s="1"/>
  <c r="L1580" i="1"/>
  <c r="N1580" i="1" s="1"/>
  <c r="H1580" i="1"/>
  <c r="J1580" i="1" s="1"/>
  <c r="E1580" i="1"/>
  <c r="G1580" i="1" s="1"/>
  <c r="B1580" i="1"/>
  <c r="D1580" i="1" s="1"/>
  <c r="AB1579" i="1"/>
  <c r="AD1579" i="1" s="1"/>
  <c r="Y1579" i="1"/>
  <c r="AA1579" i="1" s="1"/>
  <c r="V1579" i="1"/>
  <c r="X1579" i="1" s="1"/>
  <c r="S1579" i="1"/>
  <c r="U1579" i="1" s="1"/>
  <c r="L1579" i="1"/>
  <c r="N1579" i="1" s="1"/>
  <c r="H1579" i="1"/>
  <c r="J1579" i="1" s="1"/>
  <c r="E1579" i="1"/>
  <c r="G1579" i="1" s="1"/>
  <c r="B1579" i="1"/>
  <c r="D1579" i="1" s="1"/>
  <c r="AB1578" i="1"/>
  <c r="AD1578" i="1" s="1"/>
  <c r="Y1578" i="1"/>
  <c r="AA1578" i="1" s="1"/>
  <c r="V1578" i="1"/>
  <c r="X1578" i="1" s="1"/>
  <c r="S1578" i="1"/>
  <c r="U1578" i="1" s="1"/>
  <c r="L1578" i="1"/>
  <c r="N1578" i="1" s="1"/>
  <c r="H1578" i="1"/>
  <c r="J1578" i="1" s="1"/>
  <c r="E1578" i="1"/>
  <c r="G1578" i="1" s="1"/>
  <c r="B1578" i="1"/>
  <c r="D1578" i="1" s="1"/>
  <c r="AB1577" i="1"/>
  <c r="AD1577" i="1" s="1"/>
  <c r="Y1577" i="1"/>
  <c r="AA1577" i="1" s="1"/>
  <c r="V1577" i="1"/>
  <c r="X1577" i="1" s="1"/>
  <c r="S1577" i="1"/>
  <c r="U1577" i="1" s="1"/>
  <c r="L1577" i="1"/>
  <c r="N1577" i="1" s="1"/>
  <c r="H1577" i="1"/>
  <c r="J1577" i="1" s="1"/>
  <c r="E1577" i="1"/>
  <c r="G1577" i="1" s="1"/>
  <c r="B1577" i="1"/>
  <c r="D1577" i="1" s="1"/>
  <c r="AE1576" i="1"/>
  <c r="AB1576" i="1"/>
  <c r="AD1576" i="1" s="1"/>
  <c r="Y1576" i="1"/>
  <c r="AA1576" i="1" s="1"/>
  <c r="V1576" i="1"/>
  <c r="X1576" i="1" s="1"/>
  <c r="S1576" i="1"/>
  <c r="U1576" i="1" s="1"/>
  <c r="L1576" i="1"/>
  <c r="N1576" i="1" s="1"/>
  <c r="H1576" i="1"/>
  <c r="J1576" i="1" s="1"/>
  <c r="E1576" i="1"/>
  <c r="G1576" i="1" s="1"/>
  <c r="B1576" i="1"/>
  <c r="D1576" i="1" s="1"/>
  <c r="AE1575" i="1"/>
  <c r="AG1575" i="1" s="1"/>
  <c r="AB1575" i="1"/>
  <c r="AD1575" i="1" s="1"/>
  <c r="Y1575" i="1"/>
  <c r="AA1575" i="1" s="1"/>
  <c r="V1575" i="1"/>
  <c r="X1575" i="1" s="1"/>
  <c r="S1575" i="1"/>
  <c r="U1575" i="1" s="1"/>
  <c r="L1575" i="1"/>
  <c r="N1575" i="1" s="1"/>
  <c r="H1575" i="1"/>
  <c r="J1575" i="1" s="1"/>
  <c r="E1575" i="1"/>
  <c r="G1575" i="1" s="1"/>
  <c r="B1575" i="1"/>
  <c r="D1575" i="1" s="1"/>
  <c r="AE1574" i="1"/>
  <c r="AG1574" i="1" s="1"/>
  <c r="AB1574" i="1"/>
  <c r="AD1574" i="1" s="1"/>
  <c r="Y1574" i="1"/>
  <c r="AA1574" i="1" s="1"/>
  <c r="X1574" i="1"/>
  <c r="S1574" i="1"/>
  <c r="U1574" i="1" s="1"/>
  <c r="L1574" i="1"/>
  <c r="N1574" i="1" s="1"/>
  <c r="H1574" i="1"/>
  <c r="J1574" i="1" s="1"/>
  <c r="E1574" i="1"/>
  <c r="G1574" i="1" s="1"/>
  <c r="B1574" i="1"/>
  <c r="D1574" i="1" s="1"/>
  <c r="AE1573" i="1"/>
  <c r="AG1573" i="1" s="1"/>
  <c r="AB1573" i="1"/>
  <c r="AD1573" i="1" s="1"/>
  <c r="Y1573" i="1"/>
  <c r="AA1573" i="1" s="1"/>
  <c r="X1573" i="1"/>
  <c r="S1573" i="1"/>
  <c r="U1573" i="1" s="1"/>
  <c r="L1573" i="1"/>
  <c r="N1573" i="1" s="1"/>
  <c r="H1573" i="1"/>
  <c r="J1573" i="1" s="1"/>
  <c r="E1573" i="1"/>
  <c r="G1573" i="1" s="1"/>
  <c r="B1573" i="1"/>
  <c r="D1573" i="1" s="1"/>
  <c r="AE1572" i="1"/>
  <c r="AG1572" i="1" s="1"/>
  <c r="AB1572" i="1"/>
  <c r="AD1572" i="1" s="1"/>
  <c r="Y1572" i="1"/>
  <c r="AA1572" i="1" s="1"/>
  <c r="X1572" i="1"/>
  <c r="S1572" i="1"/>
  <c r="U1572" i="1" s="1"/>
  <c r="L1572" i="1"/>
  <c r="N1572" i="1" s="1"/>
  <c r="H1572" i="1"/>
  <c r="J1572" i="1" s="1"/>
  <c r="E1572" i="1"/>
  <c r="G1572" i="1" s="1"/>
  <c r="B1572" i="1"/>
  <c r="D1572" i="1" s="1"/>
  <c r="AE1571" i="1"/>
  <c r="AG1571" i="1" s="1"/>
  <c r="AB1571" i="1"/>
  <c r="AD1571" i="1" s="1"/>
  <c r="Y1571" i="1"/>
  <c r="AA1571" i="1" s="1"/>
  <c r="X1571" i="1"/>
  <c r="S1571" i="1"/>
  <c r="U1571" i="1" s="1"/>
  <c r="L1571" i="1"/>
  <c r="N1571" i="1" s="1"/>
  <c r="H1571" i="1"/>
  <c r="J1571" i="1" s="1"/>
  <c r="E1571" i="1"/>
  <c r="G1571" i="1" s="1"/>
  <c r="B1571" i="1"/>
  <c r="D1571" i="1" s="1"/>
  <c r="AE1570" i="1"/>
  <c r="AG1570" i="1" s="1"/>
  <c r="AH1570" i="1" s="1"/>
  <c r="AB1570" i="1"/>
  <c r="AD1570" i="1" s="1"/>
  <c r="Y1570" i="1"/>
  <c r="AA1570" i="1" s="1"/>
  <c r="V1570" i="1"/>
  <c r="X1570" i="1" s="1"/>
  <c r="S1570" i="1"/>
  <c r="U1570" i="1" s="1"/>
  <c r="L1570" i="1"/>
  <c r="N1570" i="1" s="1"/>
  <c r="H1570" i="1"/>
  <c r="J1570" i="1" s="1"/>
  <c r="E1570" i="1"/>
  <c r="G1570" i="1" s="1"/>
  <c r="B1570" i="1"/>
  <c r="D1570" i="1" s="1"/>
  <c r="AE1569" i="1"/>
  <c r="AG1569" i="1" s="1"/>
  <c r="AB1569" i="1"/>
  <c r="AD1569" i="1" s="1"/>
  <c r="Y1569" i="1"/>
  <c r="AA1569" i="1" s="1"/>
  <c r="V1569" i="1"/>
  <c r="X1569" i="1" s="1"/>
  <c r="S1569" i="1"/>
  <c r="U1569" i="1" s="1"/>
  <c r="L1569" i="1"/>
  <c r="N1569" i="1" s="1"/>
  <c r="H1569" i="1"/>
  <c r="J1569" i="1" s="1"/>
  <c r="E1569" i="1"/>
  <c r="G1569" i="1" s="1"/>
  <c r="B1569" i="1"/>
  <c r="D1569" i="1" s="1"/>
  <c r="AE1568" i="1"/>
  <c r="AG1568" i="1" s="1"/>
  <c r="AB1568" i="1"/>
  <c r="AD1568" i="1" s="1"/>
  <c r="Y1568" i="1"/>
  <c r="AA1568" i="1" s="1"/>
  <c r="V1568" i="1"/>
  <c r="X1568" i="1" s="1"/>
  <c r="S1568" i="1"/>
  <c r="U1568" i="1" s="1"/>
  <c r="L1568" i="1"/>
  <c r="N1568" i="1" s="1"/>
  <c r="H1568" i="1"/>
  <c r="J1568" i="1" s="1"/>
  <c r="E1568" i="1"/>
  <c r="G1568" i="1" s="1"/>
  <c r="B1568" i="1"/>
  <c r="D1568" i="1" s="1"/>
  <c r="AE1567" i="1"/>
  <c r="AG1567" i="1" s="1"/>
  <c r="AB1567" i="1"/>
  <c r="AD1567" i="1" s="1"/>
  <c r="Y1567" i="1"/>
  <c r="AA1567" i="1" s="1"/>
  <c r="V1567" i="1"/>
  <c r="X1567" i="1" s="1"/>
  <c r="S1567" i="1"/>
  <c r="U1567" i="1" s="1"/>
  <c r="L1567" i="1"/>
  <c r="N1567" i="1" s="1"/>
  <c r="H1567" i="1"/>
  <c r="J1567" i="1" s="1"/>
  <c r="E1567" i="1"/>
  <c r="G1567" i="1" s="1"/>
  <c r="B1567" i="1"/>
  <c r="D1567" i="1" s="1"/>
  <c r="AE1566" i="1"/>
  <c r="AG1566" i="1" s="1"/>
  <c r="AB1566" i="1"/>
  <c r="AD1566" i="1" s="1"/>
  <c r="Y1566" i="1"/>
  <c r="AA1566" i="1" s="1"/>
  <c r="V1566" i="1"/>
  <c r="X1566" i="1" s="1"/>
  <c r="S1566" i="1"/>
  <c r="U1566" i="1" s="1"/>
  <c r="L1566" i="1"/>
  <c r="N1566" i="1" s="1"/>
  <c r="H1566" i="1"/>
  <c r="J1566" i="1" s="1"/>
  <c r="E1566" i="1"/>
  <c r="G1566" i="1" s="1"/>
  <c r="B1566" i="1"/>
  <c r="D1566" i="1" s="1"/>
  <c r="AE1565" i="1"/>
  <c r="AG1565" i="1" s="1"/>
  <c r="AB1565" i="1"/>
  <c r="AD1565" i="1" s="1"/>
  <c r="Y1565" i="1"/>
  <c r="AA1565" i="1" s="1"/>
  <c r="V1565" i="1"/>
  <c r="X1565" i="1" s="1"/>
  <c r="S1565" i="1"/>
  <c r="U1565" i="1" s="1"/>
  <c r="N1565" i="1"/>
  <c r="L1565" i="1"/>
  <c r="H1565" i="1"/>
  <c r="J1565" i="1" s="1"/>
  <c r="K1565" i="1" s="1"/>
  <c r="E1565" i="1"/>
  <c r="G1565" i="1" s="1"/>
  <c r="B1565" i="1"/>
  <c r="D1565" i="1" s="1"/>
  <c r="AE1564" i="1"/>
  <c r="AG1564" i="1" s="1"/>
  <c r="AB1564" i="1"/>
  <c r="AD1564" i="1" s="1"/>
  <c r="Y1564" i="1"/>
  <c r="AA1564" i="1" s="1"/>
  <c r="V1564" i="1"/>
  <c r="X1564" i="1" s="1"/>
  <c r="S1564" i="1"/>
  <c r="U1564" i="1" s="1"/>
  <c r="L1564" i="1"/>
  <c r="N1564" i="1" s="1"/>
  <c r="J1564" i="1"/>
  <c r="E1564" i="1"/>
  <c r="D1564" i="1"/>
  <c r="B1564" i="1"/>
  <c r="AE1563" i="1"/>
  <c r="AG1563" i="1" s="1"/>
  <c r="AB1563" i="1"/>
  <c r="AD1563" i="1" s="1"/>
  <c r="Y1563" i="1"/>
  <c r="AA1563" i="1" s="1"/>
  <c r="V1563" i="1"/>
  <c r="X1563" i="1" s="1"/>
  <c r="S1563" i="1"/>
  <c r="U1563" i="1" s="1"/>
  <c r="L1563" i="1"/>
  <c r="N1563" i="1" s="1"/>
  <c r="J1563" i="1"/>
  <c r="E1563" i="1"/>
  <c r="G1563" i="1" s="1"/>
  <c r="B1563" i="1"/>
  <c r="D1563" i="1" s="1"/>
  <c r="AE1562" i="1"/>
  <c r="AG1562" i="1" s="1"/>
  <c r="AB1562" i="1"/>
  <c r="AD1562" i="1" s="1"/>
  <c r="Y1562" i="1"/>
  <c r="AA1562" i="1" s="1"/>
  <c r="V1562" i="1"/>
  <c r="X1562" i="1" s="1"/>
  <c r="S1562" i="1"/>
  <c r="U1562" i="1" s="1"/>
  <c r="L1562" i="1"/>
  <c r="N1562" i="1" s="1"/>
  <c r="H1562" i="1"/>
  <c r="J1562" i="1" s="1"/>
  <c r="E1562" i="1"/>
  <c r="G1562" i="1" s="1"/>
  <c r="B1562" i="1"/>
  <c r="D1562" i="1" s="1"/>
  <c r="AE1561" i="1"/>
  <c r="AG1561" i="1" s="1"/>
  <c r="AB1561" i="1"/>
  <c r="AD1561" i="1" s="1"/>
  <c r="Y1561" i="1"/>
  <c r="AA1561" i="1" s="1"/>
  <c r="V1561" i="1"/>
  <c r="X1561" i="1" s="1"/>
  <c r="S1561" i="1"/>
  <c r="U1561" i="1" s="1"/>
  <c r="L1561" i="1"/>
  <c r="N1561" i="1" s="1"/>
  <c r="H1561" i="1"/>
  <c r="J1561" i="1" s="1"/>
  <c r="E1561" i="1"/>
  <c r="G1561" i="1" s="1"/>
  <c r="B1561" i="1"/>
  <c r="D1561" i="1" s="1"/>
  <c r="AE1560" i="1"/>
  <c r="AG1560" i="1" s="1"/>
  <c r="AB1560" i="1"/>
  <c r="AD1560" i="1" s="1"/>
  <c r="Y1560" i="1"/>
  <c r="AA1560" i="1" s="1"/>
  <c r="V1560" i="1"/>
  <c r="X1560" i="1" s="1"/>
  <c r="S1560" i="1"/>
  <c r="U1560" i="1" s="1"/>
  <c r="L1560" i="1"/>
  <c r="N1560" i="1" s="1"/>
  <c r="H1560" i="1"/>
  <c r="J1560" i="1" s="1"/>
  <c r="E1560" i="1"/>
  <c r="G1560" i="1" s="1"/>
  <c r="B1560" i="1"/>
  <c r="D1560" i="1" s="1"/>
  <c r="AE1559" i="1"/>
  <c r="AG1559" i="1" s="1"/>
  <c r="AB1559" i="1"/>
  <c r="AD1559" i="1" s="1"/>
  <c r="Y1559" i="1"/>
  <c r="AA1559" i="1" s="1"/>
  <c r="V1559" i="1"/>
  <c r="X1559" i="1" s="1"/>
  <c r="S1559" i="1"/>
  <c r="U1559" i="1" s="1"/>
  <c r="L1559" i="1"/>
  <c r="N1559" i="1" s="1"/>
  <c r="H1559" i="1"/>
  <c r="J1559" i="1" s="1"/>
  <c r="E1559" i="1"/>
  <c r="G1559" i="1" s="1"/>
  <c r="B1559" i="1"/>
  <c r="D1559" i="1" s="1"/>
  <c r="AE1558" i="1"/>
  <c r="AG1558" i="1" s="1"/>
  <c r="AB1558" i="1"/>
  <c r="AD1558" i="1" s="1"/>
  <c r="Y1558" i="1"/>
  <c r="AA1558" i="1" s="1"/>
  <c r="V1558" i="1"/>
  <c r="X1558" i="1" s="1"/>
  <c r="S1558" i="1"/>
  <c r="U1558" i="1" s="1"/>
  <c r="L1558" i="1"/>
  <c r="N1558" i="1" s="1"/>
  <c r="H1558" i="1"/>
  <c r="J1558" i="1" s="1"/>
  <c r="E1558" i="1"/>
  <c r="G1558" i="1" s="1"/>
  <c r="B1558" i="1"/>
  <c r="D1558" i="1" s="1"/>
  <c r="AE1557" i="1"/>
  <c r="AG1557" i="1" s="1"/>
  <c r="AB1557" i="1"/>
  <c r="AD1557" i="1" s="1"/>
  <c r="Y1557" i="1"/>
  <c r="AA1557" i="1" s="1"/>
  <c r="V1557" i="1"/>
  <c r="X1557" i="1" s="1"/>
  <c r="S1557" i="1"/>
  <c r="U1557" i="1" s="1"/>
  <c r="L1557" i="1"/>
  <c r="N1557" i="1" s="1"/>
  <c r="H1557" i="1"/>
  <c r="J1557" i="1" s="1"/>
  <c r="E1557" i="1"/>
  <c r="G1557" i="1" s="1"/>
  <c r="B1557" i="1"/>
  <c r="D1557" i="1" s="1"/>
  <c r="AE1556" i="1"/>
  <c r="AG1556" i="1" s="1"/>
  <c r="AB1556" i="1"/>
  <c r="AD1556" i="1" s="1"/>
  <c r="Y1556" i="1"/>
  <c r="AA1556" i="1" s="1"/>
  <c r="V1556" i="1"/>
  <c r="X1556" i="1" s="1"/>
  <c r="S1556" i="1"/>
  <c r="U1556" i="1" s="1"/>
  <c r="L1556" i="1"/>
  <c r="N1556" i="1" s="1"/>
  <c r="H1556" i="1"/>
  <c r="J1556" i="1" s="1"/>
  <c r="E1556" i="1"/>
  <c r="G1556" i="1" s="1"/>
  <c r="B1556" i="1"/>
  <c r="D1556" i="1" s="1"/>
  <c r="AE1555" i="1"/>
  <c r="AG1555" i="1" s="1"/>
  <c r="AB1555" i="1"/>
  <c r="AD1555" i="1" s="1"/>
  <c r="Y1555" i="1"/>
  <c r="AA1555" i="1" s="1"/>
  <c r="V1555" i="1"/>
  <c r="X1555" i="1" s="1"/>
  <c r="S1555" i="1"/>
  <c r="U1555" i="1" s="1"/>
  <c r="L1555" i="1"/>
  <c r="N1555" i="1" s="1"/>
  <c r="H1555" i="1"/>
  <c r="J1555" i="1" s="1"/>
  <c r="E1555" i="1"/>
  <c r="G1555" i="1" s="1"/>
  <c r="B1555" i="1"/>
  <c r="D1555" i="1" s="1"/>
  <c r="AE1554" i="1"/>
  <c r="AG1554" i="1" s="1"/>
  <c r="AB1554" i="1"/>
  <c r="AD1554" i="1" s="1"/>
  <c r="Y1554" i="1"/>
  <c r="AA1554" i="1" s="1"/>
  <c r="V1554" i="1"/>
  <c r="X1554" i="1" s="1"/>
  <c r="S1554" i="1"/>
  <c r="U1554" i="1" s="1"/>
  <c r="L1554" i="1"/>
  <c r="N1554" i="1" s="1"/>
  <c r="H1554" i="1"/>
  <c r="J1554" i="1" s="1"/>
  <c r="E1554" i="1"/>
  <c r="G1554" i="1" s="1"/>
  <c r="B1554" i="1"/>
  <c r="D1554" i="1" s="1"/>
  <c r="AE1553" i="1"/>
  <c r="AG1553" i="1" s="1"/>
  <c r="AB1553" i="1"/>
  <c r="AD1553" i="1" s="1"/>
  <c r="Y1553" i="1"/>
  <c r="AA1553" i="1" s="1"/>
  <c r="V1553" i="1"/>
  <c r="X1553" i="1" s="1"/>
  <c r="S1553" i="1"/>
  <c r="U1553" i="1" s="1"/>
  <c r="L1553" i="1"/>
  <c r="N1553" i="1" s="1"/>
  <c r="E1553" i="1"/>
  <c r="G1553" i="1" s="1"/>
  <c r="B1553" i="1"/>
  <c r="D1553" i="1" s="1"/>
  <c r="AE1552" i="1"/>
  <c r="AG1552" i="1" s="1"/>
  <c r="AB1552" i="1"/>
  <c r="AD1552" i="1" s="1"/>
  <c r="Y1552" i="1"/>
  <c r="AA1552" i="1" s="1"/>
  <c r="V1552" i="1"/>
  <c r="X1552" i="1" s="1"/>
  <c r="S1552" i="1"/>
  <c r="U1552" i="1" s="1"/>
  <c r="L1552" i="1"/>
  <c r="N1552" i="1" s="1"/>
  <c r="H1552" i="1"/>
  <c r="E1552" i="1"/>
  <c r="G1552" i="1" s="1"/>
  <c r="B1552" i="1"/>
  <c r="D1552" i="1" s="1"/>
  <c r="AE1551" i="1"/>
  <c r="AG1551" i="1" s="1"/>
  <c r="AB1551" i="1"/>
  <c r="AD1551" i="1" s="1"/>
  <c r="Y1551" i="1"/>
  <c r="AA1551" i="1" s="1"/>
  <c r="V1551" i="1"/>
  <c r="X1551" i="1" s="1"/>
  <c r="S1551" i="1"/>
  <c r="U1551" i="1" s="1"/>
  <c r="L1551" i="1"/>
  <c r="N1551" i="1" s="1"/>
  <c r="H1551" i="1"/>
  <c r="E1551" i="1"/>
  <c r="G1551" i="1" s="1"/>
  <c r="B1551" i="1"/>
  <c r="D1551" i="1" s="1"/>
  <c r="AE1550" i="1"/>
  <c r="AG1550" i="1" s="1"/>
  <c r="AB1550" i="1"/>
  <c r="AD1550" i="1" s="1"/>
  <c r="Y1550" i="1"/>
  <c r="AA1550" i="1" s="1"/>
  <c r="V1550" i="1"/>
  <c r="X1550" i="1" s="1"/>
  <c r="S1550" i="1"/>
  <c r="U1550" i="1" s="1"/>
  <c r="L1550" i="1"/>
  <c r="N1550" i="1" s="1"/>
  <c r="H1550" i="1"/>
  <c r="J1550" i="1" s="1"/>
  <c r="E1550" i="1"/>
  <c r="G1550" i="1" s="1"/>
  <c r="B1550" i="1"/>
  <c r="D1550" i="1" s="1"/>
  <c r="AE1549" i="1"/>
  <c r="AG1549" i="1" s="1"/>
  <c r="AB1549" i="1"/>
  <c r="AD1549" i="1" s="1"/>
  <c r="Y1549" i="1"/>
  <c r="AA1549" i="1" s="1"/>
  <c r="V1549" i="1"/>
  <c r="X1549" i="1" s="1"/>
  <c r="S1549" i="1"/>
  <c r="U1549" i="1" s="1"/>
  <c r="L1549" i="1"/>
  <c r="N1549" i="1" s="1"/>
  <c r="H1549" i="1"/>
  <c r="J1549" i="1" s="1"/>
  <c r="E1549" i="1"/>
  <c r="G1549" i="1" s="1"/>
  <c r="B1549" i="1"/>
  <c r="D1549" i="1" s="1"/>
  <c r="AE1548" i="1"/>
  <c r="AG1548" i="1" s="1"/>
  <c r="AB1548" i="1"/>
  <c r="AD1548" i="1" s="1"/>
  <c r="AA1548" i="1"/>
  <c r="V1548" i="1"/>
  <c r="X1548" i="1" s="1"/>
  <c r="S1548" i="1"/>
  <c r="U1548" i="1" s="1"/>
  <c r="L1548" i="1"/>
  <c r="N1548" i="1" s="1"/>
  <c r="H1548" i="1"/>
  <c r="J1548" i="1" s="1"/>
  <c r="E1548" i="1"/>
  <c r="G1548" i="1" s="1"/>
  <c r="B1548" i="1"/>
  <c r="D1548" i="1" s="1"/>
  <c r="AE1547" i="1"/>
  <c r="AG1547" i="1" s="1"/>
  <c r="AB1547" i="1"/>
  <c r="AD1547" i="1" s="1"/>
  <c r="Y1547" i="1"/>
  <c r="AA1547" i="1" s="1"/>
  <c r="V1547" i="1"/>
  <c r="X1547" i="1" s="1"/>
  <c r="S1547" i="1"/>
  <c r="U1547" i="1" s="1"/>
  <c r="L1547" i="1"/>
  <c r="N1547" i="1" s="1"/>
  <c r="H1547" i="1"/>
  <c r="J1547" i="1" s="1"/>
  <c r="E1547" i="1"/>
  <c r="G1547" i="1" s="1"/>
  <c r="B1547" i="1"/>
  <c r="D1547" i="1" s="1"/>
  <c r="AE1546" i="1"/>
  <c r="AG1546" i="1" s="1"/>
  <c r="AB1546" i="1"/>
  <c r="AD1546" i="1" s="1"/>
  <c r="Y1546" i="1"/>
  <c r="AA1546" i="1" s="1"/>
  <c r="V1546" i="1"/>
  <c r="X1546" i="1" s="1"/>
  <c r="S1546" i="1"/>
  <c r="U1546" i="1" s="1"/>
  <c r="L1546" i="1"/>
  <c r="N1546" i="1" s="1"/>
  <c r="H1546" i="1"/>
  <c r="J1546" i="1" s="1"/>
  <c r="E1546" i="1"/>
  <c r="G1546" i="1" s="1"/>
  <c r="B1546" i="1"/>
  <c r="D1546" i="1" s="1"/>
  <c r="AE1545" i="1"/>
  <c r="AG1545" i="1" s="1"/>
  <c r="AB1545" i="1"/>
  <c r="AD1545" i="1" s="1"/>
  <c r="Y1545" i="1"/>
  <c r="AA1545" i="1" s="1"/>
  <c r="V1545" i="1"/>
  <c r="X1545" i="1" s="1"/>
  <c r="S1545" i="1"/>
  <c r="U1545" i="1" s="1"/>
  <c r="L1545" i="1"/>
  <c r="N1545" i="1" s="1"/>
  <c r="H1545" i="1"/>
  <c r="J1545" i="1" s="1"/>
  <c r="E1545" i="1"/>
  <c r="G1545" i="1" s="1"/>
  <c r="B1545" i="1"/>
  <c r="D1545" i="1" s="1"/>
  <c r="AE1544" i="1"/>
  <c r="AG1544" i="1" s="1"/>
  <c r="AB1544" i="1"/>
  <c r="AD1544" i="1" s="1"/>
  <c r="Y1544" i="1"/>
  <c r="AA1544" i="1" s="1"/>
  <c r="V1544" i="1"/>
  <c r="X1544" i="1" s="1"/>
  <c r="S1544" i="1"/>
  <c r="U1544" i="1" s="1"/>
  <c r="L1544" i="1"/>
  <c r="N1544" i="1" s="1"/>
  <c r="H1544" i="1"/>
  <c r="J1544" i="1" s="1"/>
  <c r="E1544" i="1"/>
  <c r="G1544" i="1" s="1"/>
  <c r="B1544" i="1"/>
  <c r="D1544" i="1" s="1"/>
  <c r="AE1543" i="1"/>
  <c r="AG1543" i="1" s="1"/>
  <c r="AB1543" i="1"/>
  <c r="AD1543" i="1" s="1"/>
  <c r="Y1543" i="1"/>
  <c r="AA1543" i="1" s="1"/>
  <c r="V1543" i="1"/>
  <c r="X1543" i="1" s="1"/>
  <c r="S1543" i="1"/>
  <c r="U1543" i="1" s="1"/>
  <c r="L1543" i="1"/>
  <c r="N1543" i="1" s="1"/>
  <c r="H1543" i="1"/>
  <c r="J1543" i="1" s="1"/>
  <c r="E1543" i="1"/>
  <c r="G1543" i="1" s="1"/>
  <c r="B1543" i="1"/>
  <c r="D1543" i="1" s="1"/>
  <c r="AE1542" i="1"/>
  <c r="AG1542" i="1" s="1"/>
  <c r="AB1542" i="1"/>
  <c r="AD1542" i="1" s="1"/>
  <c r="Y1542" i="1"/>
  <c r="AA1542" i="1" s="1"/>
  <c r="V1542" i="1"/>
  <c r="X1542" i="1" s="1"/>
  <c r="S1542" i="1"/>
  <c r="U1542" i="1" s="1"/>
  <c r="L1542" i="1"/>
  <c r="N1542" i="1" s="1"/>
  <c r="H1542" i="1"/>
  <c r="J1542" i="1" s="1"/>
  <c r="E1542" i="1"/>
  <c r="G1542" i="1" s="1"/>
  <c r="B1542" i="1"/>
  <c r="D1542" i="1" s="1"/>
  <c r="AE1541" i="1"/>
  <c r="AG1541" i="1" s="1"/>
  <c r="AB1541" i="1"/>
  <c r="AD1541" i="1" s="1"/>
  <c r="Y1541" i="1"/>
  <c r="AA1541" i="1" s="1"/>
  <c r="V1541" i="1"/>
  <c r="X1541" i="1" s="1"/>
  <c r="S1541" i="1"/>
  <c r="U1541" i="1" s="1"/>
  <c r="L1541" i="1"/>
  <c r="N1541" i="1" s="1"/>
  <c r="H1541" i="1"/>
  <c r="J1541" i="1" s="1"/>
  <c r="E1541" i="1"/>
  <c r="G1541" i="1" s="1"/>
  <c r="B1541" i="1"/>
  <c r="D1541" i="1" s="1"/>
  <c r="AE1540" i="1"/>
  <c r="AG1540" i="1" s="1"/>
  <c r="AB1540" i="1"/>
  <c r="AD1540" i="1" s="1"/>
  <c r="Y1540" i="1"/>
  <c r="AA1540" i="1" s="1"/>
  <c r="V1540" i="1"/>
  <c r="X1540" i="1" s="1"/>
  <c r="S1540" i="1"/>
  <c r="U1540" i="1" s="1"/>
  <c r="L1540" i="1"/>
  <c r="N1540" i="1" s="1"/>
  <c r="H1540" i="1"/>
  <c r="J1540" i="1" s="1"/>
  <c r="E1540" i="1"/>
  <c r="G1540" i="1" s="1"/>
  <c r="B1540" i="1"/>
  <c r="D1540" i="1" s="1"/>
  <c r="AE1539" i="1"/>
  <c r="AG1539" i="1" s="1"/>
  <c r="AB1539" i="1"/>
  <c r="AD1539" i="1" s="1"/>
  <c r="Y1539" i="1"/>
  <c r="AA1539" i="1" s="1"/>
  <c r="V1539" i="1"/>
  <c r="X1539" i="1" s="1"/>
  <c r="S1539" i="1"/>
  <c r="U1539" i="1" s="1"/>
  <c r="L1539" i="1"/>
  <c r="N1539" i="1" s="1"/>
  <c r="H1539" i="1"/>
  <c r="J1539" i="1" s="1"/>
  <c r="E1539" i="1"/>
  <c r="G1539" i="1" s="1"/>
  <c r="B1539" i="1"/>
  <c r="D1539" i="1" s="1"/>
  <c r="AE1538" i="1"/>
  <c r="AG1538" i="1" s="1"/>
  <c r="AB1538" i="1"/>
  <c r="AD1538" i="1" s="1"/>
  <c r="Y1538" i="1"/>
  <c r="AA1538" i="1" s="1"/>
  <c r="V1538" i="1"/>
  <c r="X1538" i="1" s="1"/>
  <c r="S1538" i="1"/>
  <c r="U1538" i="1" s="1"/>
  <c r="L1538" i="1"/>
  <c r="N1538" i="1" s="1"/>
  <c r="H1538" i="1"/>
  <c r="J1538" i="1" s="1"/>
  <c r="E1538" i="1"/>
  <c r="G1538" i="1" s="1"/>
  <c r="B1538" i="1"/>
  <c r="D1538" i="1" s="1"/>
  <c r="AE1537" i="1"/>
  <c r="AG1537" i="1" s="1"/>
  <c r="AB1537" i="1"/>
  <c r="AD1537" i="1" s="1"/>
  <c r="Y1537" i="1"/>
  <c r="AA1537" i="1" s="1"/>
  <c r="V1537" i="1"/>
  <c r="X1537" i="1" s="1"/>
  <c r="S1537" i="1"/>
  <c r="U1537" i="1" s="1"/>
  <c r="L1537" i="1"/>
  <c r="N1537" i="1" s="1"/>
  <c r="H1537" i="1"/>
  <c r="J1537" i="1" s="1"/>
  <c r="E1537" i="1"/>
  <c r="G1537" i="1" s="1"/>
  <c r="B1537" i="1"/>
  <c r="D1537" i="1" s="1"/>
  <c r="AE1536" i="1"/>
  <c r="AG1536" i="1" s="1"/>
  <c r="AB1536" i="1"/>
  <c r="AD1536" i="1" s="1"/>
  <c r="Y1536" i="1"/>
  <c r="AA1536" i="1" s="1"/>
  <c r="V1536" i="1"/>
  <c r="X1536" i="1" s="1"/>
  <c r="S1536" i="1"/>
  <c r="U1536" i="1" s="1"/>
  <c r="L1536" i="1"/>
  <c r="N1536" i="1" s="1"/>
  <c r="H1536" i="1"/>
  <c r="J1536" i="1" s="1"/>
  <c r="E1536" i="1"/>
  <c r="G1536" i="1" s="1"/>
  <c r="B1536" i="1"/>
  <c r="D1536" i="1" s="1"/>
  <c r="AE1535" i="1"/>
  <c r="AG1535" i="1" s="1"/>
  <c r="AB1535" i="1"/>
  <c r="AD1535" i="1" s="1"/>
  <c r="Y1535" i="1"/>
  <c r="AA1535" i="1" s="1"/>
  <c r="V1535" i="1"/>
  <c r="X1535" i="1" s="1"/>
  <c r="S1535" i="1"/>
  <c r="U1535" i="1" s="1"/>
  <c r="L1535" i="1"/>
  <c r="N1535" i="1" s="1"/>
  <c r="H1535" i="1"/>
  <c r="J1535" i="1" s="1"/>
  <c r="E1535" i="1"/>
  <c r="G1535" i="1" s="1"/>
  <c r="B1535" i="1"/>
  <c r="D1535" i="1" s="1"/>
  <c r="AE1534" i="1"/>
  <c r="AG1534" i="1" s="1"/>
  <c r="AB1534" i="1"/>
  <c r="AD1534" i="1" s="1"/>
  <c r="Y1534" i="1"/>
  <c r="AA1534" i="1" s="1"/>
  <c r="V1534" i="1"/>
  <c r="X1534" i="1" s="1"/>
  <c r="S1534" i="1"/>
  <c r="U1534" i="1" s="1"/>
  <c r="L1534" i="1"/>
  <c r="N1534" i="1" s="1"/>
  <c r="H1534" i="1"/>
  <c r="J1534" i="1" s="1"/>
  <c r="E1534" i="1"/>
  <c r="G1534" i="1" s="1"/>
  <c r="B1534" i="1"/>
  <c r="D1534" i="1" s="1"/>
  <c r="AE1533" i="1"/>
  <c r="AG1533" i="1" s="1"/>
  <c r="AB1533" i="1"/>
  <c r="AD1533" i="1" s="1"/>
  <c r="Y1533" i="1"/>
  <c r="AA1533" i="1" s="1"/>
  <c r="V1533" i="1"/>
  <c r="X1533" i="1" s="1"/>
  <c r="S1533" i="1"/>
  <c r="U1533" i="1" s="1"/>
  <c r="L1533" i="1"/>
  <c r="N1533" i="1" s="1"/>
  <c r="H1533" i="1"/>
  <c r="J1533" i="1" s="1"/>
  <c r="E1533" i="1"/>
  <c r="G1533" i="1" s="1"/>
  <c r="B1533" i="1"/>
  <c r="D1533" i="1" s="1"/>
  <c r="AE1532" i="1"/>
  <c r="AG1532" i="1" s="1"/>
  <c r="AB1532" i="1"/>
  <c r="AD1532" i="1" s="1"/>
  <c r="Y1532" i="1"/>
  <c r="AA1532" i="1" s="1"/>
  <c r="V1532" i="1"/>
  <c r="X1532" i="1" s="1"/>
  <c r="S1532" i="1"/>
  <c r="U1532" i="1" s="1"/>
  <c r="N1532" i="1"/>
  <c r="L1532" i="1"/>
  <c r="H1532" i="1"/>
  <c r="J1532" i="1" s="1"/>
  <c r="E1532" i="1"/>
  <c r="G1532" i="1" s="1"/>
  <c r="B1532" i="1"/>
  <c r="D1532" i="1" s="1"/>
  <c r="AE1531" i="1"/>
  <c r="AG1531" i="1" s="1"/>
  <c r="AB1531" i="1"/>
  <c r="AD1531" i="1" s="1"/>
  <c r="Y1531" i="1"/>
  <c r="AA1531" i="1" s="1"/>
  <c r="V1531" i="1"/>
  <c r="X1531" i="1" s="1"/>
  <c r="S1531" i="1"/>
  <c r="U1531" i="1" s="1"/>
  <c r="L1531" i="1"/>
  <c r="N1531" i="1" s="1"/>
  <c r="H1531" i="1"/>
  <c r="J1531" i="1" s="1"/>
  <c r="E1531" i="1"/>
  <c r="G1531" i="1" s="1"/>
  <c r="B1531" i="1"/>
  <c r="D1531" i="1" s="1"/>
  <c r="AE1530" i="1"/>
  <c r="AG1530" i="1" s="1"/>
  <c r="AB1530" i="1"/>
  <c r="AD1530" i="1" s="1"/>
  <c r="Y1530" i="1"/>
  <c r="AA1530" i="1" s="1"/>
  <c r="V1530" i="1"/>
  <c r="X1530" i="1" s="1"/>
  <c r="S1530" i="1"/>
  <c r="U1530" i="1" s="1"/>
  <c r="L1530" i="1"/>
  <c r="N1530" i="1" s="1"/>
  <c r="H1530" i="1"/>
  <c r="J1530" i="1" s="1"/>
  <c r="E1530" i="1"/>
  <c r="G1530" i="1" s="1"/>
  <c r="B1530" i="1"/>
  <c r="D1530" i="1" s="1"/>
  <c r="AE1529" i="1"/>
  <c r="AG1529" i="1" s="1"/>
  <c r="AB1529" i="1"/>
  <c r="AD1529" i="1" s="1"/>
  <c r="Y1529" i="1"/>
  <c r="AA1529" i="1" s="1"/>
  <c r="V1529" i="1"/>
  <c r="X1529" i="1" s="1"/>
  <c r="S1529" i="1"/>
  <c r="U1529" i="1" s="1"/>
  <c r="L1529" i="1"/>
  <c r="N1529" i="1" s="1"/>
  <c r="H1529" i="1"/>
  <c r="J1529" i="1" s="1"/>
  <c r="E1529" i="1"/>
  <c r="G1529" i="1" s="1"/>
  <c r="B1529" i="1"/>
  <c r="D1529" i="1" s="1"/>
  <c r="AE1528" i="1"/>
  <c r="AG1528" i="1" s="1"/>
  <c r="AB1528" i="1"/>
  <c r="AD1528" i="1" s="1"/>
  <c r="Y1528" i="1"/>
  <c r="AA1528" i="1" s="1"/>
  <c r="V1528" i="1"/>
  <c r="X1528" i="1" s="1"/>
  <c r="S1528" i="1"/>
  <c r="U1528" i="1" s="1"/>
  <c r="L1528" i="1"/>
  <c r="N1528" i="1" s="1"/>
  <c r="H1528" i="1"/>
  <c r="J1528" i="1" s="1"/>
  <c r="E1528" i="1"/>
  <c r="G1528" i="1" s="1"/>
  <c r="B1528" i="1"/>
  <c r="D1528" i="1" s="1"/>
  <c r="AE1527" i="1"/>
  <c r="AG1527" i="1" s="1"/>
  <c r="AB1527" i="1"/>
  <c r="AD1527" i="1" s="1"/>
  <c r="Y1527" i="1"/>
  <c r="AA1527" i="1" s="1"/>
  <c r="V1527" i="1"/>
  <c r="X1527" i="1" s="1"/>
  <c r="S1527" i="1"/>
  <c r="U1527" i="1" s="1"/>
  <c r="L1527" i="1"/>
  <c r="N1527" i="1" s="1"/>
  <c r="H1527" i="1"/>
  <c r="J1527" i="1" s="1"/>
  <c r="E1527" i="1"/>
  <c r="G1527" i="1" s="1"/>
  <c r="B1527" i="1"/>
  <c r="D1527" i="1" s="1"/>
  <c r="AE1526" i="1"/>
  <c r="AG1526" i="1" s="1"/>
  <c r="AB1526" i="1"/>
  <c r="AD1526" i="1" s="1"/>
  <c r="Y1526" i="1"/>
  <c r="V1526" i="1"/>
  <c r="X1526" i="1" s="1"/>
  <c r="S1526" i="1"/>
  <c r="U1526" i="1" s="1"/>
  <c r="L1526" i="1"/>
  <c r="N1526" i="1" s="1"/>
  <c r="H1526" i="1"/>
  <c r="J1526" i="1" s="1"/>
  <c r="E1526" i="1"/>
  <c r="G1526" i="1" s="1"/>
  <c r="B1526" i="1"/>
  <c r="D1526" i="1" s="1"/>
  <c r="AE1525" i="1"/>
  <c r="AG1525" i="1" s="1"/>
  <c r="AB1525" i="1"/>
  <c r="AD1525" i="1" s="1"/>
  <c r="Y1525" i="1"/>
  <c r="V1525" i="1"/>
  <c r="X1525" i="1" s="1"/>
  <c r="S1525" i="1"/>
  <c r="U1525" i="1" s="1"/>
  <c r="L1525" i="1"/>
  <c r="N1525" i="1" s="1"/>
  <c r="H1525" i="1"/>
  <c r="J1525" i="1" s="1"/>
  <c r="G1525" i="1"/>
  <c r="E1525" i="1"/>
  <c r="B1525" i="1"/>
  <c r="D1525" i="1" s="1"/>
  <c r="AE1524" i="1"/>
  <c r="AG1524" i="1" s="1"/>
  <c r="AB1524" i="1"/>
  <c r="AD1524" i="1" s="1"/>
  <c r="Y1524" i="1"/>
  <c r="V1524" i="1"/>
  <c r="X1524" i="1" s="1"/>
  <c r="S1524" i="1"/>
  <c r="U1524" i="1" s="1"/>
  <c r="L1524" i="1"/>
  <c r="N1524" i="1" s="1"/>
  <c r="H1524" i="1"/>
  <c r="J1524" i="1" s="1"/>
  <c r="E1524" i="1"/>
  <c r="G1524" i="1" s="1"/>
  <c r="B1524" i="1"/>
  <c r="D1524" i="1" s="1"/>
  <c r="AE1523" i="1"/>
  <c r="AG1523" i="1" s="1"/>
  <c r="AB1523" i="1"/>
  <c r="AD1523" i="1" s="1"/>
  <c r="Y1523" i="1"/>
  <c r="AA1523" i="1" s="1"/>
  <c r="V1523" i="1"/>
  <c r="X1523" i="1" s="1"/>
  <c r="S1523" i="1"/>
  <c r="U1523" i="1" s="1"/>
  <c r="L1523" i="1"/>
  <c r="N1523" i="1" s="1"/>
  <c r="H1523" i="1"/>
  <c r="J1523" i="1" s="1"/>
  <c r="E1523" i="1"/>
  <c r="G1523" i="1" s="1"/>
  <c r="B1523" i="1"/>
  <c r="D1523" i="1" s="1"/>
  <c r="AE1522" i="1"/>
  <c r="AG1522" i="1" s="1"/>
  <c r="AB1522" i="1"/>
  <c r="AD1522" i="1" s="1"/>
  <c r="Y1522" i="1"/>
  <c r="AA1522" i="1" s="1"/>
  <c r="V1522" i="1"/>
  <c r="X1522" i="1" s="1"/>
  <c r="S1522" i="1"/>
  <c r="U1522" i="1" s="1"/>
  <c r="L1522" i="1"/>
  <c r="N1522" i="1" s="1"/>
  <c r="H1522" i="1"/>
  <c r="J1522" i="1" s="1"/>
  <c r="E1522" i="1"/>
  <c r="G1522" i="1" s="1"/>
  <c r="B1522" i="1"/>
  <c r="D1522" i="1" s="1"/>
  <c r="AE1521" i="1"/>
  <c r="AG1521" i="1" s="1"/>
  <c r="AB1521" i="1"/>
  <c r="AD1521" i="1" s="1"/>
  <c r="Y1521" i="1"/>
  <c r="AA1521" i="1" s="1"/>
  <c r="V1521" i="1"/>
  <c r="X1521" i="1" s="1"/>
  <c r="S1521" i="1"/>
  <c r="U1521" i="1" s="1"/>
  <c r="L1521" i="1"/>
  <c r="N1521" i="1" s="1"/>
  <c r="H1521" i="1"/>
  <c r="J1521" i="1" s="1"/>
  <c r="E1521" i="1"/>
  <c r="G1521" i="1" s="1"/>
  <c r="B1521" i="1"/>
  <c r="D1521" i="1" s="1"/>
  <c r="AE1520" i="1"/>
  <c r="AG1520" i="1" s="1"/>
  <c r="AB1520" i="1"/>
  <c r="AD1520" i="1" s="1"/>
  <c r="Y1520" i="1"/>
  <c r="AA1520" i="1" s="1"/>
  <c r="V1520" i="1"/>
  <c r="X1520" i="1" s="1"/>
  <c r="S1520" i="1"/>
  <c r="U1520" i="1" s="1"/>
  <c r="L1520" i="1"/>
  <c r="N1520" i="1" s="1"/>
  <c r="H1520" i="1"/>
  <c r="J1520" i="1" s="1"/>
  <c r="E1520" i="1"/>
  <c r="G1520" i="1" s="1"/>
  <c r="B1520" i="1"/>
  <c r="D1520" i="1" s="1"/>
  <c r="AE1519" i="1"/>
  <c r="AG1519" i="1" s="1"/>
  <c r="AB1519" i="1"/>
  <c r="AD1519" i="1" s="1"/>
  <c r="Y1519" i="1"/>
  <c r="AA1519" i="1" s="1"/>
  <c r="V1519" i="1"/>
  <c r="X1519" i="1" s="1"/>
  <c r="S1519" i="1"/>
  <c r="U1519" i="1" s="1"/>
  <c r="L1519" i="1"/>
  <c r="N1519" i="1" s="1"/>
  <c r="H1519" i="1"/>
  <c r="J1519" i="1" s="1"/>
  <c r="E1519" i="1"/>
  <c r="G1519" i="1" s="1"/>
  <c r="B1519" i="1"/>
  <c r="D1519" i="1" s="1"/>
  <c r="AE1518" i="1"/>
  <c r="AG1518" i="1" s="1"/>
  <c r="AB1518" i="1"/>
  <c r="AD1518" i="1" s="1"/>
  <c r="Y1518" i="1"/>
  <c r="AA1518" i="1" s="1"/>
  <c r="V1518" i="1"/>
  <c r="X1518" i="1" s="1"/>
  <c r="S1518" i="1"/>
  <c r="U1518" i="1" s="1"/>
  <c r="L1518" i="1"/>
  <c r="N1518" i="1" s="1"/>
  <c r="H1518" i="1"/>
  <c r="J1518" i="1" s="1"/>
  <c r="E1518" i="1"/>
  <c r="G1518" i="1" s="1"/>
  <c r="B1518" i="1"/>
  <c r="D1518" i="1" s="1"/>
  <c r="AE1517" i="1"/>
  <c r="AG1517" i="1" s="1"/>
  <c r="AB1517" i="1"/>
  <c r="AD1517" i="1" s="1"/>
  <c r="Y1517" i="1"/>
  <c r="AA1517" i="1" s="1"/>
  <c r="X1517" i="1"/>
  <c r="S1517" i="1"/>
  <c r="U1517" i="1" s="1"/>
  <c r="L1517" i="1"/>
  <c r="N1517" i="1" s="1"/>
  <c r="H1517" i="1"/>
  <c r="J1517" i="1" s="1"/>
  <c r="E1517" i="1"/>
  <c r="G1517" i="1" s="1"/>
  <c r="B1517" i="1"/>
  <c r="D1517" i="1" s="1"/>
  <c r="AE1516" i="1"/>
  <c r="AG1516" i="1" s="1"/>
  <c r="AB1516" i="1"/>
  <c r="AD1516" i="1" s="1"/>
  <c r="Y1516" i="1"/>
  <c r="AA1516" i="1" s="1"/>
  <c r="L1516" i="1"/>
  <c r="N1516" i="1" s="1"/>
  <c r="H1516" i="1"/>
  <c r="J1516" i="1" s="1"/>
  <c r="E1516" i="1"/>
  <c r="G1516" i="1" s="1"/>
  <c r="B1516" i="1"/>
  <c r="D1516" i="1" s="1"/>
  <c r="AE1515" i="1"/>
  <c r="AG1515" i="1" s="1"/>
  <c r="AB1515" i="1"/>
  <c r="AD1515" i="1" s="1"/>
  <c r="Y1515" i="1"/>
  <c r="AA1515" i="1" s="1"/>
  <c r="L1515" i="1"/>
  <c r="N1515" i="1" s="1"/>
  <c r="H1515" i="1"/>
  <c r="J1515" i="1" s="1"/>
  <c r="E1515" i="1"/>
  <c r="G1515" i="1" s="1"/>
  <c r="B1515" i="1"/>
  <c r="D1515" i="1" s="1"/>
  <c r="AE1514" i="1"/>
  <c r="AG1514" i="1" s="1"/>
  <c r="AB1514" i="1"/>
  <c r="AD1514" i="1" s="1"/>
  <c r="Y1514" i="1"/>
  <c r="AA1514" i="1" s="1"/>
  <c r="L1514" i="1"/>
  <c r="N1514" i="1" s="1"/>
  <c r="H1514" i="1"/>
  <c r="J1514" i="1" s="1"/>
  <c r="E1514" i="1"/>
  <c r="G1514" i="1" s="1"/>
  <c r="B1514" i="1"/>
  <c r="D1514" i="1" s="1"/>
  <c r="AE1513" i="1"/>
  <c r="AG1513" i="1" s="1"/>
  <c r="AB1513" i="1"/>
  <c r="AD1513" i="1" s="1"/>
  <c r="Y1513" i="1"/>
  <c r="AA1513" i="1" s="1"/>
  <c r="L1513" i="1"/>
  <c r="N1513" i="1" s="1"/>
  <c r="H1513" i="1"/>
  <c r="J1513" i="1" s="1"/>
  <c r="E1513" i="1"/>
  <c r="G1513" i="1" s="1"/>
  <c r="B1513" i="1"/>
  <c r="D1513" i="1" s="1"/>
  <c r="AE1512" i="1"/>
  <c r="AG1512" i="1" s="1"/>
  <c r="AB1512" i="1"/>
  <c r="AD1512" i="1" s="1"/>
  <c r="Y1512" i="1"/>
  <c r="AA1512" i="1" s="1"/>
  <c r="L1512" i="1"/>
  <c r="N1512" i="1" s="1"/>
  <c r="H1512" i="1"/>
  <c r="J1512" i="1" s="1"/>
  <c r="E1512" i="1"/>
  <c r="G1512" i="1" s="1"/>
  <c r="B1512" i="1"/>
  <c r="D1512" i="1" s="1"/>
  <c r="AE1511" i="1"/>
  <c r="AG1511" i="1" s="1"/>
  <c r="AB1511" i="1"/>
  <c r="AD1511" i="1" s="1"/>
  <c r="Y1511" i="1"/>
  <c r="AA1511" i="1" s="1"/>
  <c r="L1511" i="1"/>
  <c r="N1511" i="1" s="1"/>
  <c r="H1511" i="1"/>
  <c r="J1511" i="1" s="1"/>
  <c r="E1511" i="1"/>
  <c r="G1511" i="1" s="1"/>
  <c r="B1511" i="1"/>
  <c r="D1511" i="1" s="1"/>
  <c r="AE1510" i="1"/>
  <c r="AG1510" i="1" s="1"/>
  <c r="AB1510" i="1"/>
  <c r="AD1510" i="1" s="1"/>
  <c r="Y1510" i="1"/>
  <c r="AA1510" i="1" s="1"/>
  <c r="V1510" i="1"/>
  <c r="X1510" i="1" s="1"/>
  <c r="L1510" i="1"/>
  <c r="N1510" i="1" s="1"/>
  <c r="H1510" i="1"/>
  <c r="J1510" i="1" s="1"/>
  <c r="E1510" i="1"/>
  <c r="G1510" i="1" s="1"/>
  <c r="B1510" i="1"/>
  <c r="D1510" i="1" s="1"/>
  <c r="AE1509" i="1"/>
  <c r="AG1509" i="1" s="1"/>
  <c r="AH1509" i="1" s="1"/>
  <c r="AB1509" i="1"/>
  <c r="AD1509" i="1" s="1"/>
  <c r="Y1509" i="1"/>
  <c r="AA1509" i="1" s="1"/>
  <c r="V1509" i="1"/>
  <c r="X1509" i="1" s="1"/>
  <c r="L1509" i="1"/>
  <c r="N1509" i="1" s="1"/>
  <c r="H1509" i="1"/>
  <c r="J1509" i="1" s="1"/>
  <c r="G1509" i="1"/>
  <c r="E1509" i="1"/>
  <c r="B1509" i="1"/>
  <c r="D1509" i="1" s="1"/>
  <c r="AE1508" i="1"/>
  <c r="AG1508" i="1" s="1"/>
  <c r="AB1508" i="1"/>
  <c r="AD1508" i="1" s="1"/>
  <c r="Y1508" i="1"/>
  <c r="AA1508" i="1" s="1"/>
  <c r="V1508" i="1"/>
  <c r="X1508" i="1" s="1"/>
  <c r="S1508" i="1"/>
  <c r="U1508" i="1" s="1"/>
  <c r="N1508" i="1"/>
  <c r="L1508" i="1"/>
  <c r="H1508" i="1"/>
  <c r="J1508" i="1" s="1"/>
  <c r="E1508" i="1"/>
  <c r="G1508" i="1" s="1"/>
  <c r="B1508" i="1"/>
  <c r="D1508" i="1" s="1"/>
  <c r="AE1507" i="1"/>
  <c r="AG1507" i="1" s="1"/>
  <c r="AB1507" i="1"/>
  <c r="AD1507" i="1" s="1"/>
  <c r="Y1507" i="1"/>
  <c r="AA1507" i="1" s="1"/>
  <c r="V1507" i="1"/>
  <c r="X1507" i="1" s="1"/>
  <c r="S1507" i="1"/>
  <c r="U1507" i="1" s="1"/>
  <c r="L1507" i="1"/>
  <c r="N1507" i="1" s="1"/>
  <c r="H1507" i="1"/>
  <c r="J1507" i="1" s="1"/>
  <c r="E1507" i="1"/>
  <c r="G1507" i="1" s="1"/>
  <c r="B1507" i="1"/>
  <c r="D1507" i="1" s="1"/>
  <c r="AE1506" i="1"/>
  <c r="AG1506" i="1" s="1"/>
  <c r="AB1506" i="1"/>
  <c r="AD1506" i="1" s="1"/>
  <c r="Y1506" i="1"/>
  <c r="AA1506" i="1" s="1"/>
  <c r="V1506" i="1"/>
  <c r="X1506" i="1" s="1"/>
  <c r="S1506" i="1"/>
  <c r="U1506" i="1" s="1"/>
  <c r="L1506" i="1"/>
  <c r="N1506" i="1" s="1"/>
  <c r="H1506" i="1"/>
  <c r="J1506" i="1" s="1"/>
  <c r="E1506" i="1"/>
  <c r="G1506" i="1" s="1"/>
  <c r="B1506" i="1"/>
  <c r="D1506" i="1" s="1"/>
  <c r="AE1505" i="1"/>
  <c r="AG1505" i="1" s="1"/>
  <c r="AB1505" i="1"/>
  <c r="AD1505" i="1" s="1"/>
  <c r="Y1505" i="1"/>
  <c r="AA1505" i="1" s="1"/>
  <c r="V1505" i="1"/>
  <c r="X1505" i="1" s="1"/>
  <c r="S1505" i="1"/>
  <c r="U1505" i="1" s="1"/>
  <c r="L1505" i="1"/>
  <c r="N1505" i="1" s="1"/>
  <c r="H1505" i="1"/>
  <c r="J1505" i="1" s="1"/>
  <c r="E1505" i="1"/>
  <c r="G1505" i="1" s="1"/>
  <c r="B1505" i="1"/>
  <c r="D1505" i="1" s="1"/>
  <c r="AE1504" i="1"/>
  <c r="AG1504" i="1" s="1"/>
  <c r="AB1504" i="1"/>
  <c r="AD1504" i="1" s="1"/>
  <c r="Y1504" i="1"/>
  <c r="AA1504" i="1" s="1"/>
  <c r="V1504" i="1"/>
  <c r="X1504" i="1" s="1"/>
  <c r="S1504" i="1"/>
  <c r="U1504" i="1" s="1"/>
  <c r="L1504" i="1"/>
  <c r="N1504" i="1" s="1"/>
  <c r="H1504" i="1"/>
  <c r="J1504" i="1" s="1"/>
  <c r="E1504" i="1"/>
  <c r="G1504" i="1" s="1"/>
  <c r="B1504" i="1"/>
  <c r="D1504" i="1" s="1"/>
  <c r="AE1503" i="1"/>
  <c r="AG1503" i="1" s="1"/>
  <c r="AB1503" i="1"/>
  <c r="AD1503" i="1" s="1"/>
  <c r="Y1503" i="1"/>
  <c r="AA1503" i="1" s="1"/>
  <c r="V1503" i="1"/>
  <c r="X1503" i="1" s="1"/>
  <c r="S1503" i="1"/>
  <c r="U1503" i="1" s="1"/>
  <c r="L1503" i="1"/>
  <c r="N1503" i="1" s="1"/>
  <c r="H1503" i="1"/>
  <c r="J1503" i="1" s="1"/>
  <c r="E1503" i="1"/>
  <c r="G1503" i="1" s="1"/>
  <c r="B1503" i="1"/>
  <c r="D1503" i="1" s="1"/>
  <c r="AE1502" i="1"/>
  <c r="AG1502" i="1" s="1"/>
  <c r="AH1502" i="1" s="1"/>
  <c r="AB1502" i="1"/>
  <c r="AD1502" i="1" s="1"/>
  <c r="Y1502" i="1"/>
  <c r="AA1502" i="1" s="1"/>
  <c r="V1502" i="1"/>
  <c r="X1502" i="1" s="1"/>
  <c r="S1502" i="1"/>
  <c r="U1502" i="1" s="1"/>
  <c r="L1502" i="1"/>
  <c r="N1502" i="1" s="1"/>
  <c r="H1502" i="1"/>
  <c r="J1502" i="1" s="1"/>
  <c r="E1502" i="1"/>
  <c r="G1502" i="1" s="1"/>
  <c r="B1502" i="1"/>
  <c r="D1502" i="1" s="1"/>
  <c r="AE1501" i="1"/>
  <c r="AG1501" i="1" s="1"/>
  <c r="AB1501" i="1"/>
  <c r="AD1501" i="1" s="1"/>
  <c r="Y1501" i="1"/>
  <c r="AA1501" i="1" s="1"/>
  <c r="V1501" i="1"/>
  <c r="X1501" i="1" s="1"/>
  <c r="S1501" i="1"/>
  <c r="U1501" i="1" s="1"/>
  <c r="L1501" i="1"/>
  <c r="N1501" i="1" s="1"/>
  <c r="H1501" i="1"/>
  <c r="J1501" i="1" s="1"/>
  <c r="E1501" i="1"/>
  <c r="G1501" i="1" s="1"/>
  <c r="B1501" i="1"/>
  <c r="D1501" i="1" s="1"/>
  <c r="AE1500" i="1"/>
  <c r="AG1500" i="1" s="1"/>
  <c r="AB1500" i="1"/>
  <c r="AD1500" i="1" s="1"/>
  <c r="Y1500" i="1"/>
  <c r="AA1500" i="1" s="1"/>
  <c r="V1500" i="1"/>
  <c r="X1500" i="1" s="1"/>
  <c r="S1500" i="1"/>
  <c r="U1500" i="1" s="1"/>
  <c r="L1500" i="1"/>
  <c r="N1500" i="1" s="1"/>
  <c r="H1500" i="1"/>
  <c r="J1500" i="1" s="1"/>
  <c r="E1500" i="1"/>
  <c r="G1500" i="1" s="1"/>
  <c r="B1500" i="1"/>
  <c r="D1500" i="1" s="1"/>
  <c r="AE1499" i="1"/>
  <c r="AG1499" i="1" s="1"/>
  <c r="AB1499" i="1"/>
  <c r="AD1499" i="1" s="1"/>
  <c r="Y1499" i="1"/>
  <c r="AA1499" i="1" s="1"/>
  <c r="V1499" i="1"/>
  <c r="X1499" i="1" s="1"/>
  <c r="S1499" i="1"/>
  <c r="U1499" i="1" s="1"/>
  <c r="L1499" i="1"/>
  <c r="N1499" i="1" s="1"/>
  <c r="H1499" i="1"/>
  <c r="J1499" i="1" s="1"/>
  <c r="E1499" i="1"/>
  <c r="G1499" i="1" s="1"/>
  <c r="B1499" i="1"/>
  <c r="D1499" i="1" s="1"/>
  <c r="AE1498" i="1"/>
  <c r="AG1498" i="1" s="1"/>
  <c r="AB1498" i="1"/>
  <c r="AD1498" i="1" s="1"/>
  <c r="Y1498" i="1"/>
  <c r="AA1498" i="1" s="1"/>
  <c r="V1498" i="1"/>
  <c r="X1498" i="1" s="1"/>
  <c r="S1498" i="1"/>
  <c r="U1498" i="1" s="1"/>
  <c r="L1498" i="1"/>
  <c r="N1498" i="1" s="1"/>
  <c r="H1498" i="1"/>
  <c r="J1498" i="1" s="1"/>
  <c r="E1498" i="1"/>
  <c r="G1498" i="1" s="1"/>
  <c r="B1498" i="1"/>
  <c r="D1498" i="1" s="1"/>
  <c r="AE1497" i="1"/>
  <c r="AG1497" i="1" s="1"/>
  <c r="AB1497" i="1"/>
  <c r="AD1497" i="1" s="1"/>
  <c r="Y1497" i="1"/>
  <c r="AA1497" i="1" s="1"/>
  <c r="V1497" i="1"/>
  <c r="X1497" i="1" s="1"/>
  <c r="S1497" i="1"/>
  <c r="U1497" i="1" s="1"/>
  <c r="L1497" i="1"/>
  <c r="N1497" i="1" s="1"/>
  <c r="H1497" i="1"/>
  <c r="J1497" i="1" s="1"/>
  <c r="E1497" i="1"/>
  <c r="G1497" i="1" s="1"/>
  <c r="B1497" i="1"/>
  <c r="D1497" i="1" s="1"/>
  <c r="AE1496" i="1"/>
  <c r="AG1496" i="1" s="1"/>
  <c r="AB1496" i="1"/>
  <c r="AD1496" i="1" s="1"/>
  <c r="Y1496" i="1"/>
  <c r="AA1496" i="1" s="1"/>
  <c r="V1496" i="1"/>
  <c r="X1496" i="1" s="1"/>
  <c r="S1496" i="1"/>
  <c r="U1496" i="1" s="1"/>
  <c r="L1496" i="1"/>
  <c r="N1496" i="1" s="1"/>
  <c r="H1496" i="1"/>
  <c r="J1496" i="1" s="1"/>
  <c r="E1496" i="1"/>
  <c r="G1496" i="1" s="1"/>
  <c r="B1496" i="1"/>
  <c r="D1496" i="1" s="1"/>
  <c r="AE1495" i="1"/>
  <c r="AG1495" i="1" s="1"/>
  <c r="AB1495" i="1"/>
  <c r="AD1495" i="1" s="1"/>
  <c r="Y1495" i="1"/>
  <c r="AA1495" i="1" s="1"/>
  <c r="V1495" i="1"/>
  <c r="X1495" i="1" s="1"/>
  <c r="S1495" i="1"/>
  <c r="U1495" i="1" s="1"/>
  <c r="L1495" i="1"/>
  <c r="N1495" i="1" s="1"/>
  <c r="H1495" i="1"/>
  <c r="J1495" i="1" s="1"/>
  <c r="E1495" i="1"/>
  <c r="G1495" i="1" s="1"/>
  <c r="B1495" i="1"/>
  <c r="D1495" i="1" s="1"/>
  <c r="AE1494" i="1"/>
  <c r="AG1494" i="1" s="1"/>
  <c r="AB1494" i="1"/>
  <c r="AD1494" i="1" s="1"/>
  <c r="Y1494" i="1"/>
  <c r="AA1494" i="1" s="1"/>
  <c r="V1494" i="1"/>
  <c r="X1494" i="1" s="1"/>
  <c r="S1494" i="1"/>
  <c r="U1494" i="1" s="1"/>
  <c r="L1494" i="1"/>
  <c r="N1494" i="1" s="1"/>
  <c r="H1494" i="1"/>
  <c r="J1494" i="1" s="1"/>
  <c r="E1494" i="1"/>
  <c r="G1494" i="1" s="1"/>
  <c r="B1494" i="1"/>
  <c r="D1494" i="1" s="1"/>
  <c r="AE1493" i="1"/>
  <c r="AG1493" i="1" s="1"/>
  <c r="AB1493" i="1"/>
  <c r="AD1493" i="1" s="1"/>
  <c r="Y1493" i="1"/>
  <c r="AA1493" i="1" s="1"/>
  <c r="V1493" i="1"/>
  <c r="X1493" i="1" s="1"/>
  <c r="S1493" i="1"/>
  <c r="U1493" i="1" s="1"/>
  <c r="L1493" i="1"/>
  <c r="N1493" i="1" s="1"/>
  <c r="H1493" i="1"/>
  <c r="J1493" i="1" s="1"/>
  <c r="E1493" i="1"/>
  <c r="G1493" i="1" s="1"/>
  <c r="B1493" i="1"/>
  <c r="D1493" i="1" s="1"/>
  <c r="AE1492" i="1"/>
  <c r="AG1492" i="1" s="1"/>
  <c r="AB1492" i="1"/>
  <c r="AD1492" i="1" s="1"/>
  <c r="Y1492" i="1"/>
  <c r="AA1492" i="1" s="1"/>
  <c r="V1492" i="1"/>
  <c r="X1492" i="1" s="1"/>
  <c r="S1492" i="1"/>
  <c r="U1492" i="1" s="1"/>
  <c r="L1492" i="1"/>
  <c r="N1492" i="1" s="1"/>
  <c r="H1492" i="1"/>
  <c r="J1492" i="1" s="1"/>
  <c r="E1492" i="1"/>
  <c r="G1492" i="1" s="1"/>
  <c r="B1492" i="1"/>
  <c r="D1492" i="1" s="1"/>
  <c r="AE1491" i="1"/>
  <c r="AG1491" i="1" s="1"/>
  <c r="AB1491" i="1"/>
  <c r="AD1491" i="1" s="1"/>
  <c r="Y1491" i="1"/>
  <c r="AA1491" i="1" s="1"/>
  <c r="V1491" i="1"/>
  <c r="X1491" i="1" s="1"/>
  <c r="S1491" i="1"/>
  <c r="U1491" i="1" s="1"/>
  <c r="L1491" i="1"/>
  <c r="N1491" i="1" s="1"/>
  <c r="H1491" i="1"/>
  <c r="J1491" i="1" s="1"/>
  <c r="E1491" i="1"/>
  <c r="G1491" i="1" s="1"/>
  <c r="B1491" i="1"/>
  <c r="D1491" i="1" s="1"/>
  <c r="AE1490" i="1"/>
  <c r="AG1490" i="1" s="1"/>
  <c r="AB1490" i="1"/>
  <c r="AD1490" i="1" s="1"/>
  <c r="Y1490" i="1"/>
  <c r="AA1490" i="1" s="1"/>
  <c r="V1490" i="1"/>
  <c r="X1490" i="1" s="1"/>
  <c r="S1490" i="1"/>
  <c r="U1490" i="1" s="1"/>
  <c r="L1490" i="1"/>
  <c r="N1490" i="1" s="1"/>
  <c r="H1490" i="1"/>
  <c r="J1490" i="1" s="1"/>
  <c r="E1490" i="1"/>
  <c r="G1490" i="1" s="1"/>
  <c r="B1490" i="1"/>
  <c r="D1490" i="1" s="1"/>
  <c r="AE1489" i="1"/>
  <c r="AG1489" i="1" s="1"/>
  <c r="AB1489" i="1"/>
  <c r="AD1489" i="1" s="1"/>
  <c r="Y1489" i="1"/>
  <c r="AA1489" i="1" s="1"/>
  <c r="V1489" i="1"/>
  <c r="X1489" i="1" s="1"/>
  <c r="S1489" i="1"/>
  <c r="U1489" i="1" s="1"/>
  <c r="L1489" i="1"/>
  <c r="N1489" i="1" s="1"/>
  <c r="H1489" i="1"/>
  <c r="J1489" i="1" s="1"/>
  <c r="E1489" i="1"/>
  <c r="G1489" i="1" s="1"/>
  <c r="B1489" i="1"/>
  <c r="D1489" i="1" s="1"/>
  <c r="AE1488" i="1"/>
  <c r="AG1488" i="1" s="1"/>
  <c r="AB1488" i="1"/>
  <c r="AD1488" i="1" s="1"/>
  <c r="Y1488" i="1"/>
  <c r="AA1488" i="1" s="1"/>
  <c r="V1488" i="1"/>
  <c r="X1488" i="1" s="1"/>
  <c r="S1488" i="1"/>
  <c r="U1488" i="1" s="1"/>
  <c r="L1488" i="1"/>
  <c r="N1488" i="1" s="1"/>
  <c r="H1488" i="1"/>
  <c r="J1488" i="1" s="1"/>
  <c r="E1488" i="1"/>
  <c r="G1488" i="1" s="1"/>
  <c r="B1488" i="1"/>
  <c r="D1488" i="1" s="1"/>
  <c r="AE1487" i="1"/>
  <c r="AG1487" i="1" s="1"/>
  <c r="AB1487" i="1"/>
  <c r="AD1487" i="1" s="1"/>
  <c r="Y1487" i="1"/>
  <c r="AA1487" i="1" s="1"/>
  <c r="V1487" i="1"/>
  <c r="X1487" i="1" s="1"/>
  <c r="S1487" i="1"/>
  <c r="U1487" i="1" s="1"/>
  <c r="L1487" i="1"/>
  <c r="N1487" i="1" s="1"/>
  <c r="H1487" i="1"/>
  <c r="J1487" i="1" s="1"/>
  <c r="E1487" i="1"/>
  <c r="G1487" i="1" s="1"/>
  <c r="B1487" i="1"/>
  <c r="D1487" i="1" s="1"/>
  <c r="AE1486" i="1"/>
  <c r="AG1486" i="1" s="1"/>
  <c r="AB1486" i="1"/>
  <c r="AD1486" i="1" s="1"/>
  <c r="Y1486" i="1"/>
  <c r="AA1486" i="1" s="1"/>
  <c r="V1486" i="1"/>
  <c r="X1486" i="1" s="1"/>
  <c r="S1486" i="1"/>
  <c r="U1486" i="1" s="1"/>
  <c r="L1486" i="1"/>
  <c r="N1486" i="1" s="1"/>
  <c r="H1486" i="1"/>
  <c r="J1486" i="1" s="1"/>
  <c r="E1486" i="1"/>
  <c r="G1486" i="1" s="1"/>
  <c r="B1486" i="1"/>
  <c r="D1486" i="1" s="1"/>
  <c r="AE1485" i="1"/>
  <c r="AG1485" i="1" s="1"/>
  <c r="AB1485" i="1"/>
  <c r="AD1485" i="1" s="1"/>
  <c r="Y1485" i="1"/>
  <c r="AA1485" i="1" s="1"/>
  <c r="V1485" i="1"/>
  <c r="X1485" i="1" s="1"/>
  <c r="S1485" i="1"/>
  <c r="U1485" i="1" s="1"/>
  <c r="L1485" i="1"/>
  <c r="N1485" i="1" s="1"/>
  <c r="H1485" i="1"/>
  <c r="J1485" i="1" s="1"/>
  <c r="E1485" i="1"/>
  <c r="G1485" i="1" s="1"/>
  <c r="B1485" i="1"/>
  <c r="D1485" i="1" s="1"/>
  <c r="AE1484" i="1"/>
  <c r="AG1484" i="1" s="1"/>
  <c r="AB1484" i="1"/>
  <c r="AD1484" i="1" s="1"/>
  <c r="Y1484" i="1"/>
  <c r="AA1484" i="1" s="1"/>
  <c r="V1484" i="1"/>
  <c r="X1484" i="1" s="1"/>
  <c r="S1484" i="1"/>
  <c r="U1484" i="1" s="1"/>
  <c r="L1484" i="1"/>
  <c r="N1484" i="1" s="1"/>
  <c r="H1484" i="1"/>
  <c r="J1484" i="1" s="1"/>
  <c r="E1484" i="1"/>
  <c r="G1484" i="1" s="1"/>
  <c r="B1484" i="1"/>
  <c r="D1484" i="1" s="1"/>
  <c r="AE1483" i="1"/>
  <c r="AG1483" i="1" s="1"/>
  <c r="AB1483" i="1"/>
  <c r="AD1483" i="1" s="1"/>
  <c r="Y1483" i="1"/>
  <c r="AA1483" i="1" s="1"/>
  <c r="V1483" i="1"/>
  <c r="X1483" i="1" s="1"/>
  <c r="S1483" i="1"/>
  <c r="U1483" i="1" s="1"/>
  <c r="L1483" i="1"/>
  <c r="N1483" i="1" s="1"/>
  <c r="H1483" i="1"/>
  <c r="J1483" i="1" s="1"/>
  <c r="E1483" i="1"/>
  <c r="G1483" i="1" s="1"/>
  <c r="B1483" i="1"/>
  <c r="D1483" i="1" s="1"/>
  <c r="AE1482" i="1"/>
  <c r="AG1482" i="1" s="1"/>
  <c r="AB1482" i="1"/>
  <c r="AD1482" i="1" s="1"/>
  <c r="Y1482" i="1"/>
  <c r="AA1482" i="1" s="1"/>
  <c r="V1482" i="1"/>
  <c r="X1482" i="1" s="1"/>
  <c r="S1482" i="1"/>
  <c r="U1482" i="1" s="1"/>
  <c r="L1482" i="1"/>
  <c r="N1482" i="1" s="1"/>
  <c r="H1482" i="1"/>
  <c r="J1482" i="1" s="1"/>
  <c r="E1482" i="1"/>
  <c r="G1482" i="1" s="1"/>
  <c r="B1482" i="1"/>
  <c r="D1482" i="1" s="1"/>
  <c r="AE1481" i="1"/>
  <c r="AG1481" i="1" s="1"/>
  <c r="AB1481" i="1"/>
  <c r="AD1481" i="1" s="1"/>
  <c r="Y1481" i="1"/>
  <c r="AA1481" i="1" s="1"/>
  <c r="V1481" i="1"/>
  <c r="X1481" i="1" s="1"/>
  <c r="S1481" i="1"/>
  <c r="U1481" i="1" s="1"/>
  <c r="L1481" i="1"/>
  <c r="N1481" i="1" s="1"/>
  <c r="H1481" i="1"/>
  <c r="J1481" i="1" s="1"/>
  <c r="E1481" i="1"/>
  <c r="G1481" i="1" s="1"/>
  <c r="B1481" i="1"/>
  <c r="D1481" i="1" s="1"/>
  <c r="AE1480" i="1"/>
  <c r="AG1480" i="1" s="1"/>
  <c r="AD1480" i="1"/>
  <c r="Y1480" i="1"/>
  <c r="AA1480" i="1" s="1"/>
  <c r="V1480" i="1"/>
  <c r="X1480" i="1" s="1"/>
  <c r="S1480" i="1"/>
  <c r="U1480" i="1" s="1"/>
  <c r="L1480" i="1"/>
  <c r="N1480" i="1" s="1"/>
  <c r="H1480" i="1"/>
  <c r="J1480" i="1" s="1"/>
  <c r="E1480" i="1"/>
  <c r="G1480" i="1" s="1"/>
  <c r="B1480" i="1"/>
  <c r="D1480" i="1" s="1"/>
  <c r="AE1479" i="1"/>
  <c r="AG1479" i="1" s="1"/>
  <c r="AD1479" i="1"/>
  <c r="Y1479" i="1"/>
  <c r="AA1479" i="1" s="1"/>
  <c r="V1479" i="1"/>
  <c r="X1479" i="1" s="1"/>
  <c r="S1479" i="1"/>
  <c r="U1479" i="1" s="1"/>
  <c r="L1479" i="1"/>
  <c r="N1479" i="1" s="1"/>
  <c r="H1479" i="1"/>
  <c r="J1479" i="1" s="1"/>
  <c r="E1479" i="1"/>
  <c r="G1479" i="1" s="1"/>
  <c r="B1479" i="1"/>
  <c r="D1479" i="1" s="1"/>
  <c r="AE1478" i="1"/>
  <c r="AG1478" i="1" s="1"/>
  <c r="Y1478" i="1"/>
  <c r="AA1478" i="1" s="1"/>
  <c r="V1478" i="1"/>
  <c r="X1478" i="1" s="1"/>
  <c r="S1478" i="1"/>
  <c r="U1478" i="1" s="1"/>
  <c r="L1478" i="1"/>
  <c r="N1478" i="1" s="1"/>
  <c r="H1478" i="1"/>
  <c r="J1478" i="1" s="1"/>
  <c r="E1478" i="1"/>
  <c r="G1478" i="1" s="1"/>
  <c r="B1478" i="1"/>
  <c r="D1478" i="1" s="1"/>
  <c r="AE1477" i="1"/>
  <c r="AG1477" i="1" s="1"/>
  <c r="Y1477" i="1"/>
  <c r="AA1477" i="1" s="1"/>
  <c r="V1477" i="1"/>
  <c r="X1477" i="1" s="1"/>
  <c r="S1477" i="1"/>
  <c r="U1477" i="1" s="1"/>
  <c r="L1477" i="1"/>
  <c r="N1477" i="1" s="1"/>
  <c r="H1477" i="1"/>
  <c r="J1477" i="1" s="1"/>
  <c r="E1477" i="1"/>
  <c r="G1477" i="1" s="1"/>
  <c r="B1477" i="1"/>
  <c r="D1477" i="1" s="1"/>
  <c r="AE1476" i="1"/>
  <c r="AG1476" i="1" s="1"/>
  <c r="AH1476" i="1" s="1"/>
  <c r="Y1476" i="1"/>
  <c r="AA1476" i="1" s="1"/>
  <c r="V1476" i="1"/>
  <c r="X1476" i="1" s="1"/>
  <c r="S1476" i="1"/>
  <c r="U1476" i="1" s="1"/>
  <c r="L1476" i="1"/>
  <c r="N1476" i="1" s="1"/>
  <c r="H1476" i="1"/>
  <c r="J1476" i="1" s="1"/>
  <c r="E1476" i="1"/>
  <c r="G1476" i="1" s="1"/>
  <c r="B1476" i="1"/>
  <c r="D1476" i="1" s="1"/>
  <c r="AE1475" i="1"/>
  <c r="AG1475" i="1" s="1"/>
  <c r="AB1475" i="1"/>
  <c r="AD1475" i="1" s="1"/>
  <c r="Y1475" i="1"/>
  <c r="AA1475" i="1" s="1"/>
  <c r="V1475" i="1"/>
  <c r="X1475" i="1" s="1"/>
  <c r="S1475" i="1"/>
  <c r="U1475" i="1" s="1"/>
  <c r="L1475" i="1"/>
  <c r="N1475" i="1" s="1"/>
  <c r="H1475" i="1"/>
  <c r="J1475" i="1" s="1"/>
  <c r="E1475" i="1"/>
  <c r="G1475" i="1" s="1"/>
  <c r="B1475" i="1"/>
  <c r="D1475" i="1" s="1"/>
  <c r="AE1474" i="1"/>
  <c r="AG1474" i="1" s="1"/>
  <c r="AB1474" i="1"/>
  <c r="AD1474" i="1" s="1"/>
  <c r="Y1474" i="1"/>
  <c r="AA1474" i="1" s="1"/>
  <c r="V1474" i="1"/>
  <c r="X1474" i="1" s="1"/>
  <c r="S1474" i="1"/>
  <c r="U1474" i="1" s="1"/>
  <c r="L1474" i="1"/>
  <c r="N1474" i="1" s="1"/>
  <c r="H1474" i="1"/>
  <c r="J1474" i="1" s="1"/>
  <c r="E1474" i="1"/>
  <c r="G1474" i="1" s="1"/>
  <c r="B1474" i="1"/>
  <c r="D1474" i="1" s="1"/>
  <c r="AE1473" i="1"/>
  <c r="AG1473" i="1" s="1"/>
  <c r="AB1473" i="1"/>
  <c r="AD1473" i="1" s="1"/>
  <c r="Y1473" i="1"/>
  <c r="AA1473" i="1" s="1"/>
  <c r="V1473" i="1"/>
  <c r="X1473" i="1" s="1"/>
  <c r="S1473" i="1"/>
  <c r="U1473" i="1" s="1"/>
  <c r="L1473" i="1"/>
  <c r="N1473" i="1" s="1"/>
  <c r="H1473" i="1"/>
  <c r="J1473" i="1" s="1"/>
  <c r="E1473" i="1"/>
  <c r="G1473" i="1" s="1"/>
  <c r="B1473" i="1"/>
  <c r="D1473" i="1" s="1"/>
  <c r="AE1472" i="1"/>
  <c r="AG1472" i="1" s="1"/>
  <c r="AB1472" i="1"/>
  <c r="AD1472" i="1" s="1"/>
  <c r="Y1472" i="1"/>
  <c r="AA1472" i="1" s="1"/>
  <c r="V1472" i="1"/>
  <c r="X1472" i="1" s="1"/>
  <c r="S1472" i="1"/>
  <c r="U1472" i="1" s="1"/>
  <c r="L1472" i="1"/>
  <c r="N1472" i="1" s="1"/>
  <c r="H1472" i="1"/>
  <c r="J1472" i="1" s="1"/>
  <c r="E1472" i="1"/>
  <c r="G1472" i="1" s="1"/>
  <c r="B1472" i="1"/>
  <c r="D1472" i="1" s="1"/>
  <c r="AE1471" i="1"/>
  <c r="AG1471" i="1" s="1"/>
  <c r="AB1471" i="1"/>
  <c r="AD1471" i="1" s="1"/>
  <c r="Y1471" i="1"/>
  <c r="AA1471" i="1" s="1"/>
  <c r="V1471" i="1"/>
  <c r="X1471" i="1" s="1"/>
  <c r="S1471" i="1"/>
  <c r="U1471" i="1" s="1"/>
  <c r="L1471" i="1"/>
  <c r="N1471" i="1" s="1"/>
  <c r="H1471" i="1"/>
  <c r="J1471" i="1" s="1"/>
  <c r="E1471" i="1"/>
  <c r="G1471" i="1" s="1"/>
  <c r="B1471" i="1"/>
  <c r="D1471" i="1" s="1"/>
  <c r="AE1470" i="1"/>
  <c r="AG1470" i="1" s="1"/>
  <c r="AB1470" i="1"/>
  <c r="AD1470" i="1" s="1"/>
  <c r="Y1470" i="1"/>
  <c r="AA1470" i="1" s="1"/>
  <c r="V1470" i="1"/>
  <c r="X1470" i="1" s="1"/>
  <c r="S1470" i="1"/>
  <c r="U1470" i="1" s="1"/>
  <c r="L1470" i="1"/>
  <c r="N1470" i="1" s="1"/>
  <c r="H1470" i="1"/>
  <c r="J1470" i="1" s="1"/>
  <c r="E1470" i="1"/>
  <c r="G1470" i="1" s="1"/>
  <c r="B1470" i="1"/>
  <c r="D1470" i="1" s="1"/>
  <c r="AE1469" i="1"/>
  <c r="AG1469" i="1" s="1"/>
  <c r="AB1469" i="1"/>
  <c r="AD1469" i="1" s="1"/>
  <c r="Y1469" i="1"/>
  <c r="AA1469" i="1" s="1"/>
  <c r="V1469" i="1"/>
  <c r="X1469" i="1" s="1"/>
  <c r="S1469" i="1"/>
  <c r="U1469" i="1" s="1"/>
  <c r="L1469" i="1"/>
  <c r="N1469" i="1" s="1"/>
  <c r="H1469" i="1"/>
  <c r="J1469" i="1" s="1"/>
  <c r="E1469" i="1"/>
  <c r="G1469" i="1" s="1"/>
  <c r="B1469" i="1"/>
  <c r="D1469" i="1" s="1"/>
  <c r="AG1468" i="1"/>
  <c r="AE1468" i="1"/>
  <c r="AB1468" i="1"/>
  <c r="AD1468" i="1" s="1"/>
  <c r="AA1468" i="1"/>
  <c r="V1468" i="1"/>
  <c r="X1468" i="1" s="1"/>
  <c r="S1468" i="1"/>
  <c r="U1468" i="1" s="1"/>
  <c r="L1468" i="1"/>
  <c r="N1468" i="1" s="1"/>
  <c r="H1468" i="1"/>
  <c r="J1468" i="1" s="1"/>
  <c r="E1468" i="1"/>
  <c r="G1468" i="1" s="1"/>
  <c r="B1468" i="1"/>
  <c r="D1468" i="1" s="1"/>
  <c r="AE1467" i="1"/>
  <c r="AG1467" i="1" s="1"/>
  <c r="AD1467" i="1"/>
  <c r="Y1467" i="1"/>
  <c r="AA1467" i="1" s="1"/>
  <c r="V1467" i="1"/>
  <c r="X1467" i="1" s="1"/>
  <c r="S1467" i="1"/>
  <c r="U1467" i="1" s="1"/>
  <c r="L1467" i="1"/>
  <c r="N1467" i="1" s="1"/>
  <c r="H1467" i="1"/>
  <c r="J1467" i="1" s="1"/>
  <c r="E1467" i="1"/>
  <c r="G1467" i="1" s="1"/>
  <c r="B1467" i="1"/>
  <c r="D1467" i="1" s="1"/>
  <c r="AE1466" i="1"/>
  <c r="AG1466" i="1" s="1"/>
  <c r="AD1466" i="1"/>
  <c r="Y1466" i="1"/>
  <c r="AA1466" i="1" s="1"/>
  <c r="V1466" i="1"/>
  <c r="X1466" i="1" s="1"/>
  <c r="S1466" i="1"/>
  <c r="U1466" i="1" s="1"/>
  <c r="L1466" i="1"/>
  <c r="N1466" i="1" s="1"/>
  <c r="H1466" i="1"/>
  <c r="J1466" i="1" s="1"/>
  <c r="E1466" i="1"/>
  <c r="G1466" i="1" s="1"/>
  <c r="B1466" i="1"/>
  <c r="D1466" i="1" s="1"/>
  <c r="AE1465" i="1"/>
  <c r="AG1465" i="1" s="1"/>
  <c r="AD1465" i="1"/>
  <c r="Y1465" i="1"/>
  <c r="AA1465" i="1" s="1"/>
  <c r="V1465" i="1"/>
  <c r="X1465" i="1" s="1"/>
  <c r="S1465" i="1"/>
  <c r="U1465" i="1" s="1"/>
  <c r="L1465" i="1"/>
  <c r="N1465" i="1" s="1"/>
  <c r="H1465" i="1"/>
  <c r="J1465" i="1" s="1"/>
  <c r="E1465" i="1"/>
  <c r="G1465" i="1" s="1"/>
  <c r="B1465" i="1"/>
  <c r="D1465" i="1" s="1"/>
  <c r="AE1464" i="1"/>
  <c r="AG1464" i="1" s="1"/>
  <c r="AH1464" i="1" s="1"/>
  <c r="Y1464" i="1"/>
  <c r="AA1464" i="1" s="1"/>
  <c r="V1464" i="1"/>
  <c r="X1464" i="1" s="1"/>
  <c r="S1464" i="1"/>
  <c r="U1464" i="1" s="1"/>
  <c r="L1464" i="1"/>
  <c r="N1464" i="1" s="1"/>
  <c r="H1464" i="1"/>
  <c r="J1464" i="1" s="1"/>
  <c r="E1464" i="1"/>
  <c r="G1464" i="1" s="1"/>
  <c r="B1464" i="1"/>
  <c r="D1464" i="1" s="1"/>
  <c r="AE1463" i="1"/>
  <c r="AG1463" i="1" s="1"/>
  <c r="AH1463" i="1" s="1"/>
  <c r="Y1463" i="1"/>
  <c r="AA1463" i="1" s="1"/>
  <c r="V1463" i="1"/>
  <c r="X1463" i="1" s="1"/>
  <c r="S1463" i="1"/>
  <c r="U1463" i="1" s="1"/>
  <c r="L1463" i="1"/>
  <c r="N1463" i="1" s="1"/>
  <c r="H1463" i="1"/>
  <c r="J1463" i="1" s="1"/>
  <c r="E1463" i="1"/>
  <c r="G1463" i="1" s="1"/>
  <c r="B1463" i="1"/>
  <c r="D1463" i="1" s="1"/>
  <c r="AE1462" i="1"/>
  <c r="AG1462" i="1" s="1"/>
  <c r="AH1462" i="1" s="1"/>
  <c r="Y1462" i="1"/>
  <c r="AA1462" i="1" s="1"/>
  <c r="V1462" i="1"/>
  <c r="X1462" i="1" s="1"/>
  <c r="S1462" i="1"/>
  <c r="U1462" i="1" s="1"/>
  <c r="L1462" i="1"/>
  <c r="N1462" i="1" s="1"/>
  <c r="H1462" i="1"/>
  <c r="J1462" i="1" s="1"/>
  <c r="E1462" i="1"/>
  <c r="G1462" i="1" s="1"/>
  <c r="B1462" i="1"/>
  <c r="D1462" i="1" s="1"/>
  <c r="AE1461" i="1"/>
  <c r="AG1461" i="1" s="1"/>
  <c r="AH1461" i="1" s="1"/>
  <c r="Y1461" i="1"/>
  <c r="AA1461" i="1" s="1"/>
  <c r="V1461" i="1"/>
  <c r="X1461" i="1" s="1"/>
  <c r="S1461" i="1"/>
  <c r="U1461" i="1" s="1"/>
  <c r="L1461" i="1"/>
  <c r="N1461" i="1" s="1"/>
  <c r="H1461" i="1"/>
  <c r="J1461" i="1" s="1"/>
  <c r="E1461" i="1"/>
  <c r="G1461" i="1" s="1"/>
  <c r="B1461" i="1"/>
  <c r="D1461" i="1" s="1"/>
  <c r="AE1460" i="1"/>
  <c r="AG1460" i="1" s="1"/>
  <c r="AH1460" i="1" s="1"/>
  <c r="Y1460" i="1"/>
  <c r="AA1460" i="1" s="1"/>
  <c r="V1460" i="1"/>
  <c r="X1460" i="1" s="1"/>
  <c r="S1460" i="1"/>
  <c r="U1460" i="1" s="1"/>
  <c r="L1460" i="1"/>
  <c r="N1460" i="1" s="1"/>
  <c r="H1460" i="1"/>
  <c r="J1460" i="1" s="1"/>
  <c r="E1460" i="1"/>
  <c r="G1460" i="1" s="1"/>
  <c r="B1460" i="1"/>
  <c r="D1460" i="1" s="1"/>
  <c r="AE1459" i="1"/>
  <c r="AG1459" i="1" s="1"/>
  <c r="AH1459" i="1" s="1"/>
  <c r="Y1459" i="1"/>
  <c r="AA1459" i="1" s="1"/>
  <c r="V1459" i="1"/>
  <c r="X1459" i="1" s="1"/>
  <c r="S1459" i="1"/>
  <c r="U1459" i="1" s="1"/>
  <c r="L1459" i="1"/>
  <c r="N1459" i="1" s="1"/>
  <c r="H1459" i="1"/>
  <c r="J1459" i="1" s="1"/>
  <c r="E1459" i="1"/>
  <c r="G1459" i="1" s="1"/>
  <c r="B1459" i="1"/>
  <c r="D1459" i="1" s="1"/>
  <c r="AE1458" i="1"/>
  <c r="AG1458" i="1" s="1"/>
  <c r="AH1458" i="1" s="1"/>
  <c r="Y1458" i="1"/>
  <c r="AA1458" i="1" s="1"/>
  <c r="V1458" i="1"/>
  <c r="X1458" i="1" s="1"/>
  <c r="S1458" i="1"/>
  <c r="U1458" i="1" s="1"/>
  <c r="L1458" i="1"/>
  <c r="N1458" i="1" s="1"/>
  <c r="H1458" i="1"/>
  <c r="J1458" i="1" s="1"/>
  <c r="E1458" i="1"/>
  <c r="G1458" i="1" s="1"/>
  <c r="B1458" i="1"/>
  <c r="D1458" i="1" s="1"/>
  <c r="AE1457" i="1"/>
  <c r="AG1457" i="1" s="1"/>
  <c r="AB1457" i="1"/>
  <c r="AD1457" i="1" s="1"/>
  <c r="Y1457" i="1"/>
  <c r="AA1457" i="1" s="1"/>
  <c r="V1457" i="1"/>
  <c r="X1457" i="1" s="1"/>
  <c r="S1457" i="1"/>
  <c r="U1457" i="1" s="1"/>
  <c r="L1457" i="1"/>
  <c r="N1457" i="1" s="1"/>
  <c r="H1457" i="1"/>
  <c r="J1457" i="1" s="1"/>
  <c r="E1457" i="1"/>
  <c r="G1457" i="1" s="1"/>
  <c r="B1457" i="1"/>
  <c r="D1457" i="1" s="1"/>
  <c r="AE1456" i="1"/>
  <c r="AG1456" i="1" s="1"/>
  <c r="AB1456" i="1"/>
  <c r="AD1456" i="1" s="1"/>
  <c r="Y1456" i="1"/>
  <c r="AA1456" i="1" s="1"/>
  <c r="V1456" i="1"/>
  <c r="X1456" i="1" s="1"/>
  <c r="S1456" i="1"/>
  <c r="U1456" i="1" s="1"/>
  <c r="L1456" i="1"/>
  <c r="N1456" i="1" s="1"/>
  <c r="H1456" i="1"/>
  <c r="J1456" i="1" s="1"/>
  <c r="E1456" i="1"/>
  <c r="G1456" i="1" s="1"/>
  <c r="B1456" i="1"/>
  <c r="D1456" i="1" s="1"/>
  <c r="AE1455" i="1"/>
  <c r="AG1455" i="1" s="1"/>
  <c r="AB1455" i="1"/>
  <c r="AD1455" i="1" s="1"/>
  <c r="Y1455" i="1"/>
  <c r="AA1455" i="1" s="1"/>
  <c r="V1455" i="1"/>
  <c r="X1455" i="1" s="1"/>
  <c r="S1455" i="1"/>
  <c r="U1455" i="1" s="1"/>
  <c r="L1455" i="1"/>
  <c r="N1455" i="1" s="1"/>
  <c r="H1455" i="1"/>
  <c r="J1455" i="1" s="1"/>
  <c r="E1455" i="1"/>
  <c r="G1455" i="1" s="1"/>
  <c r="B1455" i="1"/>
  <c r="D1455" i="1" s="1"/>
  <c r="AE1454" i="1"/>
  <c r="AG1454" i="1" s="1"/>
  <c r="AB1454" i="1"/>
  <c r="AD1454" i="1" s="1"/>
  <c r="Y1454" i="1"/>
  <c r="AA1454" i="1" s="1"/>
  <c r="V1454" i="1"/>
  <c r="X1454" i="1" s="1"/>
  <c r="S1454" i="1"/>
  <c r="U1454" i="1" s="1"/>
  <c r="L1454" i="1"/>
  <c r="N1454" i="1" s="1"/>
  <c r="H1454" i="1"/>
  <c r="J1454" i="1" s="1"/>
  <c r="E1454" i="1"/>
  <c r="G1454" i="1" s="1"/>
  <c r="B1454" i="1"/>
  <c r="D1454" i="1" s="1"/>
  <c r="AE1453" i="1"/>
  <c r="AG1453" i="1" s="1"/>
  <c r="AB1453" i="1"/>
  <c r="AD1453" i="1" s="1"/>
  <c r="Y1453" i="1"/>
  <c r="AA1453" i="1" s="1"/>
  <c r="V1453" i="1"/>
  <c r="X1453" i="1" s="1"/>
  <c r="S1453" i="1"/>
  <c r="U1453" i="1" s="1"/>
  <c r="L1453" i="1"/>
  <c r="N1453" i="1" s="1"/>
  <c r="H1453" i="1"/>
  <c r="J1453" i="1" s="1"/>
  <c r="E1453" i="1"/>
  <c r="G1453" i="1" s="1"/>
  <c r="B1453" i="1"/>
  <c r="D1453" i="1" s="1"/>
  <c r="AE1452" i="1"/>
  <c r="AG1452" i="1" s="1"/>
  <c r="AB1452" i="1"/>
  <c r="AD1452" i="1" s="1"/>
  <c r="Y1452" i="1"/>
  <c r="AA1452" i="1" s="1"/>
  <c r="V1452" i="1"/>
  <c r="X1452" i="1" s="1"/>
  <c r="S1452" i="1"/>
  <c r="U1452" i="1" s="1"/>
  <c r="L1452" i="1"/>
  <c r="N1452" i="1" s="1"/>
  <c r="H1452" i="1"/>
  <c r="J1452" i="1" s="1"/>
  <c r="E1452" i="1"/>
  <c r="G1452" i="1" s="1"/>
  <c r="B1452" i="1"/>
  <c r="D1452" i="1" s="1"/>
  <c r="AE1451" i="1"/>
  <c r="AG1451" i="1" s="1"/>
  <c r="AB1451" i="1"/>
  <c r="AD1451" i="1" s="1"/>
  <c r="Y1451" i="1"/>
  <c r="AA1451" i="1" s="1"/>
  <c r="V1451" i="1"/>
  <c r="X1451" i="1" s="1"/>
  <c r="S1451" i="1"/>
  <c r="U1451" i="1" s="1"/>
  <c r="L1451" i="1"/>
  <c r="N1451" i="1" s="1"/>
  <c r="H1451" i="1"/>
  <c r="J1451" i="1" s="1"/>
  <c r="E1451" i="1"/>
  <c r="G1451" i="1" s="1"/>
  <c r="B1451" i="1"/>
  <c r="D1451" i="1" s="1"/>
  <c r="AE1450" i="1"/>
  <c r="AG1450" i="1" s="1"/>
  <c r="AB1450" i="1"/>
  <c r="AD1450" i="1" s="1"/>
  <c r="Y1450" i="1"/>
  <c r="AA1450" i="1" s="1"/>
  <c r="V1450" i="1"/>
  <c r="X1450" i="1" s="1"/>
  <c r="S1450" i="1"/>
  <c r="U1450" i="1" s="1"/>
  <c r="L1450" i="1"/>
  <c r="N1450" i="1" s="1"/>
  <c r="H1450" i="1"/>
  <c r="J1450" i="1" s="1"/>
  <c r="E1450" i="1"/>
  <c r="G1450" i="1" s="1"/>
  <c r="B1450" i="1"/>
  <c r="D1450" i="1" s="1"/>
  <c r="AG1449" i="1"/>
  <c r="AB1449" i="1"/>
  <c r="AD1449" i="1" s="1"/>
  <c r="Y1449" i="1"/>
  <c r="AA1449" i="1" s="1"/>
  <c r="V1449" i="1"/>
  <c r="X1449" i="1" s="1"/>
  <c r="S1449" i="1"/>
  <c r="U1449" i="1" s="1"/>
  <c r="L1449" i="1"/>
  <c r="N1449" i="1" s="1"/>
  <c r="H1449" i="1"/>
  <c r="J1449" i="1" s="1"/>
  <c r="E1449" i="1"/>
  <c r="G1449" i="1" s="1"/>
  <c r="D1449" i="1"/>
  <c r="B1449" i="1"/>
  <c r="AG1448" i="1"/>
  <c r="AB1448" i="1"/>
  <c r="AD1448" i="1" s="1"/>
  <c r="Y1448" i="1"/>
  <c r="AA1448" i="1" s="1"/>
  <c r="X1448" i="1"/>
  <c r="S1448" i="1"/>
  <c r="U1448" i="1" s="1"/>
  <c r="L1448" i="1"/>
  <c r="N1448" i="1" s="1"/>
  <c r="H1448" i="1"/>
  <c r="J1448" i="1" s="1"/>
  <c r="E1448" i="1"/>
  <c r="G1448" i="1" s="1"/>
  <c r="B1448" i="1"/>
  <c r="D1448" i="1" s="1"/>
  <c r="AB1447" i="1"/>
  <c r="AD1447" i="1" s="1"/>
  <c r="AH1447" i="1" s="1"/>
  <c r="Y1447" i="1"/>
  <c r="AA1447" i="1" s="1"/>
  <c r="X1447" i="1"/>
  <c r="S1447" i="1"/>
  <c r="U1447" i="1" s="1"/>
  <c r="L1447" i="1"/>
  <c r="N1447" i="1" s="1"/>
  <c r="H1447" i="1"/>
  <c r="J1447" i="1" s="1"/>
  <c r="E1447" i="1"/>
  <c r="G1447" i="1" s="1"/>
  <c r="B1447" i="1"/>
  <c r="D1447" i="1" s="1"/>
  <c r="AB1446" i="1"/>
  <c r="AD1446" i="1" s="1"/>
  <c r="AH1446" i="1" s="1"/>
  <c r="Y1446" i="1"/>
  <c r="AA1446" i="1" s="1"/>
  <c r="V1446" i="1"/>
  <c r="X1446" i="1" s="1"/>
  <c r="S1446" i="1"/>
  <c r="U1446" i="1" s="1"/>
  <c r="L1446" i="1"/>
  <c r="N1446" i="1" s="1"/>
  <c r="H1446" i="1"/>
  <c r="J1446" i="1" s="1"/>
  <c r="E1446" i="1"/>
  <c r="G1446" i="1" s="1"/>
  <c r="B1446" i="1"/>
  <c r="D1446" i="1" s="1"/>
  <c r="AB1445" i="1"/>
  <c r="AD1445" i="1" s="1"/>
  <c r="Y1445" i="1"/>
  <c r="AA1445" i="1" s="1"/>
  <c r="V1445" i="1"/>
  <c r="X1445" i="1" s="1"/>
  <c r="S1445" i="1"/>
  <c r="U1445" i="1" s="1"/>
  <c r="L1445" i="1"/>
  <c r="N1445" i="1" s="1"/>
  <c r="J1445" i="1"/>
  <c r="H1445" i="1"/>
  <c r="E1445" i="1"/>
  <c r="G1445" i="1" s="1"/>
  <c r="B1445" i="1"/>
  <c r="D1445" i="1" s="1"/>
  <c r="AD1444" i="1"/>
  <c r="AB1444" i="1"/>
  <c r="Y1444" i="1"/>
  <c r="AA1444" i="1" s="1"/>
  <c r="V1444" i="1"/>
  <c r="X1444" i="1" s="1"/>
  <c r="S1444" i="1"/>
  <c r="U1444" i="1" s="1"/>
  <c r="L1444" i="1"/>
  <c r="N1444" i="1" s="1"/>
  <c r="H1444" i="1"/>
  <c r="J1444" i="1" s="1"/>
  <c r="E1444" i="1"/>
  <c r="G1444" i="1" s="1"/>
  <c r="B1444" i="1"/>
  <c r="D1444" i="1" s="1"/>
  <c r="AB1443" i="1"/>
  <c r="AD1443" i="1" s="1"/>
  <c r="Y1443" i="1"/>
  <c r="AA1443" i="1" s="1"/>
  <c r="V1443" i="1"/>
  <c r="X1443" i="1" s="1"/>
  <c r="S1443" i="1"/>
  <c r="U1443" i="1" s="1"/>
  <c r="L1443" i="1"/>
  <c r="N1443" i="1" s="1"/>
  <c r="H1443" i="1"/>
  <c r="J1443" i="1" s="1"/>
  <c r="E1443" i="1"/>
  <c r="G1443" i="1" s="1"/>
  <c r="B1443" i="1"/>
  <c r="D1443" i="1" s="1"/>
  <c r="AE1442" i="1"/>
  <c r="AG1442" i="1" s="1"/>
  <c r="AB1442" i="1"/>
  <c r="AD1442" i="1" s="1"/>
  <c r="Y1442" i="1"/>
  <c r="AA1442" i="1" s="1"/>
  <c r="V1442" i="1"/>
  <c r="X1442" i="1" s="1"/>
  <c r="S1442" i="1"/>
  <c r="U1442" i="1" s="1"/>
  <c r="L1442" i="1"/>
  <c r="N1442" i="1" s="1"/>
  <c r="H1442" i="1"/>
  <c r="J1442" i="1" s="1"/>
  <c r="E1442" i="1"/>
  <c r="G1442" i="1" s="1"/>
  <c r="B1442" i="1"/>
  <c r="D1442" i="1" s="1"/>
  <c r="AE1441" i="1"/>
  <c r="AG1441" i="1" s="1"/>
  <c r="AB1441" i="1"/>
  <c r="AD1441" i="1" s="1"/>
  <c r="Y1441" i="1"/>
  <c r="AA1441" i="1" s="1"/>
  <c r="V1441" i="1"/>
  <c r="X1441" i="1" s="1"/>
  <c r="S1441" i="1"/>
  <c r="U1441" i="1" s="1"/>
  <c r="L1441" i="1"/>
  <c r="N1441" i="1" s="1"/>
  <c r="H1441" i="1"/>
  <c r="J1441" i="1" s="1"/>
  <c r="E1441" i="1"/>
  <c r="G1441" i="1" s="1"/>
  <c r="B1441" i="1"/>
  <c r="D1441" i="1" s="1"/>
  <c r="AE1440" i="1"/>
  <c r="AG1440" i="1" s="1"/>
  <c r="AB1440" i="1"/>
  <c r="AD1440" i="1" s="1"/>
  <c r="Y1440" i="1"/>
  <c r="AA1440" i="1" s="1"/>
  <c r="V1440" i="1"/>
  <c r="X1440" i="1" s="1"/>
  <c r="S1440" i="1"/>
  <c r="U1440" i="1" s="1"/>
  <c r="N1440" i="1"/>
  <c r="L1440" i="1"/>
  <c r="H1440" i="1"/>
  <c r="J1440" i="1" s="1"/>
  <c r="E1440" i="1"/>
  <c r="G1440" i="1" s="1"/>
  <c r="B1440" i="1"/>
  <c r="D1440" i="1" s="1"/>
  <c r="AE1439" i="1"/>
  <c r="AG1439" i="1" s="1"/>
  <c r="AB1439" i="1"/>
  <c r="AD1439" i="1" s="1"/>
  <c r="Y1439" i="1"/>
  <c r="AA1439" i="1" s="1"/>
  <c r="V1439" i="1"/>
  <c r="X1439" i="1" s="1"/>
  <c r="S1439" i="1"/>
  <c r="U1439" i="1" s="1"/>
  <c r="L1439" i="1"/>
  <c r="N1439" i="1" s="1"/>
  <c r="H1439" i="1"/>
  <c r="J1439" i="1" s="1"/>
  <c r="G1439" i="1"/>
  <c r="E1439" i="1"/>
  <c r="B1439" i="1"/>
  <c r="D1439" i="1" s="1"/>
  <c r="AE1438" i="1"/>
  <c r="AG1438" i="1" s="1"/>
  <c r="AB1438" i="1"/>
  <c r="AD1438" i="1" s="1"/>
  <c r="Y1438" i="1"/>
  <c r="AA1438" i="1" s="1"/>
  <c r="V1438" i="1"/>
  <c r="X1438" i="1" s="1"/>
  <c r="S1438" i="1"/>
  <c r="U1438" i="1" s="1"/>
  <c r="L1438" i="1"/>
  <c r="N1438" i="1" s="1"/>
  <c r="H1438" i="1"/>
  <c r="J1438" i="1" s="1"/>
  <c r="E1438" i="1"/>
  <c r="G1438" i="1" s="1"/>
  <c r="D1438" i="1"/>
  <c r="AE1437" i="1"/>
  <c r="AG1437" i="1" s="1"/>
  <c r="AB1437" i="1"/>
  <c r="AD1437" i="1" s="1"/>
  <c r="Y1437" i="1"/>
  <c r="AA1437" i="1" s="1"/>
  <c r="V1437" i="1"/>
  <c r="X1437" i="1" s="1"/>
  <c r="S1437" i="1"/>
  <c r="U1437" i="1" s="1"/>
  <c r="L1437" i="1"/>
  <c r="N1437" i="1" s="1"/>
  <c r="H1437" i="1"/>
  <c r="J1437" i="1" s="1"/>
  <c r="E1437" i="1"/>
  <c r="G1437" i="1" s="1"/>
  <c r="D1437" i="1"/>
  <c r="AE1436" i="1"/>
  <c r="AG1436" i="1" s="1"/>
  <c r="AB1436" i="1"/>
  <c r="AD1436" i="1" s="1"/>
  <c r="Y1436" i="1"/>
  <c r="AA1436" i="1" s="1"/>
  <c r="V1436" i="1"/>
  <c r="X1436" i="1" s="1"/>
  <c r="S1436" i="1"/>
  <c r="U1436" i="1" s="1"/>
  <c r="L1436" i="1"/>
  <c r="N1436" i="1" s="1"/>
  <c r="H1436" i="1"/>
  <c r="J1436" i="1" s="1"/>
  <c r="E1436" i="1"/>
  <c r="G1436" i="1" s="1"/>
  <c r="D1436" i="1"/>
  <c r="AE1435" i="1"/>
  <c r="AG1435" i="1" s="1"/>
  <c r="AB1435" i="1"/>
  <c r="AD1435" i="1" s="1"/>
  <c r="Y1435" i="1"/>
  <c r="AA1435" i="1" s="1"/>
  <c r="V1435" i="1"/>
  <c r="X1435" i="1" s="1"/>
  <c r="S1435" i="1"/>
  <c r="U1435" i="1" s="1"/>
  <c r="L1435" i="1"/>
  <c r="N1435" i="1" s="1"/>
  <c r="H1435" i="1"/>
  <c r="J1435" i="1" s="1"/>
  <c r="E1435" i="1"/>
  <c r="G1435" i="1" s="1"/>
  <c r="D1435" i="1"/>
  <c r="AE1434" i="1"/>
  <c r="AG1434" i="1" s="1"/>
  <c r="AB1434" i="1"/>
  <c r="AD1434" i="1" s="1"/>
  <c r="Y1434" i="1"/>
  <c r="AA1434" i="1" s="1"/>
  <c r="V1434" i="1"/>
  <c r="X1434" i="1" s="1"/>
  <c r="S1434" i="1"/>
  <c r="U1434" i="1" s="1"/>
  <c r="L1434" i="1"/>
  <c r="N1434" i="1" s="1"/>
  <c r="H1434" i="1"/>
  <c r="J1434" i="1" s="1"/>
  <c r="E1434" i="1"/>
  <c r="G1434" i="1" s="1"/>
  <c r="D1434" i="1"/>
  <c r="AE1433" i="1"/>
  <c r="AG1433" i="1" s="1"/>
  <c r="AB1433" i="1"/>
  <c r="AD1433" i="1" s="1"/>
  <c r="Y1433" i="1"/>
  <c r="AA1433" i="1" s="1"/>
  <c r="V1433" i="1"/>
  <c r="X1433" i="1" s="1"/>
  <c r="S1433" i="1"/>
  <c r="U1433" i="1" s="1"/>
  <c r="L1433" i="1"/>
  <c r="N1433" i="1" s="1"/>
  <c r="H1433" i="1"/>
  <c r="J1433" i="1" s="1"/>
  <c r="E1433" i="1"/>
  <c r="G1433" i="1" s="1"/>
  <c r="D1433" i="1"/>
  <c r="AE1432" i="1"/>
  <c r="AG1432" i="1" s="1"/>
  <c r="AB1432" i="1"/>
  <c r="AD1432" i="1" s="1"/>
  <c r="Y1432" i="1"/>
  <c r="AA1432" i="1" s="1"/>
  <c r="V1432" i="1"/>
  <c r="X1432" i="1" s="1"/>
  <c r="S1432" i="1"/>
  <c r="U1432" i="1" s="1"/>
  <c r="L1432" i="1"/>
  <c r="N1432" i="1" s="1"/>
  <c r="H1432" i="1"/>
  <c r="J1432" i="1" s="1"/>
  <c r="E1432" i="1"/>
  <c r="G1432" i="1" s="1"/>
  <c r="B1432" i="1"/>
  <c r="D1432" i="1" s="1"/>
  <c r="AE1431" i="1"/>
  <c r="AG1431" i="1" s="1"/>
  <c r="AB1431" i="1"/>
  <c r="AD1431" i="1" s="1"/>
  <c r="Y1431" i="1"/>
  <c r="AA1431" i="1" s="1"/>
  <c r="V1431" i="1"/>
  <c r="X1431" i="1" s="1"/>
  <c r="S1431" i="1"/>
  <c r="U1431" i="1" s="1"/>
  <c r="L1431" i="1"/>
  <c r="N1431" i="1" s="1"/>
  <c r="H1431" i="1"/>
  <c r="J1431" i="1" s="1"/>
  <c r="E1431" i="1"/>
  <c r="G1431" i="1" s="1"/>
  <c r="B1431" i="1"/>
  <c r="D1431" i="1" s="1"/>
  <c r="AE1430" i="1"/>
  <c r="AG1430" i="1" s="1"/>
  <c r="AB1430" i="1"/>
  <c r="AD1430" i="1" s="1"/>
  <c r="Y1430" i="1"/>
  <c r="AA1430" i="1" s="1"/>
  <c r="V1430" i="1"/>
  <c r="X1430" i="1" s="1"/>
  <c r="S1430" i="1"/>
  <c r="U1430" i="1" s="1"/>
  <c r="L1430" i="1"/>
  <c r="N1430" i="1" s="1"/>
  <c r="H1430" i="1"/>
  <c r="J1430" i="1" s="1"/>
  <c r="E1430" i="1"/>
  <c r="G1430" i="1" s="1"/>
  <c r="B1430" i="1"/>
  <c r="D1430" i="1" s="1"/>
  <c r="AE1429" i="1"/>
  <c r="AG1429" i="1" s="1"/>
  <c r="AB1429" i="1"/>
  <c r="AD1429" i="1" s="1"/>
  <c r="Y1429" i="1"/>
  <c r="AA1429" i="1" s="1"/>
  <c r="V1429" i="1"/>
  <c r="X1429" i="1" s="1"/>
  <c r="S1429" i="1"/>
  <c r="U1429" i="1" s="1"/>
  <c r="L1429" i="1"/>
  <c r="N1429" i="1" s="1"/>
  <c r="H1429" i="1"/>
  <c r="J1429" i="1" s="1"/>
  <c r="E1429" i="1"/>
  <c r="G1429" i="1" s="1"/>
  <c r="B1429" i="1"/>
  <c r="D1429" i="1" s="1"/>
  <c r="AE1428" i="1"/>
  <c r="AG1428" i="1" s="1"/>
  <c r="AB1428" i="1"/>
  <c r="AD1428" i="1" s="1"/>
  <c r="Y1428" i="1"/>
  <c r="AA1428" i="1" s="1"/>
  <c r="V1428" i="1"/>
  <c r="X1428" i="1" s="1"/>
  <c r="S1428" i="1"/>
  <c r="U1428" i="1" s="1"/>
  <c r="L1428" i="1"/>
  <c r="N1428" i="1" s="1"/>
  <c r="H1428" i="1"/>
  <c r="J1428" i="1" s="1"/>
  <c r="E1428" i="1"/>
  <c r="G1428" i="1" s="1"/>
  <c r="B1428" i="1"/>
  <c r="D1428" i="1" s="1"/>
  <c r="AE1427" i="1"/>
  <c r="AG1427" i="1" s="1"/>
  <c r="AB1427" i="1"/>
  <c r="AD1427" i="1" s="1"/>
  <c r="Y1427" i="1"/>
  <c r="AA1427" i="1" s="1"/>
  <c r="V1427" i="1"/>
  <c r="X1427" i="1" s="1"/>
  <c r="S1427" i="1"/>
  <c r="U1427" i="1" s="1"/>
  <c r="L1427" i="1"/>
  <c r="N1427" i="1" s="1"/>
  <c r="H1427" i="1"/>
  <c r="J1427" i="1" s="1"/>
  <c r="E1427" i="1"/>
  <c r="G1427" i="1" s="1"/>
  <c r="B1427" i="1"/>
  <c r="D1427" i="1" s="1"/>
  <c r="AE1426" i="1"/>
  <c r="AG1426" i="1" s="1"/>
  <c r="AB1426" i="1"/>
  <c r="AD1426" i="1" s="1"/>
  <c r="Y1426" i="1"/>
  <c r="AA1426" i="1" s="1"/>
  <c r="V1426" i="1"/>
  <c r="X1426" i="1" s="1"/>
  <c r="S1426" i="1"/>
  <c r="U1426" i="1" s="1"/>
  <c r="L1426" i="1"/>
  <c r="N1426" i="1" s="1"/>
  <c r="H1426" i="1"/>
  <c r="J1426" i="1" s="1"/>
  <c r="E1426" i="1"/>
  <c r="G1426" i="1" s="1"/>
  <c r="B1426" i="1"/>
  <c r="D1426" i="1" s="1"/>
  <c r="AE1425" i="1"/>
  <c r="AG1425" i="1" s="1"/>
  <c r="AB1425" i="1"/>
  <c r="AD1425" i="1" s="1"/>
  <c r="Y1425" i="1"/>
  <c r="AA1425" i="1" s="1"/>
  <c r="V1425" i="1"/>
  <c r="X1425" i="1" s="1"/>
  <c r="S1425" i="1"/>
  <c r="U1425" i="1" s="1"/>
  <c r="L1425" i="1"/>
  <c r="N1425" i="1" s="1"/>
  <c r="H1425" i="1"/>
  <c r="J1425" i="1" s="1"/>
  <c r="E1425" i="1"/>
  <c r="G1425" i="1" s="1"/>
  <c r="B1425" i="1"/>
  <c r="D1425" i="1" s="1"/>
  <c r="AE1424" i="1"/>
  <c r="AG1424" i="1" s="1"/>
  <c r="AB1424" i="1"/>
  <c r="AD1424" i="1" s="1"/>
  <c r="Y1424" i="1"/>
  <c r="AA1424" i="1" s="1"/>
  <c r="V1424" i="1"/>
  <c r="X1424" i="1" s="1"/>
  <c r="S1424" i="1"/>
  <c r="U1424" i="1" s="1"/>
  <c r="L1424" i="1"/>
  <c r="N1424" i="1" s="1"/>
  <c r="H1424" i="1"/>
  <c r="J1424" i="1" s="1"/>
  <c r="E1424" i="1"/>
  <c r="G1424" i="1" s="1"/>
  <c r="B1424" i="1"/>
  <c r="D1424" i="1" s="1"/>
  <c r="AE1423" i="1"/>
  <c r="AG1423" i="1" s="1"/>
  <c r="AB1423" i="1"/>
  <c r="AD1423" i="1" s="1"/>
  <c r="Y1423" i="1"/>
  <c r="AA1423" i="1" s="1"/>
  <c r="V1423" i="1"/>
  <c r="X1423" i="1" s="1"/>
  <c r="S1423" i="1"/>
  <c r="U1423" i="1" s="1"/>
  <c r="L1423" i="1"/>
  <c r="N1423" i="1" s="1"/>
  <c r="H1423" i="1"/>
  <c r="J1423" i="1" s="1"/>
  <c r="E1423" i="1"/>
  <c r="G1423" i="1" s="1"/>
  <c r="B1423" i="1"/>
  <c r="D1423" i="1" s="1"/>
  <c r="AE1422" i="1"/>
  <c r="AG1422" i="1" s="1"/>
  <c r="AB1422" i="1"/>
  <c r="AD1422" i="1" s="1"/>
  <c r="Y1422" i="1"/>
  <c r="AA1422" i="1" s="1"/>
  <c r="V1422" i="1"/>
  <c r="X1422" i="1" s="1"/>
  <c r="S1422" i="1"/>
  <c r="U1422" i="1" s="1"/>
  <c r="L1422" i="1"/>
  <c r="N1422" i="1" s="1"/>
  <c r="H1422" i="1"/>
  <c r="J1422" i="1" s="1"/>
  <c r="E1422" i="1"/>
  <c r="G1422" i="1" s="1"/>
  <c r="D1422" i="1"/>
  <c r="AE1421" i="1"/>
  <c r="AG1421" i="1" s="1"/>
  <c r="AB1421" i="1"/>
  <c r="AD1421" i="1" s="1"/>
  <c r="Y1421" i="1"/>
  <c r="AA1421" i="1" s="1"/>
  <c r="V1421" i="1"/>
  <c r="X1421" i="1" s="1"/>
  <c r="S1421" i="1"/>
  <c r="U1421" i="1" s="1"/>
  <c r="L1421" i="1"/>
  <c r="N1421" i="1" s="1"/>
  <c r="H1421" i="1"/>
  <c r="J1421" i="1" s="1"/>
  <c r="E1421" i="1"/>
  <c r="G1421" i="1" s="1"/>
  <c r="B1421" i="1"/>
  <c r="D1421" i="1" s="1"/>
  <c r="AE1420" i="1"/>
  <c r="AG1420" i="1" s="1"/>
  <c r="AB1420" i="1"/>
  <c r="AD1420" i="1" s="1"/>
  <c r="Y1420" i="1"/>
  <c r="AA1420" i="1" s="1"/>
  <c r="V1420" i="1"/>
  <c r="X1420" i="1" s="1"/>
  <c r="S1420" i="1"/>
  <c r="U1420" i="1" s="1"/>
  <c r="L1420" i="1"/>
  <c r="N1420" i="1" s="1"/>
  <c r="H1420" i="1"/>
  <c r="J1420" i="1" s="1"/>
  <c r="E1420" i="1"/>
  <c r="G1420" i="1" s="1"/>
  <c r="B1420" i="1"/>
  <c r="D1420" i="1" s="1"/>
  <c r="AE1419" i="1"/>
  <c r="AG1419" i="1" s="1"/>
  <c r="AB1419" i="1"/>
  <c r="AD1419" i="1" s="1"/>
  <c r="Y1419" i="1"/>
  <c r="AA1419" i="1" s="1"/>
  <c r="V1419" i="1"/>
  <c r="X1419" i="1" s="1"/>
  <c r="S1419" i="1"/>
  <c r="U1419" i="1" s="1"/>
  <c r="L1419" i="1"/>
  <c r="N1419" i="1" s="1"/>
  <c r="H1419" i="1"/>
  <c r="J1419" i="1" s="1"/>
  <c r="E1419" i="1"/>
  <c r="G1419" i="1" s="1"/>
  <c r="B1419" i="1"/>
  <c r="D1419" i="1" s="1"/>
  <c r="AE1418" i="1"/>
  <c r="AG1418" i="1" s="1"/>
  <c r="AB1418" i="1"/>
  <c r="AD1418" i="1" s="1"/>
  <c r="Y1418" i="1"/>
  <c r="AA1418" i="1" s="1"/>
  <c r="V1418" i="1"/>
  <c r="X1418" i="1" s="1"/>
  <c r="S1418" i="1"/>
  <c r="U1418" i="1" s="1"/>
  <c r="L1418" i="1"/>
  <c r="N1418" i="1" s="1"/>
  <c r="H1418" i="1"/>
  <c r="J1418" i="1" s="1"/>
  <c r="E1418" i="1"/>
  <c r="G1418" i="1" s="1"/>
  <c r="B1418" i="1"/>
  <c r="D1418" i="1" s="1"/>
  <c r="AE1417" i="1"/>
  <c r="AG1417" i="1" s="1"/>
  <c r="AB1417" i="1"/>
  <c r="AD1417" i="1" s="1"/>
  <c r="Y1417" i="1"/>
  <c r="AA1417" i="1" s="1"/>
  <c r="V1417" i="1"/>
  <c r="X1417" i="1" s="1"/>
  <c r="S1417" i="1"/>
  <c r="U1417" i="1" s="1"/>
  <c r="L1417" i="1"/>
  <c r="N1417" i="1" s="1"/>
  <c r="H1417" i="1"/>
  <c r="J1417" i="1" s="1"/>
  <c r="E1417" i="1"/>
  <c r="G1417" i="1" s="1"/>
  <c r="B1417" i="1"/>
  <c r="D1417" i="1" s="1"/>
  <c r="AE1416" i="1"/>
  <c r="AG1416" i="1" s="1"/>
  <c r="AB1416" i="1"/>
  <c r="AD1416" i="1" s="1"/>
  <c r="Y1416" i="1"/>
  <c r="AA1416" i="1" s="1"/>
  <c r="V1416" i="1"/>
  <c r="X1416" i="1" s="1"/>
  <c r="S1416" i="1"/>
  <c r="U1416" i="1" s="1"/>
  <c r="L1416" i="1"/>
  <c r="N1416" i="1" s="1"/>
  <c r="H1416" i="1"/>
  <c r="J1416" i="1" s="1"/>
  <c r="E1416" i="1"/>
  <c r="G1416" i="1" s="1"/>
  <c r="B1416" i="1"/>
  <c r="D1416" i="1" s="1"/>
  <c r="AE1415" i="1"/>
  <c r="AG1415" i="1" s="1"/>
  <c r="AB1415" i="1"/>
  <c r="AD1415" i="1" s="1"/>
  <c r="Y1415" i="1"/>
  <c r="AA1415" i="1" s="1"/>
  <c r="V1415" i="1"/>
  <c r="X1415" i="1" s="1"/>
  <c r="S1415" i="1"/>
  <c r="U1415" i="1" s="1"/>
  <c r="L1415" i="1"/>
  <c r="N1415" i="1" s="1"/>
  <c r="H1415" i="1"/>
  <c r="J1415" i="1" s="1"/>
  <c r="E1415" i="1"/>
  <c r="G1415" i="1" s="1"/>
  <c r="B1415" i="1"/>
  <c r="D1415" i="1" s="1"/>
  <c r="AE1414" i="1"/>
  <c r="AG1414" i="1" s="1"/>
  <c r="AB1414" i="1"/>
  <c r="AD1414" i="1" s="1"/>
  <c r="Y1414" i="1"/>
  <c r="AA1414" i="1" s="1"/>
  <c r="V1414" i="1"/>
  <c r="X1414" i="1" s="1"/>
  <c r="S1414" i="1"/>
  <c r="U1414" i="1" s="1"/>
  <c r="L1414" i="1"/>
  <c r="N1414" i="1" s="1"/>
  <c r="H1414" i="1"/>
  <c r="J1414" i="1" s="1"/>
  <c r="E1414" i="1"/>
  <c r="G1414" i="1" s="1"/>
  <c r="B1414" i="1"/>
  <c r="D1414" i="1" s="1"/>
  <c r="AE1413" i="1"/>
  <c r="AG1413" i="1" s="1"/>
  <c r="AB1413" i="1"/>
  <c r="AD1413" i="1" s="1"/>
  <c r="Y1413" i="1"/>
  <c r="AA1413" i="1" s="1"/>
  <c r="V1413" i="1"/>
  <c r="X1413" i="1" s="1"/>
  <c r="S1413" i="1"/>
  <c r="U1413" i="1" s="1"/>
  <c r="L1413" i="1"/>
  <c r="N1413" i="1" s="1"/>
  <c r="H1413" i="1"/>
  <c r="J1413" i="1" s="1"/>
  <c r="E1413" i="1"/>
  <c r="G1413" i="1" s="1"/>
  <c r="B1413" i="1"/>
  <c r="D1413" i="1" s="1"/>
  <c r="AE1412" i="1"/>
  <c r="AG1412" i="1" s="1"/>
  <c r="AB1412" i="1"/>
  <c r="AD1412" i="1" s="1"/>
  <c r="Y1412" i="1"/>
  <c r="AA1412" i="1" s="1"/>
  <c r="V1412" i="1"/>
  <c r="X1412" i="1" s="1"/>
  <c r="S1412" i="1"/>
  <c r="U1412" i="1" s="1"/>
  <c r="L1412" i="1"/>
  <c r="N1412" i="1" s="1"/>
  <c r="H1412" i="1"/>
  <c r="J1412" i="1" s="1"/>
  <c r="E1412" i="1"/>
  <c r="G1412" i="1" s="1"/>
  <c r="B1412" i="1"/>
  <c r="D1412" i="1" s="1"/>
  <c r="AE1411" i="1"/>
  <c r="AG1411" i="1" s="1"/>
  <c r="AB1411" i="1"/>
  <c r="AD1411" i="1" s="1"/>
  <c r="Y1411" i="1"/>
  <c r="AA1411" i="1" s="1"/>
  <c r="V1411" i="1"/>
  <c r="X1411" i="1" s="1"/>
  <c r="S1411" i="1"/>
  <c r="U1411" i="1" s="1"/>
  <c r="R1411" i="1"/>
  <c r="L1411" i="1"/>
  <c r="N1411" i="1" s="1"/>
  <c r="H1411" i="1"/>
  <c r="J1411" i="1" s="1"/>
  <c r="E1411" i="1"/>
  <c r="B1411" i="1"/>
  <c r="D1411" i="1" s="1"/>
  <c r="AE1410" i="1"/>
  <c r="AG1410" i="1" s="1"/>
  <c r="AB1410" i="1"/>
  <c r="AD1410" i="1" s="1"/>
  <c r="Y1410" i="1"/>
  <c r="AA1410" i="1" s="1"/>
  <c r="V1410" i="1"/>
  <c r="X1410" i="1" s="1"/>
  <c r="S1410" i="1"/>
  <c r="U1410" i="1" s="1"/>
  <c r="R1410" i="1"/>
  <c r="L1410" i="1"/>
  <c r="N1410" i="1" s="1"/>
  <c r="H1410" i="1"/>
  <c r="J1410" i="1" s="1"/>
  <c r="E1410" i="1"/>
  <c r="G1410" i="1" s="1"/>
  <c r="B1410" i="1"/>
  <c r="D1410" i="1" s="1"/>
  <c r="AE1409" i="1"/>
  <c r="AG1409" i="1" s="1"/>
  <c r="AB1409" i="1"/>
  <c r="AD1409" i="1" s="1"/>
  <c r="Y1409" i="1"/>
  <c r="AA1409" i="1" s="1"/>
  <c r="V1409" i="1"/>
  <c r="X1409" i="1" s="1"/>
  <c r="S1409" i="1"/>
  <c r="U1409" i="1" s="1"/>
  <c r="R1409" i="1"/>
  <c r="L1409" i="1"/>
  <c r="N1409" i="1" s="1"/>
  <c r="H1409" i="1"/>
  <c r="J1409" i="1" s="1"/>
  <c r="E1409" i="1"/>
  <c r="G1409" i="1" s="1"/>
  <c r="B1409" i="1"/>
  <c r="D1409" i="1" s="1"/>
  <c r="AE1408" i="1"/>
  <c r="AG1408" i="1" s="1"/>
  <c r="AB1408" i="1"/>
  <c r="AD1408" i="1" s="1"/>
  <c r="Y1408" i="1"/>
  <c r="AA1408" i="1" s="1"/>
  <c r="V1408" i="1"/>
  <c r="X1408" i="1" s="1"/>
  <c r="S1408" i="1"/>
  <c r="U1408" i="1" s="1"/>
  <c r="P1408" i="1"/>
  <c r="R1408" i="1" s="1"/>
  <c r="L1408" i="1"/>
  <c r="N1408" i="1" s="1"/>
  <c r="H1408" i="1"/>
  <c r="J1408" i="1" s="1"/>
  <c r="E1408" i="1"/>
  <c r="G1408" i="1" s="1"/>
  <c r="B1408" i="1"/>
  <c r="D1408" i="1" s="1"/>
  <c r="AE1407" i="1"/>
  <c r="AG1407" i="1" s="1"/>
  <c r="AB1407" i="1"/>
  <c r="AD1407" i="1" s="1"/>
  <c r="Y1407" i="1"/>
  <c r="AA1407" i="1" s="1"/>
  <c r="V1407" i="1"/>
  <c r="X1407" i="1" s="1"/>
  <c r="S1407" i="1"/>
  <c r="U1407" i="1" s="1"/>
  <c r="P1407" i="1"/>
  <c r="R1407" i="1" s="1"/>
  <c r="L1407" i="1"/>
  <c r="N1407" i="1" s="1"/>
  <c r="H1407" i="1"/>
  <c r="J1407" i="1" s="1"/>
  <c r="E1407" i="1"/>
  <c r="G1407" i="1" s="1"/>
  <c r="B1407" i="1"/>
  <c r="D1407" i="1" s="1"/>
  <c r="AE1406" i="1"/>
  <c r="AG1406" i="1" s="1"/>
  <c r="AB1406" i="1"/>
  <c r="AD1406" i="1" s="1"/>
  <c r="Y1406" i="1"/>
  <c r="AA1406" i="1" s="1"/>
  <c r="V1406" i="1"/>
  <c r="X1406" i="1" s="1"/>
  <c r="S1406" i="1"/>
  <c r="U1406" i="1" s="1"/>
  <c r="P1406" i="1"/>
  <c r="R1406" i="1" s="1"/>
  <c r="L1406" i="1"/>
  <c r="N1406" i="1" s="1"/>
  <c r="H1406" i="1"/>
  <c r="J1406" i="1" s="1"/>
  <c r="E1406" i="1"/>
  <c r="G1406" i="1" s="1"/>
  <c r="B1406" i="1"/>
  <c r="D1406" i="1" s="1"/>
  <c r="AE1405" i="1"/>
  <c r="AG1405" i="1" s="1"/>
  <c r="AB1405" i="1"/>
  <c r="AD1405" i="1" s="1"/>
  <c r="Y1405" i="1"/>
  <c r="AA1405" i="1" s="1"/>
  <c r="V1405" i="1"/>
  <c r="X1405" i="1" s="1"/>
  <c r="S1405" i="1"/>
  <c r="U1405" i="1" s="1"/>
  <c r="R1405" i="1"/>
  <c r="L1405" i="1"/>
  <c r="N1405" i="1" s="1"/>
  <c r="H1405" i="1"/>
  <c r="J1405" i="1" s="1"/>
  <c r="E1405" i="1"/>
  <c r="G1405" i="1" s="1"/>
  <c r="B1405" i="1"/>
  <c r="D1405" i="1" s="1"/>
  <c r="AE1404" i="1"/>
  <c r="AG1404" i="1" s="1"/>
  <c r="AB1404" i="1"/>
  <c r="AD1404" i="1" s="1"/>
  <c r="Y1404" i="1"/>
  <c r="AA1404" i="1" s="1"/>
  <c r="V1404" i="1"/>
  <c r="X1404" i="1" s="1"/>
  <c r="S1404" i="1"/>
  <c r="U1404" i="1" s="1"/>
  <c r="R1404" i="1"/>
  <c r="L1404" i="1"/>
  <c r="N1404" i="1" s="1"/>
  <c r="H1404" i="1"/>
  <c r="J1404" i="1" s="1"/>
  <c r="E1404" i="1"/>
  <c r="G1404" i="1" s="1"/>
  <c r="B1404" i="1"/>
  <c r="D1404" i="1" s="1"/>
  <c r="AE1403" i="1"/>
  <c r="AG1403" i="1" s="1"/>
  <c r="AB1403" i="1"/>
  <c r="AD1403" i="1" s="1"/>
  <c r="Y1403" i="1"/>
  <c r="AA1403" i="1" s="1"/>
  <c r="V1403" i="1"/>
  <c r="X1403" i="1" s="1"/>
  <c r="S1403" i="1"/>
  <c r="U1403" i="1" s="1"/>
  <c r="R1403" i="1"/>
  <c r="L1403" i="1"/>
  <c r="N1403" i="1" s="1"/>
  <c r="H1403" i="1"/>
  <c r="J1403" i="1" s="1"/>
  <c r="E1403" i="1"/>
  <c r="G1403" i="1" s="1"/>
  <c r="B1403" i="1"/>
  <c r="D1403" i="1" s="1"/>
  <c r="AE1402" i="1"/>
  <c r="AG1402" i="1" s="1"/>
  <c r="AB1402" i="1"/>
  <c r="AD1402" i="1" s="1"/>
  <c r="Y1402" i="1"/>
  <c r="AA1402" i="1" s="1"/>
  <c r="V1402" i="1"/>
  <c r="X1402" i="1" s="1"/>
  <c r="S1402" i="1"/>
  <c r="U1402" i="1" s="1"/>
  <c r="R1402" i="1"/>
  <c r="L1402" i="1"/>
  <c r="N1402" i="1" s="1"/>
  <c r="H1402" i="1"/>
  <c r="J1402" i="1" s="1"/>
  <c r="E1402" i="1"/>
  <c r="G1402" i="1" s="1"/>
  <c r="B1402" i="1"/>
  <c r="D1402" i="1" s="1"/>
  <c r="AE1401" i="1"/>
  <c r="AG1401" i="1" s="1"/>
  <c r="AB1401" i="1"/>
  <c r="AD1401" i="1" s="1"/>
  <c r="Y1401" i="1"/>
  <c r="AA1401" i="1" s="1"/>
  <c r="V1401" i="1"/>
  <c r="X1401" i="1" s="1"/>
  <c r="S1401" i="1"/>
  <c r="U1401" i="1" s="1"/>
  <c r="R1401" i="1"/>
  <c r="L1401" i="1"/>
  <c r="N1401" i="1" s="1"/>
  <c r="H1401" i="1"/>
  <c r="J1401" i="1" s="1"/>
  <c r="E1401" i="1"/>
  <c r="G1401" i="1" s="1"/>
  <c r="B1401" i="1"/>
  <c r="D1401" i="1" s="1"/>
  <c r="AE1400" i="1"/>
  <c r="AG1400" i="1" s="1"/>
  <c r="AB1400" i="1"/>
  <c r="AD1400" i="1" s="1"/>
  <c r="Y1400" i="1"/>
  <c r="AA1400" i="1" s="1"/>
  <c r="V1400" i="1"/>
  <c r="X1400" i="1" s="1"/>
  <c r="S1400" i="1"/>
  <c r="U1400" i="1" s="1"/>
  <c r="R1400" i="1"/>
  <c r="L1400" i="1"/>
  <c r="N1400" i="1" s="1"/>
  <c r="H1400" i="1"/>
  <c r="J1400" i="1" s="1"/>
  <c r="E1400" i="1"/>
  <c r="B1400" i="1"/>
  <c r="D1400" i="1" s="1"/>
  <c r="AE1399" i="1"/>
  <c r="AG1399" i="1" s="1"/>
  <c r="AB1399" i="1"/>
  <c r="AD1399" i="1" s="1"/>
  <c r="Y1399" i="1"/>
  <c r="AA1399" i="1" s="1"/>
  <c r="V1399" i="1"/>
  <c r="X1399" i="1" s="1"/>
  <c r="S1399" i="1"/>
  <c r="U1399" i="1" s="1"/>
  <c r="R1399" i="1"/>
  <c r="L1399" i="1"/>
  <c r="N1399" i="1" s="1"/>
  <c r="H1399" i="1"/>
  <c r="J1399" i="1" s="1"/>
  <c r="E1399" i="1"/>
  <c r="G1399" i="1" s="1"/>
  <c r="B1399" i="1"/>
  <c r="D1399" i="1" s="1"/>
  <c r="AE1398" i="1"/>
  <c r="AG1398" i="1" s="1"/>
  <c r="AB1398" i="1"/>
  <c r="AD1398" i="1" s="1"/>
  <c r="Y1398" i="1"/>
  <c r="AA1398" i="1" s="1"/>
  <c r="V1398" i="1"/>
  <c r="X1398" i="1" s="1"/>
  <c r="S1398" i="1"/>
  <c r="U1398" i="1" s="1"/>
  <c r="R1398" i="1"/>
  <c r="L1398" i="1"/>
  <c r="N1398" i="1" s="1"/>
  <c r="H1398" i="1"/>
  <c r="J1398" i="1" s="1"/>
  <c r="E1398" i="1"/>
  <c r="G1398" i="1" s="1"/>
  <c r="B1398" i="1"/>
  <c r="D1398" i="1" s="1"/>
  <c r="AE1397" i="1"/>
  <c r="AG1397" i="1" s="1"/>
  <c r="AD1397" i="1"/>
  <c r="AB1397" i="1"/>
  <c r="Y1397" i="1"/>
  <c r="AA1397" i="1" s="1"/>
  <c r="V1397" i="1"/>
  <c r="X1397" i="1" s="1"/>
  <c r="U1397" i="1"/>
  <c r="S1397" i="1"/>
  <c r="R1397" i="1"/>
  <c r="L1397" i="1"/>
  <c r="N1397" i="1" s="1"/>
  <c r="H1397" i="1"/>
  <c r="J1397" i="1" s="1"/>
  <c r="E1397" i="1"/>
  <c r="G1397" i="1" s="1"/>
  <c r="B1397" i="1"/>
  <c r="D1397" i="1" s="1"/>
  <c r="AE1396" i="1"/>
  <c r="AG1396" i="1" s="1"/>
  <c r="AB1396" i="1"/>
  <c r="AD1396" i="1" s="1"/>
  <c r="Y1396" i="1"/>
  <c r="AA1396" i="1" s="1"/>
  <c r="V1396" i="1"/>
  <c r="X1396" i="1" s="1"/>
  <c r="S1396" i="1"/>
  <c r="U1396" i="1" s="1"/>
  <c r="R1396" i="1"/>
  <c r="L1396" i="1"/>
  <c r="N1396" i="1" s="1"/>
  <c r="H1396" i="1"/>
  <c r="J1396" i="1" s="1"/>
  <c r="E1396" i="1"/>
  <c r="G1396" i="1" s="1"/>
  <c r="B1396" i="1"/>
  <c r="D1396" i="1" s="1"/>
  <c r="AE1395" i="1"/>
  <c r="AG1395" i="1" s="1"/>
  <c r="AB1395" i="1"/>
  <c r="AD1395" i="1" s="1"/>
  <c r="Y1395" i="1"/>
  <c r="AA1395" i="1" s="1"/>
  <c r="V1395" i="1"/>
  <c r="X1395" i="1" s="1"/>
  <c r="S1395" i="1"/>
  <c r="U1395" i="1" s="1"/>
  <c r="R1395" i="1"/>
  <c r="L1395" i="1"/>
  <c r="N1395" i="1" s="1"/>
  <c r="H1395" i="1"/>
  <c r="J1395" i="1" s="1"/>
  <c r="E1395" i="1"/>
  <c r="G1395" i="1" s="1"/>
  <c r="D1395" i="1"/>
  <c r="B1395" i="1"/>
  <c r="AG1394" i="1"/>
  <c r="AB1394" i="1"/>
  <c r="AD1394" i="1" s="1"/>
  <c r="Y1394" i="1"/>
  <c r="AA1394" i="1" s="1"/>
  <c r="V1394" i="1"/>
  <c r="X1394" i="1" s="1"/>
  <c r="S1394" i="1"/>
  <c r="U1394" i="1" s="1"/>
  <c r="R1394" i="1"/>
  <c r="L1394" i="1"/>
  <c r="N1394" i="1" s="1"/>
  <c r="H1394" i="1"/>
  <c r="J1394" i="1" s="1"/>
  <c r="E1394" i="1"/>
  <c r="G1394" i="1" s="1"/>
  <c r="B1394" i="1"/>
  <c r="D1394" i="1" s="1"/>
  <c r="AG1393" i="1"/>
  <c r="AB1393" i="1"/>
  <c r="AD1393" i="1" s="1"/>
  <c r="Y1393" i="1"/>
  <c r="AA1393" i="1" s="1"/>
  <c r="V1393" i="1"/>
  <c r="X1393" i="1" s="1"/>
  <c r="S1393" i="1"/>
  <c r="U1393" i="1" s="1"/>
  <c r="R1393" i="1"/>
  <c r="L1393" i="1"/>
  <c r="N1393" i="1" s="1"/>
  <c r="H1393" i="1"/>
  <c r="J1393" i="1" s="1"/>
  <c r="E1393" i="1"/>
  <c r="G1393" i="1" s="1"/>
  <c r="B1393" i="1"/>
  <c r="D1393" i="1" s="1"/>
  <c r="AG1392" i="1"/>
  <c r="AB1392" i="1"/>
  <c r="AD1392" i="1" s="1"/>
  <c r="Y1392" i="1"/>
  <c r="AA1392" i="1" s="1"/>
  <c r="V1392" i="1"/>
  <c r="X1392" i="1" s="1"/>
  <c r="S1392" i="1"/>
  <c r="U1392" i="1" s="1"/>
  <c r="R1392" i="1"/>
  <c r="L1392" i="1"/>
  <c r="N1392" i="1" s="1"/>
  <c r="H1392" i="1"/>
  <c r="J1392" i="1" s="1"/>
  <c r="E1392" i="1"/>
  <c r="G1392" i="1" s="1"/>
  <c r="B1392" i="1"/>
  <c r="D1392" i="1" s="1"/>
  <c r="AG1391" i="1"/>
  <c r="AB1391" i="1"/>
  <c r="AD1391" i="1" s="1"/>
  <c r="Y1391" i="1"/>
  <c r="AA1391" i="1" s="1"/>
  <c r="V1391" i="1"/>
  <c r="X1391" i="1" s="1"/>
  <c r="S1391" i="1"/>
  <c r="U1391" i="1" s="1"/>
  <c r="R1391" i="1"/>
  <c r="L1391" i="1"/>
  <c r="N1391" i="1" s="1"/>
  <c r="H1391" i="1"/>
  <c r="J1391" i="1" s="1"/>
  <c r="G1391" i="1"/>
  <c r="D1391" i="1"/>
  <c r="B1391" i="1"/>
  <c r="AG1390" i="1"/>
  <c r="AB1390" i="1"/>
  <c r="AD1390" i="1" s="1"/>
  <c r="Y1390" i="1"/>
  <c r="AA1390" i="1" s="1"/>
  <c r="V1390" i="1"/>
  <c r="X1390" i="1" s="1"/>
  <c r="S1390" i="1"/>
  <c r="U1390" i="1" s="1"/>
  <c r="R1390" i="1"/>
  <c r="L1390" i="1"/>
  <c r="N1390" i="1" s="1"/>
  <c r="H1390" i="1"/>
  <c r="J1390" i="1" s="1"/>
  <c r="G1390" i="1"/>
  <c r="B1390" i="1"/>
  <c r="D1390" i="1" s="1"/>
  <c r="AG1389" i="1"/>
  <c r="AB1389" i="1"/>
  <c r="AD1389" i="1" s="1"/>
  <c r="AA1389" i="1"/>
  <c r="V1389" i="1"/>
  <c r="X1389" i="1" s="1"/>
  <c r="S1389" i="1"/>
  <c r="U1389" i="1" s="1"/>
  <c r="R1389" i="1"/>
  <c r="L1389" i="1"/>
  <c r="N1389" i="1" s="1"/>
  <c r="H1389" i="1"/>
  <c r="J1389" i="1" s="1"/>
  <c r="G1389" i="1"/>
  <c r="B1389" i="1"/>
  <c r="D1389" i="1" s="1"/>
  <c r="AG1388" i="1"/>
  <c r="AB1388" i="1"/>
  <c r="AD1388" i="1" s="1"/>
  <c r="AA1388" i="1"/>
  <c r="V1388" i="1"/>
  <c r="X1388" i="1" s="1"/>
  <c r="S1388" i="1"/>
  <c r="U1388" i="1" s="1"/>
  <c r="R1388" i="1"/>
  <c r="L1388" i="1"/>
  <c r="N1388" i="1" s="1"/>
  <c r="H1388" i="1"/>
  <c r="J1388" i="1" s="1"/>
  <c r="G1388" i="1"/>
  <c r="B1388" i="1"/>
  <c r="D1388" i="1" s="1"/>
  <c r="AG1387" i="1"/>
  <c r="AB1387" i="1"/>
  <c r="AD1387" i="1" s="1"/>
  <c r="AA1387" i="1"/>
  <c r="V1387" i="1"/>
  <c r="X1387" i="1" s="1"/>
  <c r="S1387" i="1"/>
  <c r="U1387" i="1" s="1"/>
  <c r="R1387" i="1"/>
  <c r="L1387" i="1"/>
  <c r="N1387" i="1" s="1"/>
  <c r="H1387" i="1"/>
  <c r="J1387" i="1" s="1"/>
  <c r="G1387" i="1"/>
  <c r="B1387" i="1"/>
  <c r="D1387" i="1" s="1"/>
  <c r="AG1386" i="1"/>
  <c r="AB1386" i="1"/>
  <c r="AD1386" i="1" s="1"/>
  <c r="AA1386" i="1"/>
  <c r="V1386" i="1"/>
  <c r="X1386" i="1" s="1"/>
  <c r="S1386" i="1"/>
  <c r="U1386" i="1" s="1"/>
  <c r="R1386" i="1"/>
  <c r="L1386" i="1"/>
  <c r="N1386" i="1" s="1"/>
  <c r="H1386" i="1"/>
  <c r="J1386" i="1" s="1"/>
  <c r="E1386" i="1"/>
  <c r="G1386" i="1" s="1"/>
  <c r="B1386" i="1"/>
  <c r="D1386" i="1" s="1"/>
  <c r="AG1385" i="1"/>
  <c r="AB1385" i="1"/>
  <c r="AD1385" i="1" s="1"/>
  <c r="Y1385" i="1"/>
  <c r="AA1385" i="1" s="1"/>
  <c r="V1385" i="1"/>
  <c r="X1385" i="1" s="1"/>
  <c r="S1385" i="1"/>
  <c r="U1385" i="1" s="1"/>
  <c r="R1385" i="1"/>
  <c r="L1385" i="1"/>
  <c r="N1385" i="1" s="1"/>
  <c r="H1385" i="1"/>
  <c r="J1385" i="1" s="1"/>
  <c r="E1385" i="1"/>
  <c r="G1385" i="1" s="1"/>
  <c r="D1385" i="1"/>
  <c r="B1385" i="1"/>
  <c r="AG1384" i="1"/>
  <c r="AB1384" i="1"/>
  <c r="AD1384" i="1" s="1"/>
  <c r="Y1384" i="1"/>
  <c r="AA1384" i="1" s="1"/>
  <c r="V1384" i="1"/>
  <c r="X1384" i="1" s="1"/>
  <c r="S1384" i="1"/>
  <c r="U1384" i="1" s="1"/>
  <c r="R1384" i="1"/>
  <c r="L1384" i="1"/>
  <c r="N1384" i="1" s="1"/>
  <c r="H1384" i="1"/>
  <c r="J1384" i="1" s="1"/>
  <c r="E1384" i="1"/>
  <c r="G1384" i="1" s="1"/>
  <c r="B1384" i="1"/>
  <c r="D1384" i="1" s="1"/>
  <c r="AG1383" i="1"/>
  <c r="AB1383" i="1"/>
  <c r="AD1383" i="1" s="1"/>
  <c r="Y1383" i="1"/>
  <c r="AA1383" i="1" s="1"/>
  <c r="V1383" i="1"/>
  <c r="X1383" i="1" s="1"/>
  <c r="S1383" i="1"/>
  <c r="U1383" i="1" s="1"/>
  <c r="R1383" i="1"/>
  <c r="L1383" i="1"/>
  <c r="N1383" i="1" s="1"/>
  <c r="H1383" i="1"/>
  <c r="J1383" i="1" s="1"/>
  <c r="E1383" i="1"/>
  <c r="G1383" i="1" s="1"/>
  <c r="B1383" i="1"/>
  <c r="D1383" i="1" s="1"/>
  <c r="AG1382" i="1"/>
  <c r="AB1382" i="1"/>
  <c r="AD1382" i="1" s="1"/>
  <c r="Y1382" i="1"/>
  <c r="AA1382" i="1" s="1"/>
  <c r="V1382" i="1"/>
  <c r="X1382" i="1" s="1"/>
  <c r="S1382" i="1"/>
  <c r="U1382" i="1" s="1"/>
  <c r="R1382" i="1"/>
  <c r="L1382" i="1"/>
  <c r="N1382" i="1" s="1"/>
  <c r="H1382" i="1"/>
  <c r="J1382" i="1" s="1"/>
  <c r="E1382" i="1"/>
  <c r="G1382" i="1" s="1"/>
  <c r="B1382" i="1"/>
  <c r="D1382" i="1" s="1"/>
  <c r="AG1381" i="1"/>
  <c r="AB1381" i="1"/>
  <c r="AD1381" i="1" s="1"/>
  <c r="Y1381" i="1"/>
  <c r="AA1381" i="1" s="1"/>
  <c r="V1381" i="1"/>
  <c r="X1381" i="1" s="1"/>
  <c r="S1381" i="1"/>
  <c r="U1381" i="1" s="1"/>
  <c r="R1381" i="1"/>
  <c r="L1381" i="1"/>
  <c r="N1381" i="1" s="1"/>
  <c r="H1381" i="1"/>
  <c r="J1381" i="1" s="1"/>
  <c r="G1381" i="1"/>
  <c r="E1381" i="1"/>
  <c r="B1381" i="1"/>
  <c r="D1381" i="1" s="1"/>
  <c r="AG1380" i="1"/>
  <c r="AB1380" i="1"/>
  <c r="AD1380" i="1" s="1"/>
  <c r="AH1380" i="1" s="1"/>
  <c r="Y1380" i="1"/>
  <c r="AA1380" i="1" s="1"/>
  <c r="V1380" i="1"/>
  <c r="X1380" i="1" s="1"/>
  <c r="S1380" i="1"/>
  <c r="U1380" i="1" s="1"/>
  <c r="P1380" i="1"/>
  <c r="R1380" i="1" s="1"/>
  <c r="L1380" i="1"/>
  <c r="N1380" i="1" s="1"/>
  <c r="H1380" i="1"/>
  <c r="J1380" i="1" s="1"/>
  <c r="E1380" i="1"/>
  <c r="G1380" i="1" s="1"/>
  <c r="D1380" i="1"/>
  <c r="B1380" i="1"/>
  <c r="AG1379" i="1"/>
  <c r="AB1379" i="1"/>
  <c r="AD1379" i="1" s="1"/>
  <c r="Y1379" i="1"/>
  <c r="AA1379" i="1" s="1"/>
  <c r="V1379" i="1"/>
  <c r="X1379" i="1" s="1"/>
  <c r="S1379" i="1"/>
  <c r="U1379" i="1" s="1"/>
  <c r="P1379" i="1"/>
  <c r="R1379" i="1" s="1"/>
  <c r="L1379" i="1"/>
  <c r="N1379" i="1" s="1"/>
  <c r="H1379" i="1"/>
  <c r="J1379" i="1" s="1"/>
  <c r="E1379" i="1"/>
  <c r="G1379" i="1" s="1"/>
  <c r="B1379" i="1"/>
  <c r="D1379" i="1" s="1"/>
  <c r="AG1378" i="1"/>
  <c r="AB1378" i="1"/>
  <c r="AD1378" i="1" s="1"/>
  <c r="AA1378" i="1"/>
  <c r="Y1378" i="1"/>
  <c r="V1378" i="1"/>
  <c r="X1378" i="1" s="1"/>
  <c r="S1378" i="1"/>
  <c r="U1378" i="1" s="1"/>
  <c r="P1378" i="1"/>
  <c r="R1378" i="1" s="1"/>
  <c r="L1378" i="1"/>
  <c r="N1378" i="1" s="1"/>
  <c r="H1378" i="1"/>
  <c r="J1378" i="1" s="1"/>
  <c r="E1378" i="1"/>
  <c r="G1378" i="1" s="1"/>
  <c r="B1378" i="1"/>
  <c r="D1378" i="1" s="1"/>
  <c r="AG1377" i="1"/>
  <c r="AB1377" i="1"/>
  <c r="AD1377" i="1" s="1"/>
  <c r="Y1377" i="1"/>
  <c r="AA1377" i="1" s="1"/>
  <c r="V1377" i="1"/>
  <c r="X1377" i="1" s="1"/>
  <c r="S1377" i="1"/>
  <c r="U1377" i="1" s="1"/>
  <c r="P1377" i="1"/>
  <c r="R1377" i="1" s="1"/>
  <c r="N1377" i="1"/>
  <c r="H1377" i="1"/>
  <c r="J1377" i="1" s="1"/>
  <c r="E1377" i="1"/>
  <c r="G1377" i="1" s="1"/>
  <c r="D1377" i="1"/>
  <c r="B1377" i="1"/>
  <c r="AG1376" i="1"/>
  <c r="AD1376" i="1"/>
  <c r="Y1376" i="1"/>
  <c r="AA1376" i="1" s="1"/>
  <c r="V1376" i="1"/>
  <c r="X1376" i="1" s="1"/>
  <c r="S1376" i="1"/>
  <c r="U1376" i="1" s="1"/>
  <c r="P1376" i="1"/>
  <c r="R1376" i="1" s="1"/>
  <c r="N1376" i="1"/>
  <c r="J1376" i="1"/>
  <c r="G1376" i="1"/>
  <c r="D1376" i="1"/>
  <c r="AG1375" i="1"/>
  <c r="AD1375" i="1"/>
  <c r="AA1375" i="1"/>
  <c r="X1375" i="1"/>
  <c r="U1375" i="1"/>
  <c r="R1375" i="1"/>
  <c r="N1375" i="1"/>
  <c r="J1375" i="1"/>
  <c r="G1375" i="1"/>
  <c r="D1375" i="1"/>
  <c r="AG1374" i="1"/>
  <c r="AB1374" i="1"/>
  <c r="AD1374" i="1" s="1"/>
  <c r="Y1374" i="1"/>
  <c r="AA1374" i="1" s="1"/>
  <c r="V1374" i="1"/>
  <c r="X1374" i="1" s="1"/>
  <c r="S1374" i="1"/>
  <c r="U1374" i="1" s="1"/>
  <c r="P1374" i="1"/>
  <c r="R1374" i="1" s="1"/>
  <c r="L1374" i="1"/>
  <c r="N1374" i="1" s="1"/>
  <c r="J1374" i="1"/>
  <c r="E1374" i="1"/>
  <c r="G1374" i="1" s="1"/>
  <c r="B1374" i="1"/>
  <c r="D1374" i="1" s="1"/>
  <c r="AG1373" i="1"/>
  <c r="AB1373" i="1"/>
  <c r="AD1373" i="1" s="1"/>
  <c r="AA1373" i="1"/>
  <c r="V1373" i="1"/>
  <c r="X1373" i="1" s="1"/>
  <c r="S1373" i="1"/>
  <c r="U1373" i="1" s="1"/>
  <c r="P1373" i="1"/>
  <c r="R1373" i="1" s="1"/>
  <c r="L1373" i="1"/>
  <c r="N1373" i="1" s="1"/>
  <c r="J1373" i="1"/>
  <c r="E1373" i="1"/>
  <c r="G1373" i="1" s="1"/>
  <c r="B1373" i="1"/>
  <c r="D1373" i="1" s="1"/>
  <c r="AG1372" i="1"/>
  <c r="AB1372" i="1"/>
  <c r="AD1372" i="1" s="1"/>
  <c r="Y1372" i="1"/>
  <c r="AA1372" i="1" s="1"/>
  <c r="V1372" i="1"/>
  <c r="X1372" i="1" s="1"/>
  <c r="S1372" i="1"/>
  <c r="U1372" i="1" s="1"/>
  <c r="R1372" i="1"/>
  <c r="P1372" i="1"/>
  <c r="L1372" i="1"/>
  <c r="N1372" i="1" s="1"/>
  <c r="J1372" i="1"/>
  <c r="E1372" i="1"/>
  <c r="G1372" i="1" s="1"/>
  <c r="B1372" i="1"/>
  <c r="D1372" i="1" s="1"/>
  <c r="AG1371" i="1"/>
  <c r="AB1371" i="1"/>
  <c r="AD1371" i="1" s="1"/>
  <c r="Y1371" i="1"/>
  <c r="AA1371" i="1" s="1"/>
  <c r="V1371" i="1"/>
  <c r="X1371" i="1" s="1"/>
  <c r="S1371" i="1"/>
  <c r="U1371" i="1" s="1"/>
  <c r="P1371" i="1"/>
  <c r="R1371" i="1" s="1"/>
  <c r="N1371" i="1"/>
  <c r="L1371" i="1"/>
  <c r="J1371" i="1"/>
  <c r="E1371" i="1"/>
  <c r="G1371" i="1" s="1"/>
  <c r="B1371" i="1"/>
  <c r="D1371" i="1" s="1"/>
  <c r="AG1370" i="1"/>
  <c r="AB1370" i="1"/>
  <c r="AD1370" i="1" s="1"/>
  <c r="AA1370" i="1"/>
  <c r="Y1370" i="1"/>
  <c r="V1370" i="1"/>
  <c r="X1370" i="1" s="1"/>
  <c r="S1370" i="1"/>
  <c r="U1370" i="1" s="1"/>
  <c r="P1370" i="1"/>
  <c r="R1370" i="1" s="1"/>
  <c r="L1370" i="1"/>
  <c r="N1370" i="1" s="1"/>
  <c r="H1370" i="1"/>
  <c r="J1370" i="1" s="1"/>
  <c r="E1370" i="1"/>
  <c r="G1370" i="1" s="1"/>
  <c r="B1370" i="1"/>
  <c r="D1370" i="1" s="1"/>
  <c r="AG1369" i="1"/>
  <c r="AB1369" i="1"/>
  <c r="AD1369" i="1" s="1"/>
  <c r="Y1369" i="1"/>
  <c r="AA1369" i="1" s="1"/>
  <c r="V1369" i="1"/>
  <c r="X1369" i="1" s="1"/>
  <c r="S1369" i="1"/>
  <c r="U1369" i="1" s="1"/>
  <c r="P1369" i="1"/>
  <c r="R1369" i="1" s="1"/>
  <c r="L1369" i="1"/>
  <c r="N1369" i="1" s="1"/>
  <c r="H1369" i="1"/>
  <c r="J1369" i="1" s="1"/>
  <c r="E1369" i="1"/>
  <c r="G1369" i="1" s="1"/>
  <c r="B1369" i="1"/>
  <c r="D1369" i="1" s="1"/>
  <c r="AG1368" i="1"/>
  <c r="AD1368" i="1"/>
  <c r="AB1368" i="1"/>
  <c r="Y1368" i="1"/>
  <c r="AA1368" i="1" s="1"/>
  <c r="V1368" i="1"/>
  <c r="X1368" i="1" s="1"/>
  <c r="S1368" i="1"/>
  <c r="U1368" i="1" s="1"/>
  <c r="R1368" i="1"/>
  <c r="P1368" i="1"/>
  <c r="L1368" i="1"/>
  <c r="N1368" i="1" s="1"/>
  <c r="J1368" i="1"/>
  <c r="E1368" i="1"/>
  <c r="G1368" i="1" s="1"/>
  <c r="B1368" i="1"/>
  <c r="D1368" i="1" s="1"/>
  <c r="AG1367" i="1"/>
  <c r="AH1367" i="1" s="1"/>
  <c r="AB1367" i="1"/>
  <c r="Y1367" i="1"/>
  <c r="AA1367" i="1" s="1"/>
  <c r="V1367" i="1"/>
  <c r="X1367" i="1" s="1"/>
  <c r="S1367" i="1"/>
  <c r="U1367" i="1" s="1"/>
  <c r="P1367" i="1"/>
  <c r="R1367" i="1" s="1"/>
  <c r="N1367" i="1"/>
  <c r="L1367" i="1"/>
  <c r="H1367" i="1"/>
  <c r="J1367" i="1" s="1"/>
  <c r="E1367" i="1"/>
  <c r="G1367" i="1" s="1"/>
  <c r="B1367" i="1"/>
  <c r="D1367" i="1" s="1"/>
  <c r="AG1366" i="1"/>
  <c r="AH1366" i="1" s="1"/>
  <c r="AB1366" i="1"/>
  <c r="Y1366" i="1"/>
  <c r="AA1366" i="1" s="1"/>
  <c r="V1366" i="1"/>
  <c r="X1366" i="1" s="1"/>
  <c r="S1366" i="1"/>
  <c r="P1366" i="1"/>
  <c r="R1366" i="1" s="1"/>
  <c r="L1366" i="1"/>
  <c r="N1366" i="1" s="1"/>
  <c r="H1366" i="1"/>
  <c r="J1366" i="1" s="1"/>
  <c r="E1366" i="1"/>
  <c r="G1366" i="1" s="1"/>
  <c r="B1366" i="1"/>
  <c r="D1366" i="1" s="1"/>
  <c r="AG1365" i="1"/>
  <c r="AB1365" i="1"/>
  <c r="AD1365" i="1" s="1"/>
  <c r="AH1365" i="1" s="1"/>
  <c r="Y1365" i="1"/>
  <c r="AA1365" i="1" s="1"/>
  <c r="X1365" i="1"/>
  <c r="V1365" i="1"/>
  <c r="S1365" i="1"/>
  <c r="U1365" i="1" s="1"/>
  <c r="P1365" i="1"/>
  <c r="R1365" i="1" s="1"/>
  <c r="L1365" i="1"/>
  <c r="N1365" i="1" s="1"/>
  <c r="H1365" i="1"/>
  <c r="J1365" i="1" s="1"/>
  <c r="E1365" i="1"/>
  <c r="G1365" i="1" s="1"/>
  <c r="B1365" i="1"/>
  <c r="D1365" i="1" s="1"/>
  <c r="AG1364" i="1"/>
  <c r="AB1364" i="1"/>
  <c r="AD1364" i="1" s="1"/>
  <c r="AH1364" i="1" s="1"/>
  <c r="Y1364" i="1"/>
  <c r="AA1364" i="1" s="1"/>
  <c r="V1364" i="1"/>
  <c r="X1364" i="1" s="1"/>
  <c r="U1364" i="1"/>
  <c r="S1364" i="1"/>
  <c r="P1364" i="1"/>
  <c r="R1364" i="1" s="1"/>
  <c r="L1364" i="1"/>
  <c r="N1364" i="1" s="1"/>
  <c r="H1364" i="1"/>
  <c r="J1364" i="1" s="1"/>
  <c r="E1364" i="1"/>
  <c r="G1364" i="1" s="1"/>
  <c r="B1364" i="1"/>
  <c r="D1364" i="1" s="1"/>
  <c r="AG1363" i="1"/>
  <c r="AB1363" i="1"/>
  <c r="AD1363" i="1" s="1"/>
  <c r="AA1363" i="1"/>
  <c r="Y1363" i="1"/>
  <c r="V1363" i="1"/>
  <c r="X1363" i="1" s="1"/>
  <c r="S1363" i="1"/>
  <c r="P1363" i="1"/>
  <c r="L1363" i="1"/>
  <c r="N1363" i="1" s="1"/>
  <c r="H1363" i="1"/>
  <c r="J1363" i="1" s="1"/>
  <c r="E1363" i="1"/>
  <c r="G1363" i="1" s="1"/>
  <c r="B1363" i="1"/>
  <c r="D1363" i="1" s="1"/>
  <c r="AB1362" i="1"/>
  <c r="AD1362" i="1" s="1"/>
  <c r="AH1362" i="1" s="1"/>
  <c r="Y1362" i="1"/>
  <c r="AA1362" i="1" s="1"/>
  <c r="V1362" i="1"/>
  <c r="X1362" i="1" s="1"/>
  <c r="S1362" i="1"/>
  <c r="P1362" i="1"/>
  <c r="L1362" i="1"/>
  <c r="N1362" i="1" s="1"/>
  <c r="H1362" i="1"/>
  <c r="J1362" i="1" s="1"/>
  <c r="E1362" i="1"/>
  <c r="G1362" i="1" s="1"/>
  <c r="B1362" i="1"/>
  <c r="D1362" i="1" s="1"/>
  <c r="AB1361" i="1"/>
  <c r="AD1361" i="1" s="1"/>
  <c r="AH1361" i="1" s="1"/>
  <c r="Y1361" i="1"/>
  <c r="AA1361" i="1" s="1"/>
  <c r="V1361" i="1"/>
  <c r="X1361" i="1" s="1"/>
  <c r="S1361" i="1"/>
  <c r="P1361" i="1"/>
  <c r="R1361" i="1" s="1"/>
  <c r="L1361" i="1"/>
  <c r="N1361" i="1" s="1"/>
  <c r="H1361" i="1"/>
  <c r="J1361" i="1" s="1"/>
  <c r="E1361" i="1"/>
  <c r="G1361" i="1" s="1"/>
  <c r="B1361" i="1"/>
  <c r="D1361" i="1" s="1"/>
  <c r="AD1360" i="1"/>
  <c r="AH1360" i="1" s="1"/>
  <c r="AB1360" i="1"/>
  <c r="Y1360" i="1"/>
  <c r="AA1360" i="1" s="1"/>
  <c r="V1360" i="1"/>
  <c r="X1360" i="1" s="1"/>
  <c r="S1360" i="1"/>
  <c r="P1360" i="1"/>
  <c r="R1360" i="1" s="1"/>
  <c r="L1360" i="1"/>
  <c r="N1360" i="1" s="1"/>
  <c r="H1360" i="1"/>
  <c r="J1360" i="1" s="1"/>
  <c r="E1360" i="1"/>
  <c r="G1360" i="1" s="1"/>
  <c r="B1360" i="1"/>
  <c r="D1360" i="1" s="1"/>
  <c r="AB1359" i="1"/>
  <c r="AD1359" i="1" s="1"/>
  <c r="AH1359" i="1" s="1"/>
  <c r="Y1359" i="1"/>
  <c r="AA1359" i="1" s="1"/>
  <c r="V1359" i="1"/>
  <c r="X1359" i="1" s="1"/>
  <c r="S1359" i="1"/>
  <c r="U1359" i="1" s="1"/>
  <c r="P1359" i="1"/>
  <c r="L1359" i="1"/>
  <c r="N1359" i="1" s="1"/>
  <c r="H1359" i="1"/>
  <c r="J1359" i="1" s="1"/>
  <c r="E1359" i="1"/>
  <c r="G1359" i="1" s="1"/>
  <c r="B1359" i="1"/>
  <c r="D1359" i="1" s="1"/>
  <c r="AB1358" i="1"/>
  <c r="AD1358" i="1" s="1"/>
  <c r="Y1358" i="1"/>
  <c r="AA1358" i="1" s="1"/>
  <c r="V1358" i="1"/>
  <c r="X1358" i="1" s="1"/>
  <c r="S1358" i="1"/>
  <c r="U1358" i="1" s="1"/>
  <c r="P1358" i="1"/>
  <c r="R1358" i="1" s="1"/>
  <c r="L1358" i="1"/>
  <c r="N1358" i="1" s="1"/>
  <c r="H1358" i="1"/>
  <c r="J1358" i="1" s="1"/>
  <c r="E1358" i="1"/>
  <c r="G1358" i="1" s="1"/>
  <c r="B1358" i="1"/>
  <c r="D1358" i="1" s="1"/>
  <c r="AB1357" i="1"/>
  <c r="AA1357" i="1"/>
  <c r="Y1357" i="1"/>
  <c r="V1357" i="1"/>
  <c r="X1357" i="1" s="1"/>
  <c r="S1357" i="1"/>
  <c r="U1357" i="1" s="1"/>
  <c r="P1357" i="1"/>
  <c r="L1357" i="1"/>
  <c r="N1357" i="1" s="1"/>
  <c r="H1357" i="1"/>
  <c r="J1357" i="1" s="1"/>
  <c r="E1357" i="1"/>
  <c r="G1357" i="1" s="1"/>
  <c r="D1357" i="1"/>
  <c r="B1357" i="1"/>
  <c r="AB1356" i="1"/>
  <c r="AD1356" i="1" s="1"/>
  <c r="Y1356" i="1"/>
  <c r="AA1356" i="1" s="1"/>
  <c r="V1356" i="1"/>
  <c r="X1356" i="1" s="1"/>
  <c r="S1356" i="1"/>
  <c r="U1356" i="1" s="1"/>
  <c r="P1356" i="1"/>
  <c r="R1356" i="1" s="1"/>
  <c r="L1356" i="1"/>
  <c r="N1356" i="1" s="1"/>
  <c r="J1356" i="1"/>
  <c r="H1356" i="1"/>
  <c r="E1356" i="1"/>
  <c r="G1356" i="1" s="1"/>
  <c r="B1356" i="1"/>
  <c r="D1356" i="1" s="1"/>
  <c r="AB1355" i="1"/>
  <c r="AD1355" i="1" s="1"/>
  <c r="Y1355" i="1"/>
  <c r="AA1355" i="1" s="1"/>
  <c r="V1355" i="1"/>
  <c r="X1355" i="1" s="1"/>
  <c r="S1355" i="1"/>
  <c r="U1355" i="1" s="1"/>
  <c r="P1355" i="1"/>
  <c r="R1355" i="1" s="1"/>
  <c r="L1355" i="1"/>
  <c r="N1355" i="1" s="1"/>
  <c r="H1355" i="1"/>
  <c r="J1355" i="1" s="1"/>
  <c r="E1355" i="1"/>
  <c r="G1355" i="1" s="1"/>
  <c r="D1355" i="1"/>
  <c r="B1355" i="1"/>
  <c r="AB1354" i="1"/>
  <c r="AD1354" i="1" s="1"/>
  <c r="Y1354" i="1"/>
  <c r="AA1354" i="1" s="1"/>
  <c r="V1354" i="1"/>
  <c r="X1354" i="1" s="1"/>
  <c r="S1354" i="1"/>
  <c r="U1354" i="1" s="1"/>
  <c r="P1354" i="1"/>
  <c r="L1354" i="1"/>
  <c r="N1354" i="1" s="1"/>
  <c r="H1354" i="1"/>
  <c r="J1354" i="1" s="1"/>
  <c r="E1354" i="1"/>
  <c r="G1354" i="1" s="1"/>
  <c r="B1354" i="1"/>
  <c r="D1354" i="1" s="1"/>
  <c r="AB1353" i="1"/>
  <c r="AD1353" i="1" s="1"/>
  <c r="Y1353" i="1"/>
  <c r="AA1353" i="1" s="1"/>
  <c r="V1353" i="1"/>
  <c r="X1353" i="1" s="1"/>
  <c r="S1353" i="1"/>
  <c r="U1353" i="1" s="1"/>
  <c r="P1353" i="1"/>
  <c r="L1353" i="1"/>
  <c r="N1353" i="1" s="1"/>
  <c r="H1353" i="1"/>
  <c r="J1353" i="1" s="1"/>
  <c r="E1353" i="1"/>
  <c r="G1353" i="1" s="1"/>
  <c r="B1353" i="1"/>
  <c r="D1353" i="1" s="1"/>
  <c r="AB1352" i="1"/>
  <c r="AD1352" i="1" s="1"/>
  <c r="Y1352" i="1"/>
  <c r="AA1352" i="1" s="1"/>
  <c r="V1352" i="1"/>
  <c r="X1352" i="1" s="1"/>
  <c r="S1352" i="1"/>
  <c r="U1352" i="1" s="1"/>
  <c r="P1352" i="1"/>
  <c r="R1352" i="1" s="1"/>
  <c r="L1352" i="1"/>
  <c r="N1352" i="1" s="1"/>
  <c r="H1352" i="1"/>
  <c r="J1352" i="1" s="1"/>
  <c r="E1352" i="1"/>
  <c r="G1352" i="1" s="1"/>
  <c r="B1352" i="1"/>
  <c r="D1352" i="1" s="1"/>
  <c r="AB1351" i="1"/>
  <c r="AD1351" i="1" s="1"/>
  <c r="Y1351" i="1"/>
  <c r="AA1351" i="1" s="1"/>
  <c r="V1351" i="1"/>
  <c r="X1351" i="1" s="1"/>
  <c r="S1351" i="1"/>
  <c r="U1351" i="1" s="1"/>
  <c r="P1351" i="1"/>
  <c r="R1351" i="1" s="1"/>
  <c r="L1351" i="1"/>
  <c r="N1351" i="1" s="1"/>
  <c r="H1351" i="1"/>
  <c r="J1351" i="1" s="1"/>
  <c r="E1351" i="1"/>
  <c r="G1351" i="1" s="1"/>
  <c r="B1351" i="1"/>
  <c r="D1351" i="1" s="1"/>
  <c r="AB1350" i="1"/>
  <c r="AD1350" i="1" s="1"/>
  <c r="Y1350" i="1"/>
  <c r="AA1350" i="1" s="1"/>
  <c r="V1350" i="1"/>
  <c r="X1350" i="1" s="1"/>
  <c r="S1350" i="1"/>
  <c r="U1350" i="1" s="1"/>
  <c r="P1350" i="1"/>
  <c r="R1350" i="1" s="1"/>
  <c r="L1350" i="1"/>
  <c r="N1350" i="1" s="1"/>
  <c r="H1350" i="1"/>
  <c r="J1350" i="1" s="1"/>
  <c r="E1350" i="1"/>
  <c r="G1350" i="1" s="1"/>
  <c r="B1350" i="1"/>
  <c r="D1350" i="1" s="1"/>
  <c r="AB1349" i="1"/>
  <c r="AD1349" i="1" s="1"/>
  <c r="Y1349" i="1"/>
  <c r="AA1349" i="1" s="1"/>
  <c r="V1349" i="1"/>
  <c r="X1349" i="1" s="1"/>
  <c r="S1349" i="1"/>
  <c r="U1349" i="1" s="1"/>
  <c r="P1349" i="1"/>
  <c r="L1349" i="1"/>
  <c r="N1349" i="1" s="1"/>
  <c r="H1349" i="1"/>
  <c r="J1349" i="1" s="1"/>
  <c r="E1349" i="1"/>
  <c r="G1349" i="1" s="1"/>
  <c r="B1349" i="1"/>
  <c r="D1349" i="1" s="1"/>
  <c r="AB1348" i="1"/>
  <c r="AD1348" i="1" s="1"/>
  <c r="Y1348" i="1"/>
  <c r="AA1348" i="1" s="1"/>
  <c r="V1348" i="1"/>
  <c r="X1348" i="1" s="1"/>
  <c r="S1348" i="1"/>
  <c r="U1348" i="1" s="1"/>
  <c r="P1348" i="1"/>
  <c r="R1348" i="1" s="1"/>
  <c r="L1348" i="1"/>
  <c r="N1348" i="1" s="1"/>
  <c r="H1348" i="1"/>
  <c r="J1348" i="1" s="1"/>
  <c r="E1348" i="1"/>
  <c r="G1348" i="1" s="1"/>
  <c r="B1348" i="1"/>
  <c r="D1348" i="1" s="1"/>
  <c r="AD1347" i="1"/>
  <c r="AB1347" i="1"/>
  <c r="Y1347" i="1"/>
  <c r="AA1347" i="1" s="1"/>
  <c r="V1347" i="1"/>
  <c r="X1347" i="1" s="1"/>
  <c r="S1347" i="1"/>
  <c r="U1347" i="1" s="1"/>
  <c r="P1347" i="1"/>
  <c r="L1347" i="1"/>
  <c r="N1347" i="1" s="1"/>
  <c r="H1347" i="1"/>
  <c r="J1347" i="1" s="1"/>
  <c r="E1347" i="1"/>
  <c r="G1347" i="1" s="1"/>
  <c r="B1347" i="1"/>
  <c r="D1347" i="1" s="1"/>
  <c r="AB1346" i="1"/>
  <c r="AD1346" i="1" s="1"/>
  <c r="Y1346" i="1"/>
  <c r="AA1346" i="1" s="1"/>
  <c r="V1346" i="1"/>
  <c r="X1346" i="1" s="1"/>
  <c r="S1346" i="1"/>
  <c r="U1346" i="1" s="1"/>
  <c r="P1346" i="1"/>
  <c r="L1346" i="1"/>
  <c r="N1346" i="1" s="1"/>
  <c r="H1346" i="1"/>
  <c r="J1346" i="1" s="1"/>
  <c r="E1346" i="1"/>
  <c r="G1346" i="1" s="1"/>
  <c r="B1346" i="1"/>
  <c r="D1346" i="1" s="1"/>
  <c r="AB1345" i="1"/>
  <c r="Y1345" i="1"/>
  <c r="AA1345" i="1" s="1"/>
  <c r="V1345" i="1"/>
  <c r="X1345" i="1" s="1"/>
  <c r="S1345" i="1"/>
  <c r="U1345" i="1" s="1"/>
  <c r="P1345" i="1"/>
  <c r="R1345" i="1" s="1"/>
  <c r="L1345" i="1"/>
  <c r="N1345" i="1" s="1"/>
  <c r="H1345" i="1"/>
  <c r="J1345" i="1" s="1"/>
  <c r="E1345" i="1"/>
  <c r="G1345" i="1" s="1"/>
  <c r="B1345" i="1"/>
  <c r="D1345" i="1" s="1"/>
  <c r="AB1344" i="1"/>
  <c r="AD1344" i="1" s="1"/>
  <c r="Y1344" i="1"/>
  <c r="AA1344" i="1" s="1"/>
  <c r="V1344" i="1"/>
  <c r="X1344" i="1" s="1"/>
  <c r="S1344" i="1"/>
  <c r="P1344" i="1"/>
  <c r="R1344" i="1" s="1"/>
  <c r="L1344" i="1"/>
  <c r="N1344" i="1" s="1"/>
  <c r="H1344" i="1"/>
  <c r="J1344" i="1" s="1"/>
  <c r="E1344" i="1"/>
  <c r="G1344" i="1" s="1"/>
  <c r="B1344" i="1"/>
  <c r="D1344" i="1" s="1"/>
  <c r="AB1343" i="1"/>
  <c r="Y1343" i="1"/>
  <c r="AA1343" i="1" s="1"/>
  <c r="V1343" i="1"/>
  <c r="X1343" i="1" s="1"/>
  <c r="S1343" i="1"/>
  <c r="U1343" i="1" s="1"/>
  <c r="P1343" i="1"/>
  <c r="L1343" i="1"/>
  <c r="N1343" i="1" s="1"/>
  <c r="H1343" i="1"/>
  <c r="J1343" i="1" s="1"/>
  <c r="K1343" i="1" s="1"/>
  <c r="E1343" i="1"/>
  <c r="G1343" i="1" s="1"/>
  <c r="B1343" i="1"/>
  <c r="D1343" i="1" s="1"/>
  <c r="AB1342" i="1"/>
  <c r="AD1342" i="1" s="1"/>
  <c r="Y1342" i="1"/>
  <c r="AA1342" i="1" s="1"/>
  <c r="V1342" i="1"/>
  <c r="X1342" i="1" s="1"/>
  <c r="S1342" i="1"/>
  <c r="U1342" i="1" s="1"/>
  <c r="P1342" i="1"/>
  <c r="L1342" i="1"/>
  <c r="N1342" i="1" s="1"/>
  <c r="H1342" i="1"/>
  <c r="J1342" i="1" s="1"/>
  <c r="E1342" i="1"/>
  <c r="G1342" i="1" s="1"/>
  <c r="B1342" i="1"/>
  <c r="D1342" i="1" s="1"/>
  <c r="AB1341" i="1"/>
  <c r="AD1341" i="1" s="1"/>
  <c r="Y1341" i="1"/>
  <c r="AA1341" i="1" s="1"/>
  <c r="V1341" i="1"/>
  <c r="X1341" i="1" s="1"/>
  <c r="S1341" i="1"/>
  <c r="U1341" i="1" s="1"/>
  <c r="P1341" i="1"/>
  <c r="R1341" i="1" s="1"/>
  <c r="L1341" i="1"/>
  <c r="N1341" i="1" s="1"/>
  <c r="H1341" i="1"/>
  <c r="J1341" i="1" s="1"/>
  <c r="E1341" i="1"/>
  <c r="G1341" i="1" s="1"/>
  <c r="B1341" i="1"/>
  <c r="D1341" i="1" s="1"/>
  <c r="AB1340" i="1"/>
  <c r="AD1340" i="1" s="1"/>
  <c r="Y1340" i="1"/>
  <c r="AA1340" i="1" s="1"/>
  <c r="V1340" i="1"/>
  <c r="X1340" i="1" s="1"/>
  <c r="S1340" i="1"/>
  <c r="U1340" i="1" s="1"/>
  <c r="P1340" i="1"/>
  <c r="L1340" i="1"/>
  <c r="N1340" i="1" s="1"/>
  <c r="H1340" i="1"/>
  <c r="J1340" i="1" s="1"/>
  <c r="E1340" i="1"/>
  <c r="G1340" i="1" s="1"/>
  <c r="B1340" i="1"/>
  <c r="D1340" i="1" s="1"/>
  <c r="AB1339" i="1"/>
  <c r="AD1339" i="1" s="1"/>
  <c r="Y1339" i="1"/>
  <c r="AA1339" i="1" s="1"/>
  <c r="V1339" i="1"/>
  <c r="X1339" i="1" s="1"/>
  <c r="S1339" i="1"/>
  <c r="P1339" i="1"/>
  <c r="R1339" i="1" s="1"/>
  <c r="L1339" i="1"/>
  <c r="N1339" i="1" s="1"/>
  <c r="H1339" i="1"/>
  <c r="J1339" i="1" s="1"/>
  <c r="E1339" i="1"/>
  <c r="G1339" i="1" s="1"/>
  <c r="B1339" i="1"/>
  <c r="D1339" i="1" s="1"/>
  <c r="AB1338" i="1"/>
  <c r="AD1338" i="1" s="1"/>
  <c r="Y1338" i="1"/>
  <c r="AA1338" i="1" s="1"/>
  <c r="V1338" i="1"/>
  <c r="X1338" i="1" s="1"/>
  <c r="S1338" i="1"/>
  <c r="P1338" i="1"/>
  <c r="R1338" i="1" s="1"/>
  <c r="L1338" i="1"/>
  <c r="N1338" i="1" s="1"/>
  <c r="H1338" i="1"/>
  <c r="J1338" i="1" s="1"/>
  <c r="E1338" i="1"/>
  <c r="G1338" i="1" s="1"/>
  <c r="B1338" i="1"/>
  <c r="D1338" i="1" s="1"/>
  <c r="AB1337" i="1"/>
  <c r="AD1337" i="1" s="1"/>
  <c r="Y1337" i="1"/>
  <c r="AA1337" i="1" s="1"/>
  <c r="X1337" i="1"/>
  <c r="V1337" i="1"/>
  <c r="S1337" i="1"/>
  <c r="U1337" i="1" s="1"/>
  <c r="P1337" i="1"/>
  <c r="R1337" i="1" s="1"/>
  <c r="L1337" i="1"/>
  <c r="N1337" i="1" s="1"/>
  <c r="H1337" i="1"/>
  <c r="J1337" i="1" s="1"/>
  <c r="E1337" i="1"/>
  <c r="G1337" i="1" s="1"/>
  <c r="B1337" i="1"/>
  <c r="D1337" i="1" s="1"/>
  <c r="AB1336" i="1"/>
  <c r="AD1336" i="1" s="1"/>
  <c r="Y1336" i="1"/>
  <c r="AA1336" i="1" s="1"/>
  <c r="V1336" i="1"/>
  <c r="X1336" i="1" s="1"/>
  <c r="S1336" i="1"/>
  <c r="U1336" i="1" s="1"/>
  <c r="P1336" i="1"/>
  <c r="R1336" i="1" s="1"/>
  <c r="N1336" i="1"/>
  <c r="L1336" i="1"/>
  <c r="H1336" i="1"/>
  <c r="J1336" i="1" s="1"/>
  <c r="E1336" i="1"/>
  <c r="G1336" i="1" s="1"/>
  <c r="B1336" i="1"/>
  <c r="D1336" i="1" s="1"/>
  <c r="AB1335" i="1"/>
  <c r="AD1335" i="1" s="1"/>
  <c r="AA1335" i="1"/>
  <c r="Y1335" i="1"/>
  <c r="V1335" i="1"/>
  <c r="X1335" i="1" s="1"/>
  <c r="S1335" i="1"/>
  <c r="U1335" i="1" s="1"/>
  <c r="P1335" i="1"/>
  <c r="L1335" i="1"/>
  <c r="N1335" i="1" s="1"/>
  <c r="H1335" i="1"/>
  <c r="J1335" i="1" s="1"/>
  <c r="E1335" i="1"/>
  <c r="G1335" i="1" s="1"/>
  <c r="D1335" i="1"/>
  <c r="B1335" i="1"/>
  <c r="AB1334" i="1"/>
  <c r="AD1334" i="1" s="1"/>
  <c r="Y1334" i="1"/>
  <c r="AA1334" i="1" s="1"/>
  <c r="V1334" i="1"/>
  <c r="X1334" i="1" s="1"/>
  <c r="S1334" i="1"/>
  <c r="U1334" i="1" s="1"/>
  <c r="P1334" i="1"/>
  <c r="R1334" i="1" s="1"/>
  <c r="L1334" i="1"/>
  <c r="N1334" i="1" s="1"/>
  <c r="J1334" i="1"/>
  <c r="H1334" i="1"/>
  <c r="E1334" i="1"/>
  <c r="G1334" i="1" s="1"/>
  <c r="B1334" i="1"/>
  <c r="D1334" i="1" s="1"/>
  <c r="AB1333" i="1"/>
  <c r="AD1333" i="1" s="1"/>
  <c r="Y1333" i="1"/>
  <c r="AA1333" i="1" s="1"/>
  <c r="V1333" i="1"/>
  <c r="X1333" i="1" s="1"/>
  <c r="S1333" i="1"/>
  <c r="U1333" i="1" s="1"/>
  <c r="P1333" i="1"/>
  <c r="R1333" i="1" s="1"/>
  <c r="L1333" i="1"/>
  <c r="N1333" i="1" s="1"/>
  <c r="H1333" i="1"/>
  <c r="J1333" i="1" s="1"/>
  <c r="E1333" i="1"/>
  <c r="G1333" i="1" s="1"/>
  <c r="D1333" i="1"/>
  <c r="B1333" i="1"/>
  <c r="AB1332" i="1"/>
  <c r="AD1332" i="1" s="1"/>
  <c r="Y1332" i="1"/>
  <c r="AA1332" i="1" s="1"/>
  <c r="V1332" i="1"/>
  <c r="X1332" i="1" s="1"/>
  <c r="S1332" i="1"/>
  <c r="U1332" i="1" s="1"/>
  <c r="P1332" i="1"/>
  <c r="R1332" i="1" s="1"/>
  <c r="L1332" i="1"/>
  <c r="N1332" i="1" s="1"/>
  <c r="J1332" i="1"/>
  <c r="H1332" i="1"/>
  <c r="E1332" i="1"/>
  <c r="G1332" i="1" s="1"/>
  <c r="B1332" i="1"/>
  <c r="D1332" i="1" s="1"/>
  <c r="AB1331" i="1"/>
  <c r="AD1331" i="1" s="1"/>
  <c r="Y1331" i="1"/>
  <c r="AA1331" i="1" s="1"/>
  <c r="V1331" i="1"/>
  <c r="X1331" i="1" s="1"/>
  <c r="S1331" i="1"/>
  <c r="U1331" i="1" s="1"/>
  <c r="P1331" i="1"/>
  <c r="R1331" i="1" s="1"/>
  <c r="L1331" i="1"/>
  <c r="N1331" i="1" s="1"/>
  <c r="H1331" i="1"/>
  <c r="J1331" i="1" s="1"/>
  <c r="E1331" i="1"/>
  <c r="G1331" i="1" s="1"/>
  <c r="D1331" i="1"/>
  <c r="B1331" i="1"/>
  <c r="AB1330" i="1"/>
  <c r="AD1330" i="1" s="1"/>
  <c r="Y1330" i="1"/>
  <c r="AA1330" i="1" s="1"/>
  <c r="V1330" i="1"/>
  <c r="X1330" i="1" s="1"/>
  <c r="S1330" i="1"/>
  <c r="U1330" i="1" s="1"/>
  <c r="P1330" i="1"/>
  <c r="R1330" i="1" s="1"/>
  <c r="L1330" i="1"/>
  <c r="N1330" i="1" s="1"/>
  <c r="J1330" i="1"/>
  <c r="H1330" i="1"/>
  <c r="E1330" i="1"/>
  <c r="G1330" i="1" s="1"/>
  <c r="B1330" i="1"/>
  <c r="D1330" i="1" s="1"/>
  <c r="AB1329" i="1"/>
  <c r="AD1329" i="1" s="1"/>
  <c r="Y1329" i="1"/>
  <c r="AA1329" i="1" s="1"/>
  <c r="V1329" i="1"/>
  <c r="X1329" i="1" s="1"/>
  <c r="S1329" i="1"/>
  <c r="U1329" i="1" s="1"/>
  <c r="P1329" i="1"/>
  <c r="R1329" i="1" s="1"/>
  <c r="L1329" i="1"/>
  <c r="N1329" i="1" s="1"/>
  <c r="H1329" i="1"/>
  <c r="J1329" i="1" s="1"/>
  <c r="E1329" i="1"/>
  <c r="G1329" i="1" s="1"/>
  <c r="D1329" i="1"/>
  <c r="B1329" i="1"/>
  <c r="AB1328" i="1"/>
  <c r="AD1328" i="1" s="1"/>
  <c r="Y1328" i="1"/>
  <c r="AA1328" i="1" s="1"/>
  <c r="V1328" i="1"/>
  <c r="X1328" i="1" s="1"/>
  <c r="S1328" i="1"/>
  <c r="U1328" i="1" s="1"/>
  <c r="P1328" i="1"/>
  <c r="R1328" i="1" s="1"/>
  <c r="L1328" i="1"/>
  <c r="N1328" i="1" s="1"/>
  <c r="J1328" i="1"/>
  <c r="H1328" i="1"/>
  <c r="E1328" i="1"/>
  <c r="G1328" i="1" s="1"/>
  <c r="B1328" i="1"/>
  <c r="D1328" i="1" s="1"/>
  <c r="AB1327" i="1"/>
  <c r="AD1327" i="1" s="1"/>
  <c r="Y1327" i="1"/>
  <c r="AA1327" i="1" s="1"/>
  <c r="V1327" i="1"/>
  <c r="X1327" i="1" s="1"/>
  <c r="S1327" i="1"/>
  <c r="U1327" i="1" s="1"/>
  <c r="P1327" i="1"/>
  <c r="R1327" i="1" s="1"/>
  <c r="L1327" i="1"/>
  <c r="N1327" i="1" s="1"/>
  <c r="H1327" i="1"/>
  <c r="J1327" i="1" s="1"/>
  <c r="E1327" i="1"/>
  <c r="G1327" i="1" s="1"/>
  <c r="D1327" i="1"/>
  <c r="B1327" i="1"/>
  <c r="AB1326" i="1"/>
  <c r="AD1326" i="1" s="1"/>
  <c r="Y1326" i="1"/>
  <c r="AA1326" i="1" s="1"/>
  <c r="V1326" i="1"/>
  <c r="X1326" i="1" s="1"/>
  <c r="S1326" i="1"/>
  <c r="U1326" i="1" s="1"/>
  <c r="P1326" i="1"/>
  <c r="R1326" i="1" s="1"/>
  <c r="L1326" i="1"/>
  <c r="N1326" i="1" s="1"/>
  <c r="J1326" i="1"/>
  <c r="H1326" i="1"/>
  <c r="E1326" i="1"/>
  <c r="G1326" i="1" s="1"/>
  <c r="B1326" i="1"/>
  <c r="D1326" i="1" s="1"/>
  <c r="AB1325" i="1"/>
  <c r="AD1325" i="1" s="1"/>
  <c r="Y1325" i="1"/>
  <c r="AA1325" i="1" s="1"/>
  <c r="V1325" i="1"/>
  <c r="X1325" i="1" s="1"/>
  <c r="S1325" i="1"/>
  <c r="U1325" i="1" s="1"/>
  <c r="P1325" i="1"/>
  <c r="L1325" i="1"/>
  <c r="N1325" i="1" s="1"/>
  <c r="H1325" i="1"/>
  <c r="J1325" i="1" s="1"/>
  <c r="E1325" i="1"/>
  <c r="G1325" i="1" s="1"/>
  <c r="B1325" i="1"/>
  <c r="D1325" i="1" s="1"/>
  <c r="AB1324" i="1"/>
  <c r="AD1324" i="1" s="1"/>
  <c r="Y1324" i="1"/>
  <c r="AA1324" i="1" s="1"/>
  <c r="V1324" i="1"/>
  <c r="X1324" i="1" s="1"/>
  <c r="S1324" i="1"/>
  <c r="U1324" i="1" s="1"/>
  <c r="P1324" i="1"/>
  <c r="L1324" i="1"/>
  <c r="N1324" i="1" s="1"/>
  <c r="H1324" i="1"/>
  <c r="J1324" i="1" s="1"/>
  <c r="E1324" i="1"/>
  <c r="G1324" i="1" s="1"/>
  <c r="B1324" i="1"/>
  <c r="D1324" i="1" s="1"/>
  <c r="AB1323" i="1"/>
  <c r="AD1323" i="1" s="1"/>
  <c r="Y1323" i="1"/>
  <c r="AA1323" i="1" s="1"/>
  <c r="V1323" i="1"/>
  <c r="X1323" i="1" s="1"/>
  <c r="S1323" i="1"/>
  <c r="P1323" i="1"/>
  <c r="L1323" i="1"/>
  <c r="N1323" i="1" s="1"/>
  <c r="H1323" i="1"/>
  <c r="J1323" i="1" s="1"/>
  <c r="E1323" i="1"/>
  <c r="G1323" i="1" s="1"/>
  <c r="B1323" i="1"/>
  <c r="D1323" i="1" s="1"/>
  <c r="AB1322" i="1"/>
  <c r="AD1322" i="1" s="1"/>
  <c r="Y1322" i="1"/>
  <c r="AA1322" i="1" s="1"/>
  <c r="V1322" i="1"/>
  <c r="X1322" i="1" s="1"/>
  <c r="S1322" i="1"/>
  <c r="P1322" i="1"/>
  <c r="L1322" i="1"/>
  <c r="N1322" i="1" s="1"/>
  <c r="H1322" i="1"/>
  <c r="J1322" i="1" s="1"/>
  <c r="E1322" i="1"/>
  <c r="G1322" i="1" s="1"/>
  <c r="B1322" i="1"/>
  <c r="D1322" i="1" s="1"/>
  <c r="AB1321" i="1"/>
  <c r="AD1321" i="1" s="1"/>
  <c r="Y1321" i="1"/>
  <c r="AA1321" i="1" s="1"/>
  <c r="V1321" i="1"/>
  <c r="X1321" i="1" s="1"/>
  <c r="S1321" i="1"/>
  <c r="U1321" i="1" s="1"/>
  <c r="P1321" i="1"/>
  <c r="L1321" i="1"/>
  <c r="N1321" i="1" s="1"/>
  <c r="H1321" i="1"/>
  <c r="J1321" i="1" s="1"/>
  <c r="E1321" i="1"/>
  <c r="G1321" i="1" s="1"/>
  <c r="B1321" i="1"/>
  <c r="D1321" i="1" s="1"/>
  <c r="AB1320" i="1"/>
  <c r="AD1320" i="1" s="1"/>
  <c r="Y1320" i="1"/>
  <c r="AA1320" i="1" s="1"/>
  <c r="V1320" i="1"/>
  <c r="X1320" i="1" s="1"/>
  <c r="S1320" i="1"/>
  <c r="U1320" i="1" s="1"/>
  <c r="P1320" i="1"/>
  <c r="L1320" i="1"/>
  <c r="N1320" i="1" s="1"/>
  <c r="H1320" i="1"/>
  <c r="J1320" i="1" s="1"/>
  <c r="E1320" i="1"/>
  <c r="G1320" i="1" s="1"/>
  <c r="B1320" i="1"/>
  <c r="D1320" i="1" s="1"/>
  <c r="AB1319" i="1"/>
  <c r="AD1319" i="1" s="1"/>
  <c r="Y1319" i="1"/>
  <c r="AA1319" i="1" s="1"/>
  <c r="V1319" i="1"/>
  <c r="X1319" i="1" s="1"/>
  <c r="S1319" i="1"/>
  <c r="P1319" i="1"/>
  <c r="L1319" i="1"/>
  <c r="N1319" i="1" s="1"/>
  <c r="H1319" i="1"/>
  <c r="J1319" i="1" s="1"/>
  <c r="E1319" i="1"/>
  <c r="G1319" i="1" s="1"/>
  <c r="B1319" i="1"/>
  <c r="D1319" i="1" s="1"/>
  <c r="AB1318" i="1"/>
  <c r="AD1318" i="1" s="1"/>
  <c r="Y1318" i="1"/>
  <c r="AA1318" i="1" s="1"/>
  <c r="V1318" i="1"/>
  <c r="X1318" i="1" s="1"/>
  <c r="S1318" i="1"/>
  <c r="U1318" i="1" s="1"/>
  <c r="P1318" i="1"/>
  <c r="L1318" i="1"/>
  <c r="N1318" i="1" s="1"/>
  <c r="H1318" i="1"/>
  <c r="J1318" i="1" s="1"/>
  <c r="E1318" i="1"/>
  <c r="G1318" i="1" s="1"/>
  <c r="B1318" i="1"/>
  <c r="D1318" i="1" s="1"/>
  <c r="AB1317" i="1"/>
  <c r="AD1317" i="1" s="1"/>
  <c r="Y1317" i="1"/>
  <c r="AA1317" i="1" s="1"/>
  <c r="X1317" i="1"/>
  <c r="V1317" i="1"/>
  <c r="S1317" i="1"/>
  <c r="P1317" i="1"/>
  <c r="N1317" i="1"/>
  <c r="L1317" i="1"/>
  <c r="H1317" i="1"/>
  <c r="J1317" i="1" s="1"/>
  <c r="E1317" i="1"/>
  <c r="G1317" i="1" s="1"/>
  <c r="B1317" i="1"/>
  <c r="D1317" i="1" s="1"/>
  <c r="AB1316" i="1"/>
  <c r="AD1316" i="1" s="1"/>
  <c r="AA1316" i="1"/>
  <c r="Y1316" i="1"/>
  <c r="V1316" i="1"/>
  <c r="X1316" i="1" s="1"/>
  <c r="S1316" i="1"/>
  <c r="U1316" i="1" s="1"/>
  <c r="P1316" i="1"/>
  <c r="L1316" i="1"/>
  <c r="N1316" i="1" s="1"/>
  <c r="H1316" i="1"/>
  <c r="J1316" i="1" s="1"/>
  <c r="E1316" i="1"/>
  <c r="G1316" i="1" s="1"/>
  <c r="D1316" i="1"/>
  <c r="B1316" i="1"/>
  <c r="AB1315" i="1"/>
  <c r="AD1315" i="1" s="1"/>
  <c r="Y1315" i="1"/>
  <c r="AA1315" i="1" s="1"/>
  <c r="V1315" i="1"/>
  <c r="X1315" i="1" s="1"/>
  <c r="S1315" i="1"/>
  <c r="U1315" i="1" s="1"/>
  <c r="P1315" i="1"/>
  <c r="L1315" i="1"/>
  <c r="N1315" i="1" s="1"/>
  <c r="H1315" i="1"/>
  <c r="J1315" i="1" s="1"/>
  <c r="E1315" i="1"/>
  <c r="G1315" i="1" s="1"/>
  <c r="B1315" i="1"/>
  <c r="D1315" i="1" s="1"/>
  <c r="AB1314" i="1"/>
  <c r="AD1314" i="1" s="1"/>
  <c r="Y1314" i="1"/>
  <c r="AA1314" i="1" s="1"/>
  <c r="V1314" i="1"/>
  <c r="X1314" i="1" s="1"/>
  <c r="S1314" i="1"/>
  <c r="P1314" i="1"/>
  <c r="L1314" i="1"/>
  <c r="N1314" i="1" s="1"/>
  <c r="H1314" i="1"/>
  <c r="J1314" i="1" s="1"/>
  <c r="E1314" i="1"/>
  <c r="G1314" i="1" s="1"/>
  <c r="B1314" i="1"/>
  <c r="D1314" i="1" s="1"/>
  <c r="AB1313" i="1"/>
  <c r="AD1313" i="1" s="1"/>
  <c r="Y1313" i="1"/>
  <c r="AA1313" i="1" s="1"/>
  <c r="V1313" i="1"/>
  <c r="X1313" i="1" s="1"/>
  <c r="S1313" i="1"/>
  <c r="P1313" i="1"/>
  <c r="L1313" i="1"/>
  <c r="N1313" i="1" s="1"/>
  <c r="H1313" i="1"/>
  <c r="J1313" i="1" s="1"/>
  <c r="E1313" i="1"/>
  <c r="G1313" i="1" s="1"/>
  <c r="B1313" i="1"/>
  <c r="D1313" i="1" s="1"/>
  <c r="AB1312" i="1"/>
  <c r="AD1312" i="1" s="1"/>
  <c r="Y1312" i="1"/>
  <c r="AA1312" i="1" s="1"/>
  <c r="X1312" i="1"/>
  <c r="V1312" i="1"/>
  <c r="S1312" i="1"/>
  <c r="P1312" i="1"/>
  <c r="N1312" i="1"/>
  <c r="L1312" i="1"/>
  <c r="H1312" i="1"/>
  <c r="J1312" i="1" s="1"/>
  <c r="E1312" i="1"/>
  <c r="G1312" i="1" s="1"/>
  <c r="B1312" i="1"/>
  <c r="D1312" i="1" s="1"/>
  <c r="AB1311" i="1"/>
  <c r="AD1311" i="1" s="1"/>
  <c r="Y1311" i="1"/>
  <c r="AA1311" i="1" s="1"/>
  <c r="V1311" i="1"/>
  <c r="X1311" i="1" s="1"/>
  <c r="S1311" i="1"/>
  <c r="P1311" i="1"/>
  <c r="L1311" i="1"/>
  <c r="N1311" i="1" s="1"/>
  <c r="H1311" i="1"/>
  <c r="J1311" i="1" s="1"/>
  <c r="E1311" i="1"/>
  <c r="G1311" i="1" s="1"/>
  <c r="B1311" i="1"/>
  <c r="D1311" i="1" s="1"/>
  <c r="AB1310" i="1"/>
  <c r="AD1310" i="1" s="1"/>
  <c r="Y1310" i="1"/>
  <c r="AA1310" i="1" s="1"/>
  <c r="V1310" i="1"/>
  <c r="X1310" i="1" s="1"/>
  <c r="S1310" i="1"/>
  <c r="P1310" i="1"/>
  <c r="L1310" i="1"/>
  <c r="N1310" i="1" s="1"/>
  <c r="H1310" i="1"/>
  <c r="J1310" i="1" s="1"/>
  <c r="E1310" i="1"/>
  <c r="G1310" i="1" s="1"/>
  <c r="B1310" i="1"/>
  <c r="D1310" i="1" s="1"/>
  <c r="AB1309" i="1"/>
  <c r="AD1309" i="1" s="1"/>
  <c r="Y1309" i="1"/>
  <c r="AA1309" i="1" s="1"/>
  <c r="X1309" i="1"/>
  <c r="V1309" i="1"/>
  <c r="S1309" i="1"/>
  <c r="P1309" i="1"/>
  <c r="N1309" i="1"/>
  <c r="L1309" i="1"/>
  <c r="H1309" i="1"/>
  <c r="J1309" i="1" s="1"/>
  <c r="E1309" i="1"/>
  <c r="G1309" i="1" s="1"/>
  <c r="B1309" i="1"/>
  <c r="D1309" i="1" s="1"/>
  <c r="AB1308" i="1"/>
  <c r="Y1308" i="1"/>
  <c r="AA1308" i="1" s="1"/>
  <c r="V1308" i="1"/>
  <c r="X1308" i="1" s="1"/>
  <c r="S1308" i="1"/>
  <c r="P1308" i="1"/>
  <c r="L1308" i="1"/>
  <c r="N1308" i="1" s="1"/>
  <c r="H1308" i="1"/>
  <c r="J1308" i="1" s="1"/>
  <c r="E1308" i="1"/>
  <c r="B1308" i="1"/>
  <c r="D1308" i="1" s="1"/>
  <c r="AB1307" i="1"/>
  <c r="AD1307" i="1" s="1"/>
  <c r="Y1307" i="1"/>
  <c r="AA1307" i="1" s="1"/>
  <c r="X1307" i="1"/>
  <c r="V1307" i="1"/>
  <c r="S1307" i="1"/>
  <c r="U1307" i="1" s="1"/>
  <c r="P1307" i="1"/>
  <c r="L1307" i="1"/>
  <c r="H1307" i="1"/>
  <c r="J1307" i="1" s="1"/>
  <c r="E1307" i="1"/>
  <c r="G1307" i="1" s="1"/>
  <c r="B1307" i="1"/>
  <c r="D1307" i="1" s="1"/>
  <c r="AB1306" i="1"/>
  <c r="Y1306" i="1"/>
  <c r="AA1306" i="1" s="1"/>
  <c r="V1306" i="1"/>
  <c r="X1306" i="1" s="1"/>
  <c r="S1306" i="1"/>
  <c r="U1306" i="1" s="1"/>
  <c r="P1306" i="1"/>
  <c r="L1306" i="1"/>
  <c r="N1306" i="1" s="1"/>
  <c r="H1306" i="1"/>
  <c r="J1306" i="1" s="1"/>
  <c r="E1306" i="1"/>
  <c r="G1306" i="1" s="1"/>
  <c r="B1306" i="1"/>
  <c r="D1306" i="1" s="1"/>
  <c r="AB1305" i="1"/>
  <c r="AD1305" i="1" s="1"/>
  <c r="Y1305" i="1"/>
  <c r="AA1305" i="1" s="1"/>
  <c r="V1305" i="1"/>
  <c r="X1305" i="1" s="1"/>
  <c r="S1305" i="1"/>
  <c r="U1305" i="1" s="1"/>
  <c r="P1305" i="1"/>
  <c r="L1305" i="1"/>
  <c r="N1305" i="1" s="1"/>
  <c r="H1305" i="1"/>
  <c r="J1305" i="1" s="1"/>
  <c r="E1305" i="1"/>
  <c r="G1305" i="1" s="1"/>
  <c r="B1305" i="1"/>
  <c r="D1305" i="1" s="1"/>
  <c r="AB1304" i="1"/>
  <c r="Y1304" i="1"/>
  <c r="AA1304" i="1" s="1"/>
  <c r="V1304" i="1"/>
  <c r="X1304" i="1" s="1"/>
  <c r="S1304" i="1"/>
  <c r="U1304" i="1" s="1"/>
  <c r="P1304" i="1"/>
  <c r="L1304" i="1"/>
  <c r="N1304" i="1" s="1"/>
  <c r="H1304" i="1"/>
  <c r="J1304" i="1" s="1"/>
  <c r="E1304" i="1"/>
  <c r="G1304" i="1" s="1"/>
  <c r="B1304" i="1"/>
  <c r="D1304" i="1" s="1"/>
  <c r="AB1303" i="1"/>
  <c r="Y1303" i="1"/>
  <c r="AA1303" i="1" s="1"/>
  <c r="V1303" i="1"/>
  <c r="X1303" i="1" s="1"/>
  <c r="S1303" i="1"/>
  <c r="U1303" i="1" s="1"/>
  <c r="P1303" i="1"/>
  <c r="R1303" i="1" s="1"/>
  <c r="N1303" i="1"/>
  <c r="L1303" i="1"/>
  <c r="H1303" i="1"/>
  <c r="J1303" i="1" s="1"/>
  <c r="E1303" i="1"/>
  <c r="G1303" i="1" s="1"/>
  <c r="B1303" i="1"/>
  <c r="D1303" i="1" s="1"/>
  <c r="AB1302" i="1"/>
  <c r="AD1302" i="1" s="1"/>
  <c r="Y1302" i="1"/>
  <c r="AA1302" i="1" s="1"/>
  <c r="V1302" i="1"/>
  <c r="X1302" i="1" s="1"/>
  <c r="S1302" i="1"/>
  <c r="U1302" i="1" s="1"/>
  <c r="P1302" i="1"/>
  <c r="R1302" i="1" s="1"/>
  <c r="L1302" i="1"/>
  <c r="N1302" i="1" s="1"/>
  <c r="H1302" i="1"/>
  <c r="J1302" i="1" s="1"/>
  <c r="E1302" i="1"/>
  <c r="G1302" i="1" s="1"/>
  <c r="B1302" i="1"/>
  <c r="D1302" i="1" s="1"/>
  <c r="AB1301" i="1"/>
  <c r="Y1301" i="1"/>
  <c r="AA1301" i="1" s="1"/>
  <c r="V1301" i="1"/>
  <c r="X1301" i="1" s="1"/>
  <c r="S1301" i="1"/>
  <c r="P1301" i="1"/>
  <c r="R1301" i="1" s="1"/>
  <c r="L1301" i="1"/>
  <c r="N1301" i="1" s="1"/>
  <c r="H1301" i="1"/>
  <c r="J1301" i="1" s="1"/>
  <c r="K1301" i="1" s="1"/>
  <c r="E1301" i="1"/>
  <c r="B1301" i="1"/>
  <c r="AB1300" i="1"/>
  <c r="AA1300" i="1"/>
  <c r="Y1300" i="1"/>
  <c r="V1300" i="1"/>
  <c r="X1300" i="1" s="1"/>
  <c r="S1300" i="1"/>
  <c r="P1300" i="1"/>
  <c r="L1300" i="1"/>
  <c r="N1300" i="1" s="1"/>
  <c r="H1300" i="1"/>
  <c r="J1300" i="1" s="1"/>
  <c r="E1300" i="1"/>
  <c r="G1300" i="1" s="1"/>
  <c r="B1300" i="1"/>
  <c r="D1300" i="1" s="1"/>
  <c r="AB1299" i="1"/>
  <c r="AD1299" i="1" s="1"/>
  <c r="Y1299" i="1"/>
  <c r="AA1299" i="1" s="1"/>
  <c r="V1299" i="1"/>
  <c r="X1299" i="1" s="1"/>
  <c r="S1299" i="1"/>
  <c r="U1299" i="1" s="1"/>
  <c r="P1299" i="1"/>
  <c r="L1299" i="1"/>
  <c r="N1299" i="1" s="1"/>
  <c r="H1299" i="1"/>
  <c r="J1299" i="1" s="1"/>
  <c r="E1299" i="1"/>
  <c r="G1299" i="1" s="1"/>
  <c r="B1299" i="1"/>
  <c r="D1299" i="1" s="1"/>
  <c r="AB1298" i="1"/>
  <c r="AD1298" i="1" s="1"/>
  <c r="Y1298" i="1"/>
  <c r="AA1298" i="1" s="1"/>
  <c r="V1298" i="1"/>
  <c r="X1298" i="1" s="1"/>
  <c r="S1298" i="1"/>
  <c r="P1298" i="1"/>
  <c r="L1298" i="1"/>
  <c r="N1298" i="1" s="1"/>
  <c r="H1298" i="1"/>
  <c r="J1298" i="1" s="1"/>
  <c r="E1298" i="1"/>
  <c r="G1298" i="1" s="1"/>
  <c r="B1298" i="1"/>
  <c r="D1298" i="1" s="1"/>
  <c r="AB1297" i="1"/>
  <c r="AA1297" i="1"/>
  <c r="Y1297" i="1"/>
  <c r="V1297" i="1"/>
  <c r="X1297" i="1" s="1"/>
  <c r="S1297" i="1"/>
  <c r="U1297" i="1" s="1"/>
  <c r="P1297" i="1"/>
  <c r="L1297" i="1"/>
  <c r="N1297" i="1" s="1"/>
  <c r="H1297" i="1"/>
  <c r="J1297" i="1" s="1"/>
  <c r="K1297" i="1" s="1"/>
  <c r="E1297" i="1"/>
  <c r="G1297" i="1" s="1"/>
  <c r="B1297" i="1"/>
  <c r="AB1296" i="1"/>
  <c r="Y1296" i="1"/>
  <c r="AA1296" i="1" s="1"/>
  <c r="V1296" i="1"/>
  <c r="X1296" i="1" s="1"/>
  <c r="S1296" i="1"/>
  <c r="U1296" i="1" s="1"/>
  <c r="P1296" i="1"/>
  <c r="L1296" i="1"/>
  <c r="N1296" i="1" s="1"/>
  <c r="H1296" i="1"/>
  <c r="J1296" i="1" s="1"/>
  <c r="E1296" i="1"/>
  <c r="G1296" i="1" s="1"/>
  <c r="B1296" i="1"/>
  <c r="D1296" i="1" s="1"/>
  <c r="AB1295" i="1"/>
  <c r="Y1295" i="1"/>
  <c r="AA1295" i="1" s="1"/>
  <c r="V1295" i="1"/>
  <c r="X1295" i="1" s="1"/>
  <c r="S1295" i="1"/>
  <c r="U1295" i="1" s="1"/>
  <c r="P1295" i="1"/>
  <c r="L1295" i="1"/>
  <c r="N1295" i="1" s="1"/>
  <c r="H1295" i="1"/>
  <c r="J1295" i="1" s="1"/>
  <c r="E1295" i="1"/>
  <c r="G1295" i="1" s="1"/>
  <c r="B1295" i="1"/>
  <c r="D1295" i="1" s="1"/>
  <c r="AB1294" i="1"/>
  <c r="Y1294" i="1"/>
  <c r="AA1294" i="1" s="1"/>
  <c r="V1294" i="1"/>
  <c r="X1294" i="1" s="1"/>
  <c r="S1294" i="1"/>
  <c r="P1294" i="1"/>
  <c r="R1294" i="1" s="1"/>
  <c r="L1294" i="1"/>
  <c r="N1294" i="1" s="1"/>
  <c r="H1294" i="1"/>
  <c r="J1294" i="1" s="1"/>
  <c r="E1294" i="1"/>
  <c r="B1294" i="1"/>
  <c r="D1294" i="1" s="1"/>
  <c r="AB1293" i="1"/>
  <c r="AD1293" i="1" s="1"/>
  <c r="Y1293" i="1"/>
  <c r="AA1293" i="1" s="1"/>
  <c r="V1293" i="1"/>
  <c r="X1293" i="1" s="1"/>
  <c r="S1293" i="1"/>
  <c r="U1293" i="1" s="1"/>
  <c r="P1293" i="1"/>
  <c r="R1293" i="1" s="1"/>
  <c r="L1293" i="1"/>
  <c r="N1293" i="1" s="1"/>
  <c r="H1293" i="1"/>
  <c r="J1293" i="1" s="1"/>
  <c r="E1293" i="1"/>
  <c r="G1293" i="1" s="1"/>
  <c r="B1293" i="1"/>
  <c r="D1293" i="1" s="1"/>
  <c r="AB1292" i="1"/>
  <c r="Y1292" i="1"/>
  <c r="AA1292" i="1" s="1"/>
  <c r="V1292" i="1"/>
  <c r="X1292" i="1" s="1"/>
  <c r="S1292" i="1"/>
  <c r="U1292" i="1" s="1"/>
  <c r="R1292" i="1"/>
  <c r="P1292" i="1"/>
  <c r="L1292" i="1"/>
  <c r="N1292" i="1" s="1"/>
  <c r="H1292" i="1"/>
  <c r="J1292" i="1" s="1"/>
  <c r="K1292" i="1" s="1"/>
  <c r="E1292" i="1"/>
  <c r="B1292" i="1"/>
  <c r="D1292" i="1" s="1"/>
  <c r="AB1291" i="1"/>
  <c r="Y1291" i="1"/>
  <c r="AA1291" i="1" s="1"/>
  <c r="V1291" i="1"/>
  <c r="X1291" i="1" s="1"/>
  <c r="S1291" i="1"/>
  <c r="U1291" i="1" s="1"/>
  <c r="P1291" i="1"/>
  <c r="L1291" i="1"/>
  <c r="N1291" i="1" s="1"/>
  <c r="H1291" i="1"/>
  <c r="J1291" i="1" s="1"/>
  <c r="E1291" i="1"/>
  <c r="G1291" i="1" s="1"/>
  <c r="B1291" i="1"/>
  <c r="D1291" i="1" s="1"/>
  <c r="AB1290" i="1"/>
  <c r="AA1290" i="1"/>
  <c r="Y1290" i="1"/>
  <c r="V1290" i="1"/>
  <c r="X1290" i="1" s="1"/>
  <c r="S1290" i="1"/>
  <c r="P1290" i="1"/>
  <c r="L1290" i="1"/>
  <c r="N1290" i="1" s="1"/>
  <c r="H1290" i="1"/>
  <c r="J1290" i="1" s="1"/>
  <c r="E1290" i="1"/>
  <c r="G1290" i="1" s="1"/>
  <c r="B1290" i="1"/>
  <c r="D1290" i="1" s="1"/>
  <c r="AB1289" i="1"/>
  <c r="AD1289" i="1" s="1"/>
  <c r="Y1289" i="1"/>
  <c r="AA1289" i="1" s="1"/>
  <c r="V1289" i="1"/>
  <c r="X1289" i="1" s="1"/>
  <c r="S1289" i="1"/>
  <c r="P1289" i="1"/>
  <c r="R1289" i="1" s="1"/>
  <c r="L1289" i="1"/>
  <c r="N1289" i="1" s="1"/>
  <c r="H1289" i="1"/>
  <c r="J1289" i="1" s="1"/>
  <c r="E1289" i="1"/>
  <c r="G1289" i="1" s="1"/>
  <c r="B1289" i="1"/>
  <c r="AB1288" i="1"/>
  <c r="AD1288" i="1" s="1"/>
  <c r="Y1288" i="1"/>
  <c r="AA1288" i="1" s="1"/>
  <c r="V1288" i="1"/>
  <c r="X1288" i="1" s="1"/>
  <c r="S1288" i="1"/>
  <c r="U1288" i="1" s="1"/>
  <c r="P1288" i="1"/>
  <c r="R1288" i="1" s="1"/>
  <c r="L1288" i="1"/>
  <c r="H1288" i="1"/>
  <c r="J1288" i="1" s="1"/>
  <c r="E1288" i="1"/>
  <c r="G1288" i="1" s="1"/>
  <c r="D1288" i="1"/>
  <c r="B1288" i="1"/>
  <c r="AB1287" i="1"/>
  <c r="AD1287" i="1" s="1"/>
  <c r="Y1287" i="1"/>
  <c r="AA1287" i="1" s="1"/>
  <c r="V1287" i="1"/>
  <c r="X1287" i="1" s="1"/>
  <c r="S1287" i="1"/>
  <c r="U1287" i="1" s="1"/>
  <c r="P1287" i="1"/>
  <c r="R1287" i="1" s="1"/>
  <c r="L1287" i="1"/>
  <c r="N1287" i="1" s="1"/>
  <c r="J1287" i="1"/>
  <c r="H1287" i="1"/>
  <c r="E1287" i="1"/>
  <c r="B1287" i="1"/>
  <c r="D1287" i="1" s="1"/>
  <c r="AD1286" i="1"/>
  <c r="AB1286" i="1"/>
  <c r="Y1286" i="1"/>
  <c r="AA1286" i="1" s="1"/>
  <c r="V1286" i="1"/>
  <c r="X1286" i="1" s="1"/>
  <c r="S1286" i="1"/>
  <c r="U1286" i="1" s="1"/>
  <c r="P1286" i="1"/>
  <c r="R1286" i="1" s="1"/>
  <c r="L1286" i="1"/>
  <c r="N1286" i="1" s="1"/>
  <c r="H1286" i="1"/>
  <c r="J1286" i="1" s="1"/>
  <c r="E1286" i="1"/>
  <c r="G1286" i="1" s="1"/>
  <c r="B1286" i="1"/>
  <c r="D1286" i="1" s="1"/>
  <c r="AB1285" i="1"/>
  <c r="AD1285" i="1" s="1"/>
  <c r="Y1285" i="1"/>
  <c r="AA1285" i="1" s="1"/>
  <c r="V1285" i="1"/>
  <c r="X1285" i="1" s="1"/>
  <c r="U1285" i="1"/>
  <c r="S1285" i="1"/>
  <c r="P1285" i="1"/>
  <c r="R1285" i="1" s="1"/>
  <c r="L1285" i="1"/>
  <c r="N1285" i="1" s="1"/>
  <c r="H1285" i="1"/>
  <c r="J1285" i="1" s="1"/>
  <c r="E1285" i="1"/>
  <c r="G1285" i="1" s="1"/>
  <c r="B1285" i="1"/>
  <c r="D1285" i="1" s="1"/>
  <c r="AB1284" i="1"/>
  <c r="Y1284" i="1"/>
  <c r="AA1284" i="1" s="1"/>
  <c r="V1284" i="1"/>
  <c r="X1284" i="1" s="1"/>
  <c r="S1284" i="1"/>
  <c r="U1284" i="1" s="1"/>
  <c r="P1284" i="1"/>
  <c r="R1284" i="1" s="1"/>
  <c r="L1284" i="1"/>
  <c r="N1284" i="1" s="1"/>
  <c r="H1284" i="1"/>
  <c r="J1284" i="1" s="1"/>
  <c r="E1284" i="1"/>
  <c r="G1284" i="1" s="1"/>
  <c r="B1284" i="1"/>
  <c r="D1284" i="1" s="1"/>
  <c r="AB1283" i="1"/>
  <c r="AD1283" i="1" s="1"/>
  <c r="Y1283" i="1"/>
  <c r="AA1283" i="1" s="1"/>
  <c r="V1283" i="1"/>
  <c r="X1283" i="1" s="1"/>
  <c r="S1283" i="1"/>
  <c r="U1283" i="1" s="1"/>
  <c r="P1283" i="1"/>
  <c r="R1283" i="1" s="1"/>
  <c r="L1283" i="1"/>
  <c r="N1283" i="1" s="1"/>
  <c r="H1283" i="1"/>
  <c r="J1283" i="1" s="1"/>
  <c r="E1283" i="1"/>
  <c r="G1283" i="1" s="1"/>
  <c r="B1283" i="1"/>
  <c r="D1283" i="1" s="1"/>
  <c r="AB1282" i="1"/>
  <c r="AD1282" i="1" s="1"/>
  <c r="Y1282" i="1"/>
  <c r="AA1282" i="1" s="1"/>
  <c r="V1282" i="1"/>
  <c r="X1282" i="1" s="1"/>
  <c r="S1282" i="1"/>
  <c r="U1282" i="1" s="1"/>
  <c r="P1282" i="1"/>
  <c r="R1282" i="1" s="1"/>
  <c r="L1282" i="1"/>
  <c r="N1282" i="1" s="1"/>
  <c r="H1282" i="1"/>
  <c r="J1282" i="1" s="1"/>
  <c r="E1282" i="1"/>
  <c r="G1282" i="1" s="1"/>
  <c r="B1282" i="1"/>
  <c r="D1282" i="1" s="1"/>
  <c r="AB1281" i="1"/>
  <c r="AD1281" i="1" s="1"/>
  <c r="Y1281" i="1"/>
  <c r="AA1281" i="1" s="1"/>
  <c r="V1281" i="1"/>
  <c r="X1281" i="1" s="1"/>
  <c r="S1281" i="1"/>
  <c r="U1281" i="1" s="1"/>
  <c r="P1281" i="1"/>
  <c r="R1281" i="1" s="1"/>
  <c r="L1281" i="1"/>
  <c r="N1281" i="1" s="1"/>
  <c r="H1281" i="1"/>
  <c r="J1281" i="1" s="1"/>
  <c r="E1281" i="1"/>
  <c r="G1281" i="1" s="1"/>
  <c r="B1281" i="1"/>
  <c r="D1281" i="1" s="1"/>
  <c r="AB1280" i="1"/>
  <c r="AD1280" i="1" s="1"/>
  <c r="Y1280" i="1"/>
  <c r="AA1280" i="1" s="1"/>
  <c r="V1280" i="1"/>
  <c r="X1280" i="1" s="1"/>
  <c r="S1280" i="1"/>
  <c r="U1280" i="1" s="1"/>
  <c r="P1280" i="1"/>
  <c r="R1280" i="1" s="1"/>
  <c r="L1280" i="1"/>
  <c r="N1280" i="1" s="1"/>
  <c r="H1280" i="1"/>
  <c r="J1280" i="1" s="1"/>
  <c r="E1280" i="1"/>
  <c r="B1280" i="1"/>
  <c r="AB1279" i="1"/>
  <c r="AD1279" i="1" s="1"/>
  <c r="Y1279" i="1"/>
  <c r="AA1279" i="1" s="1"/>
  <c r="V1279" i="1"/>
  <c r="X1279" i="1" s="1"/>
  <c r="S1279" i="1"/>
  <c r="U1279" i="1" s="1"/>
  <c r="P1279" i="1"/>
  <c r="R1279" i="1" s="1"/>
  <c r="L1279" i="1"/>
  <c r="N1279" i="1" s="1"/>
  <c r="H1279" i="1"/>
  <c r="J1279" i="1" s="1"/>
  <c r="E1279" i="1"/>
  <c r="G1279" i="1" s="1"/>
  <c r="B1279" i="1"/>
  <c r="D1279" i="1" s="1"/>
  <c r="AB1278" i="1"/>
  <c r="AD1278" i="1" s="1"/>
  <c r="Y1278" i="1"/>
  <c r="AA1278" i="1" s="1"/>
  <c r="V1278" i="1"/>
  <c r="X1278" i="1" s="1"/>
  <c r="S1278" i="1"/>
  <c r="U1278" i="1" s="1"/>
  <c r="P1278" i="1"/>
  <c r="R1278" i="1" s="1"/>
  <c r="L1278" i="1"/>
  <c r="N1278" i="1" s="1"/>
  <c r="H1278" i="1"/>
  <c r="J1278" i="1" s="1"/>
  <c r="E1278" i="1"/>
  <c r="G1278" i="1" s="1"/>
  <c r="B1278" i="1"/>
  <c r="D1278" i="1" s="1"/>
  <c r="AB1277" i="1"/>
  <c r="AD1277" i="1" s="1"/>
  <c r="Y1277" i="1"/>
  <c r="AA1277" i="1" s="1"/>
  <c r="V1277" i="1"/>
  <c r="X1277" i="1" s="1"/>
  <c r="S1277" i="1"/>
  <c r="U1277" i="1" s="1"/>
  <c r="P1277" i="1"/>
  <c r="R1277" i="1" s="1"/>
  <c r="L1277" i="1"/>
  <c r="N1277" i="1" s="1"/>
  <c r="H1277" i="1"/>
  <c r="J1277" i="1" s="1"/>
  <c r="E1277" i="1"/>
  <c r="G1277" i="1" s="1"/>
  <c r="B1277" i="1"/>
  <c r="D1277" i="1" s="1"/>
  <c r="AB1276" i="1"/>
  <c r="AD1276" i="1" s="1"/>
  <c r="Y1276" i="1"/>
  <c r="AA1276" i="1" s="1"/>
  <c r="V1276" i="1"/>
  <c r="X1276" i="1" s="1"/>
  <c r="S1276" i="1"/>
  <c r="P1276" i="1"/>
  <c r="R1276" i="1" s="1"/>
  <c r="L1276" i="1"/>
  <c r="N1276" i="1" s="1"/>
  <c r="H1276" i="1"/>
  <c r="J1276" i="1" s="1"/>
  <c r="E1276" i="1"/>
  <c r="G1276" i="1" s="1"/>
  <c r="B1276" i="1"/>
  <c r="D1276" i="1" s="1"/>
  <c r="AB1275" i="1"/>
  <c r="AD1275" i="1" s="1"/>
  <c r="Y1275" i="1"/>
  <c r="AA1275" i="1" s="1"/>
  <c r="V1275" i="1"/>
  <c r="X1275" i="1" s="1"/>
  <c r="S1275" i="1"/>
  <c r="P1275" i="1"/>
  <c r="R1275" i="1" s="1"/>
  <c r="L1275" i="1"/>
  <c r="N1275" i="1" s="1"/>
  <c r="H1275" i="1"/>
  <c r="J1275" i="1" s="1"/>
  <c r="E1275" i="1"/>
  <c r="G1275" i="1" s="1"/>
  <c r="B1275" i="1"/>
  <c r="D1275" i="1" s="1"/>
  <c r="AB1274" i="1"/>
  <c r="AD1274" i="1" s="1"/>
  <c r="Y1274" i="1"/>
  <c r="AA1274" i="1" s="1"/>
  <c r="V1274" i="1"/>
  <c r="X1274" i="1" s="1"/>
  <c r="S1274" i="1"/>
  <c r="P1274" i="1"/>
  <c r="R1274" i="1" s="1"/>
  <c r="L1274" i="1"/>
  <c r="N1274" i="1" s="1"/>
  <c r="H1274" i="1"/>
  <c r="J1274" i="1" s="1"/>
  <c r="E1274" i="1"/>
  <c r="G1274" i="1" s="1"/>
  <c r="B1274" i="1"/>
  <c r="D1274" i="1" s="1"/>
  <c r="AB1273" i="1"/>
  <c r="AD1273" i="1" s="1"/>
  <c r="Y1273" i="1"/>
  <c r="AA1273" i="1" s="1"/>
  <c r="V1273" i="1"/>
  <c r="X1273" i="1" s="1"/>
  <c r="S1273" i="1"/>
  <c r="P1273" i="1"/>
  <c r="R1273" i="1" s="1"/>
  <c r="L1273" i="1"/>
  <c r="N1273" i="1" s="1"/>
  <c r="H1273" i="1"/>
  <c r="J1273" i="1" s="1"/>
  <c r="E1273" i="1"/>
  <c r="G1273" i="1" s="1"/>
  <c r="B1273" i="1"/>
  <c r="D1273" i="1" s="1"/>
  <c r="AB1272" i="1"/>
  <c r="Y1272" i="1"/>
  <c r="AA1272" i="1" s="1"/>
  <c r="V1272" i="1"/>
  <c r="X1272" i="1" s="1"/>
  <c r="S1272" i="1"/>
  <c r="P1272" i="1"/>
  <c r="R1272" i="1" s="1"/>
  <c r="L1272" i="1"/>
  <c r="N1272" i="1" s="1"/>
  <c r="H1272" i="1"/>
  <c r="J1272" i="1" s="1"/>
  <c r="E1272" i="1"/>
  <c r="G1272" i="1" s="1"/>
  <c r="B1272" i="1"/>
  <c r="D1272" i="1" s="1"/>
  <c r="AB1271" i="1"/>
  <c r="AD1271" i="1" s="1"/>
  <c r="Y1271" i="1"/>
  <c r="AA1271" i="1" s="1"/>
  <c r="V1271" i="1"/>
  <c r="X1271" i="1" s="1"/>
  <c r="S1271" i="1"/>
  <c r="P1271" i="1"/>
  <c r="R1271" i="1" s="1"/>
  <c r="L1271" i="1"/>
  <c r="N1271" i="1" s="1"/>
  <c r="H1271" i="1"/>
  <c r="J1271" i="1" s="1"/>
  <c r="E1271" i="1"/>
  <c r="G1271" i="1" s="1"/>
  <c r="B1271" i="1"/>
  <c r="D1271" i="1" s="1"/>
  <c r="AD1270" i="1"/>
  <c r="AB1270" i="1"/>
  <c r="Y1270" i="1"/>
  <c r="AA1270" i="1" s="1"/>
  <c r="V1270" i="1"/>
  <c r="X1270" i="1" s="1"/>
  <c r="S1270" i="1"/>
  <c r="P1270" i="1"/>
  <c r="R1270" i="1" s="1"/>
  <c r="L1270" i="1"/>
  <c r="N1270" i="1" s="1"/>
  <c r="H1270" i="1"/>
  <c r="J1270" i="1" s="1"/>
  <c r="E1270" i="1"/>
  <c r="G1270" i="1" s="1"/>
  <c r="B1270" i="1"/>
  <c r="AB1269" i="1"/>
  <c r="AD1269" i="1" s="1"/>
  <c r="Y1269" i="1"/>
  <c r="AA1269" i="1" s="1"/>
  <c r="V1269" i="1"/>
  <c r="X1269" i="1" s="1"/>
  <c r="S1269" i="1"/>
  <c r="P1269" i="1"/>
  <c r="R1269" i="1" s="1"/>
  <c r="L1269" i="1"/>
  <c r="N1269" i="1" s="1"/>
  <c r="H1269" i="1"/>
  <c r="J1269" i="1" s="1"/>
  <c r="E1269" i="1"/>
  <c r="G1269" i="1" s="1"/>
  <c r="B1269" i="1"/>
  <c r="D1269" i="1" s="1"/>
  <c r="AB1268" i="1"/>
  <c r="AD1268" i="1" s="1"/>
  <c r="Y1268" i="1"/>
  <c r="AA1268" i="1" s="1"/>
  <c r="V1268" i="1"/>
  <c r="X1268" i="1" s="1"/>
  <c r="S1268" i="1"/>
  <c r="P1268" i="1"/>
  <c r="R1268" i="1" s="1"/>
  <c r="L1268" i="1"/>
  <c r="N1268" i="1" s="1"/>
  <c r="H1268" i="1"/>
  <c r="J1268" i="1" s="1"/>
  <c r="E1268" i="1"/>
  <c r="G1268" i="1" s="1"/>
  <c r="B1268" i="1"/>
  <c r="D1268" i="1" s="1"/>
  <c r="AB1267" i="1"/>
  <c r="AD1267" i="1" s="1"/>
  <c r="Y1267" i="1"/>
  <c r="AA1267" i="1" s="1"/>
  <c r="V1267" i="1"/>
  <c r="X1267" i="1" s="1"/>
  <c r="S1267" i="1"/>
  <c r="P1267" i="1"/>
  <c r="R1267" i="1" s="1"/>
  <c r="L1267" i="1"/>
  <c r="N1267" i="1" s="1"/>
  <c r="H1267" i="1"/>
  <c r="J1267" i="1" s="1"/>
  <c r="E1267" i="1"/>
  <c r="G1267" i="1" s="1"/>
  <c r="B1267" i="1"/>
  <c r="D1267" i="1" s="1"/>
  <c r="AB1266" i="1"/>
  <c r="AD1266" i="1" s="1"/>
  <c r="Y1266" i="1"/>
  <c r="AA1266" i="1" s="1"/>
  <c r="V1266" i="1"/>
  <c r="X1266" i="1" s="1"/>
  <c r="S1266" i="1"/>
  <c r="U1266" i="1" s="1"/>
  <c r="P1266" i="1"/>
  <c r="R1266" i="1" s="1"/>
  <c r="L1266" i="1"/>
  <c r="N1266" i="1" s="1"/>
  <c r="H1266" i="1"/>
  <c r="J1266" i="1" s="1"/>
  <c r="G1266" i="1"/>
  <c r="E1266" i="1"/>
  <c r="B1266" i="1"/>
  <c r="D1266" i="1" s="1"/>
  <c r="AB1265" i="1"/>
  <c r="AD1265" i="1" s="1"/>
  <c r="Y1265" i="1"/>
  <c r="AA1265" i="1" s="1"/>
  <c r="V1265" i="1"/>
  <c r="X1265" i="1" s="1"/>
  <c r="S1265" i="1"/>
  <c r="U1265" i="1" s="1"/>
  <c r="P1265" i="1"/>
  <c r="R1265" i="1" s="1"/>
  <c r="L1265" i="1"/>
  <c r="N1265" i="1" s="1"/>
  <c r="H1265" i="1"/>
  <c r="J1265" i="1" s="1"/>
  <c r="E1265" i="1"/>
  <c r="G1265" i="1" s="1"/>
  <c r="B1265" i="1"/>
  <c r="D1265" i="1" s="1"/>
  <c r="AB1264" i="1"/>
  <c r="AD1264" i="1" s="1"/>
  <c r="Y1264" i="1"/>
  <c r="AA1264" i="1" s="1"/>
  <c r="V1264" i="1"/>
  <c r="X1264" i="1" s="1"/>
  <c r="S1264" i="1"/>
  <c r="U1264" i="1" s="1"/>
  <c r="P1264" i="1"/>
  <c r="R1264" i="1" s="1"/>
  <c r="L1264" i="1"/>
  <c r="N1264" i="1" s="1"/>
  <c r="H1264" i="1"/>
  <c r="J1264" i="1" s="1"/>
  <c r="E1264" i="1"/>
  <c r="G1264" i="1" s="1"/>
  <c r="B1264" i="1"/>
  <c r="D1264" i="1" s="1"/>
  <c r="AB1263" i="1"/>
  <c r="AD1263" i="1" s="1"/>
  <c r="Y1263" i="1"/>
  <c r="AA1263" i="1" s="1"/>
  <c r="V1263" i="1"/>
  <c r="X1263" i="1" s="1"/>
  <c r="S1263" i="1"/>
  <c r="U1263" i="1" s="1"/>
  <c r="P1263" i="1"/>
  <c r="R1263" i="1" s="1"/>
  <c r="L1263" i="1"/>
  <c r="N1263" i="1" s="1"/>
  <c r="H1263" i="1"/>
  <c r="J1263" i="1" s="1"/>
  <c r="E1263" i="1"/>
  <c r="G1263" i="1" s="1"/>
  <c r="B1263" i="1"/>
  <c r="D1263" i="1" s="1"/>
  <c r="AB1262" i="1"/>
  <c r="AD1262" i="1" s="1"/>
  <c r="Y1262" i="1"/>
  <c r="AA1262" i="1" s="1"/>
  <c r="V1262" i="1"/>
  <c r="X1262" i="1" s="1"/>
  <c r="S1262" i="1"/>
  <c r="U1262" i="1" s="1"/>
  <c r="P1262" i="1"/>
  <c r="R1262" i="1" s="1"/>
  <c r="L1262" i="1"/>
  <c r="N1262" i="1" s="1"/>
  <c r="H1262" i="1"/>
  <c r="J1262" i="1" s="1"/>
  <c r="E1262" i="1"/>
  <c r="G1262" i="1" s="1"/>
  <c r="B1262" i="1"/>
  <c r="D1262" i="1" s="1"/>
  <c r="AB1261" i="1"/>
  <c r="AD1261" i="1" s="1"/>
  <c r="Y1261" i="1"/>
  <c r="AA1261" i="1" s="1"/>
  <c r="V1261" i="1"/>
  <c r="X1261" i="1" s="1"/>
  <c r="S1261" i="1"/>
  <c r="U1261" i="1" s="1"/>
  <c r="P1261" i="1"/>
  <c r="R1261" i="1" s="1"/>
  <c r="L1261" i="1"/>
  <c r="N1261" i="1" s="1"/>
  <c r="H1261" i="1"/>
  <c r="J1261" i="1" s="1"/>
  <c r="E1261" i="1"/>
  <c r="G1261" i="1" s="1"/>
  <c r="B1261" i="1"/>
  <c r="D1261" i="1" s="1"/>
  <c r="AB1260" i="1"/>
  <c r="AD1260" i="1" s="1"/>
  <c r="Y1260" i="1"/>
  <c r="AA1260" i="1" s="1"/>
  <c r="V1260" i="1"/>
  <c r="X1260" i="1" s="1"/>
  <c r="S1260" i="1"/>
  <c r="U1260" i="1" s="1"/>
  <c r="P1260" i="1"/>
  <c r="R1260" i="1" s="1"/>
  <c r="L1260" i="1"/>
  <c r="N1260" i="1" s="1"/>
  <c r="H1260" i="1"/>
  <c r="J1260" i="1" s="1"/>
  <c r="E1260" i="1"/>
  <c r="G1260" i="1" s="1"/>
  <c r="B1260" i="1"/>
  <c r="D1260" i="1" s="1"/>
  <c r="AB1259" i="1"/>
  <c r="Y1259" i="1"/>
  <c r="AA1259" i="1" s="1"/>
  <c r="V1259" i="1"/>
  <c r="X1259" i="1" s="1"/>
  <c r="S1259" i="1"/>
  <c r="U1259" i="1" s="1"/>
  <c r="P1259" i="1"/>
  <c r="R1259" i="1" s="1"/>
  <c r="N1259" i="1"/>
  <c r="L1259" i="1"/>
  <c r="H1259" i="1"/>
  <c r="J1259" i="1" s="1"/>
  <c r="E1259" i="1"/>
  <c r="G1259" i="1" s="1"/>
  <c r="B1259" i="1"/>
  <c r="D1259" i="1" s="1"/>
  <c r="AB1258" i="1"/>
  <c r="Y1258" i="1"/>
  <c r="AA1258" i="1" s="1"/>
  <c r="V1258" i="1"/>
  <c r="X1258" i="1" s="1"/>
  <c r="S1258" i="1"/>
  <c r="P1258" i="1"/>
  <c r="R1258" i="1" s="1"/>
  <c r="L1258" i="1"/>
  <c r="N1258" i="1" s="1"/>
  <c r="H1258" i="1"/>
  <c r="J1258" i="1" s="1"/>
  <c r="E1258" i="1"/>
  <c r="G1258" i="1" s="1"/>
  <c r="B1258" i="1"/>
  <c r="D1258" i="1" s="1"/>
  <c r="AB1257" i="1"/>
  <c r="Y1257" i="1"/>
  <c r="AA1257" i="1" s="1"/>
  <c r="V1257" i="1"/>
  <c r="X1257" i="1" s="1"/>
  <c r="S1257" i="1"/>
  <c r="P1257" i="1"/>
  <c r="R1257" i="1" s="1"/>
  <c r="L1257" i="1"/>
  <c r="N1257" i="1" s="1"/>
  <c r="H1257" i="1"/>
  <c r="J1257" i="1" s="1"/>
  <c r="E1257" i="1"/>
  <c r="G1257" i="1" s="1"/>
  <c r="B1257" i="1"/>
  <c r="D1257" i="1" s="1"/>
  <c r="AB1256" i="1"/>
  <c r="AD1256" i="1" s="1"/>
  <c r="Y1256" i="1"/>
  <c r="AA1256" i="1" s="1"/>
  <c r="V1256" i="1"/>
  <c r="X1256" i="1" s="1"/>
  <c r="S1256" i="1"/>
  <c r="P1256" i="1"/>
  <c r="R1256" i="1" s="1"/>
  <c r="L1256" i="1"/>
  <c r="N1256" i="1" s="1"/>
  <c r="H1256" i="1"/>
  <c r="J1256" i="1" s="1"/>
  <c r="E1256" i="1"/>
  <c r="G1256" i="1" s="1"/>
  <c r="B1256" i="1"/>
  <c r="D1256" i="1" s="1"/>
  <c r="AB1255" i="1"/>
  <c r="AD1255" i="1" s="1"/>
  <c r="Y1255" i="1"/>
  <c r="AA1255" i="1" s="1"/>
  <c r="V1255" i="1"/>
  <c r="X1255" i="1" s="1"/>
  <c r="S1255" i="1"/>
  <c r="P1255" i="1"/>
  <c r="R1255" i="1" s="1"/>
  <c r="N1255" i="1"/>
  <c r="L1255" i="1"/>
  <c r="H1255" i="1"/>
  <c r="J1255" i="1" s="1"/>
  <c r="E1255" i="1"/>
  <c r="G1255" i="1" s="1"/>
  <c r="B1255" i="1"/>
  <c r="AB1254" i="1"/>
  <c r="AD1254" i="1" s="1"/>
  <c r="Y1254" i="1"/>
  <c r="AA1254" i="1" s="1"/>
  <c r="V1254" i="1"/>
  <c r="X1254" i="1" s="1"/>
  <c r="S1254" i="1"/>
  <c r="U1254" i="1" s="1"/>
  <c r="P1254" i="1"/>
  <c r="R1254" i="1" s="1"/>
  <c r="L1254" i="1"/>
  <c r="N1254" i="1" s="1"/>
  <c r="H1254" i="1"/>
  <c r="J1254" i="1" s="1"/>
  <c r="E1254" i="1"/>
  <c r="G1254" i="1" s="1"/>
  <c r="B1254" i="1"/>
  <c r="D1254" i="1" s="1"/>
  <c r="AB1253" i="1"/>
  <c r="AD1253" i="1" s="1"/>
  <c r="Y1253" i="1"/>
  <c r="AA1253" i="1" s="1"/>
  <c r="V1253" i="1"/>
  <c r="X1253" i="1" s="1"/>
  <c r="S1253" i="1"/>
  <c r="U1253" i="1" s="1"/>
  <c r="P1253" i="1"/>
  <c r="R1253" i="1" s="1"/>
  <c r="L1253" i="1"/>
  <c r="N1253" i="1" s="1"/>
  <c r="H1253" i="1"/>
  <c r="J1253" i="1" s="1"/>
  <c r="G1253" i="1"/>
  <c r="E1253" i="1"/>
  <c r="B1253" i="1"/>
  <c r="D1253" i="1" s="1"/>
  <c r="AB1252" i="1"/>
  <c r="AD1252" i="1" s="1"/>
  <c r="Y1252" i="1"/>
  <c r="AA1252" i="1" s="1"/>
  <c r="V1252" i="1"/>
  <c r="X1252" i="1" s="1"/>
  <c r="S1252" i="1"/>
  <c r="U1252" i="1" s="1"/>
  <c r="P1252" i="1"/>
  <c r="R1252" i="1" s="1"/>
  <c r="L1252" i="1"/>
  <c r="N1252" i="1" s="1"/>
  <c r="H1252" i="1"/>
  <c r="J1252" i="1" s="1"/>
  <c r="E1252" i="1"/>
  <c r="G1252" i="1" s="1"/>
  <c r="B1252" i="1"/>
  <c r="D1252" i="1" s="1"/>
  <c r="AB1251" i="1"/>
  <c r="AD1251" i="1" s="1"/>
  <c r="Y1251" i="1"/>
  <c r="AA1251" i="1" s="1"/>
  <c r="V1251" i="1"/>
  <c r="X1251" i="1" s="1"/>
  <c r="S1251" i="1"/>
  <c r="U1251" i="1" s="1"/>
  <c r="P1251" i="1"/>
  <c r="R1251" i="1" s="1"/>
  <c r="L1251" i="1"/>
  <c r="N1251" i="1" s="1"/>
  <c r="H1251" i="1"/>
  <c r="J1251" i="1" s="1"/>
  <c r="E1251" i="1"/>
  <c r="G1251" i="1" s="1"/>
  <c r="B1251" i="1"/>
  <c r="D1251" i="1" s="1"/>
  <c r="AB1250" i="1"/>
  <c r="AD1250" i="1" s="1"/>
  <c r="Y1250" i="1"/>
  <c r="AA1250" i="1" s="1"/>
  <c r="V1250" i="1"/>
  <c r="X1250" i="1" s="1"/>
  <c r="S1250" i="1"/>
  <c r="U1250" i="1" s="1"/>
  <c r="P1250" i="1"/>
  <c r="R1250" i="1" s="1"/>
  <c r="L1250" i="1"/>
  <c r="N1250" i="1" s="1"/>
  <c r="H1250" i="1"/>
  <c r="J1250" i="1" s="1"/>
  <c r="E1250" i="1"/>
  <c r="G1250" i="1" s="1"/>
  <c r="B1250" i="1"/>
  <c r="D1250" i="1" s="1"/>
  <c r="AD1249" i="1"/>
  <c r="AB1249" i="1"/>
  <c r="Y1249" i="1"/>
  <c r="AA1249" i="1" s="1"/>
  <c r="V1249" i="1"/>
  <c r="X1249" i="1" s="1"/>
  <c r="S1249" i="1"/>
  <c r="U1249" i="1" s="1"/>
  <c r="R1249" i="1"/>
  <c r="P1249" i="1"/>
  <c r="L1249" i="1"/>
  <c r="N1249" i="1" s="1"/>
  <c r="H1249" i="1"/>
  <c r="J1249" i="1" s="1"/>
  <c r="E1249" i="1"/>
  <c r="G1249" i="1" s="1"/>
  <c r="D1249" i="1"/>
  <c r="B1249" i="1"/>
  <c r="AB1248" i="1"/>
  <c r="AD1248" i="1" s="1"/>
  <c r="Y1248" i="1"/>
  <c r="AA1248" i="1" s="1"/>
  <c r="V1248" i="1"/>
  <c r="X1248" i="1" s="1"/>
  <c r="S1248" i="1"/>
  <c r="U1248" i="1" s="1"/>
  <c r="P1248" i="1"/>
  <c r="R1248" i="1" s="1"/>
  <c r="L1248" i="1"/>
  <c r="N1248" i="1" s="1"/>
  <c r="H1248" i="1"/>
  <c r="J1248" i="1" s="1"/>
  <c r="E1248" i="1"/>
  <c r="G1248" i="1" s="1"/>
  <c r="B1248" i="1"/>
  <c r="D1248" i="1" s="1"/>
  <c r="AB1247" i="1"/>
  <c r="AD1247" i="1" s="1"/>
  <c r="Y1247" i="1"/>
  <c r="AA1247" i="1" s="1"/>
  <c r="V1247" i="1"/>
  <c r="X1247" i="1" s="1"/>
  <c r="S1247" i="1"/>
  <c r="U1247" i="1" s="1"/>
  <c r="P1247" i="1"/>
  <c r="R1247" i="1" s="1"/>
  <c r="L1247" i="1"/>
  <c r="N1247" i="1" s="1"/>
  <c r="H1247" i="1"/>
  <c r="J1247" i="1" s="1"/>
  <c r="E1247" i="1"/>
  <c r="G1247" i="1" s="1"/>
  <c r="B1247" i="1"/>
  <c r="D1247" i="1" s="1"/>
  <c r="AB1246" i="1"/>
  <c r="AD1246" i="1" s="1"/>
  <c r="Y1246" i="1"/>
  <c r="AA1246" i="1" s="1"/>
  <c r="V1246" i="1"/>
  <c r="X1246" i="1" s="1"/>
  <c r="S1246" i="1"/>
  <c r="U1246" i="1" s="1"/>
  <c r="P1246" i="1"/>
  <c r="R1246" i="1" s="1"/>
  <c r="L1246" i="1"/>
  <c r="N1246" i="1" s="1"/>
  <c r="H1246" i="1"/>
  <c r="J1246" i="1" s="1"/>
  <c r="E1246" i="1"/>
  <c r="G1246" i="1" s="1"/>
  <c r="B1246" i="1"/>
  <c r="D1246" i="1" s="1"/>
  <c r="AB1245" i="1"/>
  <c r="AD1245" i="1" s="1"/>
  <c r="Y1245" i="1"/>
  <c r="AA1245" i="1" s="1"/>
  <c r="V1245" i="1"/>
  <c r="X1245" i="1" s="1"/>
  <c r="U1245" i="1"/>
  <c r="S1245" i="1"/>
  <c r="P1245" i="1"/>
  <c r="R1245" i="1" s="1"/>
  <c r="L1245" i="1"/>
  <c r="N1245" i="1" s="1"/>
  <c r="H1245" i="1"/>
  <c r="J1245" i="1" s="1"/>
  <c r="E1245" i="1"/>
  <c r="G1245" i="1" s="1"/>
  <c r="B1245" i="1"/>
  <c r="D1245" i="1" s="1"/>
  <c r="AB1244" i="1"/>
  <c r="AD1244" i="1" s="1"/>
  <c r="Y1244" i="1"/>
  <c r="AA1244" i="1" s="1"/>
  <c r="V1244" i="1"/>
  <c r="X1244" i="1" s="1"/>
  <c r="S1244" i="1"/>
  <c r="U1244" i="1" s="1"/>
  <c r="P1244" i="1"/>
  <c r="R1244" i="1" s="1"/>
  <c r="L1244" i="1"/>
  <c r="N1244" i="1" s="1"/>
  <c r="H1244" i="1"/>
  <c r="J1244" i="1" s="1"/>
  <c r="E1244" i="1"/>
  <c r="G1244" i="1" s="1"/>
  <c r="B1244" i="1"/>
  <c r="D1244" i="1" s="1"/>
  <c r="AB1243" i="1"/>
  <c r="AD1243" i="1" s="1"/>
  <c r="Y1243" i="1"/>
  <c r="AA1243" i="1" s="1"/>
  <c r="V1243" i="1"/>
  <c r="X1243" i="1" s="1"/>
  <c r="S1243" i="1"/>
  <c r="U1243" i="1" s="1"/>
  <c r="P1243" i="1"/>
  <c r="R1243" i="1" s="1"/>
  <c r="L1243" i="1"/>
  <c r="N1243" i="1" s="1"/>
  <c r="H1243" i="1"/>
  <c r="J1243" i="1" s="1"/>
  <c r="E1243" i="1"/>
  <c r="G1243" i="1" s="1"/>
  <c r="B1243" i="1"/>
  <c r="D1243" i="1" s="1"/>
  <c r="AB1242" i="1"/>
  <c r="AD1242" i="1" s="1"/>
  <c r="Y1242" i="1"/>
  <c r="AA1242" i="1" s="1"/>
  <c r="V1242" i="1"/>
  <c r="X1242" i="1" s="1"/>
  <c r="S1242" i="1"/>
  <c r="U1242" i="1" s="1"/>
  <c r="P1242" i="1"/>
  <c r="R1242" i="1" s="1"/>
  <c r="L1242" i="1"/>
  <c r="N1242" i="1" s="1"/>
  <c r="H1242" i="1"/>
  <c r="J1242" i="1" s="1"/>
  <c r="E1242" i="1"/>
  <c r="G1242" i="1" s="1"/>
  <c r="B1242" i="1"/>
  <c r="D1242" i="1" s="1"/>
  <c r="AB1241" i="1"/>
  <c r="AD1241" i="1" s="1"/>
  <c r="Y1241" i="1"/>
  <c r="AA1241" i="1" s="1"/>
  <c r="V1241" i="1"/>
  <c r="X1241" i="1" s="1"/>
  <c r="S1241" i="1"/>
  <c r="U1241" i="1" s="1"/>
  <c r="P1241" i="1"/>
  <c r="R1241" i="1" s="1"/>
  <c r="L1241" i="1"/>
  <c r="N1241" i="1" s="1"/>
  <c r="H1241" i="1"/>
  <c r="J1241" i="1" s="1"/>
  <c r="E1241" i="1"/>
  <c r="G1241" i="1" s="1"/>
  <c r="B1241" i="1"/>
  <c r="D1241" i="1" s="1"/>
  <c r="AB1240" i="1"/>
  <c r="AD1240" i="1" s="1"/>
  <c r="Y1240" i="1"/>
  <c r="AA1240" i="1" s="1"/>
  <c r="V1240" i="1"/>
  <c r="X1240" i="1" s="1"/>
  <c r="S1240" i="1"/>
  <c r="U1240" i="1" s="1"/>
  <c r="P1240" i="1"/>
  <c r="R1240" i="1" s="1"/>
  <c r="L1240" i="1"/>
  <c r="N1240" i="1" s="1"/>
  <c r="H1240" i="1"/>
  <c r="J1240" i="1" s="1"/>
  <c r="E1240" i="1"/>
  <c r="G1240" i="1" s="1"/>
  <c r="B1240" i="1"/>
  <c r="D1240" i="1" s="1"/>
  <c r="AB1239" i="1"/>
  <c r="AD1239" i="1" s="1"/>
  <c r="Y1239" i="1"/>
  <c r="AA1239" i="1" s="1"/>
  <c r="V1239" i="1"/>
  <c r="X1239" i="1" s="1"/>
  <c r="S1239" i="1"/>
  <c r="U1239" i="1" s="1"/>
  <c r="P1239" i="1"/>
  <c r="R1239" i="1" s="1"/>
  <c r="L1239" i="1"/>
  <c r="N1239" i="1" s="1"/>
  <c r="H1239" i="1"/>
  <c r="J1239" i="1" s="1"/>
  <c r="E1239" i="1"/>
  <c r="G1239" i="1" s="1"/>
  <c r="B1239" i="1"/>
  <c r="D1239" i="1" s="1"/>
  <c r="AB1238" i="1"/>
  <c r="Y1238" i="1"/>
  <c r="AA1238" i="1" s="1"/>
  <c r="V1238" i="1"/>
  <c r="X1238" i="1" s="1"/>
  <c r="U1238" i="1"/>
  <c r="S1238" i="1"/>
  <c r="P1238" i="1"/>
  <c r="R1238" i="1" s="1"/>
  <c r="L1238" i="1"/>
  <c r="N1238" i="1" s="1"/>
  <c r="H1238" i="1"/>
  <c r="J1238" i="1" s="1"/>
  <c r="E1238" i="1"/>
  <c r="G1238" i="1" s="1"/>
  <c r="B1238" i="1"/>
  <c r="D1238" i="1" s="1"/>
  <c r="AB1237" i="1"/>
  <c r="Y1237" i="1"/>
  <c r="AA1237" i="1" s="1"/>
  <c r="V1237" i="1"/>
  <c r="X1237" i="1" s="1"/>
  <c r="S1237" i="1"/>
  <c r="U1237" i="1" s="1"/>
  <c r="P1237" i="1"/>
  <c r="R1237" i="1" s="1"/>
  <c r="L1237" i="1"/>
  <c r="N1237" i="1" s="1"/>
  <c r="H1237" i="1"/>
  <c r="J1237" i="1" s="1"/>
  <c r="E1237" i="1"/>
  <c r="G1237" i="1" s="1"/>
  <c r="B1237" i="1"/>
  <c r="D1237" i="1" s="1"/>
  <c r="AB1236" i="1"/>
  <c r="Y1236" i="1"/>
  <c r="AA1236" i="1" s="1"/>
  <c r="V1236" i="1"/>
  <c r="X1236" i="1" s="1"/>
  <c r="S1236" i="1"/>
  <c r="U1236" i="1" s="1"/>
  <c r="R1236" i="1"/>
  <c r="P1236" i="1"/>
  <c r="L1236" i="1"/>
  <c r="N1236" i="1" s="1"/>
  <c r="H1236" i="1"/>
  <c r="J1236" i="1" s="1"/>
  <c r="E1236" i="1"/>
  <c r="G1236" i="1" s="1"/>
  <c r="B1236" i="1"/>
  <c r="D1236" i="1" s="1"/>
  <c r="AB1235" i="1"/>
  <c r="Y1235" i="1"/>
  <c r="AA1235" i="1" s="1"/>
  <c r="V1235" i="1"/>
  <c r="X1235" i="1" s="1"/>
  <c r="S1235" i="1"/>
  <c r="U1235" i="1" s="1"/>
  <c r="P1235" i="1"/>
  <c r="R1235" i="1" s="1"/>
  <c r="L1235" i="1"/>
  <c r="N1235" i="1" s="1"/>
  <c r="H1235" i="1"/>
  <c r="J1235" i="1" s="1"/>
  <c r="E1235" i="1"/>
  <c r="G1235" i="1" s="1"/>
  <c r="B1235" i="1"/>
  <c r="D1235" i="1" s="1"/>
  <c r="AB1234" i="1"/>
  <c r="AD1234" i="1" s="1"/>
  <c r="Y1234" i="1"/>
  <c r="AA1234" i="1" s="1"/>
  <c r="V1234" i="1"/>
  <c r="X1234" i="1" s="1"/>
  <c r="S1234" i="1"/>
  <c r="U1234" i="1" s="1"/>
  <c r="P1234" i="1"/>
  <c r="R1234" i="1" s="1"/>
  <c r="L1234" i="1"/>
  <c r="N1234" i="1" s="1"/>
  <c r="H1234" i="1"/>
  <c r="J1234" i="1" s="1"/>
  <c r="E1234" i="1"/>
  <c r="G1234" i="1" s="1"/>
  <c r="B1234" i="1"/>
  <c r="D1234" i="1" s="1"/>
  <c r="AB1233" i="1"/>
  <c r="AD1233" i="1" s="1"/>
  <c r="Y1233" i="1"/>
  <c r="AA1233" i="1" s="1"/>
  <c r="V1233" i="1"/>
  <c r="X1233" i="1" s="1"/>
  <c r="U1233" i="1"/>
  <c r="S1233" i="1"/>
  <c r="P1233" i="1"/>
  <c r="R1233" i="1" s="1"/>
  <c r="L1233" i="1"/>
  <c r="N1233" i="1" s="1"/>
  <c r="H1233" i="1"/>
  <c r="J1233" i="1" s="1"/>
  <c r="G1233" i="1"/>
  <c r="E1233" i="1"/>
  <c r="B1233" i="1"/>
  <c r="D1233" i="1" s="1"/>
  <c r="AB1232" i="1"/>
  <c r="AD1232" i="1" s="1"/>
  <c r="Y1232" i="1"/>
  <c r="AA1232" i="1" s="1"/>
  <c r="V1232" i="1"/>
  <c r="X1232" i="1" s="1"/>
  <c r="S1232" i="1"/>
  <c r="U1232" i="1" s="1"/>
  <c r="P1232" i="1"/>
  <c r="R1232" i="1" s="1"/>
  <c r="L1232" i="1"/>
  <c r="N1232" i="1" s="1"/>
  <c r="H1232" i="1"/>
  <c r="J1232" i="1" s="1"/>
  <c r="E1232" i="1"/>
  <c r="G1232" i="1" s="1"/>
  <c r="B1232" i="1"/>
  <c r="D1232" i="1" s="1"/>
  <c r="AB1231" i="1"/>
  <c r="AD1231" i="1" s="1"/>
  <c r="Y1231" i="1"/>
  <c r="AA1231" i="1" s="1"/>
  <c r="V1231" i="1"/>
  <c r="X1231" i="1" s="1"/>
  <c r="S1231" i="1"/>
  <c r="U1231" i="1" s="1"/>
  <c r="P1231" i="1"/>
  <c r="R1231" i="1" s="1"/>
  <c r="L1231" i="1"/>
  <c r="N1231" i="1" s="1"/>
  <c r="H1231" i="1"/>
  <c r="J1231" i="1" s="1"/>
  <c r="E1231" i="1"/>
  <c r="G1231" i="1" s="1"/>
  <c r="B1231" i="1"/>
  <c r="D1231" i="1" s="1"/>
  <c r="AB1230" i="1"/>
  <c r="AD1230" i="1" s="1"/>
  <c r="Y1230" i="1"/>
  <c r="AA1230" i="1" s="1"/>
  <c r="V1230" i="1"/>
  <c r="X1230" i="1" s="1"/>
  <c r="S1230" i="1"/>
  <c r="U1230" i="1" s="1"/>
  <c r="P1230" i="1"/>
  <c r="R1230" i="1" s="1"/>
  <c r="L1230" i="1"/>
  <c r="N1230" i="1" s="1"/>
  <c r="H1230" i="1"/>
  <c r="J1230" i="1" s="1"/>
  <c r="E1230" i="1"/>
  <c r="G1230" i="1" s="1"/>
  <c r="B1230" i="1"/>
  <c r="D1230" i="1" s="1"/>
  <c r="AB1229" i="1"/>
  <c r="AD1229" i="1" s="1"/>
  <c r="Y1229" i="1"/>
  <c r="AA1229" i="1" s="1"/>
  <c r="V1229" i="1"/>
  <c r="X1229" i="1" s="1"/>
  <c r="U1229" i="1"/>
  <c r="S1229" i="1"/>
  <c r="P1229" i="1"/>
  <c r="R1229" i="1" s="1"/>
  <c r="L1229" i="1"/>
  <c r="N1229" i="1" s="1"/>
  <c r="H1229" i="1"/>
  <c r="J1229" i="1" s="1"/>
  <c r="G1229" i="1"/>
  <c r="E1229" i="1"/>
  <c r="B1229" i="1"/>
  <c r="D1229" i="1" s="1"/>
  <c r="AB1228" i="1"/>
  <c r="AD1228" i="1" s="1"/>
  <c r="Y1228" i="1"/>
  <c r="AA1228" i="1" s="1"/>
  <c r="V1228" i="1"/>
  <c r="X1228" i="1" s="1"/>
  <c r="S1228" i="1"/>
  <c r="U1228" i="1" s="1"/>
  <c r="P1228" i="1"/>
  <c r="R1228" i="1" s="1"/>
  <c r="L1228" i="1"/>
  <c r="N1228" i="1" s="1"/>
  <c r="H1228" i="1"/>
  <c r="J1228" i="1" s="1"/>
  <c r="E1228" i="1"/>
  <c r="G1228" i="1" s="1"/>
  <c r="B1228" i="1"/>
  <c r="D1228" i="1" s="1"/>
  <c r="AB1227" i="1"/>
  <c r="AD1227" i="1" s="1"/>
  <c r="Y1227" i="1"/>
  <c r="AA1227" i="1" s="1"/>
  <c r="V1227" i="1"/>
  <c r="X1227" i="1" s="1"/>
  <c r="S1227" i="1"/>
  <c r="U1227" i="1" s="1"/>
  <c r="P1227" i="1"/>
  <c r="R1227" i="1" s="1"/>
  <c r="L1227" i="1"/>
  <c r="N1227" i="1" s="1"/>
  <c r="H1227" i="1"/>
  <c r="J1227" i="1" s="1"/>
  <c r="E1227" i="1"/>
  <c r="G1227" i="1" s="1"/>
  <c r="B1227" i="1"/>
  <c r="D1227" i="1" s="1"/>
  <c r="AB1226" i="1"/>
  <c r="AD1226" i="1" s="1"/>
  <c r="Y1226" i="1"/>
  <c r="AA1226" i="1" s="1"/>
  <c r="V1226" i="1"/>
  <c r="X1226" i="1" s="1"/>
  <c r="S1226" i="1"/>
  <c r="U1226" i="1" s="1"/>
  <c r="P1226" i="1"/>
  <c r="R1226" i="1" s="1"/>
  <c r="L1226" i="1"/>
  <c r="N1226" i="1" s="1"/>
  <c r="H1226" i="1"/>
  <c r="J1226" i="1" s="1"/>
  <c r="E1226" i="1"/>
  <c r="G1226" i="1" s="1"/>
  <c r="B1226" i="1"/>
  <c r="D1226" i="1" s="1"/>
  <c r="AD1225" i="1"/>
  <c r="AB1225" i="1"/>
  <c r="Y1225" i="1"/>
  <c r="AA1225" i="1" s="1"/>
  <c r="V1225" i="1"/>
  <c r="X1225" i="1" s="1"/>
  <c r="S1225" i="1"/>
  <c r="U1225" i="1" s="1"/>
  <c r="R1225" i="1"/>
  <c r="P1225" i="1"/>
  <c r="L1225" i="1"/>
  <c r="N1225" i="1" s="1"/>
  <c r="H1225" i="1"/>
  <c r="J1225" i="1" s="1"/>
  <c r="E1225" i="1"/>
  <c r="G1225" i="1" s="1"/>
  <c r="D1225" i="1"/>
  <c r="B1225" i="1"/>
  <c r="AB1224" i="1"/>
  <c r="AD1224" i="1" s="1"/>
  <c r="Y1224" i="1"/>
  <c r="AA1224" i="1" s="1"/>
  <c r="V1224" i="1"/>
  <c r="X1224" i="1" s="1"/>
  <c r="S1224" i="1"/>
  <c r="U1224" i="1" s="1"/>
  <c r="P1224" i="1"/>
  <c r="R1224" i="1" s="1"/>
  <c r="L1224" i="1"/>
  <c r="N1224" i="1" s="1"/>
  <c r="H1224" i="1"/>
  <c r="J1224" i="1" s="1"/>
  <c r="E1224" i="1"/>
  <c r="G1224" i="1" s="1"/>
  <c r="B1224" i="1"/>
  <c r="D1224" i="1" s="1"/>
  <c r="AB1223" i="1"/>
  <c r="AD1223" i="1" s="1"/>
  <c r="Y1223" i="1"/>
  <c r="AA1223" i="1" s="1"/>
  <c r="V1223" i="1"/>
  <c r="X1223" i="1" s="1"/>
  <c r="S1223" i="1"/>
  <c r="U1223" i="1" s="1"/>
  <c r="P1223" i="1"/>
  <c r="R1223" i="1" s="1"/>
  <c r="L1223" i="1"/>
  <c r="N1223" i="1" s="1"/>
  <c r="H1223" i="1"/>
  <c r="J1223" i="1" s="1"/>
  <c r="E1223" i="1"/>
  <c r="G1223" i="1" s="1"/>
  <c r="B1223" i="1"/>
  <c r="D1223" i="1" s="1"/>
  <c r="AB1222" i="1"/>
  <c r="AD1222" i="1" s="1"/>
  <c r="Y1222" i="1"/>
  <c r="AA1222" i="1" s="1"/>
  <c r="V1222" i="1"/>
  <c r="X1222" i="1" s="1"/>
  <c r="S1222" i="1"/>
  <c r="U1222" i="1" s="1"/>
  <c r="P1222" i="1"/>
  <c r="R1222" i="1" s="1"/>
  <c r="L1222" i="1"/>
  <c r="N1222" i="1" s="1"/>
  <c r="H1222" i="1"/>
  <c r="J1222" i="1" s="1"/>
  <c r="E1222" i="1"/>
  <c r="G1222" i="1" s="1"/>
  <c r="B1222" i="1"/>
  <c r="D1222" i="1" s="1"/>
  <c r="AB1221" i="1"/>
  <c r="AD1221" i="1" s="1"/>
  <c r="Y1221" i="1"/>
  <c r="AA1221" i="1" s="1"/>
  <c r="X1221" i="1"/>
  <c r="V1221" i="1"/>
  <c r="S1221" i="1"/>
  <c r="U1221" i="1" s="1"/>
  <c r="P1221" i="1"/>
  <c r="R1221" i="1" s="1"/>
  <c r="L1221" i="1"/>
  <c r="N1221" i="1" s="1"/>
  <c r="J1221" i="1"/>
  <c r="H1221" i="1"/>
  <c r="E1221" i="1"/>
  <c r="G1221" i="1" s="1"/>
  <c r="D1221" i="1"/>
  <c r="AB1220" i="1"/>
  <c r="AD1220" i="1" s="1"/>
  <c r="Y1220" i="1"/>
  <c r="AA1220" i="1" s="1"/>
  <c r="V1220" i="1"/>
  <c r="X1220" i="1" s="1"/>
  <c r="S1220" i="1"/>
  <c r="U1220" i="1" s="1"/>
  <c r="P1220" i="1"/>
  <c r="R1220" i="1" s="1"/>
  <c r="L1220" i="1"/>
  <c r="N1220" i="1" s="1"/>
  <c r="H1220" i="1"/>
  <c r="J1220" i="1" s="1"/>
  <c r="G1220" i="1"/>
  <c r="D1220" i="1"/>
  <c r="AB1219" i="1"/>
  <c r="AD1219" i="1" s="1"/>
  <c r="Y1219" i="1"/>
  <c r="AA1219" i="1" s="1"/>
  <c r="V1219" i="1"/>
  <c r="X1219" i="1" s="1"/>
  <c r="S1219" i="1"/>
  <c r="U1219" i="1" s="1"/>
  <c r="P1219" i="1"/>
  <c r="R1219" i="1" s="1"/>
  <c r="L1219" i="1"/>
  <c r="N1219" i="1" s="1"/>
  <c r="H1219" i="1"/>
  <c r="J1219" i="1" s="1"/>
  <c r="E1219" i="1"/>
  <c r="G1219" i="1" s="1"/>
  <c r="B1219" i="1"/>
  <c r="D1219" i="1" s="1"/>
  <c r="AD1218" i="1"/>
  <c r="AB1218" i="1"/>
  <c r="Y1218" i="1"/>
  <c r="AA1218" i="1" s="1"/>
  <c r="X1218" i="1"/>
  <c r="V1218" i="1"/>
  <c r="S1218" i="1"/>
  <c r="U1218" i="1" s="1"/>
  <c r="R1218" i="1"/>
  <c r="P1218" i="1"/>
  <c r="L1218" i="1"/>
  <c r="N1218" i="1" s="1"/>
  <c r="H1218" i="1"/>
  <c r="J1218" i="1" s="1"/>
  <c r="E1218" i="1"/>
  <c r="G1218" i="1" s="1"/>
  <c r="D1218" i="1"/>
  <c r="B1218" i="1"/>
  <c r="AB1217" i="1"/>
  <c r="AD1217" i="1" s="1"/>
  <c r="Y1217" i="1"/>
  <c r="AA1217" i="1" s="1"/>
  <c r="V1217" i="1"/>
  <c r="X1217" i="1" s="1"/>
  <c r="S1217" i="1"/>
  <c r="U1217" i="1" s="1"/>
  <c r="P1217" i="1"/>
  <c r="R1217" i="1" s="1"/>
  <c r="L1217" i="1"/>
  <c r="N1217" i="1" s="1"/>
  <c r="H1217" i="1"/>
  <c r="J1217" i="1" s="1"/>
  <c r="E1217" i="1"/>
  <c r="G1217" i="1" s="1"/>
  <c r="B1217" i="1"/>
  <c r="D1217" i="1" s="1"/>
  <c r="AB1216" i="1"/>
  <c r="AD1216" i="1" s="1"/>
  <c r="Y1216" i="1"/>
  <c r="AA1216" i="1" s="1"/>
  <c r="V1216" i="1"/>
  <c r="X1216" i="1" s="1"/>
  <c r="S1216" i="1"/>
  <c r="U1216" i="1" s="1"/>
  <c r="P1216" i="1"/>
  <c r="R1216" i="1" s="1"/>
  <c r="L1216" i="1"/>
  <c r="N1216" i="1" s="1"/>
  <c r="H1216" i="1"/>
  <c r="J1216" i="1" s="1"/>
  <c r="E1216" i="1"/>
  <c r="G1216" i="1" s="1"/>
  <c r="B1216" i="1"/>
  <c r="D1216" i="1" s="1"/>
  <c r="AB1215" i="1"/>
  <c r="AD1215" i="1" s="1"/>
  <c r="Y1215" i="1"/>
  <c r="AA1215" i="1" s="1"/>
  <c r="V1215" i="1"/>
  <c r="X1215" i="1" s="1"/>
  <c r="S1215" i="1"/>
  <c r="U1215" i="1" s="1"/>
  <c r="P1215" i="1"/>
  <c r="R1215" i="1" s="1"/>
  <c r="L1215" i="1"/>
  <c r="N1215" i="1" s="1"/>
  <c r="H1215" i="1"/>
  <c r="J1215" i="1" s="1"/>
  <c r="E1215" i="1"/>
  <c r="G1215" i="1" s="1"/>
  <c r="B1215" i="1"/>
  <c r="D1215" i="1" s="1"/>
  <c r="AB1214" i="1"/>
  <c r="AD1214" i="1" s="1"/>
  <c r="Y1214" i="1"/>
  <c r="AA1214" i="1" s="1"/>
  <c r="X1214" i="1"/>
  <c r="V1214" i="1"/>
  <c r="S1214" i="1"/>
  <c r="U1214" i="1" s="1"/>
  <c r="R1214" i="1"/>
  <c r="P1214" i="1"/>
  <c r="L1214" i="1"/>
  <c r="N1214" i="1" s="1"/>
  <c r="J1214" i="1"/>
  <c r="H1214" i="1"/>
  <c r="E1214" i="1"/>
  <c r="G1214" i="1" s="1"/>
  <c r="B1214" i="1"/>
  <c r="D1214" i="1" s="1"/>
  <c r="AB1213" i="1"/>
  <c r="AD1213" i="1" s="1"/>
  <c r="Y1213" i="1"/>
  <c r="AA1213" i="1" s="1"/>
  <c r="V1213" i="1"/>
  <c r="X1213" i="1" s="1"/>
  <c r="S1213" i="1"/>
  <c r="U1213" i="1" s="1"/>
  <c r="P1213" i="1"/>
  <c r="R1213" i="1" s="1"/>
  <c r="L1213" i="1"/>
  <c r="N1213" i="1" s="1"/>
  <c r="H1213" i="1"/>
  <c r="J1213" i="1" s="1"/>
  <c r="E1213" i="1"/>
  <c r="G1213" i="1" s="1"/>
  <c r="B1213" i="1"/>
  <c r="D1213" i="1" s="1"/>
  <c r="AB1212" i="1"/>
  <c r="AD1212" i="1" s="1"/>
  <c r="Y1212" i="1"/>
  <c r="AA1212" i="1" s="1"/>
  <c r="V1212" i="1"/>
  <c r="X1212" i="1" s="1"/>
  <c r="S1212" i="1"/>
  <c r="U1212" i="1" s="1"/>
  <c r="P1212" i="1"/>
  <c r="R1212" i="1" s="1"/>
  <c r="L1212" i="1"/>
  <c r="N1212" i="1" s="1"/>
  <c r="H1212" i="1"/>
  <c r="J1212" i="1" s="1"/>
  <c r="E1212" i="1"/>
  <c r="G1212" i="1" s="1"/>
  <c r="B1212" i="1"/>
  <c r="D1212" i="1" s="1"/>
  <c r="AB1211" i="1"/>
  <c r="AD1211" i="1" s="1"/>
  <c r="Y1211" i="1"/>
  <c r="AA1211" i="1" s="1"/>
  <c r="V1211" i="1"/>
  <c r="X1211" i="1" s="1"/>
  <c r="S1211" i="1"/>
  <c r="U1211" i="1" s="1"/>
  <c r="P1211" i="1"/>
  <c r="R1211" i="1" s="1"/>
  <c r="L1211" i="1"/>
  <c r="N1211" i="1" s="1"/>
  <c r="H1211" i="1"/>
  <c r="J1211" i="1" s="1"/>
  <c r="E1211" i="1"/>
  <c r="G1211" i="1" s="1"/>
  <c r="B1211" i="1"/>
  <c r="D1211" i="1" s="1"/>
  <c r="AB1210" i="1"/>
  <c r="AD1210" i="1" s="1"/>
  <c r="Y1210" i="1"/>
  <c r="AA1210" i="1" s="1"/>
  <c r="X1210" i="1"/>
  <c r="V1210" i="1"/>
  <c r="S1210" i="1"/>
  <c r="U1210" i="1" s="1"/>
  <c r="R1210" i="1"/>
  <c r="P1210" i="1"/>
  <c r="L1210" i="1"/>
  <c r="N1210" i="1" s="1"/>
  <c r="J1210" i="1"/>
  <c r="H1210" i="1"/>
  <c r="E1210" i="1"/>
  <c r="G1210" i="1" s="1"/>
  <c r="B1210" i="1"/>
  <c r="D1210" i="1" s="1"/>
  <c r="AB1209" i="1"/>
  <c r="AD1209" i="1" s="1"/>
  <c r="Y1209" i="1"/>
  <c r="AA1209" i="1" s="1"/>
  <c r="V1209" i="1"/>
  <c r="X1209" i="1" s="1"/>
  <c r="S1209" i="1"/>
  <c r="U1209" i="1" s="1"/>
  <c r="P1209" i="1"/>
  <c r="R1209" i="1" s="1"/>
  <c r="L1209" i="1"/>
  <c r="N1209" i="1" s="1"/>
  <c r="H1209" i="1"/>
  <c r="J1209" i="1" s="1"/>
  <c r="E1209" i="1"/>
  <c r="G1209" i="1" s="1"/>
  <c r="B1209" i="1"/>
  <c r="D1209" i="1" s="1"/>
  <c r="AB1208" i="1"/>
  <c r="AD1208" i="1" s="1"/>
  <c r="Y1208" i="1"/>
  <c r="AA1208" i="1" s="1"/>
  <c r="V1208" i="1"/>
  <c r="X1208" i="1" s="1"/>
  <c r="S1208" i="1"/>
  <c r="U1208" i="1" s="1"/>
  <c r="P1208" i="1"/>
  <c r="R1208" i="1" s="1"/>
  <c r="L1208" i="1"/>
  <c r="N1208" i="1" s="1"/>
  <c r="H1208" i="1"/>
  <c r="J1208" i="1" s="1"/>
  <c r="E1208" i="1"/>
  <c r="G1208" i="1" s="1"/>
  <c r="B1208" i="1"/>
  <c r="D1208" i="1" s="1"/>
  <c r="AB1207" i="1"/>
  <c r="AD1207" i="1" s="1"/>
  <c r="Y1207" i="1"/>
  <c r="AA1207" i="1" s="1"/>
  <c r="V1207" i="1"/>
  <c r="X1207" i="1" s="1"/>
  <c r="S1207" i="1"/>
  <c r="U1207" i="1" s="1"/>
  <c r="P1207" i="1"/>
  <c r="R1207" i="1" s="1"/>
  <c r="L1207" i="1"/>
  <c r="N1207" i="1" s="1"/>
  <c r="H1207" i="1"/>
  <c r="J1207" i="1" s="1"/>
  <c r="E1207" i="1"/>
  <c r="G1207" i="1" s="1"/>
  <c r="B1207" i="1"/>
  <c r="D1207" i="1" s="1"/>
  <c r="AB1206" i="1"/>
  <c r="AD1206" i="1" s="1"/>
  <c r="AA1206" i="1"/>
  <c r="Y1206" i="1"/>
  <c r="V1206" i="1"/>
  <c r="X1206" i="1" s="1"/>
  <c r="U1206" i="1"/>
  <c r="S1206" i="1"/>
  <c r="P1206" i="1"/>
  <c r="R1206" i="1" s="1"/>
  <c r="L1206" i="1"/>
  <c r="N1206" i="1" s="1"/>
  <c r="H1206" i="1"/>
  <c r="J1206" i="1" s="1"/>
  <c r="E1206" i="1"/>
  <c r="G1206" i="1" s="1"/>
  <c r="B1206" i="1"/>
  <c r="D1206" i="1" s="1"/>
  <c r="AB1205" i="1"/>
  <c r="AD1205" i="1" s="1"/>
  <c r="Y1205" i="1"/>
  <c r="AA1205" i="1" s="1"/>
  <c r="V1205" i="1"/>
  <c r="X1205" i="1" s="1"/>
  <c r="S1205" i="1"/>
  <c r="U1205" i="1" s="1"/>
  <c r="P1205" i="1"/>
  <c r="R1205" i="1" s="1"/>
  <c r="L1205" i="1"/>
  <c r="N1205" i="1" s="1"/>
  <c r="H1205" i="1"/>
  <c r="J1205" i="1" s="1"/>
  <c r="E1205" i="1"/>
  <c r="G1205" i="1" s="1"/>
  <c r="B1205" i="1"/>
  <c r="D1205" i="1" s="1"/>
  <c r="AB1204" i="1"/>
  <c r="AD1204" i="1" s="1"/>
  <c r="Y1204" i="1"/>
  <c r="AA1204" i="1" s="1"/>
  <c r="V1204" i="1"/>
  <c r="X1204" i="1" s="1"/>
  <c r="S1204" i="1"/>
  <c r="U1204" i="1" s="1"/>
  <c r="P1204" i="1"/>
  <c r="R1204" i="1" s="1"/>
  <c r="L1204" i="1"/>
  <c r="N1204" i="1" s="1"/>
  <c r="H1204" i="1"/>
  <c r="J1204" i="1" s="1"/>
  <c r="E1204" i="1"/>
  <c r="G1204" i="1" s="1"/>
  <c r="B1204" i="1"/>
  <c r="D1204" i="1" s="1"/>
  <c r="AB1203" i="1"/>
  <c r="AD1203" i="1" s="1"/>
  <c r="Y1203" i="1"/>
  <c r="AA1203" i="1" s="1"/>
  <c r="V1203" i="1"/>
  <c r="X1203" i="1" s="1"/>
  <c r="S1203" i="1"/>
  <c r="U1203" i="1" s="1"/>
  <c r="P1203" i="1"/>
  <c r="R1203" i="1" s="1"/>
  <c r="L1203" i="1"/>
  <c r="N1203" i="1" s="1"/>
  <c r="H1203" i="1"/>
  <c r="J1203" i="1" s="1"/>
  <c r="E1203" i="1"/>
  <c r="G1203" i="1" s="1"/>
  <c r="B1203" i="1"/>
  <c r="D1203" i="1" s="1"/>
  <c r="AB1202" i="1"/>
  <c r="AD1202" i="1" s="1"/>
  <c r="AA1202" i="1"/>
  <c r="Y1202" i="1"/>
  <c r="V1202" i="1"/>
  <c r="X1202" i="1" s="1"/>
  <c r="U1202" i="1"/>
  <c r="S1202" i="1"/>
  <c r="P1202" i="1"/>
  <c r="R1202" i="1" s="1"/>
  <c r="L1202" i="1"/>
  <c r="N1202" i="1" s="1"/>
  <c r="H1202" i="1"/>
  <c r="J1202" i="1" s="1"/>
  <c r="E1202" i="1"/>
  <c r="G1202" i="1" s="1"/>
  <c r="B1202" i="1"/>
  <c r="D1202" i="1" s="1"/>
  <c r="AB1201" i="1"/>
  <c r="AD1201" i="1" s="1"/>
  <c r="Y1201" i="1"/>
  <c r="AA1201" i="1" s="1"/>
  <c r="V1201" i="1"/>
  <c r="X1201" i="1" s="1"/>
  <c r="S1201" i="1"/>
  <c r="U1201" i="1" s="1"/>
  <c r="P1201" i="1"/>
  <c r="R1201" i="1" s="1"/>
  <c r="L1201" i="1"/>
  <c r="N1201" i="1" s="1"/>
  <c r="H1201" i="1"/>
  <c r="J1201" i="1" s="1"/>
  <c r="E1201" i="1"/>
  <c r="G1201" i="1" s="1"/>
  <c r="B1201" i="1"/>
  <c r="D1201" i="1" s="1"/>
  <c r="AB1200" i="1"/>
  <c r="AD1200" i="1" s="1"/>
  <c r="Y1200" i="1"/>
  <c r="AA1200" i="1" s="1"/>
  <c r="V1200" i="1"/>
  <c r="X1200" i="1" s="1"/>
  <c r="S1200" i="1"/>
  <c r="U1200" i="1" s="1"/>
  <c r="P1200" i="1"/>
  <c r="R1200" i="1" s="1"/>
  <c r="L1200" i="1"/>
  <c r="N1200" i="1" s="1"/>
  <c r="H1200" i="1"/>
  <c r="J1200" i="1" s="1"/>
  <c r="E1200" i="1"/>
  <c r="G1200" i="1" s="1"/>
  <c r="B1200" i="1"/>
  <c r="D1200" i="1" s="1"/>
  <c r="AB1199" i="1"/>
  <c r="AD1199" i="1" s="1"/>
  <c r="Y1199" i="1"/>
  <c r="AA1199" i="1" s="1"/>
  <c r="V1199" i="1"/>
  <c r="X1199" i="1" s="1"/>
  <c r="S1199" i="1"/>
  <c r="U1199" i="1" s="1"/>
  <c r="P1199" i="1"/>
  <c r="R1199" i="1" s="1"/>
  <c r="L1199" i="1"/>
  <c r="N1199" i="1" s="1"/>
  <c r="H1199" i="1"/>
  <c r="J1199" i="1" s="1"/>
  <c r="E1199" i="1"/>
  <c r="G1199" i="1" s="1"/>
  <c r="B1199" i="1"/>
  <c r="D1199" i="1" s="1"/>
  <c r="AD1198" i="1"/>
  <c r="AB1198" i="1"/>
  <c r="Y1198" i="1"/>
  <c r="AA1198" i="1" s="1"/>
  <c r="V1198" i="1"/>
  <c r="X1198" i="1" s="1"/>
  <c r="S1198" i="1"/>
  <c r="U1198" i="1" s="1"/>
  <c r="R1198" i="1"/>
  <c r="P1198" i="1"/>
  <c r="L1198" i="1"/>
  <c r="N1198" i="1" s="1"/>
  <c r="J1198" i="1"/>
  <c r="H1198" i="1"/>
  <c r="E1198" i="1"/>
  <c r="G1198" i="1" s="1"/>
  <c r="D1198" i="1"/>
  <c r="B1198" i="1"/>
  <c r="AB1197" i="1"/>
  <c r="AD1197" i="1" s="1"/>
  <c r="Y1197" i="1"/>
  <c r="AA1197" i="1" s="1"/>
  <c r="V1197" i="1"/>
  <c r="X1197" i="1" s="1"/>
  <c r="S1197" i="1"/>
  <c r="U1197" i="1" s="1"/>
  <c r="P1197" i="1"/>
  <c r="R1197" i="1" s="1"/>
  <c r="L1197" i="1"/>
  <c r="N1197" i="1" s="1"/>
  <c r="H1197" i="1"/>
  <c r="J1197" i="1" s="1"/>
  <c r="E1197" i="1"/>
  <c r="G1197" i="1" s="1"/>
  <c r="B1197" i="1"/>
  <c r="D1197" i="1" s="1"/>
  <c r="AB1196" i="1"/>
  <c r="AD1196" i="1" s="1"/>
  <c r="Y1196" i="1"/>
  <c r="AA1196" i="1" s="1"/>
  <c r="V1196" i="1"/>
  <c r="X1196" i="1" s="1"/>
  <c r="S1196" i="1"/>
  <c r="U1196" i="1" s="1"/>
  <c r="P1196" i="1"/>
  <c r="R1196" i="1" s="1"/>
  <c r="L1196" i="1"/>
  <c r="N1196" i="1" s="1"/>
  <c r="H1196" i="1"/>
  <c r="J1196" i="1" s="1"/>
  <c r="E1196" i="1"/>
  <c r="G1196" i="1" s="1"/>
  <c r="B1196" i="1"/>
  <c r="D1196" i="1" s="1"/>
  <c r="AB1195" i="1"/>
  <c r="AD1195" i="1" s="1"/>
  <c r="Y1195" i="1"/>
  <c r="AA1195" i="1" s="1"/>
  <c r="V1195" i="1"/>
  <c r="X1195" i="1" s="1"/>
  <c r="S1195" i="1"/>
  <c r="U1195" i="1" s="1"/>
  <c r="P1195" i="1"/>
  <c r="R1195" i="1" s="1"/>
  <c r="L1195" i="1"/>
  <c r="N1195" i="1" s="1"/>
  <c r="H1195" i="1"/>
  <c r="J1195" i="1" s="1"/>
  <c r="E1195" i="1"/>
  <c r="G1195" i="1" s="1"/>
  <c r="B1195" i="1"/>
  <c r="D1195" i="1" s="1"/>
  <c r="AD1194" i="1"/>
  <c r="AB1194" i="1"/>
  <c r="Y1194" i="1"/>
  <c r="AA1194" i="1" s="1"/>
  <c r="X1194" i="1"/>
  <c r="V1194" i="1"/>
  <c r="S1194" i="1"/>
  <c r="U1194" i="1" s="1"/>
  <c r="P1194" i="1"/>
  <c r="R1194" i="1" s="1"/>
  <c r="L1194" i="1"/>
  <c r="N1194" i="1" s="1"/>
  <c r="H1194" i="1"/>
  <c r="J1194" i="1" s="1"/>
  <c r="E1194" i="1"/>
  <c r="G1194" i="1" s="1"/>
  <c r="D1194" i="1"/>
  <c r="B1194" i="1"/>
  <c r="AB1193" i="1"/>
  <c r="AD1193" i="1" s="1"/>
  <c r="Y1193" i="1"/>
  <c r="AA1193" i="1" s="1"/>
  <c r="V1193" i="1"/>
  <c r="X1193" i="1" s="1"/>
  <c r="S1193" i="1"/>
  <c r="U1193" i="1" s="1"/>
  <c r="P1193" i="1"/>
  <c r="R1193" i="1" s="1"/>
  <c r="L1193" i="1"/>
  <c r="N1193" i="1" s="1"/>
  <c r="H1193" i="1"/>
  <c r="J1193" i="1" s="1"/>
  <c r="E1193" i="1"/>
  <c r="G1193" i="1" s="1"/>
  <c r="B1193" i="1"/>
  <c r="D1193" i="1" s="1"/>
  <c r="AB1192" i="1"/>
  <c r="AD1192" i="1" s="1"/>
  <c r="Y1192" i="1"/>
  <c r="AA1192" i="1" s="1"/>
  <c r="V1192" i="1"/>
  <c r="X1192" i="1" s="1"/>
  <c r="S1192" i="1"/>
  <c r="U1192" i="1" s="1"/>
  <c r="P1192" i="1"/>
  <c r="R1192" i="1" s="1"/>
  <c r="L1192" i="1"/>
  <c r="N1192" i="1" s="1"/>
  <c r="H1192" i="1"/>
  <c r="J1192" i="1" s="1"/>
  <c r="E1192" i="1"/>
  <c r="G1192" i="1" s="1"/>
  <c r="B1192" i="1"/>
  <c r="D1192" i="1" s="1"/>
  <c r="AB1191" i="1"/>
  <c r="AD1191" i="1" s="1"/>
  <c r="Y1191" i="1"/>
  <c r="AA1191" i="1" s="1"/>
  <c r="V1191" i="1"/>
  <c r="X1191" i="1" s="1"/>
  <c r="S1191" i="1"/>
  <c r="U1191" i="1" s="1"/>
  <c r="P1191" i="1"/>
  <c r="R1191" i="1" s="1"/>
  <c r="L1191" i="1"/>
  <c r="N1191" i="1" s="1"/>
  <c r="H1191" i="1"/>
  <c r="J1191" i="1" s="1"/>
  <c r="E1191" i="1"/>
  <c r="G1191" i="1" s="1"/>
  <c r="B1191" i="1"/>
  <c r="D1191" i="1" s="1"/>
  <c r="AB1190" i="1"/>
  <c r="AD1190" i="1" s="1"/>
  <c r="Y1190" i="1"/>
  <c r="AA1190" i="1" s="1"/>
  <c r="V1190" i="1"/>
  <c r="X1190" i="1" s="1"/>
  <c r="S1190" i="1"/>
  <c r="U1190" i="1" s="1"/>
  <c r="P1190" i="1"/>
  <c r="R1190" i="1" s="1"/>
  <c r="N1190" i="1"/>
  <c r="L1190" i="1"/>
  <c r="H1190" i="1"/>
  <c r="J1190" i="1" s="1"/>
  <c r="G1190" i="1"/>
  <c r="E1190" i="1"/>
  <c r="B1190" i="1"/>
  <c r="D1190" i="1" s="1"/>
  <c r="AB1189" i="1"/>
  <c r="AD1189" i="1" s="1"/>
  <c r="Y1189" i="1"/>
  <c r="AA1189" i="1" s="1"/>
  <c r="V1189" i="1"/>
  <c r="X1189" i="1" s="1"/>
  <c r="S1189" i="1"/>
  <c r="U1189" i="1" s="1"/>
  <c r="P1189" i="1"/>
  <c r="R1189" i="1" s="1"/>
  <c r="L1189" i="1"/>
  <c r="N1189" i="1" s="1"/>
  <c r="H1189" i="1"/>
  <c r="J1189" i="1" s="1"/>
  <c r="E1189" i="1"/>
  <c r="G1189" i="1" s="1"/>
  <c r="B1189" i="1"/>
  <c r="D1189" i="1" s="1"/>
  <c r="AB1188" i="1"/>
  <c r="AD1188" i="1" s="1"/>
  <c r="Y1188" i="1"/>
  <c r="AA1188" i="1" s="1"/>
  <c r="V1188" i="1"/>
  <c r="X1188" i="1" s="1"/>
  <c r="S1188" i="1"/>
  <c r="U1188" i="1" s="1"/>
  <c r="P1188" i="1"/>
  <c r="R1188" i="1" s="1"/>
  <c r="L1188" i="1"/>
  <c r="N1188" i="1" s="1"/>
  <c r="H1188" i="1"/>
  <c r="J1188" i="1" s="1"/>
  <c r="E1188" i="1"/>
  <c r="G1188" i="1" s="1"/>
  <c r="B1188" i="1"/>
  <c r="D1188" i="1" s="1"/>
  <c r="AB1187" i="1"/>
  <c r="AD1187" i="1" s="1"/>
  <c r="Y1187" i="1"/>
  <c r="AA1187" i="1" s="1"/>
  <c r="V1187" i="1"/>
  <c r="X1187" i="1" s="1"/>
  <c r="S1187" i="1"/>
  <c r="U1187" i="1" s="1"/>
  <c r="P1187" i="1"/>
  <c r="R1187" i="1" s="1"/>
  <c r="L1187" i="1"/>
  <c r="N1187" i="1" s="1"/>
  <c r="H1187" i="1"/>
  <c r="J1187" i="1" s="1"/>
  <c r="E1187" i="1"/>
  <c r="G1187" i="1" s="1"/>
  <c r="B1187" i="1"/>
  <c r="D1187" i="1" s="1"/>
  <c r="AB1186" i="1"/>
  <c r="AD1186" i="1" s="1"/>
  <c r="Y1186" i="1"/>
  <c r="AA1186" i="1" s="1"/>
  <c r="V1186" i="1"/>
  <c r="X1186" i="1" s="1"/>
  <c r="S1186" i="1"/>
  <c r="U1186" i="1" s="1"/>
  <c r="P1186" i="1"/>
  <c r="R1186" i="1" s="1"/>
  <c r="N1186" i="1"/>
  <c r="L1186" i="1"/>
  <c r="H1186" i="1"/>
  <c r="J1186" i="1" s="1"/>
  <c r="G1186" i="1"/>
  <c r="E1186" i="1"/>
  <c r="B1186" i="1"/>
  <c r="D1186" i="1" s="1"/>
  <c r="AB1185" i="1"/>
  <c r="AD1185" i="1" s="1"/>
  <c r="Y1185" i="1"/>
  <c r="AA1185" i="1" s="1"/>
  <c r="V1185" i="1"/>
  <c r="X1185" i="1" s="1"/>
  <c r="S1185" i="1"/>
  <c r="U1185" i="1" s="1"/>
  <c r="P1185" i="1"/>
  <c r="R1185" i="1" s="1"/>
  <c r="L1185" i="1"/>
  <c r="N1185" i="1" s="1"/>
  <c r="H1185" i="1"/>
  <c r="J1185" i="1" s="1"/>
  <c r="E1185" i="1"/>
  <c r="G1185" i="1" s="1"/>
  <c r="B1185" i="1"/>
  <c r="D1185" i="1" s="1"/>
  <c r="AB1184" i="1"/>
  <c r="AD1184" i="1" s="1"/>
  <c r="Y1184" i="1"/>
  <c r="AA1184" i="1" s="1"/>
  <c r="V1184" i="1"/>
  <c r="X1184" i="1" s="1"/>
  <c r="S1184" i="1"/>
  <c r="U1184" i="1" s="1"/>
  <c r="P1184" i="1"/>
  <c r="R1184" i="1" s="1"/>
  <c r="L1184" i="1"/>
  <c r="N1184" i="1" s="1"/>
  <c r="H1184" i="1"/>
  <c r="J1184" i="1" s="1"/>
  <c r="E1184" i="1"/>
  <c r="G1184" i="1" s="1"/>
  <c r="B1184" i="1"/>
  <c r="D1184" i="1" s="1"/>
  <c r="AB1183" i="1"/>
  <c r="AD1183" i="1" s="1"/>
  <c r="Y1183" i="1"/>
  <c r="AA1183" i="1" s="1"/>
  <c r="V1183" i="1"/>
  <c r="X1183" i="1" s="1"/>
  <c r="S1183" i="1"/>
  <c r="U1183" i="1" s="1"/>
  <c r="P1183" i="1"/>
  <c r="R1183" i="1" s="1"/>
  <c r="L1183" i="1"/>
  <c r="N1183" i="1" s="1"/>
  <c r="H1183" i="1"/>
  <c r="J1183" i="1" s="1"/>
  <c r="E1183" i="1"/>
  <c r="G1183" i="1" s="1"/>
  <c r="B1183" i="1"/>
  <c r="D1183" i="1" s="1"/>
  <c r="AB1182" i="1"/>
  <c r="AD1182" i="1" s="1"/>
  <c r="Y1182" i="1"/>
  <c r="AA1182" i="1" s="1"/>
  <c r="X1182" i="1"/>
  <c r="V1182" i="1"/>
  <c r="S1182" i="1"/>
  <c r="U1182" i="1" s="1"/>
  <c r="R1182" i="1"/>
  <c r="P1182" i="1"/>
  <c r="L1182" i="1"/>
  <c r="N1182" i="1" s="1"/>
  <c r="H1182" i="1"/>
  <c r="J1182" i="1" s="1"/>
  <c r="E1182" i="1"/>
  <c r="G1182" i="1" s="1"/>
  <c r="B1182" i="1"/>
  <c r="D1182" i="1" s="1"/>
  <c r="AB1181" i="1"/>
  <c r="AD1181" i="1" s="1"/>
  <c r="Y1181" i="1"/>
  <c r="AA1181" i="1" s="1"/>
  <c r="V1181" i="1"/>
  <c r="X1181" i="1" s="1"/>
  <c r="S1181" i="1"/>
  <c r="U1181" i="1" s="1"/>
  <c r="P1181" i="1"/>
  <c r="R1181" i="1" s="1"/>
  <c r="L1181" i="1"/>
  <c r="N1181" i="1" s="1"/>
  <c r="H1181" i="1"/>
  <c r="J1181" i="1" s="1"/>
  <c r="E1181" i="1"/>
  <c r="G1181" i="1" s="1"/>
  <c r="B1181" i="1"/>
  <c r="D1181" i="1" s="1"/>
  <c r="AB1180" i="1"/>
  <c r="AD1180" i="1" s="1"/>
  <c r="Y1180" i="1"/>
  <c r="AA1180" i="1" s="1"/>
  <c r="V1180" i="1"/>
  <c r="X1180" i="1" s="1"/>
  <c r="S1180" i="1"/>
  <c r="U1180" i="1" s="1"/>
  <c r="P1180" i="1"/>
  <c r="R1180" i="1" s="1"/>
  <c r="L1180" i="1"/>
  <c r="N1180" i="1" s="1"/>
  <c r="H1180" i="1"/>
  <c r="J1180" i="1" s="1"/>
  <c r="E1180" i="1"/>
  <c r="G1180" i="1" s="1"/>
  <c r="B1180" i="1"/>
  <c r="D1180" i="1" s="1"/>
  <c r="AB1179" i="1"/>
  <c r="AD1179" i="1" s="1"/>
  <c r="Y1179" i="1"/>
  <c r="AA1179" i="1" s="1"/>
  <c r="V1179" i="1"/>
  <c r="X1179" i="1" s="1"/>
  <c r="S1179" i="1"/>
  <c r="U1179" i="1" s="1"/>
  <c r="P1179" i="1"/>
  <c r="R1179" i="1" s="1"/>
  <c r="L1179" i="1"/>
  <c r="N1179" i="1" s="1"/>
  <c r="H1179" i="1"/>
  <c r="J1179" i="1" s="1"/>
  <c r="E1179" i="1"/>
  <c r="G1179" i="1" s="1"/>
  <c r="B1179" i="1"/>
  <c r="D1179" i="1" s="1"/>
  <c r="AB1178" i="1"/>
  <c r="AD1178" i="1" s="1"/>
  <c r="Y1178" i="1"/>
  <c r="AA1178" i="1" s="1"/>
  <c r="X1178" i="1"/>
  <c r="V1178" i="1"/>
  <c r="S1178" i="1"/>
  <c r="U1178" i="1" s="1"/>
  <c r="R1178" i="1"/>
  <c r="P1178" i="1"/>
  <c r="L1178" i="1"/>
  <c r="N1178" i="1" s="1"/>
  <c r="H1178" i="1"/>
  <c r="J1178" i="1" s="1"/>
  <c r="E1178" i="1"/>
  <c r="G1178" i="1" s="1"/>
  <c r="B1178" i="1"/>
  <c r="D1178" i="1" s="1"/>
  <c r="AB1177" i="1"/>
  <c r="AD1177" i="1" s="1"/>
  <c r="Y1177" i="1"/>
  <c r="AA1177" i="1" s="1"/>
  <c r="V1177" i="1"/>
  <c r="X1177" i="1" s="1"/>
  <c r="S1177" i="1"/>
  <c r="P1177" i="1"/>
  <c r="R1177" i="1" s="1"/>
  <c r="L1177" i="1"/>
  <c r="N1177" i="1" s="1"/>
  <c r="H1177" i="1"/>
  <c r="J1177" i="1" s="1"/>
  <c r="E1177" i="1"/>
  <c r="G1177" i="1" s="1"/>
  <c r="B1177" i="1"/>
  <c r="D1177" i="1" s="1"/>
  <c r="AB1176" i="1"/>
  <c r="AD1176" i="1" s="1"/>
  <c r="Y1176" i="1"/>
  <c r="AA1176" i="1" s="1"/>
  <c r="V1176" i="1"/>
  <c r="X1176" i="1" s="1"/>
  <c r="S1176" i="1"/>
  <c r="U1176" i="1" s="1"/>
  <c r="P1176" i="1"/>
  <c r="R1176" i="1" s="1"/>
  <c r="L1176" i="1"/>
  <c r="N1176" i="1" s="1"/>
  <c r="H1176" i="1"/>
  <c r="J1176" i="1" s="1"/>
  <c r="E1176" i="1"/>
  <c r="G1176" i="1" s="1"/>
  <c r="B1176" i="1"/>
  <c r="D1176" i="1" s="1"/>
  <c r="AB1175" i="1"/>
  <c r="AD1175" i="1" s="1"/>
  <c r="Y1175" i="1"/>
  <c r="AA1175" i="1" s="1"/>
  <c r="V1175" i="1"/>
  <c r="X1175" i="1" s="1"/>
  <c r="S1175" i="1"/>
  <c r="U1175" i="1" s="1"/>
  <c r="R1175" i="1"/>
  <c r="P1175" i="1"/>
  <c r="L1175" i="1"/>
  <c r="N1175" i="1" s="1"/>
  <c r="H1175" i="1"/>
  <c r="J1175" i="1" s="1"/>
  <c r="E1175" i="1"/>
  <c r="G1175" i="1" s="1"/>
  <c r="B1175" i="1"/>
  <c r="D1175" i="1" s="1"/>
  <c r="AD1174" i="1"/>
  <c r="AB1174" i="1"/>
  <c r="Y1174" i="1"/>
  <c r="AA1174" i="1" s="1"/>
  <c r="V1174" i="1"/>
  <c r="X1174" i="1" s="1"/>
  <c r="S1174" i="1"/>
  <c r="U1174" i="1" s="1"/>
  <c r="P1174" i="1"/>
  <c r="R1174" i="1" s="1"/>
  <c r="L1174" i="1"/>
  <c r="N1174" i="1" s="1"/>
  <c r="H1174" i="1"/>
  <c r="J1174" i="1" s="1"/>
  <c r="E1174" i="1"/>
  <c r="G1174" i="1" s="1"/>
  <c r="B1174" i="1"/>
  <c r="D1174" i="1" s="1"/>
  <c r="AB1173" i="1"/>
  <c r="AD1173" i="1" s="1"/>
  <c r="Y1173" i="1"/>
  <c r="AA1173" i="1" s="1"/>
  <c r="V1173" i="1"/>
  <c r="X1173" i="1" s="1"/>
  <c r="S1173" i="1"/>
  <c r="U1173" i="1" s="1"/>
  <c r="P1173" i="1"/>
  <c r="R1173" i="1" s="1"/>
  <c r="L1173" i="1"/>
  <c r="N1173" i="1" s="1"/>
  <c r="H1173" i="1"/>
  <c r="J1173" i="1" s="1"/>
  <c r="G1173" i="1"/>
  <c r="E1173" i="1"/>
  <c r="B1173" i="1"/>
  <c r="D1173" i="1" s="1"/>
  <c r="AB1172" i="1"/>
  <c r="AD1172" i="1" s="1"/>
  <c r="AA1172" i="1"/>
  <c r="Y1172" i="1"/>
  <c r="V1172" i="1"/>
  <c r="X1172" i="1" s="1"/>
  <c r="S1172" i="1"/>
  <c r="U1172" i="1" s="1"/>
  <c r="P1172" i="1"/>
  <c r="R1172" i="1" s="1"/>
  <c r="L1172" i="1"/>
  <c r="N1172" i="1" s="1"/>
  <c r="H1172" i="1"/>
  <c r="J1172" i="1" s="1"/>
  <c r="E1172" i="1"/>
  <c r="G1172" i="1" s="1"/>
  <c r="B1172" i="1"/>
  <c r="D1172" i="1" s="1"/>
  <c r="AB1171" i="1"/>
  <c r="AD1171" i="1" s="1"/>
  <c r="Y1171" i="1"/>
  <c r="AA1171" i="1" s="1"/>
  <c r="V1171" i="1"/>
  <c r="X1171" i="1" s="1"/>
  <c r="S1171" i="1"/>
  <c r="U1171" i="1" s="1"/>
  <c r="R1171" i="1"/>
  <c r="P1171" i="1"/>
  <c r="L1171" i="1"/>
  <c r="N1171" i="1" s="1"/>
  <c r="H1171" i="1"/>
  <c r="J1171" i="1" s="1"/>
  <c r="E1171" i="1"/>
  <c r="G1171" i="1" s="1"/>
  <c r="B1171" i="1"/>
  <c r="D1171" i="1" s="1"/>
  <c r="AB1170" i="1"/>
  <c r="AD1170" i="1" s="1"/>
  <c r="Y1170" i="1"/>
  <c r="AA1170" i="1" s="1"/>
  <c r="V1170" i="1"/>
  <c r="X1170" i="1" s="1"/>
  <c r="S1170" i="1"/>
  <c r="U1170" i="1" s="1"/>
  <c r="P1170" i="1"/>
  <c r="R1170" i="1" s="1"/>
  <c r="L1170" i="1"/>
  <c r="N1170" i="1" s="1"/>
  <c r="H1170" i="1"/>
  <c r="J1170" i="1" s="1"/>
  <c r="E1170" i="1"/>
  <c r="G1170" i="1" s="1"/>
  <c r="D1170" i="1"/>
  <c r="B1170" i="1"/>
  <c r="AB1169" i="1"/>
  <c r="AD1169" i="1" s="1"/>
  <c r="Y1169" i="1"/>
  <c r="AA1169" i="1" s="1"/>
  <c r="V1169" i="1"/>
  <c r="X1169" i="1" s="1"/>
  <c r="S1169" i="1"/>
  <c r="U1169" i="1" s="1"/>
  <c r="P1169" i="1"/>
  <c r="R1169" i="1" s="1"/>
  <c r="L1169" i="1"/>
  <c r="N1169" i="1" s="1"/>
  <c r="H1169" i="1"/>
  <c r="J1169" i="1" s="1"/>
  <c r="E1169" i="1"/>
  <c r="G1169" i="1" s="1"/>
  <c r="B1169" i="1"/>
  <c r="D1169" i="1" s="1"/>
  <c r="AB1168" i="1"/>
  <c r="AD1168" i="1" s="1"/>
  <c r="Y1168" i="1"/>
  <c r="AA1168" i="1" s="1"/>
  <c r="V1168" i="1"/>
  <c r="X1168" i="1" s="1"/>
  <c r="S1168" i="1"/>
  <c r="U1168" i="1" s="1"/>
  <c r="P1168" i="1"/>
  <c r="R1168" i="1" s="1"/>
  <c r="L1168" i="1"/>
  <c r="N1168" i="1" s="1"/>
  <c r="H1168" i="1"/>
  <c r="J1168" i="1" s="1"/>
  <c r="E1168" i="1"/>
  <c r="G1168" i="1" s="1"/>
  <c r="B1168" i="1"/>
  <c r="D1168" i="1" s="1"/>
  <c r="AB1167" i="1"/>
  <c r="AD1167" i="1" s="1"/>
  <c r="Y1167" i="1"/>
  <c r="AA1167" i="1" s="1"/>
  <c r="V1167" i="1"/>
  <c r="X1167" i="1" s="1"/>
  <c r="S1167" i="1"/>
  <c r="U1167" i="1" s="1"/>
  <c r="P1167" i="1"/>
  <c r="R1167" i="1" s="1"/>
  <c r="L1167" i="1"/>
  <c r="N1167" i="1" s="1"/>
  <c r="H1167" i="1"/>
  <c r="J1167" i="1" s="1"/>
  <c r="E1167" i="1"/>
  <c r="G1167" i="1" s="1"/>
  <c r="B1167" i="1"/>
  <c r="D1167" i="1" s="1"/>
  <c r="AB1166" i="1"/>
  <c r="AD1166" i="1" s="1"/>
  <c r="Y1166" i="1"/>
  <c r="AA1166" i="1" s="1"/>
  <c r="V1166" i="1"/>
  <c r="X1166" i="1" s="1"/>
  <c r="S1166" i="1"/>
  <c r="U1166" i="1" s="1"/>
  <c r="P1166" i="1"/>
  <c r="R1166" i="1" s="1"/>
  <c r="L1166" i="1"/>
  <c r="N1166" i="1" s="1"/>
  <c r="H1166" i="1"/>
  <c r="J1166" i="1" s="1"/>
  <c r="E1166" i="1"/>
  <c r="G1166" i="1" s="1"/>
  <c r="B1166" i="1"/>
  <c r="D1166" i="1" s="1"/>
  <c r="AB1165" i="1"/>
  <c r="AD1165" i="1" s="1"/>
  <c r="Y1165" i="1"/>
  <c r="AA1165" i="1" s="1"/>
  <c r="V1165" i="1"/>
  <c r="X1165" i="1" s="1"/>
  <c r="S1165" i="1"/>
  <c r="U1165" i="1" s="1"/>
  <c r="P1165" i="1"/>
  <c r="R1165" i="1" s="1"/>
  <c r="L1165" i="1"/>
  <c r="N1165" i="1" s="1"/>
  <c r="H1165" i="1"/>
  <c r="J1165" i="1" s="1"/>
  <c r="G1165" i="1"/>
  <c r="E1165" i="1"/>
  <c r="B1165" i="1"/>
  <c r="D1165" i="1" s="1"/>
  <c r="AB1164" i="1"/>
  <c r="AD1164" i="1" s="1"/>
  <c r="AA1164" i="1"/>
  <c r="Y1164" i="1"/>
  <c r="V1164" i="1"/>
  <c r="X1164" i="1" s="1"/>
  <c r="S1164" i="1"/>
  <c r="U1164" i="1" s="1"/>
  <c r="P1164" i="1"/>
  <c r="R1164" i="1" s="1"/>
  <c r="L1164" i="1"/>
  <c r="N1164" i="1" s="1"/>
  <c r="H1164" i="1"/>
  <c r="J1164" i="1" s="1"/>
  <c r="E1164" i="1"/>
  <c r="G1164" i="1" s="1"/>
  <c r="B1164" i="1"/>
  <c r="D1164" i="1" s="1"/>
  <c r="AB1163" i="1"/>
  <c r="AD1163" i="1" s="1"/>
  <c r="Y1163" i="1"/>
  <c r="AA1163" i="1" s="1"/>
  <c r="V1163" i="1"/>
  <c r="X1163" i="1" s="1"/>
  <c r="S1163" i="1"/>
  <c r="U1163" i="1" s="1"/>
  <c r="P1163" i="1"/>
  <c r="R1163" i="1" s="1"/>
  <c r="L1163" i="1"/>
  <c r="N1163" i="1" s="1"/>
  <c r="H1163" i="1"/>
  <c r="J1163" i="1" s="1"/>
  <c r="E1163" i="1"/>
  <c r="G1163" i="1" s="1"/>
  <c r="B1163" i="1"/>
  <c r="D1163" i="1" s="1"/>
  <c r="AB1162" i="1"/>
  <c r="AD1162" i="1" s="1"/>
  <c r="Y1162" i="1"/>
  <c r="AA1162" i="1" s="1"/>
  <c r="V1162" i="1"/>
  <c r="X1162" i="1" s="1"/>
  <c r="S1162" i="1"/>
  <c r="U1162" i="1" s="1"/>
  <c r="P1162" i="1"/>
  <c r="R1162" i="1" s="1"/>
  <c r="L1162" i="1"/>
  <c r="N1162" i="1" s="1"/>
  <c r="H1162" i="1"/>
  <c r="J1162" i="1" s="1"/>
  <c r="E1162" i="1"/>
  <c r="G1162" i="1" s="1"/>
  <c r="B1162" i="1"/>
  <c r="D1162" i="1" s="1"/>
  <c r="AB1161" i="1"/>
  <c r="AD1161" i="1" s="1"/>
  <c r="Y1161" i="1"/>
  <c r="AA1161" i="1" s="1"/>
  <c r="V1161" i="1"/>
  <c r="X1161" i="1" s="1"/>
  <c r="S1161" i="1"/>
  <c r="U1161" i="1" s="1"/>
  <c r="P1161" i="1"/>
  <c r="R1161" i="1" s="1"/>
  <c r="L1161" i="1"/>
  <c r="N1161" i="1" s="1"/>
  <c r="H1161" i="1"/>
  <c r="J1161" i="1" s="1"/>
  <c r="E1161" i="1"/>
  <c r="G1161" i="1" s="1"/>
  <c r="B1161" i="1"/>
  <c r="D1161" i="1" s="1"/>
  <c r="AB1160" i="1"/>
  <c r="AD1160" i="1" s="1"/>
  <c r="Y1160" i="1"/>
  <c r="AA1160" i="1" s="1"/>
  <c r="V1160" i="1"/>
  <c r="X1160" i="1" s="1"/>
  <c r="S1160" i="1"/>
  <c r="U1160" i="1" s="1"/>
  <c r="P1160" i="1"/>
  <c r="R1160" i="1" s="1"/>
  <c r="L1160" i="1"/>
  <c r="N1160" i="1" s="1"/>
  <c r="H1160" i="1"/>
  <c r="J1160" i="1" s="1"/>
  <c r="E1160" i="1"/>
  <c r="G1160" i="1" s="1"/>
  <c r="B1160" i="1"/>
  <c r="D1160" i="1" s="1"/>
  <c r="AB1159" i="1"/>
  <c r="AD1159" i="1" s="1"/>
  <c r="Y1159" i="1"/>
  <c r="AA1159" i="1" s="1"/>
  <c r="V1159" i="1"/>
  <c r="X1159" i="1" s="1"/>
  <c r="S1159" i="1"/>
  <c r="U1159" i="1" s="1"/>
  <c r="R1159" i="1"/>
  <c r="P1159" i="1"/>
  <c r="L1159" i="1"/>
  <c r="N1159" i="1" s="1"/>
  <c r="H1159" i="1"/>
  <c r="J1159" i="1" s="1"/>
  <c r="E1159" i="1"/>
  <c r="G1159" i="1" s="1"/>
  <c r="B1159" i="1"/>
  <c r="D1159" i="1" s="1"/>
  <c r="AB1158" i="1"/>
  <c r="AD1158" i="1" s="1"/>
  <c r="Y1158" i="1"/>
  <c r="AA1158" i="1" s="1"/>
  <c r="V1158" i="1"/>
  <c r="X1158" i="1" s="1"/>
  <c r="S1158" i="1"/>
  <c r="U1158" i="1" s="1"/>
  <c r="R1158" i="1"/>
  <c r="P1158" i="1"/>
  <c r="L1158" i="1"/>
  <c r="N1158" i="1" s="1"/>
  <c r="H1158" i="1"/>
  <c r="J1158" i="1" s="1"/>
  <c r="E1158" i="1"/>
  <c r="G1158" i="1" s="1"/>
  <c r="B1158" i="1"/>
  <c r="D1158" i="1" s="1"/>
  <c r="AB1157" i="1"/>
  <c r="AD1157" i="1" s="1"/>
  <c r="Y1157" i="1"/>
  <c r="AA1157" i="1" s="1"/>
  <c r="V1157" i="1"/>
  <c r="X1157" i="1" s="1"/>
  <c r="S1157" i="1"/>
  <c r="U1157" i="1" s="1"/>
  <c r="P1157" i="1"/>
  <c r="R1157" i="1" s="1"/>
  <c r="L1157" i="1"/>
  <c r="N1157" i="1" s="1"/>
  <c r="H1157" i="1"/>
  <c r="J1157" i="1" s="1"/>
  <c r="E1157" i="1"/>
  <c r="G1157" i="1" s="1"/>
  <c r="B1157" i="1"/>
  <c r="D1157" i="1" s="1"/>
  <c r="AB1156" i="1"/>
  <c r="AD1156" i="1" s="1"/>
  <c r="Y1156" i="1"/>
  <c r="AA1156" i="1" s="1"/>
  <c r="V1156" i="1"/>
  <c r="X1156" i="1" s="1"/>
  <c r="S1156" i="1"/>
  <c r="U1156" i="1" s="1"/>
  <c r="P1156" i="1"/>
  <c r="R1156" i="1" s="1"/>
  <c r="N1156" i="1"/>
  <c r="L1156" i="1"/>
  <c r="H1156" i="1"/>
  <c r="J1156" i="1" s="1"/>
  <c r="E1156" i="1"/>
  <c r="G1156" i="1" s="1"/>
  <c r="B1156" i="1"/>
  <c r="D1156" i="1" s="1"/>
  <c r="AB1155" i="1"/>
  <c r="AD1155" i="1" s="1"/>
  <c r="Y1155" i="1"/>
  <c r="AA1155" i="1" s="1"/>
  <c r="X1155" i="1"/>
  <c r="S1155" i="1"/>
  <c r="U1155" i="1" s="1"/>
  <c r="P1155" i="1"/>
  <c r="R1155" i="1" s="1"/>
  <c r="L1155" i="1"/>
  <c r="N1155" i="1" s="1"/>
  <c r="H1155" i="1"/>
  <c r="J1155" i="1" s="1"/>
  <c r="E1155" i="1"/>
  <c r="G1155" i="1" s="1"/>
  <c r="B1155" i="1"/>
  <c r="D1155" i="1" s="1"/>
  <c r="AB1154" i="1"/>
  <c r="AD1154" i="1" s="1"/>
  <c r="Y1154" i="1"/>
  <c r="AA1154" i="1" s="1"/>
  <c r="V1154" i="1"/>
  <c r="X1154" i="1" s="1"/>
  <c r="S1154" i="1"/>
  <c r="U1154" i="1" s="1"/>
  <c r="P1154" i="1"/>
  <c r="R1154" i="1" s="1"/>
  <c r="L1154" i="1"/>
  <c r="N1154" i="1" s="1"/>
  <c r="H1154" i="1"/>
  <c r="J1154" i="1" s="1"/>
  <c r="E1154" i="1"/>
  <c r="G1154" i="1" s="1"/>
  <c r="B1154" i="1"/>
  <c r="D1154" i="1" s="1"/>
  <c r="AB1153" i="1"/>
  <c r="AD1153" i="1" s="1"/>
  <c r="Y1153" i="1"/>
  <c r="AA1153" i="1" s="1"/>
  <c r="V1153" i="1"/>
  <c r="X1153" i="1" s="1"/>
  <c r="S1153" i="1"/>
  <c r="U1153" i="1" s="1"/>
  <c r="P1153" i="1"/>
  <c r="R1153" i="1" s="1"/>
  <c r="L1153" i="1"/>
  <c r="N1153" i="1" s="1"/>
  <c r="H1153" i="1"/>
  <c r="J1153" i="1" s="1"/>
  <c r="E1153" i="1"/>
  <c r="G1153" i="1" s="1"/>
  <c r="B1153" i="1"/>
  <c r="D1153" i="1" s="1"/>
  <c r="AB1152" i="1"/>
  <c r="AD1152" i="1" s="1"/>
  <c r="Y1152" i="1"/>
  <c r="AA1152" i="1" s="1"/>
  <c r="V1152" i="1"/>
  <c r="X1152" i="1" s="1"/>
  <c r="S1152" i="1"/>
  <c r="U1152" i="1" s="1"/>
  <c r="P1152" i="1"/>
  <c r="R1152" i="1" s="1"/>
  <c r="L1152" i="1"/>
  <c r="N1152" i="1" s="1"/>
  <c r="H1152" i="1"/>
  <c r="J1152" i="1" s="1"/>
  <c r="E1152" i="1"/>
  <c r="G1152" i="1" s="1"/>
  <c r="B1152" i="1"/>
  <c r="D1152" i="1" s="1"/>
  <c r="AB1151" i="1"/>
  <c r="AD1151" i="1" s="1"/>
  <c r="Y1151" i="1"/>
  <c r="AA1151" i="1" s="1"/>
  <c r="V1151" i="1"/>
  <c r="X1151" i="1" s="1"/>
  <c r="S1151" i="1"/>
  <c r="U1151" i="1" s="1"/>
  <c r="P1151" i="1"/>
  <c r="R1151" i="1" s="1"/>
  <c r="L1151" i="1"/>
  <c r="N1151" i="1" s="1"/>
  <c r="H1151" i="1"/>
  <c r="J1151" i="1" s="1"/>
  <c r="E1151" i="1"/>
  <c r="G1151" i="1" s="1"/>
  <c r="B1151" i="1"/>
  <c r="D1151" i="1" s="1"/>
  <c r="AB1150" i="1"/>
  <c r="AD1150" i="1" s="1"/>
  <c r="Y1150" i="1"/>
  <c r="AA1150" i="1" s="1"/>
  <c r="V1150" i="1"/>
  <c r="X1150" i="1" s="1"/>
  <c r="S1150" i="1"/>
  <c r="U1150" i="1" s="1"/>
  <c r="P1150" i="1"/>
  <c r="R1150" i="1" s="1"/>
  <c r="L1150" i="1"/>
  <c r="N1150" i="1" s="1"/>
  <c r="H1150" i="1"/>
  <c r="J1150" i="1" s="1"/>
  <c r="E1150" i="1"/>
  <c r="G1150" i="1" s="1"/>
  <c r="B1150" i="1"/>
  <c r="D1150" i="1" s="1"/>
  <c r="AB1149" i="1"/>
  <c r="AD1149" i="1" s="1"/>
  <c r="Y1149" i="1"/>
  <c r="AA1149" i="1" s="1"/>
  <c r="V1149" i="1"/>
  <c r="X1149" i="1" s="1"/>
  <c r="S1149" i="1"/>
  <c r="U1149" i="1" s="1"/>
  <c r="P1149" i="1"/>
  <c r="R1149" i="1" s="1"/>
  <c r="L1149" i="1"/>
  <c r="N1149" i="1" s="1"/>
  <c r="H1149" i="1"/>
  <c r="J1149" i="1" s="1"/>
  <c r="E1149" i="1"/>
  <c r="G1149" i="1" s="1"/>
  <c r="B1149" i="1"/>
  <c r="D1149" i="1" s="1"/>
  <c r="AB1148" i="1"/>
  <c r="AD1148" i="1" s="1"/>
  <c r="Y1148" i="1"/>
  <c r="AA1148" i="1" s="1"/>
  <c r="V1148" i="1"/>
  <c r="X1148" i="1" s="1"/>
  <c r="S1148" i="1"/>
  <c r="U1148" i="1" s="1"/>
  <c r="P1148" i="1"/>
  <c r="L1148" i="1"/>
  <c r="N1148" i="1" s="1"/>
  <c r="H1148" i="1"/>
  <c r="J1148" i="1" s="1"/>
  <c r="E1148" i="1"/>
  <c r="G1148" i="1" s="1"/>
  <c r="D1148" i="1"/>
  <c r="B1148" i="1"/>
  <c r="AB1147" i="1"/>
  <c r="AD1147" i="1" s="1"/>
  <c r="Y1147" i="1"/>
  <c r="AA1147" i="1" s="1"/>
  <c r="V1147" i="1"/>
  <c r="X1147" i="1" s="1"/>
  <c r="S1147" i="1"/>
  <c r="U1147" i="1" s="1"/>
  <c r="P1147" i="1"/>
  <c r="L1147" i="1"/>
  <c r="N1147" i="1" s="1"/>
  <c r="H1147" i="1"/>
  <c r="J1147" i="1" s="1"/>
  <c r="E1147" i="1"/>
  <c r="G1147" i="1" s="1"/>
  <c r="B1147" i="1"/>
  <c r="D1147" i="1" s="1"/>
  <c r="AB1146" i="1"/>
  <c r="AD1146" i="1" s="1"/>
  <c r="Y1146" i="1"/>
  <c r="AA1146" i="1" s="1"/>
  <c r="V1146" i="1"/>
  <c r="X1146" i="1" s="1"/>
  <c r="S1146" i="1"/>
  <c r="U1146" i="1" s="1"/>
  <c r="P1146" i="1"/>
  <c r="L1146" i="1"/>
  <c r="N1146" i="1" s="1"/>
  <c r="H1146" i="1"/>
  <c r="J1146" i="1" s="1"/>
  <c r="E1146" i="1"/>
  <c r="G1146" i="1" s="1"/>
  <c r="B1146" i="1"/>
  <c r="D1146" i="1" s="1"/>
  <c r="AB1145" i="1"/>
  <c r="AD1145" i="1" s="1"/>
  <c r="Y1145" i="1"/>
  <c r="AA1145" i="1" s="1"/>
  <c r="V1145" i="1"/>
  <c r="X1145" i="1" s="1"/>
  <c r="S1145" i="1"/>
  <c r="U1145" i="1" s="1"/>
  <c r="P1145" i="1"/>
  <c r="R1145" i="1" s="1"/>
  <c r="L1145" i="1"/>
  <c r="N1145" i="1" s="1"/>
  <c r="H1145" i="1"/>
  <c r="J1145" i="1" s="1"/>
  <c r="E1145" i="1"/>
  <c r="G1145" i="1" s="1"/>
  <c r="B1145" i="1"/>
  <c r="D1145" i="1" s="1"/>
  <c r="AB1144" i="1"/>
  <c r="AD1144" i="1" s="1"/>
  <c r="Y1144" i="1"/>
  <c r="AA1144" i="1" s="1"/>
  <c r="V1144" i="1"/>
  <c r="X1144" i="1" s="1"/>
  <c r="S1144" i="1"/>
  <c r="U1144" i="1" s="1"/>
  <c r="P1144" i="1"/>
  <c r="R1144" i="1" s="1"/>
  <c r="L1144" i="1"/>
  <c r="N1144" i="1" s="1"/>
  <c r="H1144" i="1"/>
  <c r="J1144" i="1" s="1"/>
  <c r="E1144" i="1"/>
  <c r="G1144" i="1" s="1"/>
  <c r="B1144" i="1"/>
  <c r="D1144" i="1" s="1"/>
  <c r="AB1143" i="1"/>
  <c r="AD1143" i="1" s="1"/>
  <c r="Y1143" i="1"/>
  <c r="AA1143" i="1" s="1"/>
  <c r="V1143" i="1"/>
  <c r="X1143" i="1" s="1"/>
  <c r="S1143" i="1"/>
  <c r="U1143" i="1" s="1"/>
  <c r="P1143" i="1"/>
  <c r="R1143" i="1" s="1"/>
  <c r="L1143" i="1"/>
  <c r="N1143" i="1" s="1"/>
  <c r="H1143" i="1"/>
  <c r="J1143" i="1" s="1"/>
  <c r="E1143" i="1"/>
  <c r="G1143" i="1" s="1"/>
  <c r="B1143" i="1"/>
  <c r="D1143" i="1" s="1"/>
  <c r="AB1142" i="1"/>
  <c r="AD1142" i="1" s="1"/>
  <c r="Y1142" i="1"/>
  <c r="AA1142" i="1" s="1"/>
  <c r="V1142" i="1"/>
  <c r="X1142" i="1" s="1"/>
  <c r="S1142" i="1"/>
  <c r="U1142" i="1" s="1"/>
  <c r="P1142" i="1"/>
  <c r="R1142" i="1" s="1"/>
  <c r="L1142" i="1"/>
  <c r="N1142" i="1" s="1"/>
  <c r="H1142" i="1"/>
  <c r="J1142" i="1" s="1"/>
  <c r="E1142" i="1"/>
  <c r="G1142" i="1" s="1"/>
  <c r="B1142" i="1"/>
  <c r="D1142" i="1" s="1"/>
  <c r="AB1141" i="1"/>
  <c r="AD1141" i="1" s="1"/>
  <c r="Y1141" i="1"/>
  <c r="AA1141" i="1" s="1"/>
  <c r="V1141" i="1"/>
  <c r="X1141" i="1" s="1"/>
  <c r="S1141" i="1"/>
  <c r="U1141" i="1" s="1"/>
  <c r="P1141" i="1"/>
  <c r="R1141" i="1" s="1"/>
  <c r="L1141" i="1"/>
  <c r="N1141" i="1" s="1"/>
  <c r="H1141" i="1"/>
  <c r="J1141" i="1" s="1"/>
  <c r="E1141" i="1"/>
  <c r="G1141" i="1" s="1"/>
  <c r="B1141" i="1"/>
  <c r="D1141" i="1" s="1"/>
  <c r="AB1140" i="1"/>
  <c r="AD1140" i="1" s="1"/>
  <c r="Y1140" i="1"/>
  <c r="AA1140" i="1" s="1"/>
  <c r="V1140" i="1"/>
  <c r="X1140" i="1" s="1"/>
  <c r="S1140" i="1"/>
  <c r="U1140" i="1" s="1"/>
  <c r="P1140" i="1"/>
  <c r="R1140" i="1" s="1"/>
  <c r="L1140" i="1"/>
  <c r="N1140" i="1" s="1"/>
  <c r="H1140" i="1"/>
  <c r="J1140" i="1" s="1"/>
  <c r="E1140" i="1"/>
  <c r="G1140" i="1" s="1"/>
  <c r="B1140" i="1"/>
  <c r="D1140" i="1" s="1"/>
  <c r="AB1139" i="1"/>
  <c r="AD1139" i="1" s="1"/>
  <c r="Y1139" i="1"/>
  <c r="AA1139" i="1" s="1"/>
  <c r="V1139" i="1"/>
  <c r="X1139" i="1" s="1"/>
  <c r="S1139" i="1"/>
  <c r="U1139" i="1" s="1"/>
  <c r="P1139" i="1"/>
  <c r="R1139" i="1" s="1"/>
  <c r="L1139" i="1"/>
  <c r="N1139" i="1" s="1"/>
  <c r="H1139" i="1"/>
  <c r="J1139" i="1" s="1"/>
  <c r="E1139" i="1"/>
  <c r="G1139" i="1" s="1"/>
  <c r="B1139" i="1"/>
  <c r="D1139" i="1" s="1"/>
  <c r="AB1138" i="1"/>
  <c r="AD1138" i="1" s="1"/>
  <c r="Y1138" i="1"/>
  <c r="AA1138" i="1" s="1"/>
  <c r="V1138" i="1"/>
  <c r="X1138" i="1" s="1"/>
  <c r="S1138" i="1"/>
  <c r="U1138" i="1" s="1"/>
  <c r="P1138" i="1"/>
  <c r="R1138" i="1" s="1"/>
  <c r="L1138" i="1"/>
  <c r="N1138" i="1" s="1"/>
  <c r="H1138" i="1"/>
  <c r="J1138" i="1" s="1"/>
  <c r="E1138" i="1"/>
  <c r="G1138" i="1" s="1"/>
  <c r="B1138" i="1"/>
  <c r="D1138" i="1" s="1"/>
  <c r="AB1137" i="1"/>
  <c r="AD1137" i="1" s="1"/>
  <c r="AA1137" i="1"/>
  <c r="Y1137" i="1"/>
  <c r="V1137" i="1"/>
  <c r="X1137" i="1" s="1"/>
  <c r="S1137" i="1"/>
  <c r="U1137" i="1" s="1"/>
  <c r="P1137" i="1"/>
  <c r="R1137" i="1" s="1"/>
  <c r="L1137" i="1"/>
  <c r="N1137" i="1" s="1"/>
  <c r="H1137" i="1"/>
  <c r="J1137" i="1" s="1"/>
  <c r="E1137" i="1"/>
  <c r="G1137" i="1" s="1"/>
  <c r="B1137" i="1"/>
  <c r="D1137" i="1" s="1"/>
  <c r="AB1136" i="1"/>
  <c r="AD1136" i="1" s="1"/>
  <c r="Y1136" i="1"/>
  <c r="AA1136" i="1" s="1"/>
  <c r="V1136" i="1"/>
  <c r="X1136" i="1" s="1"/>
  <c r="S1136" i="1"/>
  <c r="U1136" i="1" s="1"/>
  <c r="P1136" i="1"/>
  <c r="R1136" i="1" s="1"/>
  <c r="L1136" i="1"/>
  <c r="N1136" i="1" s="1"/>
  <c r="H1136" i="1"/>
  <c r="J1136" i="1" s="1"/>
  <c r="G1136" i="1"/>
  <c r="E1136" i="1"/>
  <c r="B1136" i="1"/>
  <c r="D1136" i="1" s="1"/>
  <c r="AB1135" i="1"/>
  <c r="AD1135" i="1" s="1"/>
  <c r="Y1135" i="1"/>
  <c r="AA1135" i="1" s="1"/>
  <c r="V1135" i="1"/>
  <c r="X1135" i="1" s="1"/>
  <c r="S1135" i="1"/>
  <c r="U1135" i="1" s="1"/>
  <c r="P1135" i="1"/>
  <c r="R1135" i="1" s="1"/>
  <c r="L1135" i="1"/>
  <c r="N1135" i="1" s="1"/>
  <c r="H1135" i="1"/>
  <c r="J1135" i="1" s="1"/>
  <c r="E1135" i="1"/>
  <c r="G1135" i="1" s="1"/>
  <c r="B1135" i="1"/>
  <c r="D1135" i="1" s="1"/>
  <c r="AB1134" i="1"/>
  <c r="AD1134" i="1" s="1"/>
  <c r="Y1134" i="1"/>
  <c r="AA1134" i="1" s="1"/>
  <c r="V1134" i="1"/>
  <c r="X1134" i="1" s="1"/>
  <c r="S1134" i="1"/>
  <c r="U1134" i="1" s="1"/>
  <c r="P1134" i="1"/>
  <c r="R1134" i="1" s="1"/>
  <c r="L1134" i="1"/>
  <c r="N1134" i="1" s="1"/>
  <c r="J1134" i="1"/>
  <c r="H1134" i="1"/>
  <c r="E1134" i="1"/>
  <c r="G1134" i="1" s="1"/>
  <c r="B1134" i="1"/>
  <c r="D1134" i="1" s="1"/>
  <c r="AB1133" i="1"/>
  <c r="AD1133" i="1" s="1"/>
  <c r="Y1133" i="1"/>
  <c r="AA1133" i="1" s="1"/>
  <c r="V1133" i="1"/>
  <c r="X1133" i="1" s="1"/>
  <c r="S1133" i="1"/>
  <c r="U1133" i="1" s="1"/>
  <c r="P1133" i="1"/>
  <c r="R1133" i="1" s="1"/>
  <c r="L1133" i="1"/>
  <c r="N1133" i="1" s="1"/>
  <c r="H1133" i="1"/>
  <c r="J1133" i="1" s="1"/>
  <c r="G1133" i="1"/>
  <c r="E1133" i="1"/>
  <c r="B1133" i="1"/>
  <c r="D1133" i="1" s="1"/>
  <c r="AB1132" i="1"/>
  <c r="AD1132" i="1" s="1"/>
  <c r="AA1132" i="1"/>
  <c r="Y1132" i="1"/>
  <c r="V1132" i="1"/>
  <c r="X1132" i="1" s="1"/>
  <c r="S1132" i="1"/>
  <c r="U1132" i="1" s="1"/>
  <c r="P1132" i="1"/>
  <c r="R1132" i="1" s="1"/>
  <c r="L1132" i="1"/>
  <c r="N1132" i="1" s="1"/>
  <c r="H1132" i="1"/>
  <c r="J1132" i="1" s="1"/>
  <c r="E1132" i="1"/>
  <c r="G1132" i="1" s="1"/>
  <c r="B1132" i="1"/>
  <c r="D1132" i="1" s="1"/>
  <c r="AB1131" i="1"/>
  <c r="AD1131" i="1" s="1"/>
  <c r="Y1131" i="1"/>
  <c r="AA1131" i="1" s="1"/>
  <c r="V1131" i="1"/>
  <c r="X1131" i="1" s="1"/>
  <c r="S1131" i="1"/>
  <c r="U1131" i="1" s="1"/>
  <c r="P1131" i="1"/>
  <c r="R1131" i="1" s="1"/>
  <c r="L1131" i="1"/>
  <c r="N1131" i="1" s="1"/>
  <c r="H1131" i="1"/>
  <c r="J1131" i="1" s="1"/>
  <c r="E1131" i="1"/>
  <c r="G1131" i="1" s="1"/>
  <c r="B1131" i="1"/>
  <c r="D1131" i="1" s="1"/>
  <c r="AB1130" i="1"/>
  <c r="AD1130" i="1" s="1"/>
  <c r="Y1130" i="1"/>
  <c r="AA1130" i="1" s="1"/>
  <c r="V1130" i="1"/>
  <c r="X1130" i="1" s="1"/>
  <c r="S1130" i="1"/>
  <c r="U1130" i="1" s="1"/>
  <c r="P1130" i="1"/>
  <c r="R1130" i="1" s="1"/>
  <c r="L1130" i="1"/>
  <c r="N1130" i="1" s="1"/>
  <c r="H1130" i="1"/>
  <c r="J1130" i="1" s="1"/>
  <c r="E1130" i="1"/>
  <c r="G1130" i="1" s="1"/>
  <c r="B1130" i="1"/>
  <c r="D1130" i="1" s="1"/>
  <c r="AB1129" i="1"/>
  <c r="AD1129" i="1" s="1"/>
  <c r="AA1129" i="1"/>
  <c r="Y1129" i="1"/>
  <c r="V1129" i="1"/>
  <c r="X1129" i="1" s="1"/>
  <c r="S1129" i="1"/>
  <c r="U1129" i="1" s="1"/>
  <c r="P1129" i="1"/>
  <c r="R1129" i="1" s="1"/>
  <c r="L1129" i="1"/>
  <c r="N1129" i="1" s="1"/>
  <c r="H1129" i="1"/>
  <c r="J1129" i="1" s="1"/>
  <c r="E1129" i="1"/>
  <c r="G1129" i="1" s="1"/>
  <c r="B1129" i="1"/>
  <c r="D1129" i="1" s="1"/>
  <c r="AB1128" i="1"/>
  <c r="AD1128" i="1" s="1"/>
  <c r="Y1128" i="1"/>
  <c r="AA1128" i="1" s="1"/>
  <c r="V1128" i="1"/>
  <c r="X1128" i="1" s="1"/>
  <c r="S1128" i="1"/>
  <c r="U1128" i="1" s="1"/>
  <c r="P1128" i="1"/>
  <c r="R1128" i="1" s="1"/>
  <c r="L1128" i="1"/>
  <c r="N1128" i="1" s="1"/>
  <c r="H1128" i="1"/>
  <c r="J1128" i="1" s="1"/>
  <c r="E1128" i="1"/>
  <c r="G1128" i="1" s="1"/>
  <c r="B1128" i="1"/>
  <c r="D1128" i="1" s="1"/>
  <c r="AB1127" i="1"/>
  <c r="AD1127" i="1" s="1"/>
  <c r="Y1127" i="1"/>
  <c r="AA1127" i="1" s="1"/>
  <c r="V1127" i="1"/>
  <c r="X1127" i="1" s="1"/>
  <c r="S1127" i="1"/>
  <c r="U1127" i="1" s="1"/>
  <c r="P1127" i="1"/>
  <c r="L1127" i="1"/>
  <c r="N1127" i="1" s="1"/>
  <c r="H1127" i="1"/>
  <c r="J1127" i="1" s="1"/>
  <c r="E1127" i="1"/>
  <c r="G1127" i="1" s="1"/>
  <c r="B1127" i="1"/>
  <c r="D1127" i="1" s="1"/>
  <c r="AB1126" i="1"/>
  <c r="AD1126" i="1" s="1"/>
  <c r="Y1126" i="1"/>
  <c r="AA1126" i="1" s="1"/>
  <c r="V1126" i="1"/>
  <c r="X1126" i="1" s="1"/>
  <c r="S1126" i="1"/>
  <c r="U1126" i="1" s="1"/>
  <c r="P1126" i="1"/>
  <c r="R1126" i="1" s="1"/>
  <c r="N1126" i="1"/>
  <c r="L1126" i="1"/>
  <c r="H1126" i="1"/>
  <c r="J1126" i="1" s="1"/>
  <c r="E1126" i="1"/>
  <c r="G1126" i="1" s="1"/>
  <c r="B1126" i="1"/>
  <c r="D1126" i="1" s="1"/>
  <c r="AB1125" i="1"/>
  <c r="AD1125" i="1" s="1"/>
  <c r="Y1125" i="1"/>
  <c r="AA1125" i="1" s="1"/>
  <c r="V1125" i="1"/>
  <c r="X1125" i="1" s="1"/>
  <c r="S1125" i="1"/>
  <c r="U1125" i="1" s="1"/>
  <c r="P1125" i="1"/>
  <c r="R1125" i="1" s="1"/>
  <c r="L1125" i="1"/>
  <c r="N1125" i="1" s="1"/>
  <c r="H1125" i="1"/>
  <c r="J1125" i="1" s="1"/>
  <c r="G1125" i="1"/>
  <c r="E1125" i="1"/>
  <c r="B1125" i="1"/>
  <c r="D1125" i="1" s="1"/>
  <c r="AB1124" i="1"/>
  <c r="AD1124" i="1" s="1"/>
  <c r="Y1124" i="1"/>
  <c r="AA1124" i="1" s="1"/>
  <c r="V1124" i="1"/>
  <c r="X1124" i="1" s="1"/>
  <c r="S1124" i="1"/>
  <c r="U1124" i="1" s="1"/>
  <c r="P1124" i="1"/>
  <c r="R1124" i="1" s="1"/>
  <c r="L1124" i="1"/>
  <c r="N1124" i="1" s="1"/>
  <c r="H1124" i="1"/>
  <c r="J1124" i="1" s="1"/>
  <c r="E1124" i="1"/>
  <c r="G1124" i="1" s="1"/>
  <c r="B1124" i="1"/>
  <c r="D1124" i="1" s="1"/>
  <c r="AB1123" i="1"/>
  <c r="AD1123" i="1" s="1"/>
  <c r="Y1123" i="1"/>
  <c r="AA1123" i="1" s="1"/>
  <c r="V1123" i="1"/>
  <c r="X1123" i="1" s="1"/>
  <c r="S1123" i="1"/>
  <c r="U1123" i="1" s="1"/>
  <c r="P1123" i="1"/>
  <c r="R1123" i="1" s="1"/>
  <c r="L1123" i="1"/>
  <c r="N1123" i="1" s="1"/>
  <c r="H1123" i="1"/>
  <c r="J1123" i="1" s="1"/>
  <c r="E1123" i="1"/>
  <c r="G1123" i="1" s="1"/>
  <c r="B1123" i="1"/>
  <c r="D1123" i="1" s="1"/>
  <c r="AB1122" i="1"/>
  <c r="AD1122" i="1" s="1"/>
  <c r="AA1122" i="1"/>
  <c r="V1122" i="1"/>
  <c r="X1122" i="1" s="1"/>
  <c r="S1122" i="1"/>
  <c r="U1122" i="1" s="1"/>
  <c r="P1122" i="1"/>
  <c r="R1122" i="1" s="1"/>
  <c r="L1122" i="1"/>
  <c r="N1122" i="1" s="1"/>
  <c r="H1122" i="1"/>
  <c r="J1122" i="1" s="1"/>
  <c r="E1122" i="1"/>
  <c r="G1122" i="1" s="1"/>
  <c r="B1122" i="1"/>
  <c r="D1122" i="1" s="1"/>
  <c r="AB1121" i="1"/>
  <c r="AD1121" i="1" s="1"/>
  <c r="Y1121" i="1"/>
  <c r="AA1121" i="1" s="1"/>
  <c r="V1121" i="1"/>
  <c r="X1121" i="1" s="1"/>
  <c r="S1121" i="1"/>
  <c r="U1121" i="1" s="1"/>
  <c r="P1121" i="1"/>
  <c r="R1121" i="1" s="1"/>
  <c r="L1121" i="1"/>
  <c r="N1121" i="1" s="1"/>
  <c r="H1121" i="1"/>
  <c r="J1121" i="1" s="1"/>
  <c r="E1121" i="1"/>
  <c r="G1121" i="1" s="1"/>
  <c r="B1121" i="1"/>
  <c r="D1121" i="1" s="1"/>
  <c r="AB1120" i="1"/>
  <c r="AD1120" i="1" s="1"/>
  <c r="Y1120" i="1"/>
  <c r="AA1120" i="1" s="1"/>
  <c r="V1120" i="1"/>
  <c r="X1120" i="1" s="1"/>
  <c r="S1120" i="1"/>
  <c r="U1120" i="1" s="1"/>
  <c r="P1120" i="1"/>
  <c r="R1120" i="1" s="1"/>
  <c r="L1120" i="1"/>
  <c r="N1120" i="1" s="1"/>
  <c r="H1120" i="1"/>
  <c r="J1120" i="1" s="1"/>
  <c r="E1120" i="1"/>
  <c r="G1120" i="1" s="1"/>
  <c r="B1120" i="1"/>
  <c r="D1120" i="1" s="1"/>
  <c r="AB1119" i="1"/>
  <c r="AD1119" i="1" s="1"/>
  <c r="Y1119" i="1"/>
  <c r="AA1119" i="1" s="1"/>
  <c r="V1119" i="1"/>
  <c r="X1119" i="1" s="1"/>
  <c r="S1119" i="1"/>
  <c r="U1119" i="1" s="1"/>
  <c r="P1119" i="1"/>
  <c r="R1119" i="1" s="1"/>
  <c r="L1119" i="1"/>
  <c r="N1119" i="1" s="1"/>
  <c r="H1119" i="1"/>
  <c r="J1119" i="1" s="1"/>
  <c r="E1119" i="1"/>
  <c r="G1119" i="1" s="1"/>
  <c r="B1119" i="1"/>
  <c r="D1119" i="1" s="1"/>
  <c r="AB1118" i="1"/>
  <c r="AD1118" i="1" s="1"/>
  <c r="Y1118" i="1"/>
  <c r="AA1118" i="1" s="1"/>
  <c r="V1118" i="1"/>
  <c r="X1118" i="1" s="1"/>
  <c r="S1118" i="1"/>
  <c r="U1118" i="1" s="1"/>
  <c r="P1118" i="1"/>
  <c r="R1118" i="1" s="1"/>
  <c r="L1118" i="1"/>
  <c r="N1118" i="1" s="1"/>
  <c r="H1118" i="1"/>
  <c r="J1118" i="1" s="1"/>
  <c r="E1118" i="1"/>
  <c r="G1118" i="1" s="1"/>
  <c r="B1118" i="1"/>
  <c r="D1118" i="1" s="1"/>
  <c r="AB1117" i="1"/>
  <c r="AD1117" i="1" s="1"/>
  <c r="Y1117" i="1"/>
  <c r="AA1117" i="1" s="1"/>
  <c r="V1117" i="1"/>
  <c r="X1117" i="1" s="1"/>
  <c r="U1117" i="1"/>
  <c r="S1117" i="1"/>
  <c r="P1117" i="1"/>
  <c r="R1117" i="1" s="1"/>
  <c r="L1117" i="1"/>
  <c r="N1117" i="1" s="1"/>
  <c r="H1117" i="1"/>
  <c r="J1117" i="1" s="1"/>
  <c r="G1117" i="1"/>
  <c r="E1117" i="1"/>
  <c r="B1117" i="1"/>
  <c r="D1117" i="1" s="1"/>
  <c r="AB1116" i="1"/>
  <c r="AD1116" i="1" s="1"/>
  <c r="Y1116" i="1"/>
  <c r="AA1116" i="1" s="1"/>
  <c r="V1116" i="1"/>
  <c r="X1116" i="1" s="1"/>
  <c r="S1116" i="1"/>
  <c r="U1116" i="1" s="1"/>
  <c r="P1116" i="1"/>
  <c r="R1116" i="1" s="1"/>
  <c r="L1116" i="1"/>
  <c r="N1116" i="1" s="1"/>
  <c r="H1116" i="1"/>
  <c r="J1116" i="1" s="1"/>
  <c r="E1116" i="1"/>
  <c r="G1116" i="1" s="1"/>
  <c r="B1116" i="1"/>
  <c r="D1116" i="1" s="1"/>
  <c r="AB1115" i="1"/>
  <c r="AD1115" i="1" s="1"/>
  <c r="Y1115" i="1"/>
  <c r="AA1115" i="1" s="1"/>
  <c r="V1115" i="1"/>
  <c r="X1115" i="1" s="1"/>
  <c r="S1115" i="1"/>
  <c r="U1115" i="1" s="1"/>
  <c r="P1115" i="1"/>
  <c r="R1115" i="1" s="1"/>
  <c r="L1115" i="1"/>
  <c r="N1115" i="1" s="1"/>
  <c r="H1115" i="1"/>
  <c r="J1115" i="1" s="1"/>
  <c r="E1115" i="1"/>
  <c r="G1115" i="1" s="1"/>
  <c r="B1115" i="1"/>
  <c r="D1115" i="1" s="1"/>
  <c r="AB1114" i="1"/>
  <c r="AD1114" i="1" s="1"/>
  <c r="Y1114" i="1"/>
  <c r="AA1114" i="1" s="1"/>
  <c r="V1114" i="1"/>
  <c r="X1114" i="1" s="1"/>
  <c r="S1114" i="1"/>
  <c r="U1114" i="1" s="1"/>
  <c r="P1114" i="1"/>
  <c r="R1114" i="1" s="1"/>
  <c r="L1114" i="1"/>
  <c r="N1114" i="1" s="1"/>
  <c r="H1114" i="1"/>
  <c r="J1114" i="1" s="1"/>
  <c r="E1114" i="1"/>
  <c r="G1114" i="1" s="1"/>
  <c r="B1114" i="1"/>
  <c r="D1114" i="1" s="1"/>
  <c r="AB1113" i="1"/>
  <c r="Y1113" i="1"/>
  <c r="AA1113" i="1" s="1"/>
  <c r="V1113" i="1"/>
  <c r="X1113" i="1" s="1"/>
  <c r="S1113" i="1"/>
  <c r="U1113" i="1" s="1"/>
  <c r="P1113" i="1"/>
  <c r="R1113" i="1" s="1"/>
  <c r="L1113" i="1"/>
  <c r="N1113" i="1" s="1"/>
  <c r="H1113" i="1"/>
  <c r="J1113" i="1" s="1"/>
  <c r="E1113" i="1"/>
  <c r="G1113" i="1" s="1"/>
  <c r="B1113" i="1"/>
  <c r="D1113" i="1" s="1"/>
  <c r="O1113" i="1" s="1"/>
  <c r="AB1112" i="1"/>
  <c r="Y1112" i="1"/>
  <c r="AA1112" i="1" s="1"/>
  <c r="V1112" i="1"/>
  <c r="X1112" i="1" s="1"/>
  <c r="S1112" i="1"/>
  <c r="U1112" i="1" s="1"/>
  <c r="P1112" i="1"/>
  <c r="R1112" i="1" s="1"/>
  <c r="L1112" i="1"/>
  <c r="N1112" i="1" s="1"/>
  <c r="H1112" i="1"/>
  <c r="J1112" i="1" s="1"/>
  <c r="E1112" i="1"/>
  <c r="G1112" i="1" s="1"/>
  <c r="B1112" i="1"/>
  <c r="D1112" i="1" s="1"/>
  <c r="AB1111" i="1"/>
  <c r="Y1111" i="1"/>
  <c r="AA1111" i="1" s="1"/>
  <c r="V1111" i="1"/>
  <c r="X1111" i="1" s="1"/>
  <c r="S1111" i="1"/>
  <c r="U1111" i="1" s="1"/>
  <c r="P1111" i="1"/>
  <c r="R1111" i="1" s="1"/>
  <c r="L1111" i="1"/>
  <c r="N1111" i="1" s="1"/>
  <c r="H1111" i="1"/>
  <c r="J1111" i="1" s="1"/>
  <c r="E1111" i="1"/>
  <c r="G1111" i="1" s="1"/>
  <c r="B1111" i="1"/>
  <c r="D1111" i="1" s="1"/>
  <c r="AB1110" i="1"/>
  <c r="AD1110" i="1" s="1"/>
  <c r="Y1110" i="1"/>
  <c r="AA1110" i="1" s="1"/>
  <c r="V1110" i="1"/>
  <c r="X1110" i="1" s="1"/>
  <c r="S1110" i="1"/>
  <c r="U1110" i="1" s="1"/>
  <c r="P1110" i="1"/>
  <c r="R1110" i="1" s="1"/>
  <c r="L1110" i="1"/>
  <c r="N1110" i="1" s="1"/>
  <c r="H1110" i="1"/>
  <c r="J1110" i="1" s="1"/>
  <c r="E1110" i="1"/>
  <c r="G1110" i="1" s="1"/>
  <c r="B1110" i="1"/>
  <c r="D1110" i="1" s="1"/>
  <c r="AB1109" i="1"/>
  <c r="AD1109" i="1" s="1"/>
  <c r="Y1109" i="1"/>
  <c r="AA1109" i="1" s="1"/>
  <c r="V1109" i="1"/>
  <c r="X1109" i="1" s="1"/>
  <c r="S1109" i="1"/>
  <c r="U1109" i="1" s="1"/>
  <c r="P1109" i="1"/>
  <c r="R1109" i="1" s="1"/>
  <c r="L1109" i="1"/>
  <c r="N1109" i="1" s="1"/>
  <c r="H1109" i="1"/>
  <c r="J1109" i="1" s="1"/>
  <c r="E1109" i="1"/>
  <c r="G1109" i="1" s="1"/>
  <c r="B1109" i="1"/>
  <c r="D1109" i="1" s="1"/>
  <c r="AB1108" i="1"/>
  <c r="AD1108" i="1" s="1"/>
  <c r="Y1108" i="1"/>
  <c r="AA1108" i="1" s="1"/>
  <c r="X1108" i="1"/>
  <c r="V1108" i="1"/>
  <c r="S1108" i="1"/>
  <c r="U1108" i="1" s="1"/>
  <c r="P1108" i="1"/>
  <c r="R1108" i="1" s="1"/>
  <c r="L1108" i="1"/>
  <c r="N1108" i="1" s="1"/>
  <c r="J1108" i="1"/>
  <c r="H1108" i="1"/>
  <c r="E1108" i="1"/>
  <c r="G1108" i="1" s="1"/>
  <c r="B1108" i="1"/>
  <c r="D1108" i="1" s="1"/>
  <c r="AB1107" i="1"/>
  <c r="AD1107" i="1" s="1"/>
  <c r="Y1107" i="1"/>
  <c r="AA1107" i="1" s="1"/>
  <c r="V1107" i="1"/>
  <c r="X1107" i="1" s="1"/>
  <c r="S1107" i="1"/>
  <c r="U1107" i="1" s="1"/>
  <c r="P1107" i="1"/>
  <c r="R1107" i="1" s="1"/>
  <c r="L1107" i="1"/>
  <c r="N1107" i="1" s="1"/>
  <c r="H1107" i="1"/>
  <c r="J1107" i="1" s="1"/>
  <c r="E1107" i="1"/>
  <c r="G1107" i="1" s="1"/>
  <c r="B1107" i="1"/>
  <c r="D1107" i="1" s="1"/>
  <c r="AB1106" i="1"/>
  <c r="AD1106" i="1" s="1"/>
  <c r="Y1106" i="1"/>
  <c r="AA1106" i="1" s="1"/>
  <c r="V1106" i="1"/>
  <c r="X1106" i="1" s="1"/>
  <c r="S1106" i="1"/>
  <c r="U1106" i="1" s="1"/>
  <c r="P1106" i="1"/>
  <c r="R1106" i="1" s="1"/>
  <c r="L1106" i="1"/>
  <c r="N1106" i="1" s="1"/>
  <c r="H1106" i="1"/>
  <c r="J1106" i="1" s="1"/>
  <c r="E1106" i="1"/>
  <c r="G1106" i="1" s="1"/>
  <c r="B1106" i="1"/>
  <c r="D1106" i="1" s="1"/>
  <c r="AB1105" i="1"/>
  <c r="AD1105" i="1" s="1"/>
  <c r="Y1105" i="1"/>
  <c r="AA1105" i="1" s="1"/>
  <c r="V1105" i="1"/>
  <c r="X1105" i="1" s="1"/>
  <c r="S1105" i="1"/>
  <c r="U1105" i="1" s="1"/>
  <c r="P1105" i="1"/>
  <c r="R1105" i="1" s="1"/>
  <c r="L1105" i="1"/>
  <c r="N1105" i="1" s="1"/>
  <c r="H1105" i="1"/>
  <c r="J1105" i="1" s="1"/>
  <c r="E1105" i="1"/>
  <c r="G1105" i="1" s="1"/>
  <c r="B1105" i="1"/>
  <c r="D1105" i="1" s="1"/>
  <c r="AB1104" i="1"/>
  <c r="AD1104" i="1" s="1"/>
  <c r="Y1104" i="1"/>
  <c r="AA1104" i="1" s="1"/>
  <c r="V1104" i="1"/>
  <c r="X1104" i="1" s="1"/>
  <c r="S1104" i="1"/>
  <c r="U1104" i="1" s="1"/>
  <c r="P1104" i="1"/>
  <c r="R1104" i="1" s="1"/>
  <c r="L1104" i="1"/>
  <c r="N1104" i="1" s="1"/>
  <c r="H1104" i="1"/>
  <c r="J1104" i="1" s="1"/>
  <c r="E1104" i="1"/>
  <c r="G1104" i="1" s="1"/>
  <c r="B1104" i="1"/>
  <c r="D1104" i="1" s="1"/>
  <c r="AB1103" i="1"/>
  <c r="AD1103" i="1" s="1"/>
  <c r="Y1103" i="1"/>
  <c r="AA1103" i="1" s="1"/>
  <c r="V1103" i="1"/>
  <c r="X1103" i="1" s="1"/>
  <c r="S1103" i="1"/>
  <c r="U1103" i="1" s="1"/>
  <c r="P1103" i="1"/>
  <c r="R1103" i="1" s="1"/>
  <c r="L1103" i="1"/>
  <c r="N1103" i="1" s="1"/>
  <c r="H1103" i="1"/>
  <c r="J1103" i="1" s="1"/>
  <c r="E1103" i="1"/>
  <c r="G1103" i="1" s="1"/>
  <c r="B1103" i="1"/>
  <c r="D1103" i="1" s="1"/>
  <c r="AB1102" i="1"/>
  <c r="AD1102" i="1" s="1"/>
  <c r="Y1102" i="1"/>
  <c r="AA1102" i="1" s="1"/>
  <c r="V1102" i="1"/>
  <c r="X1102" i="1" s="1"/>
  <c r="S1102" i="1"/>
  <c r="U1102" i="1" s="1"/>
  <c r="P1102" i="1"/>
  <c r="R1102" i="1" s="1"/>
  <c r="L1102" i="1"/>
  <c r="N1102" i="1" s="1"/>
  <c r="H1102" i="1"/>
  <c r="J1102" i="1" s="1"/>
  <c r="E1102" i="1"/>
  <c r="G1102" i="1" s="1"/>
  <c r="B1102" i="1"/>
  <c r="D1102" i="1" s="1"/>
  <c r="AB1101" i="1"/>
  <c r="AD1101" i="1" s="1"/>
  <c r="Y1101" i="1"/>
  <c r="AA1101" i="1" s="1"/>
  <c r="V1101" i="1"/>
  <c r="X1101" i="1" s="1"/>
  <c r="S1101" i="1"/>
  <c r="U1101" i="1" s="1"/>
  <c r="P1101" i="1"/>
  <c r="R1101" i="1" s="1"/>
  <c r="L1101" i="1"/>
  <c r="N1101" i="1" s="1"/>
  <c r="H1101" i="1"/>
  <c r="J1101" i="1" s="1"/>
  <c r="E1101" i="1"/>
  <c r="G1101" i="1" s="1"/>
  <c r="B1101" i="1"/>
  <c r="D1101" i="1" s="1"/>
  <c r="AB1100" i="1"/>
  <c r="AD1100" i="1" s="1"/>
  <c r="Y1100" i="1"/>
  <c r="AA1100" i="1" s="1"/>
  <c r="V1100" i="1"/>
  <c r="X1100" i="1" s="1"/>
  <c r="U1100" i="1"/>
  <c r="S1100" i="1"/>
  <c r="P1100" i="1"/>
  <c r="L1100" i="1"/>
  <c r="N1100" i="1" s="1"/>
  <c r="H1100" i="1"/>
  <c r="J1100" i="1" s="1"/>
  <c r="E1100" i="1"/>
  <c r="G1100" i="1" s="1"/>
  <c r="B1100" i="1"/>
  <c r="D1100" i="1" s="1"/>
  <c r="AB1099" i="1"/>
  <c r="AD1099" i="1" s="1"/>
  <c r="Y1099" i="1"/>
  <c r="AA1099" i="1" s="1"/>
  <c r="V1099" i="1"/>
  <c r="X1099" i="1" s="1"/>
  <c r="S1099" i="1"/>
  <c r="U1099" i="1" s="1"/>
  <c r="P1099" i="1"/>
  <c r="L1099" i="1"/>
  <c r="N1099" i="1" s="1"/>
  <c r="H1099" i="1"/>
  <c r="J1099" i="1" s="1"/>
  <c r="E1099" i="1"/>
  <c r="G1099" i="1" s="1"/>
  <c r="B1099" i="1"/>
  <c r="AB1098" i="1"/>
  <c r="AD1098" i="1" s="1"/>
  <c r="Y1098" i="1"/>
  <c r="AA1098" i="1" s="1"/>
  <c r="V1098" i="1"/>
  <c r="X1098" i="1" s="1"/>
  <c r="S1098" i="1"/>
  <c r="U1098" i="1" s="1"/>
  <c r="P1098" i="1"/>
  <c r="R1098" i="1" s="1"/>
  <c r="L1098" i="1"/>
  <c r="N1098" i="1" s="1"/>
  <c r="H1098" i="1"/>
  <c r="J1098" i="1" s="1"/>
  <c r="E1098" i="1"/>
  <c r="G1098" i="1" s="1"/>
  <c r="B1098" i="1"/>
  <c r="D1098" i="1" s="1"/>
  <c r="AB1097" i="1"/>
  <c r="AD1097" i="1" s="1"/>
  <c r="Y1097" i="1"/>
  <c r="AA1097" i="1" s="1"/>
  <c r="V1097" i="1"/>
  <c r="X1097" i="1" s="1"/>
  <c r="S1097" i="1"/>
  <c r="U1097" i="1" s="1"/>
  <c r="P1097" i="1"/>
  <c r="R1097" i="1" s="1"/>
  <c r="L1097" i="1"/>
  <c r="N1097" i="1" s="1"/>
  <c r="H1097" i="1"/>
  <c r="J1097" i="1" s="1"/>
  <c r="E1097" i="1"/>
  <c r="G1097" i="1" s="1"/>
  <c r="B1097" i="1"/>
  <c r="D1097" i="1" s="1"/>
  <c r="AB1096" i="1"/>
  <c r="AD1096" i="1" s="1"/>
  <c r="Y1096" i="1"/>
  <c r="AA1096" i="1" s="1"/>
  <c r="V1096" i="1"/>
  <c r="X1096" i="1" s="1"/>
  <c r="S1096" i="1"/>
  <c r="U1096" i="1" s="1"/>
  <c r="P1096" i="1"/>
  <c r="R1096" i="1" s="1"/>
  <c r="L1096" i="1"/>
  <c r="N1096" i="1" s="1"/>
  <c r="H1096" i="1"/>
  <c r="J1096" i="1" s="1"/>
  <c r="E1096" i="1"/>
  <c r="G1096" i="1" s="1"/>
  <c r="B1096" i="1"/>
  <c r="D1096" i="1" s="1"/>
  <c r="AB1095" i="1"/>
  <c r="AD1095" i="1" s="1"/>
  <c r="Y1095" i="1"/>
  <c r="AA1095" i="1" s="1"/>
  <c r="V1095" i="1"/>
  <c r="X1095" i="1" s="1"/>
  <c r="S1095" i="1"/>
  <c r="U1095" i="1" s="1"/>
  <c r="P1095" i="1"/>
  <c r="R1095" i="1" s="1"/>
  <c r="L1095" i="1"/>
  <c r="N1095" i="1" s="1"/>
  <c r="H1095" i="1"/>
  <c r="J1095" i="1" s="1"/>
  <c r="E1095" i="1"/>
  <c r="G1095" i="1" s="1"/>
  <c r="B1095" i="1"/>
  <c r="D1095" i="1" s="1"/>
  <c r="AB1094" i="1"/>
  <c r="AD1094" i="1" s="1"/>
  <c r="Y1094" i="1"/>
  <c r="AA1094" i="1" s="1"/>
  <c r="V1094" i="1"/>
  <c r="X1094" i="1" s="1"/>
  <c r="S1094" i="1"/>
  <c r="U1094" i="1" s="1"/>
  <c r="P1094" i="1"/>
  <c r="R1094" i="1" s="1"/>
  <c r="L1094" i="1"/>
  <c r="N1094" i="1" s="1"/>
  <c r="H1094" i="1"/>
  <c r="J1094" i="1" s="1"/>
  <c r="E1094" i="1"/>
  <c r="G1094" i="1" s="1"/>
  <c r="B1094" i="1"/>
  <c r="D1094" i="1" s="1"/>
  <c r="AB1093" i="1"/>
  <c r="AD1093" i="1" s="1"/>
  <c r="Y1093" i="1"/>
  <c r="AA1093" i="1" s="1"/>
  <c r="V1093" i="1"/>
  <c r="X1093" i="1" s="1"/>
  <c r="S1093" i="1"/>
  <c r="U1093" i="1" s="1"/>
  <c r="P1093" i="1"/>
  <c r="R1093" i="1" s="1"/>
  <c r="L1093" i="1"/>
  <c r="N1093" i="1" s="1"/>
  <c r="H1093" i="1"/>
  <c r="J1093" i="1" s="1"/>
  <c r="E1093" i="1"/>
  <c r="G1093" i="1" s="1"/>
  <c r="B1093" i="1"/>
  <c r="D1093" i="1" s="1"/>
  <c r="AB1092" i="1"/>
  <c r="AD1092" i="1" s="1"/>
  <c r="Y1092" i="1"/>
  <c r="AA1092" i="1" s="1"/>
  <c r="V1092" i="1"/>
  <c r="X1092" i="1" s="1"/>
  <c r="S1092" i="1"/>
  <c r="U1092" i="1" s="1"/>
  <c r="P1092" i="1"/>
  <c r="R1092" i="1" s="1"/>
  <c r="L1092" i="1"/>
  <c r="N1092" i="1" s="1"/>
  <c r="H1092" i="1"/>
  <c r="J1092" i="1" s="1"/>
  <c r="E1092" i="1"/>
  <c r="G1092" i="1" s="1"/>
  <c r="B1092" i="1"/>
  <c r="D1092" i="1" s="1"/>
  <c r="AB1091" i="1"/>
  <c r="Y1091" i="1"/>
  <c r="AA1091" i="1" s="1"/>
  <c r="V1091" i="1"/>
  <c r="X1091" i="1" s="1"/>
  <c r="S1091" i="1"/>
  <c r="U1091" i="1" s="1"/>
  <c r="P1091" i="1"/>
  <c r="R1091" i="1" s="1"/>
  <c r="L1091" i="1"/>
  <c r="N1091" i="1" s="1"/>
  <c r="H1091" i="1"/>
  <c r="J1091" i="1" s="1"/>
  <c r="E1091" i="1"/>
  <c r="G1091" i="1" s="1"/>
  <c r="B1091" i="1"/>
  <c r="D1091" i="1" s="1"/>
  <c r="AB1090" i="1"/>
  <c r="Y1090" i="1"/>
  <c r="AA1090" i="1" s="1"/>
  <c r="V1090" i="1"/>
  <c r="X1090" i="1" s="1"/>
  <c r="S1090" i="1"/>
  <c r="U1090" i="1" s="1"/>
  <c r="P1090" i="1"/>
  <c r="R1090" i="1" s="1"/>
  <c r="L1090" i="1"/>
  <c r="N1090" i="1" s="1"/>
  <c r="H1090" i="1"/>
  <c r="J1090" i="1" s="1"/>
  <c r="E1090" i="1"/>
  <c r="G1090" i="1" s="1"/>
  <c r="B1090" i="1"/>
  <c r="D1090" i="1" s="1"/>
  <c r="AB1089" i="1"/>
  <c r="Y1089" i="1"/>
  <c r="AA1089" i="1" s="1"/>
  <c r="V1089" i="1"/>
  <c r="X1089" i="1" s="1"/>
  <c r="S1089" i="1"/>
  <c r="U1089" i="1" s="1"/>
  <c r="P1089" i="1"/>
  <c r="R1089" i="1" s="1"/>
  <c r="L1089" i="1"/>
  <c r="N1089" i="1" s="1"/>
  <c r="H1089" i="1"/>
  <c r="J1089" i="1" s="1"/>
  <c r="E1089" i="1"/>
  <c r="G1089" i="1" s="1"/>
  <c r="B1089" i="1"/>
  <c r="D1089" i="1" s="1"/>
  <c r="AB1088" i="1"/>
  <c r="AD1088" i="1" s="1"/>
  <c r="Y1088" i="1"/>
  <c r="AA1088" i="1" s="1"/>
  <c r="V1088" i="1"/>
  <c r="X1088" i="1" s="1"/>
  <c r="S1088" i="1"/>
  <c r="U1088" i="1" s="1"/>
  <c r="P1088" i="1"/>
  <c r="R1088" i="1" s="1"/>
  <c r="L1088" i="1"/>
  <c r="N1088" i="1" s="1"/>
  <c r="H1088" i="1"/>
  <c r="J1088" i="1" s="1"/>
  <c r="E1088" i="1"/>
  <c r="G1088" i="1" s="1"/>
  <c r="B1088" i="1"/>
  <c r="D1088" i="1" s="1"/>
  <c r="AB1087" i="1"/>
  <c r="AD1087" i="1" s="1"/>
  <c r="Y1087" i="1"/>
  <c r="AA1087" i="1" s="1"/>
  <c r="V1087" i="1"/>
  <c r="X1087" i="1" s="1"/>
  <c r="S1087" i="1"/>
  <c r="U1087" i="1" s="1"/>
  <c r="P1087" i="1"/>
  <c r="R1087" i="1" s="1"/>
  <c r="L1087" i="1"/>
  <c r="N1087" i="1" s="1"/>
  <c r="H1087" i="1"/>
  <c r="J1087" i="1" s="1"/>
  <c r="E1087" i="1"/>
  <c r="G1087" i="1" s="1"/>
  <c r="B1087" i="1"/>
  <c r="D1087" i="1" s="1"/>
  <c r="AB1086" i="1"/>
  <c r="AD1086" i="1" s="1"/>
  <c r="Y1086" i="1"/>
  <c r="AA1086" i="1" s="1"/>
  <c r="V1086" i="1"/>
  <c r="X1086" i="1" s="1"/>
  <c r="S1086" i="1"/>
  <c r="U1086" i="1" s="1"/>
  <c r="P1086" i="1"/>
  <c r="R1086" i="1" s="1"/>
  <c r="L1086" i="1"/>
  <c r="N1086" i="1" s="1"/>
  <c r="H1086" i="1"/>
  <c r="J1086" i="1" s="1"/>
  <c r="E1086" i="1"/>
  <c r="G1086" i="1" s="1"/>
  <c r="B1086" i="1"/>
  <c r="D1086" i="1" s="1"/>
  <c r="AB1085" i="1"/>
  <c r="Y1085" i="1"/>
  <c r="AA1085" i="1" s="1"/>
  <c r="V1085" i="1"/>
  <c r="X1085" i="1" s="1"/>
  <c r="S1085" i="1"/>
  <c r="U1085" i="1" s="1"/>
  <c r="P1085" i="1"/>
  <c r="R1085" i="1" s="1"/>
  <c r="L1085" i="1"/>
  <c r="N1085" i="1" s="1"/>
  <c r="H1085" i="1"/>
  <c r="J1085" i="1" s="1"/>
  <c r="E1085" i="1"/>
  <c r="G1085" i="1" s="1"/>
  <c r="B1085" i="1"/>
  <c r="D1085" i="1" s="1"/>
  <c r="AB1084" i="1"/>
  <c r="Y1084" i="1"/>
  <c r="AA1084" i="1" s="1"/>
  <c r="V1084" i="1"/>
  <c r="X1084" i="1" s="1"/>
  <c r="S1084" i="1"/>
  <c r="U1084" i="1" s="1"/>
  <c r="P1084" i="1"/>
  <c r="R1084" i="1" s="1"/>
  <c r="L1084" i="1"/>
  <c r="N1084" i="1" s="1"/>
  <c r="H1084" i="1"/>
  <c r="J1084" i="1" s="1"/>
  <c r="E1084" i="1"/>
  <c r="G1084" i="1" s="1"/>
  <c r="B1084" i="1"/>
  <c r="D1084" i="1" s="1"/>
  <c r="AB1083" i="1"/>
  <c r="Y1083" i="1"/>
  <c r="AA1083" i="1" s="1"/>
  <c r="V1083" i="1"/>
  <c r="X1083" i="1" s="1"/>
  <c r="S1083" i="1"/>
  <c r="U1083" i="1" s="1"/>
  <c r="P1083" i="1"/>
  <c r="R1083" i="1" s="1"/>
  <c r="L1083" i="1"/>
  <c r="N1083" i="1" s="1"/>
  <c r="H1083" i="1"/>
  <c r="J1083" i="1" s="1"/>
  <c r="E1083" i="1"/>
  <c r="G1083" i="1" s="1"/>
  <c r="B1083" i="1"/>
  <c r="D1083" i="1" s="1"/>
  <c r="AB1082" i="1"/>
  <c r="Y1082" i="1"/>
  <c r="AA1082" i="1" s="1"/>
  <c r="V1082" i="1"/>
  <c r="X1082" i="1" s="1"/>
  <c r="S1082" i="1"/>
  <c r="U1082" i="1" s="1"/>
  <c r="P1082" i="1"/>
  <c r="R1082" i="1" s="1"/>
  <c r="L1082" i="1"/>
  <c r="N1082" i="1" s="1"/>
  <c r="H1082" i="1"/>
  <c r="J1082" i="1" s="1"/>
  <c r="E1082" i="1"/>
  <c r="G1082" i="1" s="1"/>
  <c r="B1082" i="1"/>
  <c r="D1082" i="1" s="1"/>
  <c r="AB1081" i="1"/>
  <c r="Y1081" i="1"/>
  <c r="AA1081" i="1" s="1"/>
  <c r="V1081" i="1"/>
  <c r="X1081" i="1" s="1"/>
  <c r="S1081" i="1"/>
  <c r="U1081" i="1" s="1"/>
  <c r="P1081" i="1"/>
  <c r="R1081" i="1" s="1"/>
  <c r="L1081" i="1"/>
  <c r="N1081" i="1" s="1"/>
  <c r="H1081" i="1"/>
  <c r="J1081" i="1" s="1"/>
  <c r="E1081" i="1"/>
  <c r="G1081" i="1" s="1"/>
  <c r="B1081" i="1"/>
  <c r="D1081" i="1" s="1"/>
  <c r="AB1080" i="1"/>
  <c r="AD1080" i="1" s="1"/>
  <c r="Y1080" i="1"/>
  <c r="AA1080" i="1" s="1"/>
  <c r="V1080" i="1"/>
  <c r="X1080" i="1" s="1"/>
  <c r="S1080" i="1"/>
  <c r="U1080" i="1" s="1"/>
  <c r="P1080" i="1"/>
  <c r="R1080" i="1" s="1"/>
  <c r="L1080" i="1"/>
  <c r="N1080" i="1" s="1"/>
  <c r="H1080" i="1"/>
  <c r="J1080" i="1" s="1"/>
  <c r="E1080" i="1"/>
  <c r="G1080" i="1" s="1"/>
  <c r="B1080" i="1"/>
  <c r="D1080" i="1" s="1"/>
  <c r="AB1079" i="1"/>
  <c r="AD1079" i="1" s="1"/>
  <c r="Y1079" i="1"/>
  <c r="AA1079" i="1" s="1"/>
  <c r="V1079" i="1"/>
  <c r="X1079" i="1" s="1"/>
  <c r="S1079" i="1"/>
  <c r="U1079" i="1" s="1"/>
  <c r="P1079" i="1"/>
  <c r="R1079" i="1" s="1"/>
  <c r="L1079" i="1"/>
  <c r="N1079" i="1" s="1"/>
  <c r="H1079" i="1"/>
  <c r="J1079" i="1" s="1"/>
  <c r="E1079" i="1"/>
  <c r="G1079" i="1" s="1"/>
  <c r="B1079" i="1"/>
  <c r="D1079" i="1" s="1"/>
  <c r="AB1078" i="1"/>
  <c r="AD1078" i="1" s="1"/>
  <c r="Y1078" i="1"/>
  <c r="AA1078" i="1" s="1"/>
  <c r="V1078" i="1"/>
  <c r="X1078" i="1" s="1"/>
  <c r="S1078" i="1"/>
  <c r="U1078" i="1" s="1"/>
  <c r="P1078" i="1"/>
  <c r="R1078" i="1" s="1"/>
  <c r="L1078" i="1"/>
  <c r="N1078" i="1" s="1"/>
  <c r="H1078" i="1"/>
  <c r="J1078" i="1" s="1"/>
  <c r="E1078" i="1"/>
  <c r="G1078" i="1" s="1"/>
  <c r="B1078" i="1"/>
  <c r="D1078" i="1" s="1"/>
  <c r="AB1077" i="1"/>
  <c r="AD1077" i="1" s="1"/>
  <c r="Y1077" i="1"/>
  <c r="AA1077" i="1" s="1"/>
  <c r="V1077" i="1"/>
  <c r="X1077" i="1" s="1"/>
  <c r="S1077" i="1"/>
  <c r="U1077" i="1" s="1"/>
  <c r="P1077" i="1"/>
  <c r="R1077" i="1" s="1"/>
  <c r="L1077" i="1"/>
  <c r="N1077" i="1" s="1"/>
  <c r="H1077" i="1"/>
  <c r="J1077" i="1" s="1"/>
  <c r="E1077" i="1"/>
  <c r="G1077" i="1" s="1"/>
  <c r="B1077" i="1"/>
  <c r="D1077" i="1" s="1"/>
  <c r="AB1076" i="1"/>
  <c r="AD1076" i="1" s="1"/>
  <c r="Y1076" i="1"/>
  <c r="AA1076" i="1" s="1"/>
  <c r="V1076" i="1"/>
  <c r="X1076" i="1" s="1"/>
  <c r="S1076" i="1"/>
  <c r="U1076" i="1" s="1"/>
  <c r="P1076" i="1"/>
  <c r="R1076" i="1" s="1"/>
  <c r="L1076" i="1"/>
  <c r="N1076" i="1" s="1"/>
  <c r="H1076" i="1"/>
  <c r="J1076" i="1" s="1"/>
  <c r="E1076" i="1"/>
  <c r="G1076" i="1" s="1"/>
  <c r="B1076" i="1"/>
  <c r="D1076" i="1" s="1"/>
  <c r="AB1075" i="1"/>
  <c r="AD1075" i="1" s="1"/>
  <c r="AA1075" i="1"/>
  <c r="Y1075" i="1"/>
  <c r="V1075" i="1"/>
  <c r="X1075" i="1" s="1"/>
  <c r="S1075" i="1"/>
  <c r="U1075" i="1" s="1"/>
  <c r="P1075" i="1"/>
  <c r="R1075" i="1" s="1"/>
  <c r="N1075" i="1"/>
  <c r="L1075" i="1"/>
  <c r="H1075" i="1"/>
  <c r="J1075" i="1" s="1"/>
  <c r="E1075" i="1"/>
  <c r="G1075" i="1" s="1"/>
  <c r="B1075" i="1"/>
  <c r="D1075" i="1" s="1"/>
  <c r="AB1074" i="1"/>
  <c r="AD1074" i="1" s="1"/>
  <c r="Y1074" i="1"/>
  <c r="AA1074" i="1" s="1"/>
  <c r="V1074" i="1"/>
  <c r="X1074" i="1" s="1"/>
  <c r="S1074" i="1"/>
  <c r="U1074" i="1" s="1"/>
  <c r="P1074" i="1"/>
  <c r="R1074" i="1" s="1"/>
  <c r="L1074" i="1"/>
  <c r="N1074" i="1" s="1"/>
  <c r="H1074" i="1"/>
  <c r="J1074" i="1" s="1"/>
  <c r="E1074" i="1"/>
  <c r="G1074" i="1" s="1"/>
  <c r="B1074" i="1"/>
  <c r="D1074" i="1" s="1"/>
  <c r="AB1073" i="1"/>
  <c r="AD1073" i="1" s="1"/>
  <c r="Y1073" i="1"/>
  <c r="AA1073" i="1" s="1"/>
  <c r="V1073" i="1"/>
  <c r="X1073" i="1" s="1"/>
  <c r="S1073" i="1"/>
  <c r="U1073" i="1" s="1"/>
  <c r="P1073" i="1"/>
  <c r="R1073" i="1" s="1"/>
  <c r="L1073" i="1"/>
  <c r="N1073" i="1" s="1"/>
  <c r="H1073" i="1"/>
  <c r="J1073" i="1" s="1"/>
  <c r="E1073" i="1"/>
  <c r="G1073" i="1" s="1"/>
  <c r="B1073" i="1"/>
  <c r="D1073" i="1" s="1"/>
  <c r="AB1072" i="1"/>
  <c r="AD1072" i="1" s="1"/>
  <c r="Y1072" i="1"/>
  <c r="AA1072" i="1" s="1"/>
  <c r="V1072" i="1"/>
  <c r="X1072" i="1" s="1"/>
  <c r="S1072" i="1"/>
  <c r="U1072" i="1" s="1"/>
  <c r="P1072" i="1"/>
  <c r="R1072" i="1" s="1"/>
  <c r="L1072" i="1"/>
  <c r="N1072" i="1" s="1"/>
  <c r="H1072" i="1"/>
  <c r="J1072" i="1" s="1"/>
  <c r="E1072" i="1"/>
  <c r="G1072" i="1" s="1"/>
  <c r="B1072" i="1"/>
  <c r="D1072" i="1" s="1"/>
  <c r="AB1071" i="1"/>
  <c r="AD1071" i="1" s="1"/>
  <c r="Y1071" i="1"/>
  <c r="AA1071" i="1" s="1"/>
  <c r="V1071" i="1"/>
  <c r="X1071" i="1" s="1"/>
  <c r="S1071" i="1"/>
  <c r="U1071" i="1" s="1"/>
  <c r="P1071" i="1"/>
  <c r="R1071" i="1" s="1"/>
  <c r="L1071" i="1"/>
  <c r="N1071" i="1" s="1"/>
  <c r="H1071" i="1"/>
  <c r="J1071" i="1" s="1"/>
  <c r="E1071" i="1"/>
  <c r="G1071" i="1" s="1"/>
  <c r="B1071" i="1"/>
  <c r="D1071" i="1" s="1"/>
  <c r="AB1070" i="1"/>
  <c r="AD1070" i="1" s="1"/>
  <c r="Y1070" i="1"/>
  <c r="AA1070" i="1" s="1"/>
  <c r="V1070" i="1"/>
  <c r="X1070" i="1" s="1"/>
  <c r="S1070" i="1"/>
  <c r="U1070" i="1" s="1"/>
  <c r="P1070" i="1"/>
  <c r="R1070" i="1" s="1"/>
  <c r="L1070" i="1"/>
  <c r="N1070" i="1" s="1"/>
  <c r="H1070" i="1"/>
  <c r="J1070" i="1" s="1"/>
  <c r="E1070" i="1"/>
  <c r="G1070" i="1" s="1"/>
  <c r="B1070" i="1"/>
  <c r="D1070" i="1" s="1"/>
  <c r="AB1069" i="1"/>
  <c r="AD1069" i="1" s="1"/>
  <c r="Y1069" i="1"/>
  <c r="AA1069" i="1" s="1"/>
  <c r="V1069" i="1"/>
  <c r="X1069" i="1" s="1"/>
  <c r="S1069" i="1"/>
  <c r="U1069" i="1" s="1"/>
  <c r="P1069" i="1"/>
  <c r="L1069" i="1"/>
  <c r="N1069" i="1" s="1"/>
  <c r="H1069" i="1"/>
  <c r="J1069" i="1" s="1"/>
  <c r="E1069" i="1"/>
  <c r="G1069" i="1" s="1"/>
  <c r="B1069" i="1"/>
  <c r="D1069" i="1" s="1"/>
  <c r="AB1068" i="1"/>
  <c r="AD1068" i="1" s="1"/>
  <c r="Y1068" i="1"/>
  <c r="AA1068" i="1" s="1"/>
  <c r="V1068" i="1"/>
  <c r="X1068" i="1" s="1"/>
  <c r="S1068" i="1"/>
  <c r="U1068" i="1" s="1"/>
  <c r="P1068" i="1"/>
  <c r="R1068" i="1" s="1"/>
  <c r="L1068" i="1"/>
  <c r="N1068" i="1" s="1"/>
  <c r="H1068" i="1"/>
  <c r="J1068" i="1" s="1"/>
  <c r="E1068" i="1"/>
  <c r="G1068" i="1" s="1"/>
  <c r="B1068" i="1"/>
  <c r="D1068" i="1" s="1"/>
  <c r="O1068" i="1" s="1"/>
  <c r="AB1067" i="1"/>
  <c r="AD1067" i="1" s="1"/>
  <c r="Y1067" i="1"/>
  <c r="AA1067" i="1" s="1"/>
  <c r="V1067" i="1"/>
  <c r="X1067" i="1" s="1"/>
  <c r="S1067" i="1"/>
  <c r="U1067" i="1" s="1"/>
  <c r="P1067" i="1"/>
  <c r="R1067" i="1" s="1"/>
  <c r="L1067" i="1"/>
  <c r="N1067" i="1" s="1"/>
  <c r="H1067" i="1"/>
  <c r="J1067" i="1" s="1"/>
  <c r="E1067" i="1"/>
  <c r="G1067" i="1" s="1"/>
  <c r="B1067" i="1"/>
  <c r="D1067" i="1" s="1"/>
  <c r="AB1066" i="1"/>
  <c r="AD1066" i="1" s="1"/>
  <c r="Y1066" i="1"/>
  <c r="AA1066" i="1" s="1"/>
  <c r="V1066" i="1"/>
  <c r="X1066" i="1" s="1"/>
  <c r="S1066" i="1"/>
  <c r="U1066" i="1" s="1"/>
  <c r="P1066" i="1"/>
  <c r="R1066" i="1" s="1"/>
  <c r="L1066" i="1"/>
  <c r="N1066" i="1" s="1"/>
  <c r="H1066" i="1"/>
  <c r="J1066" i="1" s="1"/>
  <c r="E1066" i="1"/>
  <c r="G1066" i="1" s="1"/>
  <c r="B1066" i="1"/>
  <c r="D1066" i="1" s="1"/>
  <c r="AB1065" i="1"/>
  <c r="AD1065" i="1" s="1"/>
  <c r="Y1065" i="1"/>
  <c r="AA1065" i="1" s="1"/>
  <c r="V1065" i="1"/>
  <c r="X1065" i="1" s="1"/>
  <c r="S1065" i="1"/>
  <c r="U1065" i="1" s="1"/>
  <c r="P1065" i="1"/>
  <c r="R1065" i="1" s="1"/>
  <c r="L1065" i="1"/>
  <c r="N1065" i="1" s="1"/>
  <c r="H1065" i="1"/>
  <c r="J1065" i="1" s="1"/>
  <c r="E1065" i="1"/>
  <c r="G1065" i="1" s="1"/>
  <c r="B1065" i="1"/>
  <c r="D1065" i="1" s="1"/>
  <c r="AD1064" i="1"/>
  <c r="AB1064" i="1"/>
  <c r="Y1064" i="1"/>
  <c r="AA1064" i="1" s="1"/>
  <c r="V1064" i="1"/>
  <c r="X1064" i="1" s="1"/>
  <c r="S1064" i="1"/>
  <c r="U1064" i="1" s="1"/>
  <c r="R1064" i="1"/>
  <c r="P1064" i="1"/>
  <c r="L1064" i="1"/>
  <c r="N1064" i="1" s="1"/>
  <c r="H1064" i="1"/>
  <c r="J1064" i="1" s="1"/>
  <c r="E1064" i="1"/>
  <c r="G1064" i="1" s="1"/>
  <c r="D1064" i="1"/>
  <c r="B1064" i="1"/>
  <c r="AB1063" i="1"/>
  <c r="AD1063" i="1" s="1"/>
  <c r="Y1063" i="1"/>
  <c r="AA1063" i="1" s="1"/>
  <c r="V1063" i="1"/>
  <c r="X1063" i="1" s="1"/>
  <c r="S1063" i="1"/>
  <c r="U1063" i="1" s="1"/>
  <c r="P1063" i="1"/>
  <c r="R1063" i="1" s="1"/>
  <c r="L1063" i="1"/>
  <c r="N1063" i="1" s="1"/>
  <c r="H1063" i="1"/>
  <c r="J1063" i="1" s="1"/>
  <c r="E1063" i="1"/>
  <c r="G1063" i="1" s="1"/>
  <c r="B1063" i="1"/>
  <c r="D1063" i="1" s="1"/>
  <c r="AB1062" i="1"/>
  <c r="AD1062" i="1" s="1"/>
  <c r="Y1062" i="1"/>
  <c r="AA1062" i="1" s="1"/>
  <c r="V1062" i="1"/>
  <c r="X1062" i="1" s="1"/>
  <c r="S1062" i="1"/>
  <c r="U1062" i="1" s="1"/>
  <c r="P1062" i="1"/>
  <c r="R1062" i="1" s="1"/>
  <c r="L1062" i="1"/>
  <c r="N1062" i="1" s="1"/>
  <c r="H1062" i="1"/>
  <c r="J1062" i="1" s="1"/>
  <c r="E1062" i="1"/>
  <c r="G1062" i="1" s="1"/>
  <c r="B1062" i="1"/>
  <c r="D1062" i="1" s="1"/>
  <c r="AB1061" i="1"/>
  <c r="AD1061" i="1" s="1"/>
  <c r="Y1061" i="1"/>
  <c r="AA1061" i="1" s="1"/>
  <c r="V1061" i="1"/>
  <c r="X1061" i="1" s="1"/>
  <c r="S1061" i="1"/>
  <c r="U1061" i="1" s="1"/>
  <c r="P1061" i="1"/>
  <c r="R1061" i="1" s="1"/>
  <c r="L1061" i="1"/>
  <c r="N1061" i="1" s="1"/>
  <c r="H1061" i="1"/>
  <c r="J1061" i="1" s="1"/>
  <c r="E1061" i="1"/>
  <c r="G1061" i="1" s="1"/>
  <c r="B1061" i="1"/>
  <c r="D1061" i="1" s="1"/>
  <c r="AB1060" i="1"/>
  <c r="AD1060" i="1" s="1"/>
  <c r="Y1060" i="1"/>
  <c r="AA1060" i="1" s="1"/>
  <c r="V1060" i="1"/>
  <c r="X1060" i="1" s="1"/>
  <c r="S1060" i="1"/>
  <c r="U1060" i="1" s="1"/>
  <c r="P1060" i="1"/>
  <c r="R1060" i="1" s="1"/>
  <c r="L1060" i="1"/>
  <c r="N1060" i="1" s="1"/>
  <c r="H1060" i="1"/>
  <c r="J1060" i="1" s="1"/>
  <c r="E1060" i="1"/>
  <c r="G1060" i="1" s="1"/>
  <c r="B1060" i="1"/>
  <c r="D1060" i="1" s="1"/>
  <c r="AB1059" i="1"/>
  <c r="AD1059" i="1" s="1"/>
  <c r="Y1059" i="1"/>
  <c r="AA1059" i="1" s="1"/>
  <c r="V1059" i="1"/>
  <c r="X1059" i="1" s="1"/>
  <c r="S1059" i="1"/>
  <c r="U1059" i="1" s="1"/>
  <c r="P1059" i="1"/>
  <c r="R1059" i="1" s="1"/>
  <c r="L1059" i="1"/>
  <c r="N1059" i="1" s="1"/>
  <c r="H1059" i="1"/>
  <c r="J1059" i="1" s="1"/>
  <c r="E1059" i="1"/>
  <c r="G1059" i="1" s="1"/>
  <c r="B1059" i="1"/>
  <c r="D1059" i="1" s="1"/>
  <c r="AB1058" i="1"/>
  <c r="AD1058" i="1" s="1"/>
  <c r="Y1058" i="1"/>
  <c r="AA1058" i="1" s="1"/>
  <c r="V1058" i="1"/>
  <c r="X1058" i="1" s="1"/>
  <c r="S1058" i="1"/>
  <c r="U1058" i="1" s="1"/>
  <c r="P1058" i="1"/>
  <c r="R1058" i="1" s="1"/>
  <c r="L1058" i="1"/>
  <c r="N1058" i="1" s="1"/>
  <c r="H1058" i="1"/>
  <c r="J1058" i="1" s="1"/>
  <c r="E1058" i="1"/>
  <c r="G1058" i="1" s="1"/>
  <c r="B1058" i="1"/>
  <c r="D1058" i="1" s="1"/>
  <c r="AB1057" i="1"/>
  <c r="AD1057" i="1" s="1"/>
  <c r="Y1057" i="1"/>
  <c r="AA1057" i="1" s="1"/>
  <c r="V1057" i="1"/>
  <c r="X1057" i="1" s="1"/>
  <c r="S1057" i="1"/>
  <c r="U1057" i="1" s="1"/>
  <c r="P1057" i="1"/>
  <c r="R1057" i="1" s="1"/>
  <c r="L1057" i="1"/>
  <c r="N1057" i="1" s="1"/>
  <c r="H1057" i="1"/>
  <c r="J1057" i="1" s="1"/>
  <c r="E1057" i="1"/>
  <c r="G1057" i="1" s="1"/>
  <c r="B1057" i="1"/>
  <c r="D1057" i="1" s="1"/>
  <c r="AB1056" i="1"/>
  <c r="AD1056" i="1" s="1"/>
  <c r="AA1056" i="1"/>
  <c r="Y1056" i="1"/>
  <c r="V1056" i="1"/>
  <c r="X1056" i="1" s="1"/>
  <c r="S1056" i="1"/>
  <c r="U1056" i="1" s="1"/>
  <c r="P1056" i="1"/>
  <c r="R1056" i="1" s="1"/>
  <c r="N1056" i="1"/>
  <c r="L1056" i="1"/>
  <c r="H1056" i="1"/>
  <c r="J1056" i="1" s="1"/>
  <c r="E1056" i="1"/>
  <c r="G1056" i="1" s="1"/>
  <c r="B1056" i="1"/>
  <c r="D1056" i="1" s="1"/>
  <c r="AB1055" i="1"/>
  <c r="AD1055" i="1" s="1"/>
  <c r="Y1055" i="1"/>
  <c r="V1055" i="1"/>
  <c r="X1055" i="1" s="1"/>
  <c r="S1055" i="1"/>
  <c r="U1055" i="1" s="1"/>
  <c r="P1055" i="1"/>
  <c r="R1055" i="1" s="1"/>
  <c r="N1055" i="1"/>
  <c r="L1055" i="1"/>
  <c r="H1055" i="1"/>
  <c r="J1055" i="1" s="1"/>
  <c r="E1055" i="1"/>
  <c r="G1055" i="1" s="1"/>
  <c r="B1055" i="1"/>
  <c r="D1055" i="1" s="1"/>
  <c r="AB1054" i="1"/>
  <c r="AD1054" i="1" s="1"/>
  <c r="Y1054" i="1"/>
  <c r="V1054" i="1"/>
  <c r="X1054" i="1" s="1"/>
  <c r="S1054" i="1"/>
  <c r="U1054" i="1" s="1"/>
  <c r="P1054" i="1"/>
  <c r="R1054" i="1" s="1"/>
  <c r="N1054" i="1"/>
  <c r="L1054" i="1"/>
  <c r="H1054" i="1"/>
  <c r="J1054" i="1" s="1"/>
  <c r="E1054" i="1"/>
  <c r="G1054" i="1" s="1"/>
  <c r="B1054" i="1"/>
  <c r="D1054" i="1" s="1"/>
  <c r="AB1053" i="1"/>
  <c r="AD1053" i="1" s="1"/>
  <c r="Y1053" i="1"/>
  <c r="AA1053" i="1" s="1"/>
  <c r="V1053" i="1"/>
  <c r="X1053" i="1" s="1"/>
  <c r="S1053" i="1"/>
  <c r="U1053" i="1" s="1"/>
  <c r="P1053" i="1"/>
  <c r="R1053" i="1" s="1"/>
  <c r="L1053" i="1"/>
  <c r="N1053" i="1" s="1"/>
  <c r="H1053" i="1"/>
  <c r="J1053" i="1" s="1"/>
  <c r="E1053" i="1"/>
  <c r="G1053" i="1" s="1"/>
  <c r="B1053" i="1"/>
  <c r="D1053" i="1" s="1"/>
  <c r="AB1052" i="1"/>
  <c r="AD1052" i="1" s="1"/>
  <c r="Y1052" i="1"/>
  <c r="AA1052" i="1" s="1"/>
  <c r="V1052" i="1"/>
  <c r="X1052" i="1" s="1"/>
  <c r="S1052" i="1"/>
  <c r="U1052" i="1" s="1"/>
  <c r="P1052" i="1"/>
  <c r="R1052" i="1" s="1"/>
  <c r="L1052" i="1"/>
  <c r="N1052" i="1" s="1"/>
  <c r="H1052" i="1"/>
  <c r="J1052" i="1" s="1"/>
  <c r="E1052" i="1"/>
  <c r="G1052" i="1" s="1"/>
  <c r="B1052" i="1"/>
  <c r="D1052" i="1" s="1"/>
  <c r="AB1051" i="1"/>
  <c r="AD1051" i="1" s="1"/>
  <c r="Y1051" i="1"/>
  <c r="AA1051" i="1" s="1"/>
  <c r="V1051" i="1"/>
  <c r="X1051" i="1" s="1"/>
  <c r="S1051" i="1"/>
  <c r="U1051" i="1" s="1"/>
  <c r="P1051" i="1"/>
  <c r="R1051" i="1" s="1"/>
  <c r="L1051" i="1"/>
  <c r="N1051" i="1" s="1"/>
  <c r="H1051" i="1"/>
  <c r="J1051" i="1" s="1"/>
  <c r="E1051" i="1"/>
  <c r="G1051" i="1" s="1"/>
  <c r="B1051" i="1"/>
  <c r="D1051" i="1" s="1"/>
  <c r="AB1050" i="1"/>
  <c r="AD1050" i="1" s="1"/>
  <c r="Y1050" i="1"/>
  <c r="AA1050" i="1" s="1"/>
  <c r="V1050" i="1"/>
  <c r="X1050" i="1" s="1"/>
  <c r="S1050" i="1"/>
  <c r="U1050" i="1" s="1"/>
  <c r="P1050" i="1"/>
  <c r="R1050" i="1" s="1"/>
  <c r="L1050" i="1"/>
  <c r="N1050" i="1" s="1"/>
  <c r="H1050" i="1"/>
  <c r="J1050" i="1" s="1"/>
  <c r="E1050" i="1"/>
  <c r="G1050" i="1" s="1"/>
  <c r="B1050" i="1"/>
  <c r="D1050" i="1" s="1"/>
  <c r="AD1049" i="1"/>
  <c r="AB1049" i="1"/>
  <c r="Y1049" i="1"/>
  <c r="AA1049" i="1" s="1"/>
  <c r="V1049" i="1"/>
  <c r="X1049" i="1" s="1"/>
  <c r="S1049" i="1"/>
  <c r="U1049" i="1" s="1"/>
  <c r="R1049" i="1"/>
  <c r="P1049" i="1"/>
  <c r="L1049" i="1"/>
  <c r="N1049" i="1" s="1"/>
  <c r="H1049" i="1"/>
  <c r="J1049" i="1" s="1"/>
  <c r="E1049" i="1"/>
  <c r="G1049" i="1" s="1"/>
  <c r="B1049" i="1"/>
  <c r="D1049" i="1" s="1"/>
  <c r="AB1048" i="1"/>
  <c r="AD1048" i="1" s="1"/>
  <c r="Y1048" i="1"/>
  <c r="AA1048" i="1" s="1"/>
  <c r="V1048" i="1"/>
  <c r="X1048" i="1" s="1"/>
  <c r="S1048" i="1"/>
  <c r="U1048" i="1" s="1"/>
  <c r="P1048" i="1"/>
  <c r="R1048" i="1" s="1"/>
  <c r="L1048" i="1"/>
  <c r="N1048" i="1" s="1"/>
  <c r="H1048" i="1"/>
  <c r="J1048" i="1" s="1"/>
  <c r="E1048" i="1"/>
  <c r="G1048" i="1" s="1"/>
  <c r="B1048" i="1"/>
  <c r="D1048" i="1" s="1"/>
  <c r="AB1047" i="1"/>
  <c r="AD1047" i="1" s="1"/>
  <c r="Y1047" i="1"/>
  <c r="AA1047" i="1" s="1"/>
  <c r="V1047" i="1"/>
  <c r="X1047" i="1" s="1"/>
  <c r="S1047" i="1"/>
  <c r="U1047" i="1" s="1"/>
  <c r="P1047" i="1"/>
  <c r="R1047" i="1" s="1"/>
  <c r="L1047" i="1"/>
  <c r="N1047" i="1" s="1"/>
  <c r="H1047" i="1"/>
  <c r="J1047" i="1" s="1"/>
  <c r="E1047" i="1"/>
  <c r="G1047" i="1" s="1"/>
  <c r="B1047" i="1"/>
  <c r="D1047" i="1" s="1"/>
  <c r="AB1046" i="1"/>
  <c r="AD1046" i="1" s="1"/>
  <c r="Y1046" i="1"/>
  <c r="AA1046" i="1" s="1"/>
  <c r="V1046" i="1"/>
  <c r="X1046" i="1" s="1"/>
  <c r="S1046" i="1"/>
  <c r="U1046" i="1" s="1"/>
  <c r="P1046" i="1"/>
  <c r="R1046" i="1" s="1"/>
  <c r="L1046" i="1"/>
  <c r="N1046" i="1" s="1"/>
  <c r="H1046" i="1"/>
  <c r="J1046" i="1" s="1"/>
  <c r="E1046" i="1"/>
  <c r="G1046" i="1" s="1"/>
  <c r="B1046" i="1"/>
  <c r="D1046" i="1" s="1"/>
  <c r="AB1045" i="1"/>
  <c r="AD1045" i="1" s="1"/>
  <c r="Y1045" i="1"/>
  <c r="AA1045" i="1" s="1"/>
  <c r="V1045" i="1"/>
  <c r="X1045" i="1" s="1"/>
  <c r="S1045" i="1"/>
  <c r="U1045" i="1" s="1"/>
  <c r="P1045" i="1"/>
  <c r="R1045" i="1" s="1"/>
  <c r="L1045" i="1"/>
  <c r="N1045" i="1" s="1"/>
  <c r="H1045" i="1"/>
  <c r="J1045" i="1" s="1"/>
  <c r="E1045" i="1"/>
  <c r="G1045" i="1" s="1"/>
  <c r="B1045" i="1"/>
  <c r="D1045" i="1" s="1"/>
  <c r="AB1044" i="1"/>
  <c r="AD1044" i="1" s="1"/>
  <c r="Y1044" i="1"/>
  <c r="AA1044" i="1" s="1"/>
  <c r="V1044" i="1"/>
  <c r="X1044" i="1" s="1"/>
  <c r="S1044" i="1"/>
  <c r="U1044" i="1" s="1"/>
  <c r="P1044" i="1"/>
  <c r="R1044" i="1" s="1"/>
  <c r="L1044" i="1"/>
  <c r="N1044" i="1" s="1"/>
  <c r="H1044" i="1"/>
  <c r="J1044" i="1" s="1"/>
  <c r="E1044" i="1"/>
  <c r="G1044" i="1" s="1"/>
  <c r="B1044" i="1"/>
  <c r="D1044" i="1" s="1"/>
  <c r="AB1043" i="1"/>
  <c r="AD1043" i="1" s="1"/>
  <c r="Y1043" i="1"/>
  <c r="AA1043" i="1" s="1"/>
  <c r="V1043" i="1"/>
  <c r="X1043" i="1" s="1"/>
  <c r="S1043" i="1"/>
  <c r="U1043" i="1" s="1"/>
  <c r="P1043" i="1"/>
  <c r="R1043" i="1" s="1"/>
  <c r="L1043" i="1"/>
  <c r="N1043" i="1" s="1"/>
  <c r="H1043" i="1"/>
  <c r="J1043" i="1" s="1"/>
  <c r="E1043" i="1"/>
  <c r="G1043" i="1" s="1"/>
  <c r="B1043" i="1"/>
  <c r="D1043" i="1" s="1"/>
  <c r="AB1042" i="1"/>
  <c r="AD1042" i="1" s="1"/>
  <c r="Y1042" i="1"/>
  <c r="AA1042" i="1" s="1"/>
  <c r="V1042" i="1"/>
  <c r="X1042" i="1" s="1"/>
  <c r="S1042" i="1"/>
  <c r="U1042" i="1" s="1"/>
  <c r="P1042" i="1"/>
  <c r="R1042" i="1" s="1"/>
  <c r="L1042" i="1"/>
  <c r="N1042" i="1" s="1"/>
  <c r="H1042" i="1"/>
  <c r="J1042" i="1" s="1"/>
  <c r="E1042" i="1"/>
  <c r="G1042" i="1" s="1"/>
  <c r="B1042" i="1"/>
  <c r="D1042" i="1" s="1"/>
  <c r="AD1041" i="1"/>
  <c r="AB1041" i="1"/>
  <c r="Y1041" i="1"/>
  <c r="AA1041" i="1" s="1"/>
  <c r="V1041" i="1"/>
  <c r="X1041" i="1" s="1"/>
  <c r="S1041" i="1"/>
  <c r="U1041" i="1" s="1"/>
  <c r="R1041" i="1"/>
  <c r="P1041" i="1"/>
  <c r="L1041" i="1"/>
  <c r="N1041" i="1" s="1"/>
  <c r="H1041" i="1"/>
  <c r="J1041" i="1" s="1"/>
  <c r="E1041" i="1"/>
  <c r="G1041" i="1" s="1"/>
  <c r="D1041" i="1"/>
  <c r="B1041" i="1"/>
  <c r="AB1040" i="1"/>
  <c r="AD1040" i="1" s="1"/>
  <c r="Y1040" i="1"/>
  <c r="AA1040" i="1" s="1"/>
  <c r="V1040" i="1"/>
  <c r="X1040" i="1" s="1"/>
  <c r="S1040" i="1"/>
  <c r="U1040" i="1" s="1"/>
  <c r="P1040" i="1"/>
  <c r="R1040" i="1" s="1"/>
  <c r="L1040" i="1"/>
  <c r="N1040" i="1" s="1"/>
  <c r="H1040" i="1"/>
  <c r="J1040" i="1" s="1"/>
  <c r="E1040" i="1"/>
  <c r="G1040" i="1" s="1"/>
  <c r="B1040" i="1"/>
  <c r="D1040" i="1" s="1"/>
  <c r="AB1039" i="1"/>
  <c r="AD1039" i="1" s="1"/>
  <c r="Y1039" i="1"/>
  <c r="AA1039" i="1" s="1"/>
  <c r="V1039" i="1"/>
  <c r="X1039" i="1" s="1"/>
  <c r="S1039" i="1"/>
  <c r="U1039" i="1" s="1"/>
  <c r="P1039" i="1"/>
  <c r="R1039" i="1" s="1"/>
  <c r="L1039" i="1"/>
  <c r="N1039" i="1" s="1"/>
  <c r="H1039" i="1"/>
  <c r="J1039" i="1" s="1"/>
  <c r="E1039" i="1"/>
  <c r="G1039" i="1" s="1"/>
  <c r="B1039" i="1"/>
  <c r="D1039" i="1" s="1"/>
  <c r="AB1038" i="1"/>
  <c r="AD1038" i="1" s="1"/>
  <c r="Y1038" i="1"/>
  <c r="AA1038" i="1" s="1"/>
  <c r="V1038" i="1"/>
  <c r="X1038" i="1" s="1"/>
  <c r="S1038" i="1"/>
  <c r="U1038" i="1" s="1"/>
  <c r="P1038" i="1"/>
  <c r="R1038" i="1" s="1"/>
  <c r="L1038" i="1"/>
  <c r="N1038" i="1" s="1"/>
  <c r="H1038" i="1"/>
  <c r="J1038" i="1" s="1"/>
  <c r="E1038" i="1"/>
  <c r="B1038" i="1"/>
  <c r="D1038" i="1" s="1"/>
  <c r="AB1037" i="1"/>
  <c r="AD1037" i="1" s="1"/>
  <c r="Y1037" i="1"/>
  <c r="AA1037" i="1" s="1"/>
  <c r="V1037" i="1"/>
  <c r="X1037" i="1" s="1"/>
  <c r="S1037" i="1"/>
  <c r="U1037" i="1" s="1"/>
  <c r="P1037" i="1"/>
  <c r="R1037" i="1" s="1"/>
  <c r="L1037" i="1"/>
  <c r="N1037" i="1" s="1"/>
  <c r="H1037" i="1"/>
  <c r="J1037" i="1" s="1"/>
  <c r="E1037" i="1"/>
  <c r="G1037" i="1" s="1"/>
  <c r="B1037" i="1"/>
  <c r="D1037" i="1" s="1"/>
  <c r="AB1036" i="1"/>
  <c r="AD1036" i="1" s="1"/>
  <c r="Y1036" i="1"/>
  <c r="AA1036" i="1" s="1"/>
  <c r="V1036" i="1"/>
  <c r="X1036" i="1" s="1"/>
  <c r="U1036" i="1"/>
  <c r="S1036" i="1"/>
  <c r="P1036" i="1"/>
  <c r="R1036" i="1" s="1"/>
  <c r="L1036" i="1"/>
  <c r="N1036" i="1" s="1"/>
  <c r="H1036" i="1"/>
  <c r="J1036" i="1" s="1"/>
  <c r="G1036" i="1"/>
  <c r="E1036" i="1"/>
  <c r="B1036" i="1"/>
  <c r="D1036" i="1" s="1"/>
  <c r="AB1035" i="1"/>
  <c r="AD1035" i="1" s="1"/>
  <c r="Y1035" i="1"/>
  <c r="AA1035" i="1" s="1"/>
  <c r="V1035" i="1"/>
  <c r="X1035" i="1" s="1"/>
  <c r="S1035" i="1"/>
  <c r="U1035" i="1" s="1"/>
  <c r="P1035" i="1"/>
  <c r="R1035" i="1" s="1"/>
  <c r="L1035" i="1"/>
  <c r="N1035" i="1" s="1"/>
  <c r="H1035" i="1"/>
  <c r="J1035" i="1" s="1"/>
  <c r="E1035" i="1"/>
  <c r="G1035" i="1" s="1"/>
  <c r="B1035" i="1"/>
  <c r="D1035" i="1" s="1"/>
  <c r="AD1034" i="1"/>
  <c r="Y1034" i="1"/>
  <c r="AA1034" i="1" s="1"/>
  <c r="V1034" i="1"/>
  <c r="X1034" i="1" s="1"/>
  <c r="S1034" i="1"/>
  <c r="U1034" i="1" s="1"/>
  <c r="P1034" i="1"/>
  <c r="R1034" i="1" s="1"/>
  <c r="L1034" i="1"/>
  <c r="N1034" i="1" s="1"/>
  <c r="H1034" i="1"/>
  <c r="J1034" i="1" s="1"/>
  <c r="E1034" i="1"/>
  <c r="G1034" i="1" s="1"/>
  <c r="B1034" i="1"/>
  <c r="D1034" i="1" s="1"/>
  <c r="AD1033" i="1"/>
  <c r="Y1033" i="1"/>
  <c r="AA1033" i="1" s="1"/>
  <c r="V1033" i="1"/>
  <c r="X1033" i="1" s="1"/>
  <c r="S1033" i="1"/>
  <c r="U1033" i="1" s="1"/>
  <c r="P1033" i="1"/>
  <c r="R1033" i="1" s="1"/>
  <c r="L1033" i="1"/>
  <c r="N1033" i="1" s="1"/>
  <c r="H1033" i="1"/>
  <c r="J1033" i="1" s="1"/>
  <c r="E1033" i="1"/>
  <c r="G1033" i="1" s="1"/>
  <c r="B1033" i="1"/>
  <c r="D1033" i="1" s="1"/>
  <c r="AD1032" i="1"/>
  <c r="Y1032" i="1"/>
  <c r="AA1032" i="1" s="1"/>
  <c r="V1032" i="1"/>
  <c r="X1032" i="1" s="1"/>
  <c r="S1032" i="1"/>
  <c r="U1032" i="1" s="1"/>
  <c r="P1032" i="1"/>
  <c r="R1032" i="1" s="1"/>
  <c r="L1032" i="1"/>
  <c r="N1032" i="1" s="1"/>
  <c r="H1032" i="1"/>
  <c r="J1032" i="1" s="1"/>
  <c r="E1032" i="1"/>
  <c r="G1032" i="1" s="1"/>
  <c r="B1032" i="1"/>
  <c r="D1032" i="1" s="1"/>
  <c r="AD1031" i="1"/>
  <c r="Y1031" i="1"/>
  <c r="AA1031" i="1" s="1"/>
  <c r="V1031" i="1"/>
  <c r="X1031" i="1" s="1"/>
  <c r="S1031" i="1"/>
  <c r="U1031" i="1" s="1"/>
  <c r="P1031" i="1"/>
  <c r="R1031" i="1" s="1"/>
  <c r="L1031" i="1"/>
  <c r="N1031" i="1" s="1"/>
  <c r="H1031" i="1"/>
  <c r="J1031" i="1" s="1"/>
  <c r="E1031" i="1"/>
  <c r="G1031" i="1" s="1"/>
  <c r="B1031" i="1"/>
  <c r="D1031" i="1" s="1"/>
  <c r="AB1030" i="1"/>
  <c r="AD1030" i="1" s="1"/>
  <c r="Y1030" i="1"/>
  <c r="AA1030" i="1" s="1"/>
  <c r="V1030" i="1"/>
  <c r="X1030" i="1" s="1"/>
  <c r="S1030" i="1"/>
  <c r="U1030" i="1" s="1"/>
  <c r="P1030" i="1"/>
  <c r="R1030" i="1" s="1"/>
  <c r="L1030" i="1"/>
  <c r="N1030" i="1" s="1"/>
  <c r="H1030" i="1"/>
  <c r="J1030" i="1" s="1"/>
  <c r="E1030" i="1"/>
  <c r="G1030" i="1" s="1"/>
  <c r="B1030" i="1"/>
  <c r="D1030" i="1" s="1"/>
  <c r="AB1029" i="1"/>
  <c r="AD1029" i="1" s="1"/>
  <c r="Y1029" i="1"/>
  <c r="AA1029" i="1" s="1"/>
  <c r="V1029" i="1"/>
  <c r="X1029" i="1" s="1"/>
  <c r="S1029" i="1"/>
  <c r="U1029" i="1" s="1"/>
  <c r="P1029" i="1"/>
  <c r="R1029" i="1" s="1"/>
  <c r="L1029" i="1"/>
  <c r="N1029" i="1" s="1"/>
  <c r="H1029" i="1"/>
  <c r="J1029" i="1" s="1"/>
  <c r="E1029" i="1"/>
  <c r="G1029" i="1" s="1"/>
  <c r="B1029" i="1"/>
  <c r="D1029" i="1" s="1"/>
  <c r="AB1028" i="1"/>
  <c r="AD1028" i="1" s="1"/>
  <c r="Y1028" i="1"/>
  <c r="AA1028" i="1" s="1"/>
  <c r="V1028" i="1"/>
  <c r="X1028" i="1" s="1"/>
  <c r="S1028" i="1"/>
  <c r="U1028" i="1" s="1"/>
  <c r="P1028" i="1"/>
  <c r="R1028" i="1" s="1"/>
  <c r="L1028" i="1"/>
  <c r="N1028" i="1" s="1"/>
  <c r="H1028" i="1"/>
  <c r="J1028" i="1" s="1"/>
  <c r="E1028" i="1"/>
  <c r="G1028" i="1" s="1"/>
  <c r="B1028" i="1"/>
  <c r="D1028" i="1" s="1"/>
  <c r="AB1027" i="1"/>
  <c r="AD1027" i="1" s="1"/>
  <c r="Y1027" i="1"/>
  <c r="AA1027" i="1" s="1"/>
  <c r="V1027" i="1"/>
  <c r="X1027" i="1" s="1"/>
  <c r="S1027" i="1"/>
  <c r="U1027" i="1" s="1"/>
  <c r="P1027" i="1"/>
  <c r="R1027" i="1" s="1"/>
  <c r="L1027" i="1"/>
  <c r="N1027" i="1" s="1"/>
  <c r="H1027" i="1"/>
  <c r="J1027" i="1" s="1"/>
  <c r="E1027" i="1"/>
  <c r="G1027" i="1" s="1"/>
  <c r="B1027" i="1"/>
  <c r="D1027" i="1" s="1"/>
  <c r="AB1026" i="1"/>
  <c r="AD1026" i="1" s="1"/>
  <c r="Y1026" i="1"/>
  <c r="AA1026" i="1" s="1"/>
  <c r="V1026" i="1"/>
  <c r="X1026" i="1" s="1"/>
  <c r="S1026" i="1"/>
  <c r="U1026" i="1" s="1"/>
  <c r="P1026" i="1"/>
  <c r="R1026" i="1" s="1"/>
  <c r="L1026" i="1"/>
  <c r="N1026" i="1" s="1"/>
  <c r="H1026" i="1"/>
  <c r="J1026" i="1" s="1"/>
  <c r="E1026" i="1"/>
  <c r="G1026" i="1" s="1"/>
  <c r="B1026" i="1"/>
  <c r="D1026" i="1" s="1"/>
  <c r="AB1025" i="1"/>
  <c r="AD1025" i="1" s="1"/>
  <c r="Y1025" i="1"/>
  <c r="AA1025" i="1" s="1"/>
  <c r="V1025" i="1"/>
  <c r="X1025" i="1" s="1"/>
  <c r="S1025" i="1"/>
  <c r="U1025" i="1" s="1"/>
  <c r="P1025" i="1"/>
  <c r="R1025" i="1" s="1"/>
  <c r="L1025" i="1"/>
  <c r="N1025" i="1" s="1"/>
  <c r="H1025" i="1"/>
  <c r="J1025" i="1" s="1"/>
  <c r="E1025" i="1"/>
  <c r="B1025" i="1"/>
  <c r="D1025" i="1" s="1"/>
  <c r="AB1024" i="1"/>
  <c r="AD1024" i="1" s="1"/>
  <c r="Y1024" i="1"/>
  <c r="AA1024" i="1" s="1"/>
  <c r="V1024" i="1"/>
  <c r="X1024" i="1" s="1"/>
  <c r="S1024" i="1"/>
  <c r="U1024" i="1" s="1"/>
  <c r="P1024" i="1"/>
  <c r="R1024" i="1" s="1"/>
  <c r="L1024" i="1"/>
  <c r="N1024" i="1" s="1"/>
  <c r="H1024" i="1"/>
  <c r="J1024" i="1" s="1"/>
  <c r="E1024" i="1"/>
  <c r="B1024" i="1"/>
  <c r="D1024" i="1" s="1"/>
  <c r="AB1023" i="1"/>
  <c r="AD1023" i="1" s="1"/>
  <c r="Y1023" i="1"/>
  <c r="AA1023" i="1" s="1"/>
  <c r="V1023" i="1"/>
  <c r="X1023" i="1" s="1"/>
  <c r="S1023" i="1"/>
  <c r="U1023" i="1" s="1"/>
  <c r="P1023" i="1"/>
  <c r="R1023" i="1" s="1"/>
  <c r="L1023" i="1"/>
  <c r="N1023" i="1" s="1"/>
  <c r="H1023" i="1"/>
  <c r="J1023" i="1" s="1"/>
  <c r="E1023" i="1"/>
  <c r="B1023" i="1"/>
  <c r="D1023" i="1" s="1"/>
  <c r="AB1022" i="1"/>
  <c r="AD1022" i="1" s="1"/>
  <c r="Y1022" i="1"/>
  <c r="AA1022" i="1" s="1"/>
  <c r="V1022" i="1"/>
  <c r="X1022" i="1" s="1"/>
  <c r="S1022" i="1"/>
  <c r="U1022" i="1" s="1"/>
  <c r="P1022" i="1"/>
  <c r="R1022" i="1" s="1"/>
  <c r="L1022" i="1"/>
  <c r="N1022" i="1" s="1"/>
  <c r="H1022" i="1"/>
  <c r="J1022" i="1" s="1"/>
  <c r="E1022" i="1"/>
  <c r="B1022" i="1"/>
  <c r="D1022" i="1" s="1"/>
  <c r="AB1021" i="1"/>
  <c r="AD1021" i="1" s="1"/>
  <c r="Y1021" i="1"/>
  <c r="AA1021" i="1" s="1"/>
  <c r="V1021" i="1"/>
  <c r="X1021" i="1" s="1"/>
  <c r="S1021" i="1"/>
  <c r="U1021" i="1" s="1"/>
  <c r="P1021" i="1"/>
  <c r="R1021" i="1" s="1"/>
  <c r="L1021" i="1"/>
  <c r="N1021" i="1" s="1"/>
  <c r="H1021" i="1"/>
  <c r="J1021" i="1" s="1"/>
  <c r="E1021" i="1"/>
  <c r="B1021" i="1"/>
  <c r="D1021" i="1" s="1"/>
  <c r="AB1020" i="1"/>
  <c r="AD1020" i="1" s="1"/>
  <c r="Y1020" i="1"/>
  <c r="AA1020" i="1" s="1"/>
  <c r="V1020" i="1"/>
  <c r="X1020" i="1" s="1"/>
  <c r="S1020" i="1"/>
  <c r="U1020" i="1" s="1"/>
  <c r="P1020" i="1"/>
  <c r="R1020" i="1" s="1"/>
  <c r="L1020" i="1"/>
  <c r="N1020" i="1" s="1"/>
  <c r="H1020" i="1"/>
  <c r="J1020" i="1" s="1"/>
  <c r="E1020" i="1"/>
  <c r="B1020" i="1"/>
  <c r="D1020" i="1" s="1"/>
  <c r="AB1019" i="1"/>
  <c r="AD1019" i="1" s="1"/>
  <c r="Y1019" i="1"/>
  <c r="AA1019" i="1" s="1"/>
  <c r="V1019" i="1"/>
  <c r="X1019" i="1" s="1"/>
  <c r="S1019" i="1"/>
  <c r="U1019" i="1" s="1"/>
  <c r="P1019" i="1"/>
  <c r="R1019" i="1" s="1"/>
  <c r="L1019" i="1"/>
  <c r="N1019" i="1" s="1"/>
  <c r="H1019" i="1"/>
  <c r="J1019" i="1" s="1"/>
  <c r="E1019" i="1"/>
  <c r="B1019" i="1"/>
  <c r="D1019" i="1" s="1"/>
  <c r="AB1018" i="1"/>
  <c r="AD1018" i="1" s="1"/>
  <c r="Y1018" i="1"/>
  <c r="AA1018" i="1" s="1"/>
  <c r="V1018" i="1"/>
  <c r="X1018" i="1" s="1"/>
  <c r="S1018" i="1"/>
  <c r="U1018" i="1" s="1"/>
  <c r="P1018" i="1"/>
  <c r="R1018" i="1" s="1"/>
  <c r="L1018" i="1"/>
  <c r="N1018" i="1" s="1"/>
  <c r="H1018" i="1"/>
  <c r="J1018" i="1" s="1"/>
  <c r="E1018" i="1"/>
  <c r="B1018" i="1"/>
  <c r="D1018" i="1" s="1"/>
  <c r="AB1017" i="1"/>
  <c r="AD1017" i="1" s="1"/>
  <c r="Y1017" i="1"/>
  <c r="AA1017" i="1" s="1"/>
  <c r="V1017" i="1"/>
  <c r="X1017" i="1" s="1"/>
  <c r="S1017" i="1"/>
  <c r="U1017" i="1" s="1"/>
  <c r="P1017" i="1"/>
  <c r="R1017" i="1" s="1"/>
  <c r="L1017" i="1"/>
  <c r="N1017" i="1" s="1"/>
  <c r="H1017" i="1"/>
  <c r="J1017" i="1" s="1"/>
  <c r="E1017" i="1"/>
  <c r="B1017" i="1"/>
  <c r="D1017" i="1" s="1"/>
  <c r="AB1016" i="1"/>
  <c r="AD1016" i="1" s="1"/>
  <c r="Y1016" i="1"/>
  <c r="AA1016" i="1" s="1"/>
  <c r="V1016" i="1"/>
  <c r="X1016" i="1" s="1"/>
  <c r="S1016" i="1"/>
  <c r="U1016" i="1" s="1"/>
  <c r="P1016" i="1"/>
  <c r="R1016" i="1" s="1"/>
  <c r="L1016" i="1"/>
  <c r="N1016" i="1" s="1"/>
  <c r="E1016" i="1"/>
  <c r="B1016" i="1"/>
  <c r="D1016" i="1" s="1"/>
  <c r="AB1015" i="1"/>
  <c r="AD1015" i="1" s="1"/>
  <c r="Y1015" i="1"/>
  <c r="AA1015" i="1" s="1"/>
  <c r="V1015" i="1"/>
  <c r="X1015" i="1" s="1"/>
  <c r="S1015" i="1"/>
  <c r="U1015" i="1" s="1"/>
  <c r="P1015" i="1"/>
  <c r="R1015" i="1" s="1"/>
  <c r="L1015" i="1"/>
  <c r="N1015" i="1" s="1"/>
  <c r="H1015" i="1"/>
  <c r="E1015" i="1"/>
  <c r="B1015" i="1"/>
  <c r="D1015" i="1" s="1"/>
  <c r="AB1014" i="1"/>
  <c r="AD1014" i="1" s="1"/>
  <c r="Y1014" i="1"/>
  <c r="AA1014" i="1" s="1"/>
  <c r="V1014" i="1"/>
  <c r="X1014" i="1" s="1"/>
  <c r="S1014" i="1"/>
  <c r="U1014" i="1" s="1"/>
  <c r="P1014" i="1"/>
  <c r="R1014" i="1" s="1"/>
  <c r="L1014" i="1"/>
  <c r="N1014" i="1" s="1"/>
  <c r="H1014" i="1"/>
  <c r="J1014" i="1" s="1"/>
  <c r="E1014" i="1"/>
  <c r="B1014" i="1"/>
  <c r="D1014" i="1" s="1"/>
  <c r="AB1013" i="1"/>
  <c r="AD1013" i="1" s="1"/>
  <c r="Y1013" i="1"/>
  <c r="AA1013" i="1" s="1"/>
  <c r="V1013" i="1"/>
  <c r="X1013" i="1" s="1"/>
  <c r="S1013" i="1"/>
  <c r="U1013" i="1" s="1"/>
  <c r="P1013" i="1"/>
  <c r="R1013" i="1" s="1"/>
  <c r="L1013" i="1"/>
  <c r="N1013" i="1" s="1"/>
  <c r="H1013" i="1"/>
  <c r="J1013" i="1" s="1"/>
  <c r="E1013" i="1"/>
  <c r="B1013" i="1"/>
  <c r="D1013" i="1" s="1"/>
  <c r="AB1012" i="1"/>
  <c r="AD1012" i="1" s="1"/>
  <c r="Y1012" i="1"/>
  <c r="AA1012" i="1" s="1"/>
  <c r="V1012" i="1"/>
  <c r="X1012" i="1" s="1"/>
  <c r="S1012" i="1"/>
  <c r="U1012" i="1" s="1"/>
  <c r="P1012" i="1"/>
  <c r="R1012" i="1" s="1"/>
  <c r="L1012" i="1"/>
  <c r="N1012" i="1" s="1"/>
  <c r="H1012" i="1"/>
  <c r="J1012" i="1" s="1"/>
  <c r="E1012" i="1"/>
  <c r="B1012" i="1"/>
  <c r="D1012" i="1" s="1"/>
  <c r="AB1011" i="1"/>
  <c r="AD1011" i="1" s="1"/>
  <c r="Y1011" i="1"/>
  <c r="AA1011" i="1" s="1"/>
  <c r="V1011" i="1"/>
  <c r="X1011" i="1" s="1"/>
  <c r="S1011" i="1"/>
  <c r="U1011" i="1" s="1"/>
  <c r="P1011" i="1"/>
  <c r="R1011" i="1" s="1"/>
  <c r="L1011" i="1"/>
  <c r="N1011" i="1" s="1"/>
  <c r="H1011" i="1"/>
  <c r="J1011" i="1" s="1"/>
  <c r="E1011" i="1"/>
  <c r="B1011" i="1"/>
  <c r="D1011" i="1" s="1"/>
  <c r="AB1010" i="1"/>
  <c r="AD1010" i="1" s="1"/>
  <c r="Y1010" i="1"/>
  <c r="AA1010" i="1" s="1"/>
  <c r="V1010" i="1"/>
  <c r="X1010" i="1" s="1"/>
  <c r="S1010" i="1"/>
  <c r="U1010" i="1" s="1"/>
  <c r="P1010" i="1"/>
  <c r="R1010" i="1" s="1"/>
  <c r="L1010" i="1"/>
  <c r="N1010" i="1" s="1"/>
  <c r="H1010" i="1"/>
  <c r="J1010" i="1" s="1"/>
  <c r="E1010" i="1"/>
  <c r="B1010" i="1"/>
  <c r="D1010" i="1" s="1"/>
  <c r="AB1009" i="1"/>
  <c r="AD1009" i="1" s="1"/>
  <c r="Y1009" i="1"/>
  <c r="AA1009" i="1" s="1"/>
  <c r="V1009" i="1"/>
  <c r="X1009" i="1" s="1"/>
  <c r="S1009" i="1"/>
  <c r="U1009" i="1" s="1"/>
  <c r="P1009" i="1"/>
  <c r="R1009" i="1" s="1"/>
  <c r="L1009" i="1"/>
  <c r="N1009" i="1" s="1"/>
  <c r="H1009" i="1"/>
  <c r="J1009" i="1" s="1"/>
  <c r="E1009" i="1"/>
  <c r="B1009" i="1"/>
  <c r="D1009" i="1" s="1"/>
  <c r="AB1008" i="1"/>
  <c r="AD1008" i="1" s="1"/>
  <c r="Y1008" i="1"/>
  <c r="AA1008" i="1" s="1"/>
  <c r="V1008" i="1"/>
  <c r="X1008" i="1" s="1"/>
  <c r="S1008" i="1"/>
  <c r="U1008" i="1" s="1"/>
  <c r="P1008" i="1"/>
  <c r="R1008" i="1" s="1"/>
  <c r="L1008" i="1"/>
  <c r="N1008" i="1" s="1"/>
  <c r="H1008" i="1"/>
  <c r="J1008" i="1" s="1"/>
  <c r="E1008" i="1"/>
  <c r="B1008" i="1"/>
  <c r="D1008" i="1" s="1"/>
  <c r="AB1007" i="1"/>
  <c r="AD1007" i="1" s="1"/>
  <c r="Y1007" i="1"/>
  <c r="AA1007" i="1" s="1"/>
  <c r="V1007" i="1"/>
  <c r="X1007" i="1" s="1"/>
  <c r="S1007" i="1"/>
  <c r="U1007" i="1" s="1"/>
  <c r="P1007" i="1"/>
  <c r="R1007" i="1" s="1"/>
  <c r="L1007" i="1"/>
  <c r="N1007" i="1" s="1"/>
  <c r="H1007" i="1"/>
  <c r="J1007" i="1" s="1"/>
  <c r="E1007" i="1"/>
  <c r="B1007" i="1"/>
  <c r="D1007" i="1" s="1"/>
  <c r="AB1006" i="1"/>
  <c r="AD1006" i="1" s="1"/>
  <c r="Y1006" i="1"/>
  <c r="AA1006" i="1" s="1"/>
  <c r="V1006" i="1"/>
  <c r="X1006" i="1" s="1"/>
  <c r="S1006" i="1"/>
  <c r="U1006" i="1" s="1"/>
  <c r="P1006" i="1"/>
  <c r="R1006" i="1" s="1"/>
  <c r="L1006" i="1"/>
  <c r="N1006" i="1" s="1"/>
  <c r="H1006" i="1"/>
  <c r="J1006" i="1" s="1"/>
  <c r="E1006" i="1"/>
  <c r="B1006" i="1"/>
  <c r="D1006" i="1" s="1"/>
  <c r="AB1005" i="1"/>
  <c r="AD1005" i="1" s="1"/>
  <c r="Y1005" i="1"/>
  <c r="AA1005" i="1" s="1"/>
  <c r="V1005" i="1"/>
  <c r="X1005" i="1" s="1"/>
  <c r="S1005" i="1"/>
  <c r="U1005" i="1" s="1"/>
  <c r="P1005" i="1"/>
  <c r="R1005" i="1" s="1"/>
  <c r="L1005" i="1"/>
  <c r="N1005" i="1" s="1"/>
  <c r="H1005" i="1"/>
  <c r="J1005" i="1" s="1"/>
  <c r="E1005" i="1"/>
  <c r="B1005" i="1"/>
  <c r="D1005" i="1" s="1"/>
  <c r="AB1004" i="1"/>
  <c r="AD1004" i="1" s="1"/>
  <c r="Y1004" i="1"/>
  <c r="AA1004" i="1" s="1"/>
  <c r="V1004" i="1"/>
  <c r="X1004" i="1" s="1"/>
  <c r="S1004" i="1"/>
  <c r="U1004" i="1" s="1"/>
  <c r="P1004" i="1"/>
  <c r="R1004" i="1" s="1"/>
  <c r="L1004" i="1"/>
  <c r="N1004" i="1" s="1"/>
  <c r="H1004" i="1"/>
  <c r="J1004" i="1" s="1"/>
  <c r="E1004" i="1"/>
  <c r="B1004" i="1"/>
  <c r="D1004" i="1" s="1"/>
  <c r="AB1003" i="1"/>
  <c r="AD1003" i="1" s="1"/>
  <c r="Y1003" i="1"/>
  <c r="AA1003" i="1" s="1"/>
  <c r="V1003" i="1"/>
  <c r="X1003" i="1" s="1"/>
  <c r="S1003" i="1"/>
  <c r="U1003" i="1" s="1"/>
  <c r="P1003" i="1"/>
  <c r="R1003" i="1" s="1"/>
  <c r="L1003" i="1"/>
  <c r="N1003" i="1" s="1"/>
  <c r="D1003" i="1"/>
  <c r="B1003" i="1"/>
  <c r="AB1002" i="1"/>
  <c r="AD1002" i="1" s="1"/>
  <c r="Y1002" i="1"/>
  <c r="AA1002" i="1" s="1"/>
  <c r="V1002" i="1"/>
  <c r="X1002" i="1" s="1"/>
  <c r="S1002" i="1"/>
  <c r="U1002" i="1" s="1"/>
  <c r="P1002" i="1"/>
  <c r="R1002" i="1" s="1"/>
  <c r="L1002" i="1"/>
  <c r="N1002" i="1" s="1"/>
  <c r="H1002" i="1"/>
  <c r="E1002" i="1"/>
  <c r="G1002" i="1" s="1"/>
  <c r="B1002" i="1"/>
  <c r="D1002" i="1" s="1"/>
  <c r="AB1001" i="1"/>
  <c r="AD1001" i="1" s="1"/>
  <c r="Y1001" i="1"/>
  <c r="AA1001" i="1" s="1"/>
  <c r="V1001" i="1"/>
  <c r="X1001" i="1" s="1"/>
  <c r="S1001" i="1"/>
  <c r="U1001" i="1" s="1"/>
  <c r="P1001" i="1"/>
  <c r="R1001" i="1" s="1"/>
  <c r="L1001" i="1"/>
  <c r="N1001" i="1" s="1"/>
  <c r="H1001" i="1"/>
  <c r="J1001" i="1" s="1"/>
  <c r="E1001" i="1"/>
  <c r="B1001" i="1"/>
  <c r="D1001" i="1" s="1"/>
  <c r="AB1000" i="1"/>
  <c r="AD1000" i="1" s="1"/>
  <c r="Y1000" i="1"/>
  <c r="AA1000" i="1" s="1"/>
  <c r="V1000" i="1"/>
  <c r="X1000" i="1" s="1"/>
  <c r="S1000" i="1"/>
  <c r="U1000" i="1" s="1"/>
  <c r="P1000" i="1"/>
  <c r="R1000" i="1" s="1"/>
  <c r="L1000" i="1"/>
  <c r="N1000" i="1" s="1"/>
  <c r="H1000" i="1"/>
  <c r="J1000" i="1" s="1"/>
  <c r="E1000" i="1"/>
  <c r="G1000" i="1" s="1"/>
  <c r="D1000" i="1"/>
  <c r="B1000" i="1"/>
  <c r="AB999" i="1"/>
  <c r="AD999" i="1" s="1"/>
  <c r="Y999" i="1"/>
  <c r="AA999" i="1" s="1"/>
  <c r="V999" i="1"/>
  <c r="X999" i="1" s="1"/>
  <c r="S999" i="1"/>
  <c r="U999" i="1" s="1"/>
  <c r="P999" i="1"/>
  <c r="R999" i="1" s="1"/>
  <c r="L999" i="1"/>
  <c r="N999" i="1" s="1"/>
  <c r="H999" i="1"/>
  <c r="J999" i="1" s="1"/>
  <c r="E999" i="1"/>
  <c r="G999" i="1" s="1"/>
  <c r="B999" i="1"/>
  <c r="D999" i="1" s="1"/>
  <c r="AB998" i="1"/>
  <c r="AD998" i="1" s="1"/>
  <c r="Y998" i="1"/>
  <c r="AA998" i="1" s="1"/>
  <c r="V998" i="1"/>
  <c r="X998" i="1" s="1"/>
  <c r="S998" i="1"/>
  <c r="U998" i="1" s="1"/>
  <c r="P998" i="1"/>
  <c r="R998" i="1" s="1"/>
  <c r="L998" i="1"/>
  <c r="N998" i="1" s="1"/>
  <c r="E998" i="1"/>
  <c r="G998" i="1" s="1"/>
  <c r="B998" i="1"/>
  <c r="D998" i="1" s="1"/>
  <c r="AB997" i="1"/>
  <c r="AD997" i="1" s="1"/>
  <c r="Y997" i="1"/>
  <c r="AA997" i="1" s="1"/>
  <c r="V997" i="1"/>
  <c r="X997" i="1" s="1"/>
  <c r="S997" i="1"/>
  <c r="U997" i="1" s="1"/>
  <c r="P997" i="1"/>
  <c r="R997" i="1" s="1"/>
  <c r="N997" i="1"/>
  <c r="L997" i="1"/>
  <c r="E997" i="1"/>
  <c r="G997" i="1" s="1"/>
  <c r="B997" i="1"/>
  <c r="D997" i="1" s="1"/>
  <c r="AB996" i="1"/>
  <c r="AD996" i="1" s="1"/>
  <c r="Y996" i="1"/>
  <c r="AA996" i="1" s="1"/>
  <c r="V996" i="1"/>
  <c r="X996" i="1" s="1"/>
  <c r="S996" i="1"/>
  <c r="U996" i="1" s="1"/>
  <c r="P996" i="1"/>
  <c r="R996" i="1" s="1"/>
  <c r="L996" i="1"/>
  <c r="N996" i="1" s="1"/>
  <c r="H996" i="1"/>
  <c r="E996" i="1"/>
  <c r="G996" i="1" s="1"/>
  <c r="B996" i="1"/>
  <c r="D996" i="1" s="1"/>
  <c r="AB995" i="1"/>
  <c r="AD995" i="1" s="1"/>
  <c r="Y995" i="1"/>
  <c r="AA995" i="1" s="1"/>
  <c r="V995" i="1"/>
  <c r="X995" i="1" s="1"/>
  <c r="S995" i="1"/>
  <c r="U995" i="1" s="1"/>
  <c r="P995" i="1"/>
  <c r="R995" i="1" s="1"/>
  <c r="L995" i="1"/>
  <c r="N995" i="1" s="1"/>
  <c r="H995" i="1"/>
  <c r="J995" i="1" s="1"/>
  <c r="G995" i="1"/>
  <c r="E995" i="1"/>
  <c r="B995" i="1"/>
  <c r="D995" i="1" s="1"/>
  <c r="AB994" i="1"/>
  <c r="AD994" i="1" s="1"/>
  <c r="Y994" i="1"/>
  <c r="AA994" i="1" s="1"/>
  <c r="V994" i="1"/>
  <c r="X994" i="1" s="1"/>
  <c r="S994" i="1"/>
  <c r="U994" i="1" s="1"/>
  <c r="P994" i="1"/>
  <c r="R994" i="1" s="1"/>
  <c r="L994" i="1"/>
  <c r="N994" i="1" s="1"/>
  <c r="H994" i="1"/>
  <c r="J994" i="1" s="1"/>
  <c r="E994" i="1"/>
  <c r="G994" i="1" s="1"/>
  <c r="B994" i="1"/>
  <c r="D994" i="1" s="1"/>
  <c r="AB993" i="1"/>
  <c r="AD993" i="1" s="1"/>
  <c r="Y993" i="1"/>
  <c r="AA993" i="1" s="1"/>
  <c r="V993" i="1"/>
  <c r="X993" i="1" s="1"/>
  <c r="S993" i="1"/>
  <c r="U993" i="1" s="1"/>
  <c r="P993" i="1"/>
  <c r="R993" i="1" s="1"/>
  <c r="L993" i="1"/>
  <c r="N993" i="1" s="1"/>
  <c r="J993" i="1"/>
  <c r="H993" i="1"/>
  <c r="E993" i="1"/>
  <c r="G993" i="1" s="1"/>
  <c r="B993" i="1"/>
  <c r="D993" i="1" s="1"/>
  <c r="AD992" i="1"/>
  <c r="AB992" i="1"/>
  <c r="Y992" i="1"/>
  <c r="AA992" i="1" s="1"/>
  <c r="V992" i="1"/>
  <c r="X992" i="1" s="1"/>
  <c r="S992" i="1"/>
  <c r="U992" i="1" s="1"/>
  <c r="R992" i="1"/>
  <c r="P992" i="1"/>
  <c r="L992" i="1"/>
  <c r="N992" i="1" s="1"/>
  <c r="H992" i="1"/>
  <c r="J992" i="1" s="1"/>
  <c r="E992" i="1"/>
  <c r="G992" i="1" s="1"/>
  <c r="D992" i="1"/>
  <c r="B992" i="1"/>
  <c r="AB991" i="1"/>
  <c r="AD991" i="1" s="1"/>
  <c r="Y991" i="1"/>
  <c r="AA991" i="1" s="1"/>
  <c r="V991" i="1"/>
  <c r="X991" i="1" s="1"/>
  <c r="S991" i="1"/>
  <c r="U991" i="1" s="1"/>
  <c r="P991" i="1"/>
  <c r="R991" i="1" s="1"/>
  <c r="L991" i="1"/>
  <c r="N991" i="1" s="1"/>
  <c r="H991" i="1"/>
  <c r="J991" i="1" s="1"/>
  <c r="E991" i="1"/>
  <c r="G991" i="1" s="1"/>
  <c r="B991" i="1"/>
  <c r="D991" i="1" s="1"/>
  <c r="AB990" i="1"/>
  <c r="AD990" i="1" s="1"/>
  <c r="Y990" i="1"/>
  <c r="AA990" i="1" s="1"/>
  <c r="V990" i="1"/>
  <c r="X990" i="1" s="1"/>
  <c r="S990" i="1"/>
  <c r="U990" i="1" s="1"/>
  <c r="P990" i="1"/>
  <c r="R990" i="1" s="1"/>
  <c r="L990" i="1"/>
  <c r="N990" i="1" s="1"/>
  <c r="H990" i="1"/>
  <c r="J990" i="1" s="1"/>
  <c r="E990" i="1"/>
  <c r="G990" i="1" s="1"/>
  <c r="B990" i="1"/>
  <c r="D990" i="1" s="1"/>
  <c r="AB989" i="1"/>
  <c r="AD989" i="1" s="1"/>
  <c r="Y989" i="1"/>
  <c r="AA989" i="1" s="1"/>
  <c r="V989" i="1"/>
  <c r="X989" i="1" s="1"/>
  <c r="S989" i="1"/>
  <c r="U989" i="1" s="1"/>
  <c r="P989" i="1"/>
  <c r="R989" i="1" s="1"/>
  <c r="L989" i="1"/>
  <c r="N989" i="1" s="1"/>
  <c r="H989" i="1"/>
  <c r="J989" i="1" s="1"/>
  <c r="E989" i="1"/>
  <c r="G989" i="1" s="1"/>
  <c r="B989" i="1"/>
  <c r="D989" i="1" s="1"/>
  <c r="AB988" i="1"/>
  <c r="AD988" i="1" s="1"/>
  <c r="AA988" i="1"/>
  <c r="Y988" i="1"/>
  <c r="V988" i="1"/>
  <c r="X988" i="1" s="1"/>
  <c r="S988" i="1"/>
  <c r="U988" i="1" s="1"/>
  <c r="P988" i="1"/>
  <c r="R988" i="1" s="1"/>
  <c r="L988" i="1"/>
  <c r="N988" i="1" s="1"/>
  <c r="J988" i="1"/>
  <c r="E988" i="1"/>
  <c r="G988" i="1" s="1"/>
  <c r="B988" i="1"/>
  <c r="D988" i="1" s="1"/>
  <c r="AB987" i="1"/>
  <c r="AD987" i="1" s="1"/>
  <c r="Y987" i="1"/>
  <c r="AA987" i="1" s="1"/>
  <c r="V987" i="1"/>
  <c r="X987" i="1" s="1"/>
  <c r="S987" i="1"/>
  <c r="U987" i="1" s="1"/>
  <c r="P987" i="1"/>
  <c r="R987" i="1" s="1"/>
  <c r="L987" i="1"/>
  <c r="N987" i="1" s="1"/>
  <c r="H987" i="1"/>
  <c r="E987" i="1"/>
  <c r="G987" i="1" s="1"/>
  <c r="B987" i="1"/>
  <c r="D987" i="1" s="1"/>
  <c r="AB986" i="1"/>
  <c r="AD986" i="1" s="1"/>
  <c r="Y986" i="1"/>
  <c r="AA986" i="1" s="1"/>
  <c r="V986" i="1"/>
  <c r="X986" i="1" s="1"/>
  <c r="S986" i="1"/>
  <c r="U986" i="1" s="1"/>
  <c r="P986" i="1"/>
  <c r="R986" i="1" s="1"/>
  <c r="L986" i="1"/>
  <c r="N986" i="1" s="1"/>
  <c r="H986" i="1"/>
  <c r="J986" i="1" s="1"/>
  <c r="E986" i="1"/>
  <c r="G986" i="1" s="1"/>
  <c r="B986" i="1"/>
  <c r="D986" i="1" s="1"/>
  <c r="AB985" i="1"/>
  <c r="AD985" i="1" s="1"/>
  <c r="Y985" i="1"/>
  <c r="AA985" i="1" s="1"/>
  <c r="V985" i="1"/>
  <c r="X985" i="1" s="1"/>
  <c r="S985" i="1"/>
  <c r="U985" i="1" s="1"/>
  <c r="P985" i="1"/>
  <c r="R985" i="1" s="1"/>
  <c r="L985" i="1"/>
  <c r="N985" i="1" s="1"/>
  <c r="H985" i="1"/>
  <c r="J985" i="1" s="1"/>
  <c r="E985" i="1"/>
  <c r="G985" i="1" s="1"/>
  <c r="B985" i="1"/>
  <c r="D985" i="1" s="1"/>
  <c r="AB984" i="1"/>
  <c r="AD984" i="1" s="1"/>
  <c r="Y984" i="1"/>
  <c r="AA984" i="1" s="1"/>
  <c r="V984" i="1"/>
  <c r="X984" i="1" s="1"/>
  <c r="S984" i="1"/>
  <c r="U984" i="1" s="1"/>
  <c r="P984" i="1"/>
  <c r="R984" i="1" s="1"/>
  <c r="L984" i="1"/>
  <c r="N984" i="1" s="1"/>
  <c r="J984" i="1"/>
  <c r="H984" i="1"/>
  <c r="E984" i="1"/>
  <c r="G984" i="1" s="1"/>
  <c r="B984" i="1"/>
  <c r="D984" i="1" s="1"/>
  <c r="AB983" i="1"/>
  <c r="AD983" i="1" s="1"/>
  <c r="Y983" i="1"/>
  <c r="AA983" i="1" s="1"/>
  <c r="V983" i="1"/>
  <c r="X983" i="1" s="1"/>
  <c r="S983" i="1"/>
  <c r="U983" i="1" s="1"/>
  <c r="P983" i="1"/>
  <c r="R983" i="1" s="1"/>
  <c r="L983" i="1"/>
  <c r="N983" i="1" s="1"/>
  <c r="E983" i="1"/>
  <c r="G983" i="1" s="1"/>
  <c r="B983" i="1"/>
  <c r="D983" i="1" s="1"/>
  <c r="AB982" i="1"/>
  <c r="AD982" i="1" s="1"/>
  <c r="Y982" i="1"/>
  <c r="AA982" i="1" s="1"/>
  <c r="V982" i="1"/>
  <c r="X982" i="1" s="1"/>
  <c r="S982" i="1"/>
  <c r="U982" i="1" s="1"/>
  <c r="P982" i="1"/>
  <c r="R982" i="1" s="1"/>
  <c r="L982" i="1"/>
  <c r="N982" i="1" s="1"/>
  <c r="H982" i="1"/>
  <c r="E982" i="1"/>
  <c r="G982" i="1" s="1"/>
  <c r="B982" i="1"/>
  <c r="D982" i="1" s="1"/>
  <c r="AB981" i="1"/>
  <c r="AD981" i="1" s="1"/>
  <c r="Y981" i="1"/>
  <c r="AA981" i="1" s="1"/>
  <c r="V981" i="1"/>
  <c r="X981" i="1" s="1"/>
  <c r="S981" i="1"/>
  <c r="U981" i="1" s="1"/>
  <c r="P981" i="1"/>
  <c r="R981" i="1" s="1"/>
  <c r="L981" i="1"/>
  <c r="N981" i="1" s="1"/>
  <c r="H981" i="1"/>
  <c r="J981" i="1" s="1"/>
  <c r="E981" i="1"/>
  <c r="G981" i="1" s="1"/>
  <c r="B981" i="1"/>
  <c r="D981" i="1" s="1"/>
  <c r="AB980" i="1"/>
  <c r="AD980" i="1" s="1"/>
  <c r="Y980" i="1"/>
  <c r="AA980" i="1" s="1"/>
  <c r="V980" i="1"/>
  <c r="X980" i="1" s="1"/>
  <c r="S980" i="1"/>
  <c r="U980" i="1" s="1"/>
  <c r="P980" i="1"/>
  <c r="R980" i="1" s="1"/>
  <c r="L980" i="1"/>
  <c r="N980" i="1" s="1"/>
  <c r="H980" i="1"/>
  <c r="J980" i="1" s="1"/>
  <c r="E980" i="1"/>
  <c r="G980" i="1" s="1"/>
  <c r="B980" i="1"/>
  <c r="D980" i="1" s="1"/>
  <c r="AB979" i="1"/>
  <c r="AD979" i="1" s="1"/>
  <c r="Y979" i="1"/>
  <c r="AA979" i="1" s="1"/>
  <c r="V979" i="1"/>
  <c r="X979" i="1" s="1"/>
  <c r="S979" i="1"/>
  <c r="U979" i="1" s="1"/>
  <c r="P979" i="1"/>
  <c r="R979" i="1" s="1"/>
  <c r="L979" i="1"/>
  <c r="N979" i="1" s="1"/>
  <c r="H979" i="1"/>
  <c r="J979" i="1" s="1"/>
  <c r="E979" i="1"/>
  <c r="G979" i="1" s="1"/>
  <c r="B979" i="1"/>
  <c r="D979" i="1" s="1"/>
  <c r="AB978" i="1"/>
  <c r="AD978" i="1" s="1"/>
  <c r="Y978" i="1"/>
  <c r="AA978" i="1" s="1"/>
  <c r="V978" i="1"/>
  <c r="X978" i="1" s="1"/>
  <c r="S978" i="1"/>
  <c r="U978" i="1" s="1"/>
  <c r="P978" i="1"/>
  <c r="R978" i="1" s="1"/>
  <c r="L978" i="1"/>
  <c r="N978" i="1" s="1"/>
  <c r="H978" i="1"/>
  <c r="J978" i="1" s="1"/>
  <c r="E978" i="1"/>
  <c r="G978" i="1" s="1"/>
  <c r="B978" i="1"/>
  <c r="D978" i="1" s="1"/>
  <c r="AB977" i="1"/>
  <c r="AD977" i="1" s="1"/>
  <c r="Y977" i="1"/>
  <c r="AA977" i="1" s="1"/>
  <c r="V977" i="1"/>
  <c r="X977" i="1" s="1"/>
  <c r="S977" i="1"/>
  <c r="U977" i="1" s="1"/>
  <c r="P977" i="1"/>
  <c r="R977" i="1" s="1"/>
  <c r="L977" i="1"/>
  <c r="N977" i="1" s="1"/>
  <c r="H977" i="1"/>
  <c r="J977" i="1" s="1"/>
  <c r="E977" i="1"/>
  <c r="G977" i="1" s="1"/>
  <c r="B977" i="1"/>
  <c r="D977" i="1" s="1"/>
  <c r="AB976" i="1"/>
  <c r="AD976" i="1" s="1"/>
  <c r="Y976" i="1"/>
  <c r="AA976" i="1" s="1"/>
  <c r="V976" i="1"/>
  <c r="X976" i="1" s="1"/>
  <c r="S976" i="1"/>
  <c r="U976" i="1" s="1"/>
  <c r="P976" i="1"/>
  <c r="R976" i="1" s="1"/>
  <c r="L976" i="1"/>
  <c r="N976" i="1" s="1"/>
  <c r="H976" i="1"/>
  <c r="J976" i="1" s="1"/>
  <c r="E976" i="1"/>
  <c r="G976" i="1" s="1"/>
  <c r="B976" i="1"/>
  <c r="D976" i="1" s="1"/>
  <c r="AB975" i="1"/>
  <c r="AD975" i="1" s="1"/>
  <c r="Y975" i="1"/>
  <c r="AA975" i="1" s="1"/>
  <c r="V975" i="1"/>
  <c r="X975" i="1" s="1"/>
  <c r="S975" i="1"/>
  <c r="U975" i="1" s="1"/>
  <c r="P975" i="1"/>
  <c r="R975" i="1" s="1"/>
  <c r="L975" i="1"/>
  <c r="N975" i="1" s="1"/>
  <c r="H975" i="1"/>
  <c r="J975" i="1" s="1"/>
  <c r="E975" i="1"/>
  <c r="G975" i="1" s="1"/>
  <c r="B975" i="1"/>
  <c r="D975" i="1" s="1"/>
  <c r="AB974" i="1"/>
  <c r="AD974" i="1" s="1"/>
  <c r="Y974" i="1"/>
  <c r="AA974" i="1" s="1"/>
  <c r="V974" i="1"/>
  <c r="X974" i="1" s="1"/>
  <c r="S974" i="1"/>
  <c r="U974" i="1" s="1"/>
  <c r="P974" i="1"/>
  <c r="R974" i="1" s="1"/>
  <c r="L974" i="1"/>
  <c r="N974" i="1" s="1"/>
  <c r="H974" i="1"/>
  <c r="J974" i="1" s="1"/>
  <c r="E974" i="1"/>
  <c r="G974" i="1" s="1"/>
  <c r="B974" i="1"/>
  <c r="D974" i="1" s="1"/>
  <c r="AB973" i="1"/>
  <c r="AD973" i="1" s="1"/>
  <c r="Y973" i="1"/>
  <c r="AA973" i="1" s="1"/>
  <c r="V973" i="1"/>
  <c r="X973" i="1" s="1"/>
  <c r="S973" i="1"/>
  <c r="U973" i="1" s="1"/>
  <c r="P973" i="1"/>
  <c r="R973" i="1" s="1"/>
  <c r="L973" i="1"/>
  <c r="N973" i="1" s="1"/>
  <c r="H973" i="1"/>
  <c r="J973" i="1" s="1"/>
  <c r="E973" i="1"/>
  <c r="G973" i="1" s="1"/>
  <c r="B973" i="1"/>
  <c r="D973" i="1" s="1"/>
  <c r="AB972" i="1"/>
  <c r="AD972" i="1" s="1"/>
  <c r="Y972" i="1"/>
  <c r="AA972" i="1" s="1"/>
  <c r="V972" i="1"/>
  <c r="X972" i="1" s="1"/>
  <c r="U972" i="1"/>
  <c r="S972" i="1"/>
  <c r="P972" i="1"/>
  <c r="R972" i="1" s="1"/>
  <c r="L972" i="1"/>
  <c r="N972" i="1" s="1"/>
  <c r="H972" i="1"/>
  <c r="J972" i="1" s="1"/>
  <c r="E972" i="1"/>
  <c r="G972" i="1" s="1"/>
  <c r="B972" i="1"/>
  <c r="D972" i="1" s="1"/>
  <c r="AB971" i="1"/>
  <c r="AD971" i="1" s="1"/>
  <c r="Y971" i="1"/>
  <c r="AA971" i="1" s="1"/>
  <c r="V971" i="1"/>
  <c r="X971" i="1" s="1"/>
  <c r="S971" i="1"/>
  <c r="U971" i="1" s="1"/>
  <c r="P971" i="1"/>
  <c r="R971" i="1" s="1"/>
  <c r="L971" i="1"/>
  <c r="N971" i="1" s="1"/>
  <c r="H971" i="1"/>
  <c r="J971" i="1" s="1"/>
  <c r="E971" i="1"/>
  <c r="G971" i="1" s="1"/>
  <c r="B971" i="1"/>
  <c r="D971" i="1" s="1"/>
  <c r="AB970" i="1"/>
  <c r="AD970" i="1" s="1"/>
  <c r="Y970" i="1"/>
  <c r="AA970" i="1" s="1"/>
  <c r="V970" i="1"/>
  <c r="X970" i="1" s="1"/>
  <c r="AI970" i="1" s="1"/>
  <c r="S970" i="1"/>
  <c r="U970" i="1" s="1"/>
  <c r="P970" i="1"/>
  <c r="R970" i="1" s="1"/>
  <c r="L970" i="1"/>
  <c r="N970" i="1" s="1"/>
  <c r="H970" i="1"/>
  <c r="J970" i="1" s="1"/>
  <c r="E970" i="1"/>
  <c r="G970" i="1" s="1"/>
  <c r="B970" i="1"/>
  <c r="D970" i="1" s="1"/>
  <c r="AB969" i="1"/>
  <c r="AD969" i="1" s="1"/>
  <c r="Y969" i="1"/>
  <c r="AA969" i="1" s="1"/>
  <c r="V969" i="1"/>
  <c r="X969" i="1" s="1"/>
  <c r="S969" i="1"/>
  <c r="U969" i="1" s="1"/>
  <c r="P969" i="1"/>
  <c r="R969" i="1" s="1"/>
  <c r="N969" i="1"/>
  <c r="L969" i="1"/>
  <c r="H969" i="1"/>
  <c r="J969" i="1" s="1"/>
  <c r="E969" i="1"/>
  <c r="G969" i="1" s="1"/>
  <c r="B969" i="1"/>
  <c r="D969" i="1" s="1"/>
  <c r="AB968" i="1"/>
  <c r="AD968" i="1" s="1"/>
  <c r="Y968" i="1"/>
  <c r="AA968" i="1" s="1"/>
  <c r="V968" i="1"/>
  <c r="X968" i="1" s="1"/>
  <c r="S968" i="1"/>
  <c r="U968" i="1" s="1"/>
  <c r="P968" i="1"/>
  <c r="R968" i="1" s="1"/>
  <c r="L968" i="1"/>
  <c r="N968" i="1" s="1"/>
  <c r="H968" i="1"/>
  <c r="J968" i="1" s="1"/>
  <c r="G968" i="1"/>
  <c r="E968" i="1"/>
  <c r="B968" i="1"/>
  <c r="D968" i="1" s="1"/>
  <c r="AB967" i="1"/>
  <c r="AD967" i="1" s="1"/>
  <c r="Y967" i="1"/>
  <c r="AA967" i="1" s="1"/>
  <c r="V967" i="1"/>
  <c r="X967" i="1" s="1"/>
  <c r="S967" i="1"/>
  <c r="U967" i="1" s="1"/>
  <c r="P967" i="1"/>
  <c r="R967" i="1" s="1"/>
  <c r="L967" i="1"/>
  <c r="N967" i="1" s="1"/>
  <c r="H967" i="1"/>
  <c r="J967" i="1" s="1"/>
  <c r="E967" i="1"/>
  <c r="G967" i="1" s="1"/>
  <c r="B967" i="1"/>
  <c r="D967" i="1" s="1"/>
  <c r="AB966" i="1"/>
  <c r="AD966" i="1" s="1"/>
  <c r="Y966" i="1"/>
  <c r="AA966" i="1" s="1"/>
  <c r="V966" i="1"/>
  <c r="X966" i="1" s="1"/>
  <c r="S966" i="1"/>
  <c r="U966" i="1" s="1"/>
  <c r="P966" i="1"/>
  <c r="R966" i="1" s="1"/>
  <c r="L966" i="1"/>
  <c r="N966" i="1" s="1"/>
  <c r="J966" i="1"/>
  <c r="H966" i="1"/>
  <c r="E966" i="1"/>
  <c r="G966" i="1" s="1"/>
  <c r="B966" i="1"/>
  <c r="D966" i="1" s="1"/>
  <c r="AD965" i="1"/>
  <c r="AB965" i="1"/>
  <c r="Y965" i="1"/>
  <c r="AA965" i="1" s="1"/>
  <c r="V965" i="1"/>
  <c r="X965" i="1" s="1"/>
  <c r="S965" i="1"/>
  <c r="U965" i="1" s="1"/>
  <c r="R965" i="1"/>
  <c r="P965" i="1"/>
  <c r="L965" i="1"/>
  <c r="N965" i="1" s="1"/>
  <c r="H965" i="1"/>
  <c r="J965" i="1" s="1"/>
  <c r="E965" i="1"/>
  <c r="G965" i="1" s="1"/>
  <c r="D965" i="1"/>
  <c r="B965" i="1"/>
  <c r="AB964" i="1"/>
  <c r="AD964" i="1" s="1"/>
  <c r="Y964" i="1"/>
  <c r="AA964" i="1" s="1"/>
  <c r="V964" i="1"/>
  <c r="X964" i="1" s="1"/>
  <c r="S964" i="1"/>
  <c r="U964" i="1" s="1"/>
  <c r="P964" i="1"/>
  <c r="R964" i="1" s="1"/>
  <c r="L964" i="1"/>
  <c r="N964" i="1" s="1"/>
  <c r="H964" i="1"/>
  <c r="J964" i="1" s="1"/>
  <c r="E964" i="1"/>
  <c r="G964" i="1" s="1"/>
  <c r="B964" i="1"/>
  <c r="D964" i="1" s="1"/>
  <c r="AB963" i="1"/>
  <c r="AD963" i="1" s="1"/>
  <c r="Y963" i="1"/>
  <c r="AA963" i="1" s="1"/>
  <c r="V963" i="1"/>
  <c r="X963" i="1" s="1"/>
  <c r="S963" i="1"/>
  <c r="U963" i="1" s="1"/>
  <c r="P963" i="1"/>
  <c r="R963" i="1" s="1"/>
  <c r="L963" i="1"/>
  <c r="N963" i="1" s="1"/>
  <c r="H963" i="1"/>
  <c r="J963" i="1" s="1"/>
  <c r="E963" i="1"/>
  <c r="G963" i="1" s="1"/>
  <c r="B963" i="1"/>
  <c r="D963" i="1" s="1"/>
  <c r="AB962" i="1"/>
  <c r="AD962" i="1" s="1"/>
  <c r="Y962" i="1"/>
  <c r="AA962" i="1" s="1"/>
  <c r="V962" i="1"/>
  <c r="X962" i="1" s="1"/>
  <c r="AI962" i="1" s="1"/>
  <c r="S962" i="1"/>
  <c r="U962" i="1" s="1"/>
  <c r="P962" i="1"/>
  <c r="R962" i="1" s="1"/>
  <c r="L962" i="1"/>
  <c r="N962" i="1" s="1"/>
  <c r="H962" i="1"/>
  <c r="J962" i="1" s="1"/>
  <c r="E962" i="1"/>
  <c r="G962" i="1" s="1"/>
  <c r="B962" i="1"/>
  <c r="D962" i="1" s="1"/>
  <c r="AB961" i="1"/>
  <c r="AD961" i="1" s="1"/>
  <c r="AA961" i="1"/>
  <c r="Y961" i="1"/>
  <c r="V961" i="1"/>
  <c r="X961" i="1" s="1"/>
  <c r="S961" i="1"/>
  <c r="U961" i="1" s="1"/>
  <c r="P961" i="1"/>
  <c r="R961" i="1" s="1"/>
  <c r="L961" i="1"/>
  <c r="N961" i="1" s="1"/>
  <c r="H961" i="1"/>
  <c r="J961" i="1" s="1"/>
  <c r="E961" i="1"/>
  <c r="G961" i="1" s="1"/>
  <c r="B961" i="1"/>
  <c r="D961" i="1" s="1"/>
  <c r="AB960" i="1"/>
  <c r="AD960" i="1" s="1"/>
  <c r="Y960" i="1"/>
  <c r="AA960" i="1" s="1"/>
  <c r="V960" i="1"/>
  <c r="X960" i="1" s="1"/>
  <c r="S960" i="1"/>
  <c r="U960" i="1" s="1"/>
  <c r="P960" i="1"/>
  <c r="R960" i="1" s="1"/>
  <c r="L960" i="1"/>
  <c r="N960" i="1" s="1"/>
  <c r="H960" i="1"/>
  <c r="J960" i="1" s="1"/>
  <c r="E960" i="1"/>
  <c r="G960" i="1" s="1"/>
  <c r="B960" i="1"/>
  <c r="D960" i="1" s="1"/>
  <c r="AB959" i="1"/>
  <c r="AD959" i="1" s="1"/>
  <c r="Y959" i="1"/>
  <c r="AA959" i="1" s="1"/>
  <c r="V959" i="1"/>
  <c r="X959" i="1" s="1"/>
  <c r="S959" i="1"/>
  <c r="U959" i="1" s="1"/>
  <c r="P959" i="1"/>
  <c r="R959" i="1" s="1"/>
  <c r="L959" i="1"/>
  <c r="N959" i="1" s="1"/>
  <c r="H959" i="1"/>
  <c r="J959" i="1" s="1"/>
  <c r="E959" i="1"/>
  <c r="G959" i="1" s="1"/>
  <c r="B959" i="1"/>
  <c r="D959" i="1" s="1"/>
  <c r="AB958" i="1"/>
  <c r="AD958" i="1" s="1"/>
  <c r="Y958" i="1"/>
  <c r="AA958" i="1" s="1"/>
  <c r="V958" i="1"/>
  <c r="X958" i="1" s="1"/>
  <c r="S958" i="1"/>
  <c r="U958" i="1" s="1"/>
  <c r="P958" i="1"/>
  <c r="R958" i="1" s="1"/>
  <c r="L958" i="1"/>
  <c r="N958" i="1" s="1"/>
  <c r="H958" i="1"/>
  <c r="J958" i="1" s="1"/>
  <c r="E958" i="1"/>
  <c r="G958" i="1" s="1"/>
  <c r="B958" i="1"/>
  <c r="D958" i="1" s="1"/>
  <c r="AB957" i="1"/>
  <c r="AD957" i="1" s="1"/>
  <c r="Y957" i="1"/>
  <c r="AA957" i="1" s="1"/>
  <c r="V957" i="1"/>
  <c r="X957" i="1" s="1"/>
  <c r="S957" i="1"/>
  <c r="U957" i="1" s="1"/>
  <c r="P957" i="1"/>
  <c r="R957" i="1" s="1"/>
  <c r="L957" i="1"/>
  <c r="N957" i="1" s="1"/>
  <c r="H957" i="1"/>
  <c r="J957" i="1" s="1"/>
  <c r="E957" i="1"/>
  <c r="G957" i="1" s="1"/>
  <c r="B957" i="1"/>
  <c r="D957" i="1" s="1"/>
  <c r="AB956" i="1"/>
  <c r="AD956" i="1" s="1"/>
  <c r="Y956" i="1"/>
  <c r="AA956" i="1" s="1"/>
  <c r="V956" i="1"/>
  <c r="X956" i="1" s="1"/>
  <c r="S956" i="1"/>
  <c r="U956" i="1" s="1"/>
  <c r="P956" i="1"/>
  <c r="R956" i="1" s="1"/>
  <c r="L956" i="1"/>
  <c r="N956" i="1" s="1"/>
  <c r="H956" i="1"/>
  <c r="J956" i="1" s="1"/>
  <c r="E956" i="1"/>
  <c r="G956" i="1" s="1"/>
  <c r="B956" i="1"/>
  <c r="D956" i="1" s="1"/>
  <c r="AB955" i="1"/>
  <c r="AD955" i="1" s="1"/>
  <c r="Y955" i="1"/>
  <c r="AA955" i="1" s="1"/>
  <c r="V955" i="1"/>
  <c r="X955" i="1" s="1"/>
  <c r="S955" i="1"/>
  <c r="U955" i="1" s="1"/>
  <c r="P955" i="1"/>
  <c r="R955" i="1" s="1"/>
  <c r="L955" i="1"/>
  <c r="N955" i="1" s="1"/>
  <c r="H955" i="1"/>
  <c r="J955" i="1" s="1"/>
  <c r="E955" i="1"/>
  <c r="G955" i="1" s="1"/>
  <c r="B955" i="1"/>
  <c r="D955" i="1" s="1"/>
  <c r="AB954" i="1"/>
  <c r="AD954" i="1" s="1"/>
  <c r="Y954" i="1"/>
  <c r="AA954" i="1" s="1"/>
  <c r="V954" i="1"/>
  <c r="X954" i="1" s="1"/>
  <c r="S954" i="1"/>
  <c r="U954" i="1" s="1"/>
  <c r="P954" i="1"/>
  <c r="R954" i="1" s="1"/>
  <c r="L954" i="1"/>
  <c r="N954" i="1" s="1"/>
  <c r="H954" i="1"/>
  <c r="J954" i="1" s="1"/>
  <c r="E954" i="1"/>
  <c r="G954" i="1" s="1"/>
  <c r="B954" i="1"/>
  <c r="D954" i="1" s="1"/>
  <c r="AB953" i="1"/>
  <c r="AD953" i="1" s="1"/>
  <c r="Y953" i="1"/>
  <c r="AA953" i="1" s="1"/>
  <c r="V953" i="1"/>
  <c r="X953" i="1" s="1"/>
  <c r="S953" i="1"/>
  <c r="U953" i="1" s="1"/>
  <c r="P953" i="1"/>
  <c r="R953" i="1" s="1"/>
  <c r="L953" i="1"/>
  <c r="N953" i="1" s="1"/>
  <c r="H953" i="1"/>
  <c r="J953" i="1" s="1"/>
  <c r="E953" i="1"/>
  <c r="G953" i="1" s="1"/>
  <c r="B953" i="1"/>
  <c r="D953" i="1" s="1"/>
  <c r="AB952" i="1"/>
  <c r="AD952" i="1" s="1"/>
  <c r="Y952" i="1"/>
  <c r="AA952" i="1" s="1"/>
  <c r="V952" i="1"/>
  <c r="X952" i="1" s="1"/>
  <c r="S952" i="1"/>
  <c r="U952" i="1" s="1"/>
  <c r="P952" i="1"/>
  <c r="R952" i="1" s="1"/>
  <c r="L952" i="1"/>
  <c r="N952" i="1" s="1"/>
  <c r="H952" i="1"/>
  <c r="J952" i="1" s="1"/>
  <c r="E952" i="1"/>
  <c r="G952" i="1" s="1"/>
  <c r="B952" i="1"/>
  <c r="D952" i="1" s="1"/>
  <c r="AB951" i="1"/>
  <c r="AD951" i="1" s="1"/>
  <c r="Y951" i="1"/>
  <c r="AA951" i="1" s="1"/>
  <c r="V951" i="1"/>
  <c r="X951" i="1" s="1"/>
  <c r="S951" i="1"/>
  <c r="U951" i="1" s="1"/>
  <c r="P951" i="1"/>
  <c r="R951" i="1" s="1"/>
  <c r="L951" i="1"/>
  <c r="N951" i="1" s="1"/>
  <c r="H951" i="1"/>
  <c r="J951" i="1" s="1"/>
  <c r="E951" i="1"/>
  <c r="G951" i="1" s="1"/>
  <c r="B951" i="1"/>
  <c r="D951" i="1" s="1"/>
  <c r="AB950" i="1"/>
  <c r="AD950" i="1" s="1"/>
  <c r="Y950" i="1"/>
  <c r="AA950" i="1" s="1"/>
  <c r="V950" i="1"/>
  <c r="X950" i="1" s="1"/>
  <c r="S950" i="1"/>
  <c r="U950" i="1" s="1"/>
  <c r="P950" i="1"/>
  <c r="R950" i="1" s="1"/>
  <c r="L950" i="1"/>
  <c r="N950" i="1" s="1"/>
  <c r="H950" i="1"/>
  <c r="J950" i="1" s="1"/>
  <c r="E950" i="1"/>
  <c r="G950" i="1" s="1"/>
  <c r="B950" i="1"/>
  <c r="D950" i="1" s="1"/>
  <c r="AB949" i="1"/>
  <c r="AD949" i="1" s="1"/>
  <c r="Y949" i="1"/>
  <c r="AA949" i="1" s="1"/>
  <c r="V949" i="1"/>
  <c r="X949" i="1" s="1"/>
  <c r="U949" i="1"/>
  <c r="S949" i="1"/>
  <c r="P949" i="1"/>
  <c r="R949" i="1" s="1"/>
  <c r="L949" i="1"/>
  <c r="N949" i="1" s="1"/>
  <c r="H949" i="1"/>
  <c r="J949" i="1" s="1"/>
  <c r="E949" i="1"/>
  <c r="G949" i="1" s="1"/>
  <c r="B949" i="1"/>
  <c r="D949" i="1" s="1"/>
  <c r="AB948" i="1"/>
  <c r="AD948" i="1" s="1"/>
  <c r="Y948" i="1"/>
  <c r="AA948" i="1" s="1"/>
  <c r="V948" i="1"/>
  <c r="X948" i="1" s="1"/>
  <c r="S948" i="1"/>
  <c r="U948" i="1" s="1"/>
  <c r="P948" i="1"/>
  <c r="R948" i="1" s="1"/>
  <c r="L948" i="1"/>
  <c r="N948" i="1" s="1"/>
  <c r="H948" i="1"/>
  <c r="J948" i="1" s="1"/>
  <c r="E948" i="1"/>
  <c r="G948" i="1" s="1"/>
  <c r="B948" i="1"/>
  <c r="D948" i="1" s="1"/>
  <c r="AB947" i="1"/>
  <c r="AD947" i="1" s="1"/>
  <c r="AA947" i="1"/>
  <c r="Y947" i="1"/>
  <c r="V947" i="1"/>
  <c r="X947" i="1" s="1"/>
  <c r="S947" i="1"/>
  <c r="U947" i="1" s="1"/>
  <c r="P947" i="1"/>
  <c r="R947" i="1" s="1"/>
  <c r="N947" i="1"/>
  <c r="L947" i="1"/>
  <c r="H947" i="1"/>
  <c r="J947" i="1" s="1"/>
  <c r="E947" i="1"/>
  <c r="G947" i="1" s="1"/>
  <c r="B947" i="1"/>
  <c r="D947" i="1" s="1"/>
  <c r="AB946" i="1"/>
  <c r="AD946" i="1" s="1"/>
  <c r="Y946" i="1"/>
  <c r="AA946" i="1" s="1"/>
  <c r="V946" i="1"/>
  <c r="X946" i="1" s="1"/>
  <c r="S946" i="1"/>
  <c r="U946" i="1" s="1"/>
  <c r="P946" i="1"/>
  <c r="R946" i="1" s="1"/>
  <c r="L946" i="1"/>
  <c r="N946" i="1" s="1"/>
  <c r="H946" i="1"/>
  <c r="J946" i="1" s="1"/>
  <c r="E946" i="1"/>
  <c r="G946" i="1" s="1"/>
  <c r="B946" i="1"/>
  <c r="D946" i="1" s="1"/>
  <c r="AB945" i="1"/>
  <c r="AD945" i="1" s="1"/>
  <c r="Y945" i="1"/>
  <c r="AA945" i="1" s="1"/>
  <c r="V945" i="1"/>
  <c r="X945" i="1" s="1"/>
  <c r="S945" i="1"/>
  <c r="U945" i="1" s="1"/>
  <c r="P945" i="1"/>
  <c r="R945" i="1" s="1"/>
  <c r="L945" i="1"/>
  <c r="N945" i="1" s="1"/>
  <c r="H945" i="1"/>
  <c r="J945" i="1" s="1"/>
  <c r="E945" i="1"/>
  <c r="G945" i="1" s="1"/>
  <c r="B945" i="1"/>
  <c r="D945" i="1" s="1"/>
  <c r="AB944" i="1"/>
  <c r="AD944" i="1" s="1"/>
  <c r="Y944" i="1"/>
  <c r="AA944" i="1" s="1"/>
  <c r="V944" i="1"/>
  <c r="X944" i="1" s="1"/>
  <c r="S944" i="1"/>
  <c r="U944" i="1" s="1"/>
  <c r="P944" i="1"/>
  <c r="R944" i="1" s="1"/>
  <c r="L944" i="1"/>
  <c r="N944" i="1" s="1"/>
  <c r="H944" i="1"/>
  <c r="J944" i="1" s="1"/>
  <c r="E944" i="1"/>
  <c r="G944" i="1" s="1"/>
  <c r="B944" i="1"/>
  <c r="D944" i="1" s="1"/>
  <c r="AB943" i="1"/>
  <c r="AD943" i="1" s="1"/>
  <c r="Y943" i="1"/>
  <c r="AA943" i="1" s="1"/>
  <c r="V943" i="1"/>
  <c r="X943" i="1" s="1"/>
  <c r="S943" i="1"/>
  <c r="U943" i="1" s="1"/>
  <c r="P943" i="1"/>
  <c r="R943" i="1" s="1"/>
  <c r="L943" i="1"/>
  <c r="N943" i="1" s="1"/>
  <c r="H943" i="1"/>
  <c r="J943" i="1" s="1"/>
  <c r="E943" i="1"/>
  <c r="G943" i="1" s="1"/>
  <c r="B943" i="1"/>
  <c r="D943" i="1" s="1"/>
  <c r="AB942" i="1"/>
  <c r="AD942" i="1" s="1"/>
  <c r="Y942" i="1"/>
  <c r="AA942" i="1" s="1"/>
  <c r="V942" i="1"/>
  <c r="X942" i="1" s="1"/>
  <c r="S942" i="1"/>
  <c r="U942" i="1" s="1"/>
  <c r="P942" i="1"/>
  <c r="R942" i="1" s="1"/>
  <c r="L942" i="1"/>
  <c r="N942" i="1" s="1"/>
  <c r="H942" i="1"/>
  <c r="J942" i="1" s="1"/>
  <c r="E942" i="1"/>
  <c r="G942" i="1" s="1"/>
  <c r="B942" i="1"/>
  <c r="D942" i="1" s="1"/>
  <c r="AB941" i="1"/>
  <c r="AD941" i="1" s="1"/>
  <c r="Y941" i="1"/>
  <c r="AA941" i="1" s="1"/>
  <c r="V941" i="1"/>
  <c r="X941" i="1" s="1"/>
  <c r="S941" i="1"/>
  <c r="U941" i="1" s="1"/>
  <c r="P941" i="1"/>
  <c r="R941" i="1" s="1"/>
  <c r="L941" i="1"/>
  <c r="N941" i="1" s="1"/>
  <c r="H941" i="1"/>
  <c r="J941" i="1" s="1"/>
  <c r="E941" i="1"/>
  <c r="G941" i="1" s="1"/>
  <c r="B941" i="1"/>
  <c r="D941" i="1" s="1"/>
  <c r="AB940" i="1"/>
  <c r="AD940" i="1" s="1"/>
  <c r="Y940" i="1"/>
  <c r="AA940" i="1" s="1"/>
  <c r="V940" i="1"/>
  <c r="X940" i="1" s="1"/>
  <c r="U940" i="1"/>
  <c r="S940" i="1"/>
  <c r="P940" i="1"/>
  <c r="R940" i="1" s="1"/>
  <c r="L940" i="1"/>
  <c r="N940" i="1" s="1"/>
  <c r="H940" i="1"/>
  <c r="J940" i="1" s="1"/>
  <c r="E940" i="1"/>
  <c r="G940" i="1" s="1"/>
  <c r="B940" i="1"/>
  <c r="D940" i="1" s="1"/>
  <c r="AB939" i="1"/>
  <c r="AD939" i="1" s="1"/>
  <c r="Y939" i="1"/>
  <c r="AA939" i="1" s="1"/>
  <c r="V939" i="1"/>
  <c r="X939" i="1" s="1"/>
  <c r="S939" i="1"/>
  <c r="U939" i="1" s="1"/>
  <c r="P939" i="1"/>
  <c r="R939" i="1" s="1"/>
  <c r="L939" i="1"/>
  <c r="N939" i="1" s="1"/>
  <c r="H939" i="1"/>
  <c r="J939" i="1" s="1"/>
  <c r="E939" i="1"/>
  <c r="G939" i="1" s="1"/>
  <c r="B939" i="1"/>
  <c r="D939" i="1" s="1"/>
  <c r="AB938" i="1"/>
  <c r="AD938" i="1" s="1"/>
  <c r="Y938" i="1"/>
  <c r="AA938" i="1" s="1"/>
  <c r="V938" i="1"/>
  <c r="X938" i="1" s="1"/>
  <c r="S938" i="1"/>
  <c r="U938" i="1" s="1"/>
  <c r="P938" i="1"/>
  <c r="R938" i="1" s="1"/>
  <c r="L938" i="1"/>
  <c r="N938" i="1" s="1"/>
  <c r="H938" i="1"/>
  <c r="J938" i="1" s="1"/>
  <c r="E938" i="1"/>
  <c r="B938" i="1"/>
  <c r="D938" i="1" s="1"/>
  <c r="AB937" i="1"/>
  <c r="AD937" i="1" s="1"/>
  <c r="Y937" i="1"/>
  <c r="AA937" i="1" s="1"/>
  <c r="V937" i="1"/>
  <c r="X937" i="1" s="1"/>
  <c r="S937" i="1"/>
  <c r="U937" i="1" s="1"/>
  <c r="P937" i="1"/>
  <c r="R937" i="1" s="1"/>
  <c r="L937" i="1"/>
  <c r="N937" i="1" s="1"/>
  <c r="H937" i="1"/>
  <c r="J937" i="1" s="1"/>
  <c r="E937" i="1"/>
  <c r="G937" i="1" s="1"/>
  <c r="B937" i="1"/>
  <c r="D937" i="1" s="1"/>
  <c r="AD936" i="1"/>
  <c r="AB936" i="1"/>
  <c r="Y936" i="1"/>
  <c r="AA936" i="1" s="1"/>
  <c r="V936" i="1"/>
  <c r="X936" i="1" s="1"/>
  <c r="S936" i="1"/>
  <c r="U936" i="1" s="1"/>
  <c r="R936" i="1"/>
  <c r="P936" i="1"/>
  <c r="L936" i="1"/>
  <c r="N936" i="1" s="1"/>
  <c r="H936" i="1"/>
  <c r="J936" i="1" s="1"/>
  <c r="E936" i="1"/>
  <c r="G936" i="1" s="1"/>
  <c r="D936" i="1"/>
  <c r="B936" i="1"/>
  <c r="AB935" i="1"/>
  <c r="AD935" i="1" s="1"/>
  <c r="Y935" i="1"/>
  <c r="AA935" i="1" s="1"/>
  <c r="V935" i="1"/>
  <c r="X935" i="1" s="1"/>
  <c r="S935" i="1"/>
  <c r="U935" i="1" s="1"/>
  <c r="P935" i="1"/>
  <c r="R935" i="1" s="1"/>
  <c r="L935" i="1"/>
  <c r="N935" i="1" s="1"/>
  <c r="H935" i="1"/>
  <c r="J935" i="1" s="1"/>
  <c r="E935" i="1"/>
  <c r="G935" i="1" s="1"/>
  <c r="B935" i="1"/>
  <c r="D935" i="1" s="1"/>
  <c r="AB934" i="1"/>
  <c r="AD934" i="1" s="1"/>
  <c r="Y934" i="1"/>
  <c r="AA934" i="1" s="1"/>
  <c r="V934" i="1"/>
  <c r="X934" i="1" s="1"/>
  <c r="S934" i="1"/>
  <c r="U934" i="1" s="1"/>
  <c r="P934" i="1"/>
  <c r="R934" i="1" s="1"/>
  <c r="L934" i="1"/>
  <c r="N934" i="1" s="1"/>
  <c r="H934" i="1"/>
  <c r="J934" i="1" s="1"/>
  <c r="E934" i="1"/>
  <c r="G934" i="1" s="1"/>
  <c r="B934" i="1"/>
  <c r="D934" i="1" s="1"/>
  <c r="AB933" i="1"/>
  <c r="AD933" i="1" s="1"/>
  <c r="Y933" i="1"/>
  <c r="AA933" i="1" s="1"/>
  <c r="V933" i="1"/>
  <c r="X933" i="1" s="1"/>
  <c r="S933" i="1"/>
  <c r="U933" i="1" s="1"/>
  <c r="P933" i="1"/>
  <c r="R933" i="1" s="1"/>
  <c r="L933" i="1"/>
  <c r="N933" i="1" s="1"/>
  <c r="H933" i="1"/>
  <c r="J933" i="1" s="1"/>
  <c r="E933" i="1"/>
  <c r="G933" i="1" s="1"/>
  <c r="B933" i="1"/>
  <c r="D933" i="1" s="1"/>
  <c r="AB932" i="1"/>
  <c r="AD932" i="1" s="1"/>
  <c r="Y932" i="1"/>
  <c r="AA932" i="1" s="1"/>
  <c r="V932" i="1"/>
  <c r="X932" i="1" s="1"/>
  <c r="S932" i="1"/>
  <c r="U932" i="1" s="1"/>
  <c r="P932" i="1"/>
  <c r="R932" i="1" s="1"/>
  <c r="L932" i="1"/>
  <c r="N932" i="1" s="1"/>
  <c r="H932" i="1"/>
  <c r="J932" i="1" s="1"/>
  <c r="E932" i="1"/>
  <c r="G932" i="1" s="1"/>
  <c r="B932" i="1"/>
  <c r="D932" i="1" s="1"/>
  <c r="AB931" i="1"/>
  <c r="AD931" i="1" s="1"/>
  <c r="Y931" i="1"/>
  <c r="AA931" i="1" s="1"/>
  <c r="V931" i="1"/>
  <c r="X931" i="1" s="1"/>
  <c r="S931" i="1"/>
  <c r="U931" i="1" s="1"/>
  <c r="P931" i="1"/>
  <c r="R931" i="1" s="1"/>
  <c r="L931" i="1"/>
  <c r="N931" i="1" s="1"/>
  <c r="H931" i="1"/>
  <c r="J931" i="1" s="1"/>
  <c r="E931" i="1"/>
  <c r="B931" i="1"/>
  <c r="D931" i="1" s="1"/>
  <c r="AB930" i="1"/>
  <c r="AD930" i="1" s="1"/>
  <c r="Y930" i="1"/>
  <c r="AA930" i="1" s="1"/>
  <c r="V930" i="1"/>
  <c r="X930" i="1" s="1"/>
  <c r="S930" i="1"/>
  <c r="U930" i="1" s="1"/>
  <c r="P930" i="1"/>
  <c r="R930" i="1" s="1"/>
  <c r="L930" i="1"/>
  <c r="N930" i="1" s="1"/>
  <c r="H930" i="1"/>
  <c r="J930" i="1" s="1"/>
  <c r="E930" i="1"/>
  <c r="G930" i="1" s="1"/>
  <c r="B930" i="1"/>
  <c r="D930" i="1" s="1"/>
  <c r="AB929" i="1"/>
  <c r="AD929" i="1" s="1"/>
  <c r="Y929" i="1"/>
  <c r="AA929" i="1" s="1"/>
  <c r="V929" i="1"/>
  <c r="X929" i="1" s="1"/>
  <c r="S929" i="1"/>
  <c r="U929" i="1" s="1"/>
  <c r="P929" i="1"/>
  <c r="R929" i="1" s="1"/>
  <c r="L929" i="1"/>
  <c r="N929" i="1" s="1"/>
  <c r="H929" i="1"/>
  <c r="J929" i="1" s="1"/>
  <c r="E929" i="1"/>
  <c r="G929" i="1" s="1"/>
  <c r="B929" i="1"/>
  <c r="D929" i="1" s="1"/>
  <c r="AB928" i="1"/>
  <c r="AD928" i="1" s="1"/>
  <c r="Y928" i="1"/>
  <c r="AA928" i="1" s="1"/>
  <c r="V928" i="1"/>
  <c r="X928" i="1" s="1"/>
  <c r="S928" i="1"/>
  <c r="U928" i="1" s="1"/>
  <c r="P928" i="1"/>
  <c r="R928" i="1" s="1"/>
  <c r="L928" i="1"/>
  <c r="N928" i="1" s="1"/>
  <c r="H928" i="1"/>
  <c r="J928" i="1" s="1"/>
  <c r="E928" i="1"/>
  <c r="G928" i="1" s="1"/>
  <c r="B928" i="1"/>
  <c r="D928" i="1" s="1"/>
  <c r="AB927" i="1"/>
  <c r="AD927" i="1" s="1"/>
  <c r="Y927" i="1"/>
  <c r="AA927" i="1" s="1"/>
  <c r="V927" i="1"/>
  <c r="X927" i="1" s="1"/>
  <c r="S927" i="1"/>
  <c r="U927" i="1" s="1"/>
  <c r="P927" i="1"/>
  <c r="R927" i="1" s="1"/>
  <c r="L927" i="1"/>
  <c r="N927" i="1" s="1"/>
  <c r="H927" i="1"/>
  <c r="J927" i="1" s="1"/>
  <c r="E927" i="1"/>
  <c r="B927" i="1"/>
  <c r="D927" i="1" s="1"/>
  <c r="AB926" i="1"/>
  <c r="AD926" i="1" s="1"/>
  <c r="Y926" i="1"/>
  <c r="AA926" i="1" s="1"/>
  <c r="V926" i="1"/>
  <c r="X926" i="1" s="1"/>
  <c r="S926" i="1"/>
  <c r="U926" i="1" s="1"/>
  <c r="P926" i="1"/>
  <c r="R926" i="1" s="1"/>
  <c r="L926" i="1"/>
  <c r="N926" i="1" s="1"/>
  <c r="H926" i="1"/>
  <c r="J926" i="1" s="1"/>
  <c r="E926" i="1"/>
  <c r="B926" i="1"/>
  <c r="D926" i="1" s="1"/>
  <c r="AB925" i="1"/>
  <c r="AD925" i="1" s="1"/>
  <c r="Y925" i="1"/>
  <c r="AA925" i="1" s="1"/>
  <c r="V925" i="1"/>
  <c r="X925" i="1" s="1"/>
  <c r="S925" i="1"/>
  <c r="U925" i="1" s="1"/>
  <c r="P925" i="1"/>
  <c r="R925" i="1" s="1"/>
  <c r="L925" i="1"/>
  <c r="N925" i="1" s="1"/>
  <c r="H925" i="1"/>
  <c r="J925" i="1" s="1"/>
  <c r="E925" i="1"/>
  <c r="B925" i="1"/>
  <c r="D925" i="1" s="1"/>
  <c r="AB924" i="1"/>
  <c r="AD924" i="1" s="1"/>
  <c r="Y924" i="1"/>
  <c r="AA924" i="1" s="1"/>
  <c r="V924" i="1"/>
  <c r="X924" i="1" s="1"/>
  <c r="S924" i="1"/>
  <c r="U924" i="1" s="1"/>
  <c r="P924" i="1"/>
  <c r="R924" i="1" s="1"/>
  <c r="L924" i="1"/>
  <c r="N924" i="1" s="1"/>
  <c r="H924" i="1"/>
  <c r="J924" i="1" s="1"/>
  <c r="E924" i="1"/>
  <c r="B924" i="1"/>
  <c r="D924" i="1" s="1"/>
  <c r="AB923" i="1"/>
  <c r="AD923" i="1" s="1"/>
  <c r="Y923" i="1"/>
  <c r="AA923" i="1" s="1"/>
  <c r="V923" i="1"/>
  <c r="X923" i="1" s="1"/>
  <c r="S923" i="1"/>
  <c r="U923" i="1" s="1"/>
  <c r="P923" i="1"/>
  <c r="R923" i="1" s="1"/>
  <c r="L923" i="1"/>
  <c r="N923" i="1" s="1"/>
  <c r="H923" i="1"/>
  <c r="J923" i="1" s="1"/>
  <c r="E923" i="1"/>
  <c r="B923" i="1"/>
  <c r="D923" i="1" s="1"/>
  <c r="AD922" i="1"/>
  <c r="AB922" i="1"/>
  <c r="Y922" i="1"/>
  <c r="AA922" i="1" s="1"/>
  <c r="V922" i="1"/>
  <c r="X922" i="1" s="1"/>
  <c r="S922" i="1"/>
  <c r="U922" i="1" s="1"/>
  <c r="R922" i="1"/>
  <c r="P922" i="1"/>
  <c r="L922" i="1"/>
  <c r="N922" i="1" s="1"/>
  <c r="H922" i="1"/>
  <c r="J922" i="1" s="1"/>
  <c r="E922" i="1"/>
  <c r="B922" i="1"/>
  <c r="D922" i="1" s="1"/>
  <c r="AB921" i="1"/>
  <c r="AD921" i="1" s="1"/>
  <c r="Y921" i="1"/>
  <c r="AA921" i="1" s="1"/>
  <c r="V921" i="1"/>
  <c r="X921" i="1" s="1"/>
  <c r="S921" i="1"/>
  <c r="U921" i="1" s="1"/>
  <c r="P921" i="1"/>
  <c r="R921" i="1" s="1"/>
  <c r="L921" i="1"/>
  <c r="N921" i="1" s="1"/>
  <c r="H921" i="1"/>
  <c r="J921" i="1" s="1"/>
  <c r="E921" i="1"/>
  <c r="B921" i="1"/>
  <c r="D921" i="1" s="1"/>
  <c r="AB920" i="1"/>
  <c r="AD920" i="1" s="1"/>
  <c r="Y920" i="1"/>
  <c r="AA920" i="1" s="1"/>
  <c r="V920" i="1"/>
  <c r="X920" i="1" s="1"/>
  <c r="S920" i="1"/>
  <c r="U920" i="1" s="1"/>
  <c r="P920" i="1"/>
  <c r="R920" i="1" s="1"/>
  <c r="L920" i="1"/>
  <c r="N920" i="1" s="1"/>
  <c r="H920" i="1"/>
  <c r="J920" i="1" s="1"/>
  <c r="E920" i="1"/>
  <c r="B920" i="1"/>
  <c r="D920" i="1" s="1"/>
  <c r="AB919" i="1"/>
  <c r="AD919" i="1" s="1"/>
  <c r="Y919" i="1"/>
  <c r="AA919" i="1" s="1"/>
  <c r="V919" i="1"/>
  <c r="X919" i="1" s="1"/>
  <c r="S919" i="1"/>
  <c r="U919" i="1" s="1"/>
  <c r="P919" i="1"/>
  <c r="R919" i="1" s="1"/>
  <c r="L919" i="1"/>
  <c r="N919" i="1" s="1"/>
  <c r="H919" i="1"/>
  <c r="J919" i="1" s="1"/>
  <c r="E919" i="1"/>
  <c r="B919" i="1"/>
  <c r="D919" i="1" s="1"/>
  <c r="AB918" i="1"/>
  <c r="AD918" i="1" s="1"/>
  <c r="Y918" i="1"/>
  <c r="AA918" i="1" s="1"/>
  <c r="V918" i="1"/>
  <c r="X918" i="1" s="1"/>
  <c r="S918" i="1"/>
  <c r="U918" i="1" s="1"/>
  <c r="P918" i="1"/>
  <c r="R918" i="1" s="1"/>
  <c r="L918" i="1"/>
  <c r="N918" i="1" s="1"/>
  <c r="H918" i="1"/>
  <c r="J918" i="1" s="1"/>
  <c r="E918" i="1"/>
  <c r="B918" i="1"/>
  <c r="D918" i="1" s="1"/>
  <c r="AB917" i="1"/>
  <c r="AD917" i="1" s="1"/>
  <c r="Y917" i="1"/>
  <c r="AA917" i="1" s="1"/>
  <c r="V917" i="1"/>
  <c r="X917" i="1" s="1"/>
  <c r="S917" i="1"/>
  <c r="U917" i="1" s="1"/>
  <c r="P917" i="1"/>
  <c r="R917" i="1" s="1"/>
  <c r="L917" i="1"/>
  <c r="N917" i="1" s="1"/>
  <c r="H917" i="1"/>
  <c r="J917" i="1" s="1"/>
  <c r="E917" i="1"/>
  <c r="B917" i="1"/>
  <c r="D917" i="1" s="1"/>
  <c r="AB916" i="1"/>
  <c r="AD916" i="1" s="1"/>
  <c r="Y916" i="1"/>
  <c r="AA916" i="1" s="1"/>
  <c r="V916" i="1"/>
  <c r="X916" i="1" s="1"/>
  <c r="S916" i="1"/>
  <c r="U916" i="1" s="1"/>
  <c r="P916" i="1"/>
  <c r="R916" i="1" s="1"/>
  <c r="L916" i="1"/>
  <c r="N916" i="1" s="1"/>
  <c r="H916" i="1"/>
  <c r="J916" i="1" s="1"/>
  <c r="E916" i="1"/>
  <c r="B916" i="1"/>
  <c r="D916" i="1" s="1"/>
  <c r="AB915" i="1"/>
  <c r="AD915" i="1" s="1"/>
  <c r="Y915" i="1"/>
  <c r="AA915" i="1" s="1"/>
  <c r="V915" i="1"/>
  <c r="X915" i="1" s="1"/>
  <c r="S915" i="1"/>
  <c r="U915" i="1" s="1"/>
  <c r="P915" i="1"/>
  <c r="R915" i="1" s="1"/>
  <c r="L915" i="1"/>
  <c r="N915" i="1" s="1"/>
  <c r="H915" i="1"/>
  <c r="J915" i="1" s="1"/>
  <c r="E915" i="1"/>
  <c r="B915" i="1"/>
  <c r="D915" i="1" s="1"/>
  <c r="AB914" i="1"/>
  <c r="AD914" i="1" s="1"/>
  <c r="Y914" i="1"/>
  <c r="AA914" i="1" s="1"/>
  <c r="V914" i="1"/>
  <c r="X914" i="1" s="1"/>
  <c r="S914" i="1"/>
  <c r="U914" i="1" s="1"/>
  <c r="P914" i="1"/>
  <c r="R914" i="1" s="1"/>
  <c r="L914" i="1"/>
  <c r="N914" i="1" s="1"/>
  <c r="H914" i="1"/>
  <c r="J914" i="1" s="1"/>
  <c r="E914" i="1"/>
  <c r="B914" i="1"/>
  <c r="D914" i="1" s="1"/>
  <c r="AB913" i="1"/>
  <c r="AD913" i="1" s="1"/>
  <c r="Y913" i="1"/>
  <c r="AA913" i="1" s="1"/>
  <c r="V913" i="1"/>
  <c r="X913" i="1" s="1"/>
  <c r="U913" i="1"/>
  <c r="S913" i="1"/>
  <c r="P913" i="1"/>
  <c r="R913" i="1" s="1"/>
  <c r="L913" i="1"/>
  <c r="N913" i="1" s="1"/>
  <c r="H913" i="1"/>
  <c r="J913" i="1" s="1"/>
  <c r="E913" i="1"/>
  <c r="G913" i="1" s="1"/>
  <c r="B913" i="1"/>
  <c r="D913" i="1" s="1"/>
  <c r="AB912" i="1"/>
  <c r="AD912" i="1" s="1"/>
  <c r="Y912" i="1"/>
  <c r="AA912" i="1" s="1"/>
  <c r="V912" i="1"/>
  <c r="X912" i="1" s="1"/>
  <c r="S912" i="1"/>
  <c r="U912" i="1" s="1"/>
  <c r="P912" i="1"/>
  <c r="R912" i="1" s="1"/>
  <c r="L912" i="1"/>
  <c r="N912" i="1" s="1"/>
  <c r="H912" i="1"/>
  <c r="J912" i="1" s="1"/>
  <c r="E912" i="1"/>
  <c r="G912" i="1" s="1"/>
  <c r="B912" i="1"/>
  <c r="D912" i="1" s="1"/>
  <c r="AB911" i="1"/>
  <c r="AD911" i="1" s="1"/>
  <c r="Y911" i="1"/>
  <c r="AA911" i="1" s="1"/>
  <c r="X911" i="1"/>
  <c r="V911" i="1"/>
  <c r="S911" i="1"/>
  <c r="U911" i="1" s="1"/>
  <c r="P911" i="1"/>
  <c r="R911" i="1" s="1"/>
  <c r="L911" i="1"/>
  <c r="N911" i="1" s="1"/>
  <c r="H911" i="1"/>
  <c r="J911" i="1" s="1"/>
  <c r="E911" i="1"/>
  <c r="G911" i="1" s="1"/>
  <c r="B911" i="1"/>
  <c r="D911" i="1" s="1"/>
  <c r="AB910" i="1"/>
  <c r="AD910" i="1" s="1"/>
  <c r="Y910" i="1"/>
  <c r="AA910" i="1" s="1"/>
  <c r="V910" i="1"/>
  <c r="X910" i="1" s="1"/>
  <c r="S910" i="1"/>
  <c r="U910" i="1" s="1"/>
  <c r="P910" i="1"/>
  <c r="R910" i="1" s="1"/>
  <c r="L910" i="1"/>
  <c r="N910" i="1" s="1"/>
  <c r="H910" i="1"/>
  <c r="J910" i="1" s="1"/>
  <c r="E910" i="1"/>
  <c r="G910" i="1" s="1"/>
  <c r="B910" i="1"/>
  <c r="D910" i="1" s="1"/>
  <c r="AB909" i="1"/>
  <c r="AD909" i="1" s="1"/>
  <c r="Y909" i="1"/>
  <c r="AA909" i="1" s="1"/>
  <c r="V909" i="1"/>
  <c r="X909" i="1" s="1"/>
  <c r="S909" i="1"/>
  <c r="U909" i="1" s="1"/>
  <c r="P909" i="1"/>
  <c r="R909" i="1" s="1"/>
  <c r="N909" i="1"/>
  <c r="L909" i="1"/>
  <c r="H909" i="1"/>
  <c r="J909" i="1" s="1"/>
  <c r="G909" i="1"/>
  <c r="B909" i="1"/>
  <c r="D909" i="1" s="1"/>
  <c r="AB908" i="1"/>
  <c r="AD908" i="1" s="1"/>
  <c r="Y908" i="1"/>
  <c r="AA908" i="1" s="1"/>
  <c r="V908" i="1"/>
  <c r="X908" i="1" s="1"/>
  <c r="S908" i="1"/>
  <c r="U908" i="1" s="1"/>
  <c r="P908" i="1"/>
  <c r="R908" i="1" s="1"/>
  <c r="L908" i="1"/>
  <c r="N908" i="1" s="1"/>
  <c r="H908" i="1"/>
  <c r="J908" i="1" s="1"/>
  <c r="E908" i="1"/>
  <c r="G908" i="1" s="1"/>
  <c r="B908" i="1"/>
  <c r="D908" i="1" s="1"/>
  <c r="AB907" i="1"/>
  <c r="AD907" i="1" s="1"/>
  <c r="Y907" i="1"/>
  <c r="AA907" i="1" s="1"/>
  <c r="X907" i="1"/>
  <c r="V907" i="1"/>
  <c r="S907" i="1"/>
  <c r="U907" i="1" s="1"/>
  <c r="P907" i="1"/>
  <c r="R907" i="1" s="1"/>
  <c r="L907" i="1"/>
  <c r="N907" i="1" s="1"/>
  <c r="H907" i="1"/>
  <c r="J907" i="1" s="1"/>
  <c r="E907" i="1"/>
  <c r="B907" i="1"/>
  <c r="D907" i="1" s="1"/>
  <c r="AB906" i="1"/>
  <c r="AD906" i="1" s="1"/>
  <c r="Y906" i="1"/>
  <c r="AA906" i="1" s="1"/>
  <c r="V906" i="1"/>
  <c r="X906" i="1" s="1"/>
  <c r="S906" i="1"/>
  <c r="U906" i="1" s="1"/>
  <c r="P906" i="1"/>
  <c r="R906" i="1" s="1"/>
  <c r="L906" i="1"/>
  <c r="N906" i="1" s="1"/>
  <c r="H906" i="1"/>
  <c r="J906" i="1" s="1"/>
  <c r="E906" i="1"/>
  <c r="B906" i="1"/>
  <c r="D906" i="1" s="1"/>
  <c r="AB905" i="1"/>
  <c r="AD905" i="1" s="1"/>
  <c r="Y905" i="1"/>
  <c r="AA905" i="1" s="1"/>
  <c r="V905" i="1"/>
  <c r="X905" i="1" s="1"/>
  <c r="S905" i="1"/>
  <c r="U905" i="1" s="1"/>
  <c r="P905" i="1"/>
  <c r="R905" i="1" s="1"/>
  <c r="L905" i="1"/>
  <c r="N905" i="1" s="1"/>
  <c r="H905" i="1"/>
  <c r="J905" i="1" s="1"/>
  <c r="E905" i="1"/>
  <c r="B905" i="1"/>
  <c r="D905" i="1" s="1"/>
  <c r="AB904" i="1"/>
  <c r="AD904" i="1" s="1"/>
  <c r="Y904" i="1"/>
  <c r="AA904" i="1" s="1"/>
  <c r="V904" i="1"/>
  <c r="X904" i="1" s="1"/>
  <c r="S904" i="1"/>
  <c r="U904" i="1" s="1"/>
  <c r="R904" i="1"/>
  <c r="L904" i="1"/>
  <c r="N904" i="1" s="1"/>
  <c r="H904" i="1"/>
  <c r="J904" i="1" s="1"/>
  <c r="E904" i="1"/>
  <c r="B904" i="1"/>
  <c r="D904" i="1" s="1"/>
  <c r="AB903" i="1"/>
  <c r="AD903" i="1" s="1"/>
  <c r="Y903" i="1"/>
  <c r="AA903" i="1" s="1"/>
  <c r="V903" i="1"/>
  <c r="X903" i="1" s="1"/>
  <c r="U903" i="1"/>
  <c r="S903" i="1"/>
  <c r="P903" i="1"/>
  <c r="R903" i="1" s="1"/>
  <c r="L903" i="1"/>
  <c r="N903" i="1" s="1"/>
  <c r="H903" i="1"/>
  <c r="J903" i="1" s="1"/>
  <c r="E903" i="1"/>
  <c r="G903" i="1" s="1"/>
  <c r="B903" i="1"/>
  <c r="D903" i="1" s="1"/>
  <c r="AB902" i="1"/>
  <c r="AD902" i="1" s="1"/>
  <c r="Y902" i="1"/>
  <c r="AA902" i="1" s="1"/>
  <c r="V902" i="1"/>
  <c r="X902" i="1" s="1"/>
  <c r="S902" i="1"/>
  <c r="U902" i="1" s="1"/>
  <c r="P902" i="1"/>
  <c r="R902" i="1" s="1"/>
  <c r="L902" i="1"/>
  <c r="N902" i="1" s="1"/>
  <c r="H902" i="1"/>
  <c r="J902" i="1" s="1"/>
  <c r="E902" i="1"/>
  <c r="G902" i="1" s="1"/>
  <c r="B902" i="1"/>
  <c r="D902" i="1" s="1"/>
  <c r="AB901" i="1"/>
  <c r="AD901" i="1" s="1"/>
  <c r="Y901" i="1"/>
  <c r="AA901" i="1" s="1"/>
  <c r="X901" i="1"/>
  <c r="V901" i="1"/>
  <c r="S901" i="1"/>
  <c r="U901" i="1" s="1"/>
  <c r="P901" i="1"/>
  <c r="R901" i="1" s="1"/>
  <c r="L901" i="1"/>
  <c r="N901" i="1" s="1"/>
  <c r="H901" i="1"/>
  <c r="J901" i="1" s="1"/>
  <c r="E901" i="1"/>
  <c r="G901" i="1" s="1"/>
  <c r="B901" i="1"/>
  <c r="D901" i="1" s="1"/>
  <c r="AB900" i="1"/>
  <c r="AD900" i="1" s="1"/>
  <c r="Y900" i="1"/>
  <c r="AA900" i="1" s="1"/>
  <c r="V900" i="1"/>
  <c r="X900" i="1" s="1"/>
  <c r="S900" i="1"/>
  <c r="U900" i="1" s="1"/>
  <c r="P900" i="1"/>
  <c r="R900" i="1" s="1"/>
  <c r="L900" i="1"/>
  <c r="N900" i="1" s="1"/>
  <c r="H900" i="1"/>
  <c r="J900" i="1" s="1"/>
  <c r="E900" i="1"/>
  <c r="G900" i="1" s="1"/>
  <c r="B900" i="1"/>
  <c r="D900" i="1" s="1"/>
  <c r="AB899" i="1"/>
  <c r="AD899" i="1" s="1"/>
  <c r="Y899" i="1"/>
  <c r="AA899" i="1" s="1"/>
  <c r="V899" i="1"/>
  <c r="X899" i="1" s="1"/>
  <c r="S899" i="1"/>
  <c r="U899" i="1" s="1"/>
  <c r="P899" i="1"/>
  <c r="R899" i="1" s="1"/>
  <c r="N899" i="1"/>
  <c r="L899" i="1"/>
  <c r="H899" i="1"/>
  <c r="J899" i="1" s="1"/>
  <c r="E899" i="1"/>
  <c r="G899" i="1" s="1"/>
  <c r="B899" i="1"/>
  <c r="D899" i="1" s="1"/>
  <c r="AB898" i="1"/>
  <c r="AD898" i="1" s="1"/>
  <c r="Y898" i="1"/>
  <c r="AA898" i="1" s="1"/>
  <c r="V898" i="1"/>
  <c r="X898" i="1" s="1"/>
  <c r="S898" i="1"/>
  <c r="U898" i="1" s="1"/>
  <c r="P898" i="1"/>
  <c r="R898" i="1" s="1"/>
  <c r="L898" i="1"/>
  <c r="N898" i="1" s="1"/>
  <c r="H898" i="1"/>
  <c r="J898" i="1" s="1"/>
  <c r="E898" i="1"/>
  <c r="G898" i="1" s="1"/>
  <c r="B898" i="1"/>
  <c r="D898" i="1" s="1"/>
  <c r="AB897" i="1"/>
  <c r="AD897" i="1" s="1"/>
  <c r="AA897" i="1"/>
  <c r="V897" i="1"/>
  <c r="X897" i="1" s="1"/>
  <c r="S897" i="1"/>
  <c r="U897" i="1" s="1"/>
  <c r="P897" i="1"/>
  <c r="R897" i="1" s="1"/>
  <c r="L897" i="1"/>
  <c r="N897" i="1" s="1"/>
  <c r="H897" i="1"/>
  <c r="J897" i="1" s="1"/>
  <c r="E897" i="1"/>
  <c r="G897" i="1" s="1"/>
  <c r="B897" i="1"/>
  <c r="D897" i="1" s="1"/>
  <c r="AB896" i="1"/>
  <c r="AD896" i="1" s="1"/>
  <c r="Y896" i="1"/>
  <c r="AA896" i="1" s="1"/>
  <c r="V896" i="1"/>
  <c r="X896" i="1" s="1"/>
  <c r="S896" i="1"/>
  <c r="U896" i="1" s="1"/>
  <c r="P896" i="1"/>
  <c r="R896" i="1" s="1"/>
  <c r="L896" i="1"/>
  <c r="N896" i="1" s="1"/>
  <c r="H896" i="1"/>
  <c r="J896" i="1" s="1"/>
  <c r="E896" i="1"/>
  <c r="G896" i="1" s="1"/>
  <c r="B896" i="1"/>
  <c r="D896" i="1" s="1"/>
  <c r="AD895" i="1"/>
  <c r="Y895" i="1"/>
  <c r="AA895" i="1" s="1"/>
  <c r="X895" i="1"/>
  <c r="V895" i="1"/>
  <c r="S895" i="1"/>
  <c r="U895" i="1" s="1"/>
  <c r="P895" i="1"/>
  <c r="R895" i="1" s="1"/>
  <c r="L895" i="1"/>
  <c r="N895" i="1" s="1"/>
  <c r="J895" i="1"/>
  <c r="H895" i="1"/>
  <c r="E895" i="1"/>
  <c r="G895" i="1" s="1"/>
  <c r="B895" i="1"/>
  <c r="D895" i="1" s="1"/>
  <c r="AB894" i="1"/>
  <c r="AD894" i="1" s="1"/>
  <c r="Y894" i="1"/>
  <c r="AA894" i="1" s="1"/>
  <c r="V894" i="1"/>
  <c r="X894" i="1" s="1"/>
  <c r="S894" i="1"/>
  <c r="U894" i="1" s="1"/>
  <c r="P894" i="1"/>
  <c r="R894" i="1" s="1"/>
  <c r="L894" i="1"/>
  <c r="N894" i="1" s="1"/>
  <c r="H894" i="1"/>
  <c r="J894" i="1" s="1"/>
  <c r="E894" i="1"/>
  <c r="G894" i="1" s="1"/>
  <c r="B894" i="1"/>
  <c r="D894" i="1" s="1"/>
  <c r="AB893" i="1"/>
  <c r="AD893" i="1" s="1"/>
  <c r="Y893" i="1"/>
  <c r="AA893" i="1" s="1"/>
  <c r="V893" i="1"/>
  <c r="X893" i="1" s="1"/>
  <c r="S893" i="1"/>
  <c r="U893" i="1" s="1"/>
  <c r="P893" i="1"/>
  <c r="R893" i="1" s="1"/>
  <c r="L893" i="1"/>
  <c r="N893" i="1" s="1"/>
  <c r="H893" i="1"/>
  <c r="J893" i="1" s="1"/>
  <c r="E893" i="1"/>
  <c r="G893" i="1" s="1"/>
  <c r="D893" i="1"/>
  <c r="AB892" i="1"/>
  <c r="AD892" i="1" s="1"/>
  <c r="Y892" i="1"/>
  <c r="AA892" i="1" s="1"/>
  <c r="X892" i="1"/>
  <c r="V892" i="1"/>
  <c r="S892" i="1"/>
  <c r="U892" i="1" s="1"/>
  <c r="P892" i="1"/>
  <c r="R892" i="1" s="1"/>
  <c r="L892" i="1"/>
  <c r="N892" i="1" s="1"/>
  <c r="H892" i="1"/>
  <c r="J892" i="1" s="1"/>
  <c r="E892" i="1"/>
  <c r="G892" i="1" s="1"/>
  <c r="B892" i="1"/>
  <c r="D892" i="1" s="1"/>
  <c r="AB891" i="1"/>
  <c r="AD891" i="1" s="1"/>
  <c r="Y891" i="1"/>
  <c r="AA891" i="1" s="1"/>
  <c r="V891" i="1"/>
  <c r="X891" i="1" s="1"/>
  <c r="S891" i="1"/>
  <c r="U891" i="1" s="1"/>
  <c r="P891" i="1"/>
  <c r="R891" i="1" s="1"/>
  <c r="L891" i="1"/>
  <c r="N891" i="1" s="1"/>
  <c r="H891" i="1"/>
  <c r="J891" i="1" s="1"/>
  <c r="E891" i="1"/>
  <c r="G891" i="1" s="1"/>
  <c r="B891" i="1"/>
  <c r="D891" i="1" s="1"/>
  <c r="AB890" i="1"/>
  <c r="AD890" i="1" s="1"/>
  <c r="Y890" i="1"/>
  <c r="AA890" i="1" s="1"/>
  <c r="V890" i="1"/>
  <c r="X890" i="1" s="1"/>
  <c r="S890" i="1"/>
  <c r="U890" i="1" s="1"/>
  <c r="P890" i="1"/>
  <c r="R890" i="1" s="1"/>
  <c r="L890" i="1"/>
  <c r="N890" i="1" s="1"/>
  <c r="H890" i="1"/>
  <c r="J890" i="1" s="1"/>
  <c r="E890" i="1"/>
  <c r="G890" i="1" s="1"/>
  <c r="B890" i="1"/>
  <c r="D890" i="1" s="1"/>
  <c r="AB889" i="1"/>
  <c r="AD889" i="1" s="1"/>
  <c r="Y889" i="1"/>
  <c r="AA889" i="1" s="1"/>
  <c r="V889" i="1"/>
  <c r="X889" i="1" s="1"/>
  <c r="S889" i="1"/>
  <c r="U889" i="1" s="1"/>
  <c r="P889" i="1"/>
  <c r="R889" i="1" s="1"/>
  <c r="L889" i="1"/>
  <c r="N889" i="1" s="1"/>
  <c r="H889" i="1"/>
  <c r="J889" i="1" s="1"/>
  <c r="E889" i="1"/>
  <c r="G889" i="1" s="1"/>
  <c r="B889" i="1"/>
  <c r="D889" i="1" s="1"/>
  <c r="AB888" i="1"/>
  <c r="AD888" i="1" s="1"/>
  <c r="Y888" i="1"/>
  <c r="AA888" i="1" s="1"/>
  <c r="V888" i="1"/>
  <c r="X888" i="1" s="1"/>
  <c r="S888" i="1"/>
  <c r="U888" i="1" s="1"/>
  <c r="P888" i="1"/>
  <c r="R888" i="1" s="1"/>
  <c r="L888" i="1"/>
  <c r="N888" i="1" s="1"/>
  <c r="H888" i="1"/>
  <c r="J888" i="1" s="1"/>
  <c r="E888" i="1"/>
  <c r="G888" i="1" s="1"/>
  <c r="B888" i="1"/>
  <c r="D888" i="1" s="1"/>
  <c r="AB887" i="1"/>
  <c r="AD887" i="1" s="1"/>
  <c r="Y887" i="1"/>
  <c r="AA887" i="1" s="1"/>
  <c r="V887" i="1"/>
  <c r="X887" i="1" s="1"/>
  <c r="S887" i="1"/>
  <c r="U887" i="1" s="1"/>
  <c r="P887" i="1"/>
  <c r="R887" i="1" s="1"/>
  <c r="L887" i="1"/>
  <c r="N887" i="1" s="1"/>
  <c r="H887" i="1"/>
  <c r="J887" i="1" s="1"/>
  <c r="E887" i="1"/>
  <c r="G887" i="1" s="1"/>
  <c r="B887" i="1"/>
  <c r="D887" i="1" s="1"/>
  <c r="AB886" i="1"/>
  <c r="AD886" i="1" s="1"/>
  <c r="Y886" i="1"/>
  <c r="AA886" i="1" s="1"/>
  <c r="V886" i="1"/>
  <c r="X886" i="1" s="1"/>
  <c r="S886" i="1"/>
  <c r="U886" i="1" s="1"/>
  <c r="P886" i="1"/>
  <c r="R886" i="1" s="1"/>
  <c r="L886" i="1"/>
  <c r="N886" i="1" s="1"/>
  <c r="H886" i="1"/>
  <c r="J886" i="1" s="1"/>
  <c r="E886" i="1"/>
  <c r="G886" i="1" s="1"/>
  <c r="B886" i="1"/>
  <c r="D886" i="1" s="1"/>
  <c r="AB885" i="1"/>
  <c r="AD885" i="1" s="1"/>
  <c r="Y885" i="1"/>
  <c r="AA885" i="1" s="1"/>
  <c r="V885" i="1"/>
  <c r="X885" i="1" s="1"/>
  <c r="S885" i="1"/>
  <c r="U885" i="1" s="1"/>
  <c r="P885" i="1"/>
  <c r="R885" i="1" s="1"/>
  <c r="L885" i="1"/>
  <c r="N885" i="1" s="1"/>
  <c r="H885" i="1"/>
  <c r="J885" i="1" s="1"/>
  <c r="E885" i="1"/>
  <c r="G885" i="1" s="1"/>
  <c r="B885" i="1"/>
  <c r="D885" i="1" s="1"/>
  <c r="AB884" i="1"/>
  <c r="AD884" i="1" s="1"/>
  <c r="Y884" i="1"/>
  <c r="AA884" i="1" s="1"/>
  <c r="V884" i="1"/>
  <c r="X884" i="1" s="1"/>
  <c r="S884" i="1"/>
  <c r="U884" i="1" s="1"/>
  <c r="P884" i="1"/>
  <c r="R884" i="1" s="1"/>
  <c r="L884" i="1"/>
  <c r="N884" i="1" s="1"/>
  <c r="H884" i="1"/>
  <c r="J884" i="1" s="1"/>
  <c r="E884" i="1"/>
  <c r="G884" i="1" s="1"/>
  <c r="B884" i="1"/>
  <c r="D884" i="1" s="1"/>
  <c r="AB883" i="1"/>
  <c r="AD883" i="1" s="1"/>
  <c r="Y883" i="1"/>
  <c r="AA883" i="1" s="1"/>
  <c r="V883" i="1"/>
  <c r="X883" i="1" s="1"/>
  <c r="S883" i="1"/>
  <c r="U883" i="1" s="1"/>
  <c r="P883" i="1"/>
  <c r="R883" i="1" s="1"/>
  <c r="L883" i="1"/>
  <c r="N883" i="1" s="1"/>
  <c r="H883" i="1"/>
  <c r="J883" i="1" s="1"/>
  <c r="E883" i="1"/>
  <c r="G883" i="1" s="1"/>
  <c r="B883" i="1"/>
  <c r="D883" i="1" s="1"/>
  <c r="AD882" i="1"/>
  <c r="Y882" i="1"/>
  <c r="AA882" i="1" s="1"/>
  <c r="V882" i="1"/>
  <c r="S882" i="1"/>
  <c r="U882" i="1" s="1"/>
  <c r="P882" i="1"/>
  <c r="R882" i="1" s="1"/>
  <c r="L882" i="1"/>
  <c r="N882" i="1" s="1"/>
  <c r="H882" i="1"/>
  <c r="J882" i="1" s="1"/>
  <c r="E882" i="1"/>
  <c r="G882" i="1" s="1"/>
  <c r="B882" i="1"/>
  <c r="D882" i="1" s="1"/>
  <c r="AB881" i="1"/>
  <c r="AD881" i="1" s="1"/>
  <c r="Y881" i="1"/>
  <c r="AA881" i="1" s="1"/>
  <c r="V881" i="1"/>
  <c r="X881" i="1" s="1"/>
  <c r="S881" i="1"/>
  <c r="U881" i="1" s="1"/>
  <c r="P881" i="1"/>
  <c r="R881" i="1" s="1"/>
  <c r="L881" i="1"/>
  <c r="N881" i="1" s="1"/>
  <c r="H881" i="1"/>
  <c r="J881" i="1" s="1"/>
  <c r="E881" i="1"/>
  <c r="G881" i="1" s="1"/>
  <c r="B881" i="1"/>
  <c r="D881" i="1" s="1"/>
  <c r="AB880" i="1"/>
  <c r="AD880" i="1" s="1"/>
  <c r="Y880" i="1"/>
  <c r="AA880" i="1" s="1"/>
  <c r="V880" i="1"/>
  <c r="X880" i="1" s="1"/>
  <c r="S880" i="1"/>
  <c r="U880" i="1" s="1"/>
  <c r="P880" i="1"/>
  <c r="R880" i="1" s="1"/>
  <c r="L880" i="1"/>
  <c r="N880" i="1" s="1"/>
  <c r="H880" i="1"/>
  <c r="J880" i="1" s="1"/>
  <c r="E880" i="1"/>
  <c r="G880" i="1" s="1"/>
  <c r="B880" i="1"/>
  <c r="D880" i="1" s="1"/>
  <c r="AB879" i="1"/>
  <c r="AD879" i="1" s="1"/>
  <c r="Y879" i="1"/>
  <c r="AA879" i="1" s="1"/>
  <c r="V879" i="1"/>
  <c r="X879" i="1" s="1"/>
  <c r="S879" i="1"/>
  <c r="U879" i="1" s="1"/>
  <c r="P879" i="1"/>
  <c r="R879" i="1" s="1"/>
  <c r="L879" i="1"/>
  <c r="N879" i="1" s="1"/>
  <c r="H879" i="1"/>
  <c r="J879" i="1" s="1"/>
  <c r="E879" i="1"/>
  <c r="G879" i="1" s="1"/>
  <c r="B879" i="1"/>
  <c r="D879" i="1" s="1"/>
  <c r="AB878" i="1"/>
  <c r="AD878" i="1" s="1"/>
  <c r="Y878" i="1"/>
  <c r="AA878" i="1" s="1"/>
  <c r="V878" i="1"/>
  <c r="X878" i="1" s="1"/>
  <c r="S878" i="1"/>
  <c r="U878" i="1" s="1"/>
  <c r="P878" i="1"/>
  <c r="R878" i="1" s="1"/>
  <c r="N878" i="1"/>
  <c r="L878" i="1"/>
  <c r="H878" i="1"/>
  <c r="J878" i="1" s="1"/>
  <c r="E878" i="1"/>
  <c r="G878" i="1" s="1"/>
  <c r="B878" i="1"/>
  <c r="D878" i="1" s="1"/>
  <c r="AB877" i="1"/>
  <c r="AD877" i="1" s="1"/>
  <c r="Y877" i="1"/>
  <c r="AA877" i="1" s="1"/>
  <c r="V877" i="1"/>
  <c r="X877" i="1" s="1"/>
  <c r="S877" i="1"/>
  <c r="U877" i="1" s="1"/>
  <c r="P877" i="1"/>
  <c r="R877" i="1" s="1"/>
  <c r="L877" i="1"/>
  <c r="N877" i="1" s="1"/>
  <c r="H877" i="1"/>
  <c r="J877" i="1" s="1"/>
  <c r="E877" i="1"/>
  <c r="G877" i="1" s="1"/>
  <c r="B877" i="1"/>
  <c r="D877" i="1" s="1"/>
  <c r="AB876" i="1"/>
  <c r="AD876" i="1" s="1"/>
  <c r="Y876" i="1"/>
  <c r="AA876" i="1" s="1"/>
  <c r="V876" i="1"/>
  <c r="X876" i="1" s="1"/>
  <c r="S876" i="1"/>
  <c r="U876" i="1" s="1"/>
  <c r="P876" i="1"/>
  <c r="R876" i="1" s="1"/>
  <c r="L876" i="1"/>
  <c r="N876" i="1" s="1"/>
  <c r="H876" i="1"/>
  <c r="J876" i="1" s="1"/>
  <c r="E876" i="1"/>
  <c r="G876" i="1" s="1"/>
  <c r="B876" i="1"/>
  <c r="D876" i="1" s="1"/>
  <c r="AB875" i="1"/>
  <c r="AD875" i="1" s="1"/>
  <c r="Y875" i="1"/>
  <c r="AA875" i="1" s="1"/>
  <c r="V875" i="1"/>
  <c r="X875" i="1" s="1"/>
  <c r="S875" i="1"/>
  <c r="U875" i="1" s="1"/>
  <c r="P875" i="1"/>
  <c r="R875" i="1" s="1"/>
  <c r="L875" i="1"/>
  <c r="N875" i="1" s="1"/>
  <c r="H875" i="1"/>
  <c r="J875" i="1" s="1"/>
  <c r="G875" i="1"/>
  <c r="E875" i="1"/>
  <c r="B875" i="1"/>
  <c r="D875" i="1" s="1"/>
  <c r="AB874" i="1"/>
  <c r="AD874" i="1" s="1"/>
  <c r="Y874" i="1"/>
  <c r="AA874" i="1" s="1"/>
  <c r="V874" i="1"/>
  <c r="X874" i="1" s="1"/>
  <c r="S874" i="1"/>
  <c r="U874" i="1" s="1"/>
  <c r="P874" i="1"/>
  <c r="R874" i="1" s="1"/>
  <c r="L874" i="1"/>
  <c r="N874" i="1" s="1"/>
  <c r="H874" i="1"/>
  <c r="J874" i="1" s="1"/>
  <c r="E874" i="1"/>
  <c r="G874" i="1" s="1"/>
  <c r="B874" i="1"/>
  <c r="D874" i="1" s="1"/>
  <c r="AD873" i="1"/>
  <c r="AB873" i="1"/>
  <c r="Y873" i="1"/>
  <c r="AA873" i="1" s="1"/>
  <c r="V873" i="1"/>
  <c r="X873" i="1" s="1"/>
  <c r="S873" i="1"/>
  <c r="U873" i="1" s="1"/>
  <c r="P873" i="1"/>
  <c r="R873" i="1" s="1"/>
  <c r="L873" i="1"/>
  <c r="N873" i="1" s="1"/>
  <c r="H873" i="1"/>
  <c r="J873" i="1" s="1"/>
  <c r="E873" i="1"/>
  <c r="G873" i="1" s="1"/>
  <c r="B873" i="1"/>
  <c r="D873" i="1" s="1"/>
  <c r="AD872" i="1"/>
  <c r="Y872" i="1"/>
  <c r="AA872" i="1" s="1"/>
  <c r="V872" i="1"/>
  <c r="X872" i="1" s="1"/>
  <c r="S872" i="1"/>
  <c r="U872" i="1" s="1"/>
  <c r="P872" i="1"/>
  <c r="R872" i="1" s="1"/>
  <c r="L872" i="1"/>
  <c r="N872" i="1" s="1"/>
  <c r="H872" i="1"/>
  <c r="J872" i="1" s="1"/>
  <c r="G872" i="1"/>
  <c r="E872" i="1"/>
  <c r="B872" i="1"/>
  <c r="D872" i="1" s="1"/>
  <c r="AB871" i="1"/>
  <c r="AD871" i="1" s="1"/>
  <c r="AA871" i="1"/>
  <c r="Y871" i="1"/>
  <c r="V871" i="1"/>
  <c r="X871" i="1" s="1"/>
  <c r="S871" i="1"/>
  <c r="U871" i="1" s="1"/>
  <c r="P871" i="1"/>
  <c r="R871" i="1" s="1"/>
  <c r="L871" i="1"/>
  <c r="N871" i="1" s="1"/>
  <c r="H871" i="1"/>
  <c r="J871" i="1" s="1"/>
  <c r="E871" i="1"/>
  <c r="G871" i="1" s="1"/>
  <c r="B871" i="1"/>
  <c r="D871" i="1" s="1"/>
  <c r="AB870" i="1"/>
  <c r="AD870" i="1" s="1"/>
  <c r="Y870" i="1"/>
  <c r="AA870" i="1" s="1"/>
  <c r="V870" i="1"/>
  <c r="X870" i="1" s="1"/>
  <c r="S870" i="1"/>
  <c r="U870" i="1" s="1"/>
  <c r="P870" i="1"/>
  <c r="R870" i="1" s="1"/>
  <c r="L870" i="1"/>
  <c r="N870" i="1" s="1"/>
  <c r="H870" i="1"/>
  <c r="J870" i="1" s="1"/>
  <c r="E870" i="1"/>
  <c r="G870" i="1" s="1"/>
  <c r="B870" i="1"/>
  <c r="D870" i="1" s="1"/>
  <c r="AB869" i="1"/>
  <c r="AD869" i="1" s="1"/>
  <c r="Y869" i="1"/>
  <c r="AA869" i="1" s="1"/>
  <c r="V869" i="1"/>
  <c r="X869" i="1" s="1"/>
  <c r="S869" i="1"/>
  <c r="U869" i="1" s="1"/>
  <c r="P869" i="1"/>
  <c r="R869" i="1" s="1"/>
  <c r="L869" i="1"/>
  <c r="N869" i="1" s="1"/>
  <c r="H869" i="1"/>
  <c r="J869" i="1" s="1"/>
  <c r="E869" i="1"/>
  <c r="G869" i="1" s="1"/>
  <c r="B869" i="1"/>
  <c r="D869" i="1" s="1"/>
  <c r="AB868" i="1"/>
  <c r="AD868" i="1" s="1"/>
  <c r="Y868" i="1"/>
  <c r="AA868" i="1" s="1"/>
  <c r="V868" i="1"/>
  <c r="X868" i="1" s="1"/>
  <c r="S868" i="1"/>
  <c r="U868" i="1" s="1"/>
  <c r="P868" i="1"/>
  <c r="R868" i="1" s="1"/>
  <c r="L868" i="1"/>
  <c r="N868" i="1" s="1"/>
  <c r="H868" i="1"/>
  <c r="J868" i="1" s="1"/>
  <c r="E868" i="1"/>
  <c r="G868" i="1" s="1"/>
  <c r="B868" i="1"/>
  <c r="D868" i="1" s="1"/>
  <c r="AB867" i="1"/>
  <c r="AD867" i="1" s="1"/>
  <c r="Y867" i="1"/>
  <c r="AA867" i="1" s="1"/>
  <c r="V867" i="1"/>
  <c r="X867" i="1" s="1"/>
  <c r="S867" i="1"/>
  <c r="U867" i="1" s="1"/>
  <c r="P867" i="1"/>
  <c r="R867" i="1" s="1"/>
  <c r="L867" i="1"/>
  <c r="N867" i="1" s="1"/>
  <c r="H867" i="1"/>
  <c r="J867" i="1" s="1"/>
  <c r="E867" i="1"/>
  <c r="G867" i="1" s="1"/>
  <c r="B867" i="1"/>
  <c r="D867" i="1" s="1"/>
  <c r="AB866" i="1"/>
  <c r="AD866" i="1" s="1"/>
  <c r="Y866" i="1"/>
  <c r="AA866" i="1" s="1"/>
  <c r="V866" i="1"/>
  <c r="X866" i="1" s="1"/>
  <c r="S866" i="1"/>
  <c r="U866" i="1" s="1"/>
  <c r="P866" i="1"/>
  <c r="R866" i="1" s="1"/>
  <c r="L866" i="1"/>
  <c r="N866" i="1" s="1"/>
  <c r="H866" i="1"/>
  <c r="J866" i="1" s="1"/>
  <c r="E866" i="1"/>
  <c r="G866" i="1" s="1"/>
  <c r="B866" i="1"/>
  <c r="D866" i="1" s="1"/>
  <c r="AB865" i="1"/>
  <c r="AD865" i="1" s="1"/>
  <c r="Y865" i="1"/>
  <c r="AA865" i="1" s="1"/>
  <c r="V865" i="1"/>
  <c r="X865" i="1" s="1"/>
  <c r="S865" i="1"/>
  <c r="U865" i="1" s="1"/>
  <c r="P865" i="1"/>
  <c r="R865" i="1" s="1"/>
  <c r="L865" i="1"/>
  <c r="N865" i="1" s="1"/>
  <c r="H865" i="1"/>
  <c r="J865" i="1" s="1"/>
  <c r="E865" i="1"/>
  <c r="G865" i="1" s="1"/>
  <c r="B865" i="1"/>
  <c r="D865" i="1" s="1"/>
  <c r="AB864" i="1"/>
  <c r="AD864" i="1" s="1"/>
  <c r="Y864" i="1"/>
  <c r="AA864" i="1" s="1"/>
  <c r="V864" i="1"/>
  <c r="X864" i="1" s="1"/>
  <c r="S864" i="1"/>
  <c r="U864" i="1" s="1"/>
  <c r="P864" i="1"/>
  <c r="R864" i="1" s="1"/>
  <c r="L864" i="1"/>
  <c r="N864" i="1" s="1"/>
  <c r="H864" i="1"/>
  <c r="J864" i="1" s="1"/>
  <c r="E864" i="1"/>
  <c r="G864" i="1" s="1"/>
  <c r="B864" i="1"/>
  <c r="D864" i="1" s="1"/>
  <c r="AB863" i="1"/>
  <c r="AD863" i="1" s="1"/>
  <c r="Y863" i="1"/>
  <c r="AA863" i="1" s="1"/>
  <c r="V863" i="1"/>
  <c r="X863" i="1" s="1"/>
  <c r="S863" i="1"/>
  <c r="U863" i="1" s="1"/>
  <c r="P863" i="1"/>
  <c r="R863" i="1" s="1"/>
  <c r="L863" i="1"/>
  <c r="N863" i="1" s="1"/>
  <c r="H863" i="1"/>
  <c r="J863" i="1" s="1"/>
  <c r="E863" i="1"/>
  <c r="G863" i="1" s="1"/>
  <c r="B863" i="1"/>
  <c r="D863" i="1" s="1"/>
  <c r="AB862" i="1"/>
  <c r="AD862" i="1" s="1"/>
  <c r="Y862" i="1"/>
  <c r="AA862" i="1" s="1"/>
  <c r="V862" i="1"/>
  <c r="X862" i="1" s="1"/>
  <c r="S862" i="1"/>
  <c r="U862" i="1" s="1"/>
  <c r="P862" i="1"/>
  <c r="R862" i="1" s="1"/>
  <c r="L862" i="1"/>
  <c r="N862" i="1" s="1"/>
  <c r="H862" i="1"/>
  <c r="J862" i="1" s="1"/>
  <c r="E862" i="1"/>
  <c r="G862" i="1" s="1"/>
  <c r="D862" i="1"/>
  <c r="B862" i="1"/>
  <c r="AB861" i="1"/>
  <c r="AD861" i="1" s="1"/>
  <c r="Y861" i="1"/>
  <c r="AA861" i="1" s="1"/>
  <c r="V861" i="1"/>
  <c r="X861" i="1" s="1"/>
  <c r="S861" i="1"/>
  <c r="U861" i="1" s="1"/>
  <c r="P861" i="1"/>
  <c r="R861" i="1" s="1"/>
  <c r="L861" i="1"/>
  <c r="N861" i="1" s="1"/>
  <c r="H861" i="1"/>
  <c r="J861" i="1" s="1"/>
  <c r="E861" i="1"/>
  <c r="G861" i="1" s="1"/>
  <c r="B861" i="1"/>
  <c r="D861" i="1" s="1"/>
  <c r="AB860" i="1"/>
  <c r="AD860" i="1" s="1"/>
  <c r="Y860" i="1"/>
  <c r="AA860" i="1" s="1"/>
  <c r="V860" i="1"/>
  <c r="X860" i="1" s="1"/>
  <c r="S860" i="1"/>
  <c r="U860" i="1" s="1"/>
  <c r="P860" i="1"/>
  <c r="R860" i="1" s="1"/>
  <c r="L860" i="1"/>
  <c r="N860" i="1" s="1"/>
  <c r="H860" i="1"/>
  <c r="J860" i="1" s="1"/>
  <c r="E860" i="1"/>
  <c r="G860" i="1" s="1"/>
  <c r="B860" i="1"/>
  <c r="D860" i="1" s="1"/>
  <c r="AB859" i="1"/>
  <c r="AD859" i="1" s="1"/>
  <c r="Y859" i="1"/>
  <c r="AA859" i="1" s="1"/>
  <c r="V859" i="1"/>
  <c r="X859" i="1" s="1"/>
  <c r="S859" i="1"/>
  <c r="U859" i="1" s="1"/>
  <c r="P859" i="1"/>
  <c r="R859" i="1" s="1"/>
  <c r="L859" i="1"/>
  <c r="N859" i="1" s="1"/>
  <c r="H859" i="1"/>
  <c r="J859" i="1" s="1"/>
  <c r="E859" i="1"/>
  <c r="G859" i="1" s="1"/>
  <c r="B859" i="1"/>
  <c r="D859" i="1" s="1"/>
  <c r="AB858" i="1"/>
  <c r="AD858" i="1" s="1"/>
  <c r="Y858" i="1"/>
  <c r="AA858" i="1" s="1"/>
  <c r="V858" i="1"/>
  <c r="X858" i="1" s="1"/>
  <c r="S858" i="1"/>
  <c r="U858" i="1" s="1"/>
  <c r="P858" i="1"/>
  <c r="R858" i="1" s="1"/>
  <c r="L858" i="1"/>
  <c r="N858" i="1" s="1"/>
  <c r="H858" i="1"/>
  <c r="J858" i="1" s="1"/>
  <c r="E858" i="1"/>
  <c r="G858" i="1" s="1"/>
  <c r="B858" i="1"/>
  <c r="D858" i="1" s="1"/>
  <c r="AB857" i="1"/>
  <c r="AD857" i="1" s="1"/>
  <c r="Y857" i="1"/>
  <c r="AA857" i="1" s="1"/>
  <c r="V857" i="1"/>
  <c r="X857" i="1" s="1"/>
  <c r="S857" i="1"/>
  <c r="U857" i="1" s="1"/>
  <c r="P857" i="1"/>
  <c r="R857" i="1" s="1"/>
  <c r="L857" i="1"/>
  <c r="N857" i="1" s="1"/>
  <c r="H857" i="1"/>
  <c r="J857" i="1" s="1"/>
  <c r="E857" i="1"/>
  <c r="G857" i="1" s="1"/>
  <c r="B857" i="1"/>
  <c r="D857" i="1" s="1"/>
  <c r="AB856" i="1"/>
  <c r="AD856" i="1" s="1"/>
  <c r="Y856" i="1"/>
  <c r="AA856" i="1" s="1"/>
  <c r="V856" i="1"/>
  <c r="X856" i="1" s="1"/>
  <c r="S856" i="1"/>
  <c r="U856" i="1" s="1"/>
  <c r="P856" i="1"/>
  <c r="R856" i="1" s="1"/>
  <c r="L856" i="1"/>
  <c r="N856" i="1" s="1"/>
  <c r="H856" i="1"/>
  <c r="J856" i="1" s="1"/>
  <c r="E856" i="1"/>
  <c r="G856" i="1" s="1"/>
  <c r="B856" i="1"/>
  <c r="D856" i="1" s="1"/>
  <c r="AB855" i="1"/>
  <c r="AD855" i="1" s="1"/>
  <c r="Y855" i="1"/>
  <c r="AA855" i="1" s="1"/>
  <c r="V855" i="1"/>
  <c r="X855" i="1" s="1"/>
  <c r="S855" i="1"/>
  <c r="U855" i="1" s="1"/>
  <c r="P855" i="1"/>
  <c r="R855" i="1" s="1"/>
  <c r="L855" i="1"/>
  <c r="N855" i="1" s="1"/>
  <c r="H855" i="1"/>
  <c r="J855" i="1" s="1"/>
  <c r="E855" i="1"/>
  <c r="G855" i="1" s="1"/>
  <c r="B855" i="1"/>
  <c r="D855" i="1" s="1"/>
  <c r="AD854" i="1"/>
  <c r="Y854" i="1"/>
  <c r="AA854" i="1" s="1"/>
  <c r="V854" i="1"/>
  <c r="X854" i="1" s="1"/>
  <c r="S854" i="1"/>
  <c r="U854" i="1" s="1"/>
  <c r="P854" i="1"/>
  <c r="R854" i="1" s="1"/>
  <c r="L854" i="1"/>
  <c r="N854" i="1" s="1"/>
  <c r="H854" i="1"/>
  <c r="J854" i="1" s="1"/>
  <c r="E854" i="1"/>
  <c r="G854" i="1" s="1"/>
  <c r="B854" i="1"/>
  <c r="D854" i="1" s="1"/>
  <c r="AB853" i="1"/>
  <c r="AD853" i="1" s="1"/>
  <c r="Y853" i="1"/>
  <c r="AA853" i="1" s="1"/>
  <c r="V853" i="1"/>
  <c r="X853" i="1" s="1"/>
  <c r="S853" i="1"/>
  <c r="U853" i="1" s="1"/>
  <c r="P853" i="1"/>
  <c r="R853" i="1" s="1"/>
  <c r="N853" i="1"/>
  <c r="L853" i="1"/>
  <c r="H853" i="1"/>
  <c r="J853" i="1" s="1"/>
  <c r="E853" i="1"/>
  <c r="G853" i="1" s="1"/>
  <c r="B853" i="1"/>
  <c r="D853" i="1" s="1"/>
  <c r="AB852" i="1"/>
  <c r="AD852" i="1" s="1"/>
  <c r="Y852" i="1"/>
  <c r="AA852" i="1" s="1"/>
  <c r="V852" i="1"/>
  <c r="X852" i="1" s="1"/>
  <c r="U852" i="1"/>
  <c r="S852" i="1"/>
  <c r="P852" i="1"/>
  <c r="R852" i="1" s="1"/>
  <c r="L852" i="1"/>
  <c r="N852" i="1" s="1"/>
  <c r="H852" i="1"/>
  <c r="J852" i="1" s="1"/>
  <c r="E852" i="1"/>
  <c r="G852" i="1" s="1"/>
  <c r="B852" i="1"/>
  <c r="D852" i="1" s="1"/>
  <c r="AB851" i="1"/>
  <c r="AD851" i="1" s="1"/>
  <c r="Y851" i="1"/>
  <c r="AA851" i="1" s="1"/>
  <c r="V851" i="1"/>
  <c r="X851" i="1" s="1"/>
  <c r="S851" i="1"/>
  <c r="U851" i="1" s="1"/>
  <c r="P851" i="1"/>
  <c r="R851" i="1" s="1"/>
  <c r="L851" i="1"/>
  <c r="N851" i="1" s="1"/>
  <c r="H851" i="1"/>
  <c r="J851" i="1" s="1"/>
  <c r="E851" i="1"/>
  <c r="G851" i="1" s="1"/>
  <c r="B851" i="1"/>
  <c r="D851" i="1" s="1"/>
  <c r="AB850" i="1"/>
  <c r="AD850" i="1" s="1"/>
  <c r="Y850" i="1"/>
  <c r="AA850" i="1" s="1"/>
  <c r="V850" i="1"/>
  <c r="X850" i="1" s="1"/>
  <c r="S850" i="1"/>
  <c r="U850" i="1" s="1"/>
  <c r="P850" i="1"/>
  <c r="R850" i="1" s="1"/>
  <c r="L850" i="1"/>
  <c r="N850" i="1" s="1"/>
  <c r="J850" i="1"/>
  <c r="H850" i="1"/>
  <c r="E850" i="1"/>
  <c r="G850" i="1" s="1"/>
  <c r="B850" i="1"/>
  <c r="D850" i="1" s="1"/>
  <c r="AB849" i="1"/>
  <c r="AD849" i="1" s="1"/>
  <c r="Y849" i="1"/>
  <c r="AA849" i="1" s="1"/>
  <c r="V849" i="1"/>
  <c r="X849" i="1" s="1"/>
  <c r="S849" i="1"/>
  <c r="U849" i="1" s="1"/>
  <c r="P849" i="1"/>
  <c r="R849" i="1" s="1"/>
  <c r="L849" i="1"/>
  <c r="N849" i="1" s="1"/>
  <c r="H849" i="1"/>
  <c r="J849" i="1" s="1"/>
  <c r="E849" i="1"/>
  <c r="G849" i="1" s="1"/>
  <c r="B849" i="1"/>
  <c r="D849" i="1" s="1"/>
  <c r="AB848" i="1"/>
  <c r="AD848" i="1" s="1"/>
  <c r="Y848" i="1"/>
  <c r="AA848" i="1" s="1"/>
  <c r="V848" i="1"/>
  <c r="X848" i="1" s="1"/>
  <c r="S848" i="1"/>
  <c r="U848" i="1" s="1"/>
  <c r="P848" i="1"/>
  <c r="R848" i="1" s="1"/>
  <c r="L848" i="1"/>
  <c r="N848" i="1" s="1"/>
  <c r="H848" i="1"/>
  <c r="J848" i="1" s="1"/>
  <c r="E848" i="1"/>
  <c r="G848" i="1" s="1"/>
  <c r="B848" i="1"/>
  <c r="D848" i="1" s="1"/>
  <c r="AB847" i="1"/>
  <c r="AD847" i="1" s="1"/>
  <c r="Y847" i="1"/>
  <c r="AA847" i="1" s="1"/>
  <c r="X847" i="1"/>
  <c r="V847" i="1"/>
  <c r="S847" i="1"/>
  <c r="U847" i="1" s="1"/>
  <c r="P847" i="1"/>
  <c r="R847" i="1" s="1"/>
  <c r="L847" i="1"/>
  <c r="N847" i="1" s="1"/>
  <c r="H847" i="1"/>
  <c r="J847" i="1" s="1"/>
  <c r="E847" i="1"/>
  <c r="G847" i="1" s="1"/>
  <c r="B847" i="1"/>
  <c r="D847" i="1" s="1"/>
  <c r="AB846" i="1"/>
  <c r="AD846" i="1" s="1"/>
  <c r="Y846" i="1"/>
  <c r="AA846" i="1" s="1"/>
  <c r="V846" i="1"/>
  <c r="X846" i="1" s="1"/>
  <c r="S846" i="1"/>
  <c r="U846" i="1" s="1"/>
  <c r="P846" i="1"/>
  <c r="R846" i="1" s="1"/>
  <c r="L846" i="1"/>
  <c r="N846" i="1" s="1"/>
  <c r="H846" i="1"/>
  <c r="J846" i="1" s="1"/>
  <c r="E846" i="1"/>
  <c r="G846" i="1" s="1"/>
  <c r="B846" i="1"/>
  <c r="D846" i="1" s="1"/>
  <c r="AB845" i="1"/>
  <c r="AD845" i="1" s="1"/>
  <c r="Y845" i="1"/>
  <c r="AA845" i="1" s="1"/>
  <c r="V845" i="1"/>
  <c r="X845" i="1" s="1"/>
  <c r="S845" i="1"/>
  <c r="U845" i="1" s="1"/>
  <c r="P845" i="1"/>
  <c r="R845" i="1" s="1"/>
  <c r="L845" i="1"/>
  <c r="N845" i="1" s="1"/>
  <c r="H845" i="1"/>
  <c r="J845" i="1" s="1"/>
  <c r="E845" i="1"/>
  <c r="G845" i="1" s="1"/>
  <c r="B845" i="1"/>
  <c r="D845" i="1" s="1"/>
  <c r="AB844" i="1"/>
  <c r="AD844" i="1" s="1"/>
  <c r="Y844" i="1"/>
  <c r="AA844" i="1" s="1"/>
  <c r="V844" i="1"/>
  <c r="X844" i="1" s="1"/>
  <c r="S844" i="1"/>
  <c r="U844" i="1" s="1"/>
  <c r="AI844" i="1" s="1"/>
  <c r="P844" i="1"/>
  <c r="R844" i="1" s="1"/>
  <c r="L844" i="1"/>
  <c r="N844" i="1" s="1"/>
  <c r="H844" i="1"/>
  <c r="J844" i="1" s="1"/>
  <c r="E844" i="1"/>
  <c r="G844" i="1" s="1"/>
  <c r="B844" i="1"/>
  <c r="D844" i="1" s="1"/>
  <c r="AB843" i="1"/>
  <c r="AD843" i="1" s="1"/>
  <c r="Y843" i="1"/>
  <c r="AA843" i="1" s="1"/>
  <c r="V843" i="1"/>
  <c r="X843" i="1" s="1"/>
  <c r="S843" i="1"/>
  <c r="U843" i="1" s="1"/>
  <c r="P843" i="1"/>
  <c r="R843" i="1" s="1"/>
  <c r="L843" i="1"/>
  <c r="N843" i="1" s="1"/>
  <c r="H843" i="1"/>
  <c r="J843" i="1" s="1"/>
  <c r="E843" i="1"/>
  <c r="G843" i="1" s="1"/>
  <c r="B843" i="1"/>
  <c r="D843" i="1" s="1"/>
  <c r="AB842" i="1"/>
  <c r="AD842" i="1" s="1"/>
  <c r="Y842" i="1"/>
  <c r="AA842" i="1" s="1"/>
  <c r="V842" i="1"/>
  <c r="X842" i="1" s="1"/>
  <c r="S842" i="1"/>
  <c r="U842" i="1" s="1"/>
  <c r="P842" i="1"/>
  <c r="R842" i="1" s="1"/>
  <c r="L842" i="1"/>
  <c r="N842" i="1" s="1"/>
  <c r="H842" i="1"/>
  <c r="J842" i="1" s="1"/>
  <c r="E842" i="1"/>
  <c r="G842" i="1" s="1"/>
  <c r="B842" i="1"/>
  <c r="D842" i="1" s="1"/>
  <c r="AB841" i="1"/>
  <c r="AD841" i="1" s="1"/>
  <c r="Y841" i="1"/>
  <c r="AA841" i="1" s="1"/>
  <c r="V841" i="1"/>
  <c r="X841" i="1" s="1"/>
  <c r="S841" i="1"/>
  <c r="U841" i="1" s="1"/>
  <c r="P841" i="1"/>
  <c r="R841" i="1" s="1"/>
  <c r="L841" i="1"/>
  <c r="N841" i="1" s="1"/>
  <c r="H841" i="1"/>
  <c r="J841" i="1" s="1"/>
  <c r="E841" i="1"/>
  <c r="G841" i="1" s="1"/>
  <c r="B841" i="1"/>
  <c r="D841" i="1" s="1"/>
  <c r="AB840" i="1"/>
  <c r="AD840" i="1" s="1"/>
  <c r="Y840" i="1"/>
  <c r="AA840" i="1" s="1"/>
  <c r="V840" i="1"/>
  <c r="X840" i="1" s="1"/>
  <c r="S840" i="1"/>
  <c r="U840" i="1" s="1"/>
  <c r="P840" i="1"/>
  <c r="R840" i="1" s="1"/>
  <c r="L840" i="1"/>
  <c r="N840" i="1" s="1"/>
  <c r="H840" i="1"/>
  <c r="J840" i="1" s="1"/>
  <c r="E840" i="1"/>
  <c r="G840" i="1" s="1"/>
  <c r="B840" i="1"/>
  <c r="D840" i="1" s="1"/>
  <c r="AB839" i="1"/>
  <c r="AD839" i="1" s="1"/>
  <c r="Y839" i="1"/>
  <c r="AA839" i="1" s="1"/>
  <c r="V839" i="1"/>
  <c r="X839" i="1" s="1"/>
  <c r="S839" i="1"/>
  <c r="U839" i="1" s="1"/>
  <c r="P839" i="1"/>
  <c r="R839" i="1" s="1"/>
  <c r="L839" i="1"/>
  <c r="N839" i="1" s="1"/>
  <c r="J839" i="1"/>
  <c r="H839" i="1"/>
  <c r="E839" i="1"/>
  <c r="G839" i="1" s="1"/>
  <c r="B839" i="1"/>
  <c r="D839" i="1" s="1"/>
  <c r="AB838" i="1"/>
  <c r="AD838" i="1" s="1"/>
  <c r="Y838" i="1"/>
  <c r="AA838" i="1" s="1"/>
  <c r="V838" i="1"/>
  <c r="X838" i="1" s="1"/>
  <c r="S838" i="1"/>
  <c r="U838" i="1" s="1"/>
  <c r="P838" i="1"/>
  <c r="R838" i="1" s="1"/>
  <c r="L838" i="1"/>
  <c r="N838" i="1" s="1"/>
  <c r="H838" i="1"/>
  <c r="J838" i="1" s="1"/>
  <c r="E838" i="1"/>
  <c r="G838" i="1" s="1"/>
  <c r="B838" i="1"/>
  <c r="D838" i="1" s="1"/>
  <c r="AB837" i="1"/>
  <c r="AD837" i="1" s="1"/>
  <c r="Y837" i="1"/>
  <c r="AA837" i="1" s="1"/>
  <c r="V837" i="1"/>
  <c r="X837" i="1" s="1"/>
  <c r="S837" i="1"/>
  <c r="U837" i="1" s="1"/>
  <c r="P837" i="1"/>
  <c r="R837" i="1" s="1"/>
  <c r="N837" i="1"/>
  <c r="L837" i="1"/>
  <c r="H837" i="1"/>
  <c r="J837" i="1" s="1"/>
  <c r="E837" i="1"/>
  <c r="G837" i="1" s="1"/>
  <c r="B837" i="1"/>
  <c r="D837" i="1" s="1"/>
  <c r="AB836" i="1"/>
  <c r="AD836" i="1" s="1"/>
  <c r="Y836" i="1"/>
  <c r="AA836" i="1" s="1"/>
  <c r="V836" i="1"/>
  <c r="X836" i="1" s="1"/>
  <c r="U836" i="1"/>
  <c r="AI836" i="1" s="1"/>
  <c r="S836" i="1"/>
  <c r="P836" i="1"/>
  <c r="R836" i="1" s="1"/>
  <c r="L836" i="1"/>
  <c r="N836" i="1" s="1"/>
  <c r="H836" i="1"/>
  <c r="J836" i="1" s="1"/>
  <c r="E836" i="1"/>
  <c r="G836" i="1" s="1"/>
  <c r="B836" i="1"/>
  <c r="D836" i="1" s="1"/>
  <c r="AB835" i="1"/>
  <c r="AD835" i="1" s="1"/>
  <c r="Y835" i="1"/>
  <c r="AA835" i="1" s="1"/>
  <c r="V835" i="1"/>
  <c r="X835" i="1" s="1"/>
  <c r="S835" i="1"/>
  <c r="U835" i="1" s="1"/>
  <c r="P835" i="1"/>
  <c r="R835" i="1" s="1"/>
  <c r="L835" i="1"/>
  <c r="N835" i="1" s="1"/>
  <c r="H835" i="1"/>
  <c r="J835" i="1" s="1"/>
  <c r="E835" i="1"/>
  <c r="G835" i="1" s="1"/>
  <c r="B835" i="1"/>
  <c r="D835" i="1" s="1"/>
  <c r="AB834" i="1"/>
  <c r="AD834" i="1" s="1"/>
  <c r="Y834" i="1"/>
  <c r="AA834" i="1" s="1"/>
  <c r="V834" i="1"/>
  <c r="X834" i="1" s="1"/>
  <c r="S834" i="1"/>
  <c r="U834" i="1" s="1"/>
  <c r="P834" i="1"/>
  <c r="R834" i="1" s="1"/>
  <c r="L834" i="1"/>
  <c r="N834" i="1" s="1"/>
  <c r="J834" i="1"/>
  <c r="H834" i="1"/>
  <c r="E834" i="1"/>
  <c r="G834" i="1" s="1"/>
  <c r="B834" i="1"/>
  <c r="D834" i="1" s="1"/>
  <c r="AB833" i="1"/>
  <c r="AD833" i="1" s="1"/>
  <c r="Y833" i="1"/>
  <c r="AA833" i="1" s="1"/>
  <c r="V833" i="1"/>
  <c r="X833" i="1" s="1"/>
  <c r="S833" i="1"/>
  <c r="U833" i="1" s="1"/>
  <c r="P833" i="1"/>
  <c r="R833" i="1" s="1"/>
  <c r="L833" i="1"/>
  <c r="N833" i="1" s="1"/>
  <c r="H833" i="1"/>
  <c r="J833" i="1" s="1"/>
  <c r="E833" i="1"/>
  <c r="G833" i="1" s="1"/>
  <c r="B833" i="1"/>
  <c r="D833" i="1" s="1"/>
  <c r="AB832" i="1"/>
  <c r="AD832" i="1" s="1"/>
  <c r="Y832" i="1"/>
  <c r="AA832" i="1" s="1"/>
  <c r="V832" i="1"/>
  <c r="X832" i="1" s="1"/>
  <c r="S832" i="1"/>
  <c r="U832" i="1" s="1"/>
  <c r="P832" i="1"/>
  <c r="R832" i="1" s="1"/>
  <c r="N832" i="1"/>
  <c r="L832" i="1"/>
  <c r="H832" i="1"/>
  <c r="J832" i="1" s="1"/>
  <c r="E832" i="1"/>
  <c r="G832" i="1" s="1"/>
  <c r="B832" i="1"/>
  <c r="D832" i="1" s="1"/>
  <c r="AB831" i="1"/>
  <c r="AD831" i="1" s="1"/>
  <c r="Y831" i="1"/>
  <c r="AA831" i="1" s="1"/>
  <c r="V831" i="1"/>
  <c r="X831" i="1" s="1"/>
  <c r="S831" i="1"/>
  <c r="U831" i="1" s="1"/>
  <c r="P831" i="1"/>
  <c r="R831" i="1" s="1"/>
  <c r="L831" i="1"/>
  <c r="N831" i="1" s="1"/>
  <c r="H831" i="1"/>
  <c r="J831" i="1" s="1"/>
  <c r="E831" i="1"/>
  <c r="G831" i="1" s="1"/>
  <c r="B831" i="1"/>
  <c r="D831" i="1" s="1"/>
  <c r="AB830" i="1"/>
  <c r="AD830" i="1" s="1"/>
  <c r="Y830" i="1"/>
  <c r="AA830" i="1" s="1"/>
  <c r="V830" i="1"/>
  <c r="X830" i="1" s="1"/>
  <c r="S830" i="1"/>
  <c r="U830" i="1" s="1"/>
  <c r="P830" i="1"/>
  <c r="R830" i="1" s="1"/>
  <c r="L830" i="1"/>
  <c r="N830" i="1" s="1"/>
  <c r="H830" i="1"/>
  <c r="J830" i="1" s="1"/>
  <c r="E830" i="1"/>
  <c r="G830" i="1" s="1"/>
  <c r="B830" i="1"/>
  <c r="D830" i="1" s="1"/>
  <c r="AB829" i="1"/>
  <c r="AD829" i="1" s="1"/>
  <c r="Y829" i="1"/>
  <c r="AA829" i="1" s="1"/>
  <c r="X829" i="1"/>
  <c r="V829" i="1"/>
  <c r="S829" i="1"/>
  <c r="U829" i="1" s="1"/>
  <c r="P829" i="1"/>
  <c r="R829" i="1" s="1"/>
  <c r="L829" i="1"/>
  <c r="N829" i="1" s="1"/>
  <c r="J829" i="1"/>
  <c r="H829" i="1"/>
  <c r="G829" i="1"/>
  <c r="E829" i="1"/>
  <c r="D829" i="1"/>
  <c r="B829" i="1"/>
  <c r="AB828" i="1"/>
  <c r="AD828" i="1" s="1"/>
  <c r="Y828" i="1"/>
  <c r="AA828" i="1" s="1"/>
  <c r="V828" i="1"/>
  <c r="X828" i="1" s="1"/>
  <c r="S828" i="1"/>
  <c r="U828" i="1" s="1"/>
  <c r="P828" i="1"/>
  <c r="R828" i="1" s="1"/>
  <c r="L828" i="1"/>
  <c r="N828" i="1" s="1"/>
  <c r="H828" i="1"/>
  <c r="J828" i="1" s="1"/>
  <c r="E828" i="1"/>
  <c r="G828" i="1" s="1"/>
  <c r="B828" i="1"/>
  <c r="D828" i="1" s="1"/>
  <c r="AB827" i="1"/>
  <c r="AD827" i="1" s="1"/>
  <c r="Y827" i="1"/>
  <c r="AA827" i="1" s="1"/>
  <c r="V827" i="1"/>
  <c r="X827" i="1" s="1"/>
  <c r="S827" i="1"/>
  <c r="U827" i="1" s="1"/>
  <c r="P827" i="1"/>
  <c r="R827" i="1" s="1"/>
  <c r="L827" i="1"/>
  <c r="N827" i="1" s="1"/>
  <c r="H827" i="1"/>
  <c r="J827" i="1" s="1"/>
  <c r="E827" i="1"/>
  <c r="G827" i="1" s="1"/>
  <c r="B827" i="1"/>
  <c r="D827" i="1" s="1"/>
  <c r="AB826" i="1"/>
  <c r="AD826" i="1" s="1"/>
  <c r="Y826" i="1"/>
  <c r="AA826" i="1" s="1"/>
  <c r="V826" i="1"/>
  <c r="X826" i="1" s="1"/>
  <c r="S826" i="1"/>
  <c r="U826" i="1" s="1"/>
  <c r="P826" i="1"/>
  <c r="R826" i="1" s="1"/>
  <c r="L826" i="1"/>
  <c r="N826" i="1" s="1"/>
  <c r="H826" i="1"/>
  <c r="J826" i="1" s="1"/>
  <c r="E826" i="1"/>
  <c r="G826" i="1" s="1"/>
  <c r="B826" i="1"/>
  <c r="D826" i="1" s="1"/>
  <c r="AB825" i="1"/>
  <c r="AD825" i="1" s="1"/>
  <c r="Y825" i="1"/>
  <c r="AA825" i="1" s="1"/>
  <c r="V825" i="1"/>
  <c r="X825" i="1" s="1"/>
  <c r="S825" i="1"/>
  <c r="U825" i="1" s="1"/>
  <c r="P825" i="1"/>
  <c r="R825" i="1" s="1"/>
  <c r="L825" i="1"/>
  <c r="N825" i="1" s="1"/>
  <c r="H825" i="1"/>
  <c r="J825" i="1" s="1"/>
  <c r="E825" i="1"/>
  <c r="G825" i="1" s="1"/>
  <c r="B825" i="1"/>
  <c r="D825" i="1" s="1"/>
  <c r="AB824" i="1"/>
  <c r="AD824" i="1" s="1"/>
  <c r="Y824" i="1"/>
  <c r="AA824" i="1" s="1"/>
  <c r="V824" i="1"/>
  <c r="X824" i="1" s="1"/>
  <c r="S824" i="1"/>
  <c r="U824" i="1" s="1"/>
  <c r="P824" i="1"/>
  <c r="R824" i="1" s="1"/>
  <c r="L824" i="1"/>
  <c r="N824" i="1" s="1"/>
  <c r="H824" i="1"/>
  <c r="J824" i="1" s="1"/>
  <c r="E824" i="1"/>
  <c r="G824" i="1" s="1"/>
  <c r="B824" i="1"/>
  <c r="D824" i="1" s="1"/>
  <c r="AB823" i="1"/>
  <c r="AD823" i="1" s="1"/>
  <c r="Y823" i="1"/>
  <c r="AA823" i="1" s="1"/>
  <c r="V823" i="1"/>
  <c r="X823" i="1" s="1"/>
  <c r="S823" i="1"/>
  <c r="U823" i="1" s="1"/>
  <c r="P823" i="1"/>
  <c r="R823" i="1" s="1"/>
  <c r="L823" i="1"/>
  <c r="N823" i="1" s="1"/>
  <c r="H823" i="1"/>
  <c r="J823" i="1" s="1"/>
  <c r="E823" i="1"/>
  <c r="G823" i="1" s="1"/>
  <c r="B823" i="1"/>
  <c r="D823" i="1" s="1"/>
  <c r="AB822" i="1"/>
  <c r="AD822" i="1" s="1"/>
  <c r="Y822" i="1"/>
  <c r="AA822" i="1" s="1"/>
  <c r="V822" i="1"/>
  <c r="X822" i="1" s="1"/>
  <c r="S822" i="1"/>
  <c r="U822" i="1" s="1"/>
  <c r="P822" i="1"/>
  <c r="R822" i="1" s="1"/>
  <c r="L822" i="1"/>
  <c r="N822" i="1" s="1"/>
  <c r="H822" i="1"/>
  <c r="J822" i="1" s="1"/>
  <c r="E822" i="1"/>
  <c r="G822" i="1" s="1"/>
  <c r="B822" i="1"/>
  <c r="D822" i="1" s="1"/>
  <c r="AB821" i="1"/>
  <c r="AD821" i="1" s="1"/>
  <c r="Y821" i="1"/>
  <c r="AA821" i="1" s="1"/>
  <c r="V821" i="1"/>
  <c r="X821" i="1" s="1"/>
  <c r="S821" i="1"/>
  <c r="U821" i="1" s="1"/>
  <c r="P821" i="1"/>
  <c r="R821" i="1" s="1"/>
  <c r="L821" i="1"/>
  <c r="N821" i="1" s="1"/>
  <c r="H821" i="1"/>
  <c r="J821" i="1" s="1"/>
  <c r="E821" i="1"/>
  <c r="G821" i="1" s="1"/>
  <c r="B821" i="1"/>
  <c r="D821" i="1" s="1"/>
  <c r="AB820" i="1"/>
  <c r="AD820" i="1" s="1"/>
  <c r="Y820" i="1"/>
  <c r="AA820" i="1" s="1"/>
  <c r="V820" i="1"/>
  <c r="X820" i="1" s="1"/>
  <c r="S820" i="1"/>
  <c r="U820" i="1" s="1"/>
  <c r="P820" i="1"/>
  <c r="R820" i="1" s="1"/>
  <c r="L820" i="1"/>
  <c r="N820" i="1" s="1"/>
  <c r="H820" i="1"/>
  <c r="J820" i="1" s="1"/>
  <c r="E820" i="1"/>
  <c r="G820" i="1" s="1"/>
  <c r="B820" i="1"/>
  <c r="D820" i="1" s="1"/>
  <c r="AB819" i="1"/>
  <c r="AD819" i="1" s="1"/>
  <c r="Y819" i="1"/>
  <c r="AA819" i="1" s="1"/>
  <c r="V819" i="1"/>
  <c r="X819" i="1" s="1"/>
  <c r="S819" i="1"/>
  <c r="U819" i="1" s="1"/>
  <c r="P819" i="1"/>
  <c r="R819" i="1" s="1"/>
  <c r="L819" i="1"/>
  <c r="N819" i="1" s="1"/>
  <c r="H819" i="1"/>
  <c r="J819" i="1" s="1"/>
  <c r="E819" i="1"/>
  <c r="G819" i="1" s="1"/>
  <c r="D819" i="1"/>
  <c r="B819" i="1"/>
  <c r="AD818" i="1"/>
  <c r="AB818" i="1"/>
  <c r="Y818" i="1"/>
  <c r="AA818" i="1" s="1"/>
  <c r="V818" i="1"/>
  <c r="X818" i="1" s="1"/>
  <c r="S818" i="1"/>
  <c r="U818" i="1" s="1"/>
  <c r="P818" i="1"/>
  <c r="R818" i="1" s="1"/>
  <c r="L818" i="1"/>
  <c r="N818" i="1" s="1"/>
  <c r="H818" i="1"/>
  <c r="J818" i="1" s="1"/>
  <c r="E818" i="1"/>
  <c r="G818" i="1" s="1"/>
  <c r="B818" i="1"/>
  <c r="D818" i="1" s="1"/>
  <c r="AD817" i="1"/>
  <c r="Y817" i="1"/>
  <c r="AA817" i="1" s="1"/>
  <c r="V817" i="1"/>
  <c r="X817" i="1" s="1"/>
  <c r="S817" i="1"/>
  <c r="U817" i="1" s="1"/>
  <c r="P817" i="1"/>
  <c r="R817" i="1" s="1"/>
  <c r="L817" i="1"/>
  <c r="N817" i="1" s="1"/>
  <c r="H817" i="1"/>
  <c r="J817" i="1" s="1"/>
  <c r="E817" i="1"/>
  <c r="G817" i="1" s="1"/>
  <c r="B817" i="1"/>
  <c r="D817" i="1" s="1"/>
  <c r="AB816" i="1"/>
  <c r="AD816" i="1" s="1"/>
  <c r="Y816" i="1"/>
  <c r="AA816" i="1" s="1"/>
  <c r="X816" i="1"/>
  <c r="S816" i="1"/>
  <c r="U816" i="1" s="1"/>
  <c r="P816" i="1"/>
  <c r="R816" i="1" s="1"/>
  <c r="L816" i="1"/>
  <c r="N816" i="1" s="1"/>
  <c r="H816" i="1"/>
  <c r="J816" i="1" s="1"/>
  <c r="E816" i="1"/>
  <c r="G816" i="1" s="1"/>
  <c r="B816" i="1"/>
  <c r="D816" i="1" s="1"/>
  <c r="AB815" i="1"/>
  <c r="AD815" i="1" s="1"/>
  <c r="AA815" i="1"/>
  <c r="Y815" i="1"/>
  <c r="V815" i="1"/>
  <c r="X815" i="1" s="1"/>
  <c r="S815" i="1"/>
  <c r="U815" i="1" s="1"/>
  <c r="P815" i="1"/>
  <c r="R815" i="1" s="1"/>
  <c r="L815" i="1"/>
  <c r="N815" i="1" s="1"/>
  <c r="H815" i="1"/>
  <c r="J815" i="1" s="1"/>
  <c r="E815" i="1"/>
  <c r="G815" i="1" s="1"/>
  <c r="B815" i="1"/>
  <c r="D815" i="1" s="1"/>
  <c r="AB814" i="1"/>
  <c r="AD814" i="1" s="1"/>
  <c r="Y814" i="1"/>
  <c r="AA814" i="1" s="1"/>
  <c r="V814" i="1"/>
  <c r="X814" i="1" s="1"/>
  <c r="S814" i="1"/>
  <c r="U814" i="1" s="1"/>
  <c r="P814" i="1"/>
  <c r="R814" i="1" s="1"/>
  <c r="L814" i="1"/>
  <c r="N814" i="1" s="1"/>
  <c r="H814" i="1"/>
  <c r="J814" i="1" s="1"/>
  <c r="E814" i="1"/>
  <c r="G814" i="1" s="1"/>
  <c r="B814" i="1"/>
  <c r="D814" i="1" s="1"/>
  <c r="AB813" i="1"/>
  <c r="AD813" i="1" s="1"/>
  <c r="Y813" i="1"/>
  <c r="AA813" i="1" s="1"/>
  <c r="V813" i="1"/>
  <c r="X813" i="1" s="1"/>
  <c r="S813" i="1"/>
  <c r="U813" i="1" s="1"/>
  <c r="P813" i="1"/>
  <c r="R813" i="1" s="1"/>
  <c r="L813" i="1"/>
  <c r="N813" i="1" s="1"/>
  <c r="H813" i="1"/>
  <c r="J813" i="1" s="1"/>
  <c r="E813" i="1"/>
  <c r="G813" i="1" s="1"/>
  <c r="B813" i="1"/>
  <c r="D813" i="1" s="1"/>
  <c r="AB812" i="1"/>
  <c r="AD812" i="1" s="1"/>
  <c r="Y812" i="1"/>
  <c r="AA812" i="1" s="1"/>
  <c r="X812" i="1"/>
  <c r="U812" i="1"/>
  <c r="R812" i="1"/>
  <c r="N812" i="1"/>
  <c r="L812" i="1"/>
  <c r="J812" i="1"/>
  <c r="E812" i="1"/>
  <c r="G812" i="1" s="1"/>
  <c r="D812" i="1"/>
  <c r="B812" i="1"/>
  <c r="AD811" i="1"/>
  <c r="Y811" i="1"/>
  <c r="AA811" i="1" s="1"/>
  <c r="X811" i="1"/>
  <c r="U811" i="1"/>
  <c r="R811" i="1"/>
  <c r="N811" i="1"/>
  <c r="J811" i="1"/>
  <c r="E811" i="1"/>
  <c r="G811" i="1" s="1"/>
  <c r="D811" i="1"/>
  <c r="AD810" i="1"/>
  <c r="Y810" i="1"/>
  <c r="AA810" i="1" s="1"/>
  <c r="X810" i="1"/>
  <c r="U810" i="1"/>
  <c r="R810" i="1"/>
  <c r="N810" i="1"/>
  <c r="J810" i="1"/>
  <c r="G810" i="1"/>
  <c r="E810" i="1"/>
  <c r="D810" i="1"/>
  <c r="AD809" i="1"/>
  <c r="AA809" i="1"/>
  <c r="Y809" i="1"/>
  <c r="X809" i="1"/>
  <c r="U809" i="1"/>
  <c r="R809" i="1"/>
  <c r="N809" i="1"/>
  <c r="J809" i="1"/>
  <c r="E809" i="1"/>
  <c r="G809" i="1" s="1"/>
  <c r="D809" i="1"/>
  <c r="AD808" i="1"/>
  <c r="AA808" i="1"/>
  <c r="X808" i="1"/>
  <c r="U808" i="1"/>
  <c r="R808" i="1"/>
  <c r="N808" i="1"/>
  <c r="J808" i="1"/>
  <c r="G808" i="1"/>
  <c r="D808" i="1"/>
  <c r="AD807" i="1"/>
  <c r="AA807" i="1"/>
  <c r="X807" i="1"/>
  <c r="U807" i="1"/>
  <c r="R807" i="1"/>
  <c r="N807" i="1"/>
  <c r="J807" i="1"/>
  <c r="G807" i="1"/>
  <c r="D807" i="1"/>
  <c r="AD806" i="1"/>
  <c r="AA806" i="1"/>
  <c r="X806" i="1"/>
  <c r="U806" i="1"/>
  <c r="R806" i="1"/>
  <c r="N806" i="1"/>
  <c r="J806" i="1"/>
  <c r="G806" i="1"/>
  <c r="D806" i="1"/>
  <c r="AD805" i="1"/>
  <c r="AA805" i="1"/>
  <c r="X805" i="1"/>
  <c r="U805" i="1"/>
  <c r="R805" i="1"/>
  <c r="N805" i="1"/>
  <c r="J805" i="1"/>
  <c r="G805" i="1"/>
  <c r="D805" i="1"/>
  <c r="AD804" i="1"/>
  <c r="AA804" i="1"/>
  <c r="X804" i="1"/>
  <c r="U804" i="1"/>
  <c r="R804" i="1"/>
  <c r="N804" i="1"/>
  <c r="J804" i="1"/>
  <c r="G804" i="1"/>
  <c r="D804" i="1"/>
  <c r="AD803" i="1"/>
  <c r="AA803" i="1"/>
  <c r="X803" i="1"/>
  <c r="U803" i="1"/>
  <c r="R803" i="1"/>
  <c r="N803" i="1"/>
  <c r="J803" i="1"/>
  <c r="G803" i="1"/>
  <c r="D803" i="1"/>
  <c r="AD802" i="1"/>
  <c r="AA802" i="1"/>
  <c r="X802" i="1"/>
  <c r="U802" i="1"/>
  <c r="R802" i="1"/>
  <c r="N802" i="1"/>
  <c r="J802" i="1"/>
  <c r="G802" i="1"/>
  <c r="D802" i="1"/>
  <c r="AD801" i="1"/>
  <c r="AA801" i="1"/>
  <c r="X801" i="1"/>
  <c r="U801" i="1"/>
  <c r="R801" i="1"/>
  <c r="N801" i="1"/>
  <c r="J801" i="1"/>
  <c r="G801" i="1"/>
  <c r="D801" i="1"/>
  <c r="AD800" i="1"/>
  <c r="AA800" i="1"/>
  <c r="X800" i="1"/>
  <c r="U800" i="1"/>
  <c r="R800" i="1"/>
  <c r="N800" i="1"/>
  <c r="J800" i="1"/>
  <c r="G800" i="1"/>
  <c r="D800" i="1"/>
  <c r="AD799" i="1"/>
  <c r="AA799" i="1"/>
  <c r="X799" i="1"/>
  <c r="U799" i="1"/>
  <c r="R799" i="1"/>
  <c r="N799" i="1"/>
  <c r="J799" i="1"/>
  <c r="G799" i="1"/>
  <c r="D799" i="1"/>
  <c r="AD798" i="1"/>
  <c r="AA798" i="1"/>
  <c r="X798" i="1"/>
  <c r="U798" i="1"/>
  <c r="R798" i="1"/>
  <c r="N798" i="1"/>
  <c r="J798" i="1"/>
  <c r="G798" i="1"/>
  <c r="D798" i="1"/>
  <c r="AD797" i="1"/>
  <c r="AA797" i="1"/>
  <c r="X797" i="1"/>
  <c r="U797" i="1"/>
  <c r="R797" i="1"/>
  <c r="N797" i="1"/>
  <c r="J797" i="1"/>
  <c r="G797" i="1"/>
  <c r="D797" i="1"/>
  <c r="AD796" i="1"/>
  <c r="AA796" i="1"/>
  <c r="X796" i="1"/>
  <c r="U796" i="1"/>
  <c r="R796" i="1"/>
  <c r="N796" i="1"/>
  <c r="J796" i="1"/>
  <c r="G796" i="1"/>
  <c r="D796" i="1"/>
  <c r="AD795" i="1"/>
  <c r="AA795" i="1"/>
  <c r="X795" i="1"/>
  <c r="U795" i="1"/>
  <c r="R795" i="1"/>
  <c r="N795" i="1"/>
  <c r="J795" i="1"/>
  <c r="G795" i="1"/>
  <c r="D795" i="1"/>
  <c r="AD794" i="1"/>
  <c r="AA794" i="1"/>
  <c r="X794" i="1"/>
  <c r="U794" i="1"/>
  <c r="R794" i="1"/>
  <c r="N794" i="1"/>
  <c r="J794" i="1"/>
  <c r="G794" i="1"/>
  <c r="D794" i="1"/>
  <c r="AD793" i="1"/>
  <c r="AA793" i="1"/>
  <c r="X793" i="1"/>
  <c r="U793" i="1"/>
  <c r="R793" i="1"/>
  <c r="N793" i="1"/>
  <c r="J793" i="1"/>
  <c r="G793" i="1"/>
  <c r="D793" i="1"/>
  <c r="AD792" i="1"/>
  <c r="AA792" i="1"/>
  <c r="X792" i="1"/>
  <c r="U792" i="1"/>
  <c r="R792" i="1"/>
  <c r="N792" i="1"/>
  <c r="J792" i="1"/>
  <c r="G792" i="1"/>
  <c r="D792" i="1"/>
  <c r="AD791" i="1"/>
  <c r="AA791" i="1"/>
  <c r="X791" i="1"/>
  <c r="U791" i="1"/>
  <c r="R791" i="1"/>
  <c r="N791" i="1"/>
  <c r="J791" i="1"/>
  <c r="G791" i="1"/>
  <c r="D791" i="1"/>
  <c r="AD790" i="1"/>
  <c r="AA790" i="1"/>
  <c r="X790" i="1"/>
  <c r="U790" i="1"/>
  <c r="R790" i="1"/>
  <c r="N790" i="1"/>
  <c r="J790" i="1"/>
  <c r="G790" i="1"/>
  <c r="D790" i="1"/>
  <c r="AD789" i="1"/>
  <c r="AA789" i="1"/>
  <c r="X789" i="1"/>
  <c r="U789" i="1"/>
  <c r="R789" i="1"/>
  <c r="N789" i="1"/>
  <c r="J789" i="1"/>
  <c r="G789" i="1"/>
  <c r="D789" i="1"/>
  <c r="AD788" i="1"/>
  <c r="AA788" i="1"/>
  <c r="X788" i="1"/>
  <c r="U788" i="1"/>
  <c r="R788" i="1"/>
  <c r="N788" i="1"/>
  <c r="J788" i="1"/>
  <c r="G788" i="1"/>
  <c r="D788" i="1"/>
  <c r="AD787" i="1"/>
  <c r="AA787" i="1"/>
  <c r="X787" i="1"/>
  <c r="U787" i="1"/>
  <c r="R787" i="1"/>
  <c r="N787" i="1"/>
  <c r="J787" i="1"/>
  <c r="G787" i="1"/>
  <c r="D787" i="1"/>
  <c r="AD786" i="1"/>
  <c r="AA786" i="1"/>
  <c r="X786" i="1"/>
  <c r="U786" i="1"/>
  <c r="R786" i="1"/>
  <c r="N786" i="1"/>
  <c r="J786" i="1"/>
  <c r="G786" i="1"/>
  <c r="D786" i="1"/>
  <c r="AD785" i="1"/>
  <c r="AA785" i="1"/>
  <c r="X785" i="1"/>
  <c r="U785" i="1"/>
  <c r="R785" i="1"/>
  <c r="N785" i="1"/>
  <c r="J785" i="1"/>
  <c r="G785" i="1"/>
  <c r="D785" i="1"/>
  <c r="AD784" i="1"/>
  <c r="AA784" i="1"/>
  <c r="X784" i="1"/>
  <c r="U784" i="1"/>
  <c r="R784" i="1"/>
  <c r="N784" i="1"/>
  <c r="J784" i="1"/>
  <c r="G784" i="1"/>
  <c r="D784" i="1"/>
  <c r="AD783" i="1"/>
  <c r="AA783" i="1"/>
  <c r="X783" i="1"/>
  <c r="U783" i="1"/>
  <c r="R783" i="1"/>
  <c r="N783" i="1"/>
  <c r="J783" i="1"/>
  <c r="G783" i="1"/>
  <c r="D783" i="1"/>
  <c r="AD782" i="1"/>
  <c r="AA782" i="1"/>
  <c r="X782" i="1"/>
  <c r="U782" i="1"/>
  <c r="R782" i="1"/>
  <c r="N782" i="1"/>
  <c r="J782" i="1"/>
  <c r="G782" i="1"/>
  <c r="D782" i="1"/>
  <c r="AD781" i="1"/>
  <c r="AA781" i="1"/>
  <c r="X781" i="1"/>
  <c r="U781" i="1"/>
  <c r="R781" i="1"/>
  <c r="N781" i="1"/>
  <c r="J781" i="1"/>
  <c r="G781" i="1"/>
  <c r="D781" i="1"/>
  <c r="AD780" i="1"/>
  <c r="AA780" i="1"/>
  <c r="X780" i="1"/>
  <c r="U780" i="1"/>
  <c r="R780" i="1"/>
  <c r="N780" i="1"/>
  <c r="J780" i="1"/>
  <c r="G780" i="1"/>
  <c r="D780" i="1"/>
  <c r="AD779" i="1"/>
  <c r="AA779" i="1"/>
  <c r="X779" i="1"/>
  <c r="U779" i="1"/>
  <c r="R779" i="1"/>
  <c r="N779" i="1"/>
  <c r="J779" i="1"/>
  <c r="G779" i="1"/>
  <c r="D779" i="1"/>
  <c r="AD778" i="1"/>
  <c r="AA778" i="1"/>
  <c r="X778" i="1"/>
  <c r="U778" i="1"/>
  <c r="R778" i="1"/>
  <c r="N778" i="1"/>
  <c r="J778" i="1"/>
  <c r="G778" i="1"/>
  <c r="D778" i="1"/>
  <c r="AD777" i="1"/>
  <c r="AA777" i="1"/>
  <c r="X777" i="1"/>
  <c r="U777" i="1"/>
  <c r="R777" i="1"/>
  <c r="N777" i="1"/>
  <c r="J777" i="1"/>
  <c r="G777" i="1"/>
  <c r="D777" i="1"/>
  <c r="AD776" i="1"/>
  <c r="AA776" i="1"/>
  <c r="X776" i="1"/>
  <c r="U776" i="1"/>
  <c r="R776" i="1"/>
  <c r="N776" i="1"/>
  <c r="J776" i="1"/>
  <c r="G776" i="1"/>
  <c r="D776" i="1"/>
  <c r="AD775" i="1"/>
  <c r="AA775" i="1"/>
  <c r="X775" i="1"/>
  <c r="U775" i="1"/>
  <c r="R775" i="1"/>
  <c r="N775" i="1"/>
  <c r="J775" i="1"/>
  <c r="G775" i="1"/>
  <c r="D775" i="1"/>
  <c r="AD774" i="1"/>
  <c r="AA774" i="1"/>
  <c r="X774" i="1"/>
  <c r="U774" i="1"/>
  <c r="R774" i="1"/>
  <c r="N774" i="1"/>
  <c r="J774" i="1"/>
  <c r="G774" i="1"/>
  <c r="D774" i="1"/>
  <c r="AD773" i="1"/>
  <c r="AA773" i="1"/>
  <c r="X773" i="1"/>
  <c r="U773" i="1"/>
  <c r="R773" i="1"/>
  <c r="N773" i="1"/>
  <c r="J773" i="1"/>
  <c r="G773" i="1"/>
  <c r="D773" i="1"/>
  <c r="AD772" i="1"/>
  <c r="AA772" i="1"/>
  <c r="X772" i="1"/>
  <c r="U772" i="1"/>
  <c r="R772" i="1"/>
  <c r="N772" i="1"/>
  <c r="J772" i="1"/>
  <c r="G772" i="1"/>
  <c r="D772" i="1"/>
  <c r="AD771" i="1"/>
  <c r="AA771" i="1"/>
  <c r="X771" i="1"/>
  <c r="U771" i="1"/>
  <c r="R771" i="1"/>
  <c r="N771" i="1"/>
  <c r="J771" i="1"/>
  <c r="G771" i="1"/>
  <c r="D771" i="1"/>
  <c r="AD770" i="1"/>
  <c r="AA770" i="1"/>
  <c r="X770" i="1"/>
  <c r="U770" i="1"/>
  <c r="R770" i="1"/>
  <c r="N770" i="1"/>
  <c r="J770" i="1"/>
  <c r="G770" i="1"/>
  <c r="D770" i="1"/>
  <c r="AD769" i="1"/>
  <c r="AA769" i="1"/>
  <c r="X769" i="1"/>
  <c r="U769" i="1"/>
  <c r="R769" i="1"/>
  <c r="N769" i="1"/>
  <c r="J769" i="1"/>
  <c r="G769" i="1"/>
  <c r="D769" i="1"/>
  <c r="AD768" i="1"/>
  <c r="AA768" i="1"/>
  <c r="X768" i="1"/>
  <c r="U768" i="1"/>
  <c r="R768" i="1"/>
  <c r="N768" i="1"/>
  <c r="J768" i="1"/>
  <c r="G768" i="1"/>
  <c r="D768" i="1"/>
  <c r="AD767" i="1"/>
  <c r="AA767" i="1"/>
  <c r="X767" i="1"/>
  <c r="U767" i="1"/>
  <c r="R767" i="1"/>
  <c r="N767" i="1"/>
  <c r="J767" i="1"/>
  <c r="G767" i="1"/>
  <c r="D767" i="1"/>
  <c r="AD766" i="1"/>
  <c r="AA766" i="1"/>
  <c r="X766" i="1"/>
  <c r="U766" i="1"/>
  <c r="R766" i="1"/>
  <c r="N766" i="1"/>
  <c r="J766" i="1"/>
  <c r="G766" i="1"/>
  <c r="D766" i="1"/>
  <c r="AD765" i="1"/>
  <c r="AA765" i="1"/>
  <c r="X765" i="1"/>
  <c r="U765" i="1"/>
  <c r="R765" i="1"/>
  <c r="N765" i="1"/>
  <c r="J765" i="1"/>
  <c r="G765" i="1"/>
  <c r="D765" i="1"/>
  <c r="AD764" i="1"/>
  <c r="AA764" i="1"/>
  <c r="X764" i="1"/>
  <c r="U764" i="1"/>
  <c r="R764" i="1"/>
  <c r="N764" i="1"/>
  <c r="J764" i="1"/>
  <c r="G764" i="1"/>
  <c r="D764" i="1"/>
  <c r="AD763" i="1"/>
  <c r="AA763" i="1"/>
  <c r="X763" i="1"/>
  <c r="U763" i="1"/>
  <c r="R763" i="1"/>
  <c r="N763" i="1"/>
  <c r="J763" i="1"/>
  <c r="G763" i="1"/>
  <c r="D763" i="1"/>
  <c r="AD762" i="1"/>
  <c r="AA762" i="1"/>
  <c r="X762" i="1"/>
  <c r="U762" i="1"/>
  <c r="R762" i="1"/>
  <c r="N762" i="1"/>
  <c r="J762" i="1"/>
  <c r="G762" i="1"/>
  <c r="D762" i="1"/>
  <c r="AD761" i="1"/>
  <c r="AA761" i="1"/>
  <c r="X761" i="1"/>
  <c r="U761" i="1"/>
  <c r="R761" i="1"/>
  <c r="N761" i="1"/>
  <c r="J761" i="1"/>
  <c r="G761" i="1"/>
  <c r="D761" i="1"/>
  <c r="AD760" i="1"/>
  <c r="AA760" i="1"/>
  <c r="X760" i="1"/>
  <c r="U760" i="1"/>
  <c r="R760" i="1"/>
  <c r="N760" i="1"/>
  <c r="J760" i="1"/>
  <c r="G760" i="1"/>
  <c r="D760" i="1"/>
  <c r="AD759" i="1"/>
  <c r="AA759" i="1"/>
  <c r="X759" i="1"/>
  <c r="U759" i="1"/>
  <c r="R759" i="1"/>
  <c r="N759" i="1"/>
  <c r="J759" i="1"/>
  <c r="G759" i="1"/>
  <c r="D759" i="1"/>
  <c r="AD758" i="1"/>
  <c r="AA758" i="1"/>
  <c r="X758" i="1"/>
  <c r="U758" i="1"/>
  <c r="R758" i="1"/>
  <c r="N758" i="1"/>
  <c r="J758" i="1"/>
  <c r="G758" i="1"/>
  <c r="D758" i="1"/>
  <c r="AD757" i="1"/>
  <c r="AA757" i="1"/>
  <c r="X757" i="1"/>
  <c r="U757" i="1"/>
  <c r="R757" i="1"/>
  <c r="N757" i="1"/>
  <c r="J757" i="1"/>
  <c r="G757" i="1"/>
  <c r="D757" i="1"/>
  <c r="AD756" i="1"/>
  <c r="AA756" i="1"/>
  <c r="X756" i="1"/>
  <c r="U756" i="1"/>
  <c r="R756" i="1"/>
  <c r="N756" i="1"/>
  <c r="J756" i="1"/>
  <c r="G756" i="1"/>
  <c r="D756" i="1"/>
  <c r="AD755" i="1"/>
  <c r="AA755" i="1"/>
  <c r="X755" i="1"/>
  <c r="U755" i="1"/>
  <c r="R755" i="1"/>
  <c r="N755" i="1"/>
  <c r="J755" i="1"/>
  <c r="G755" i="1"/>
  <c r="D755" i="1"/>
  <c r="AD754" i="1"/>
  <c r="AA754" i="1"/>
  <c r="X754" i="1"/>
  <c r="U754" i="1"/>
  <c r="R754" i="1"/>
  <c r="N754" i="1"/>
  <c r="J754" i="1"/>
  <c r="G754" i="1"/>
  <c r="D754" i="1"/>
  <c r="AD753" i="1"/>
  <c r="AA753" i="1"/>
  <c r="X753" i="1"/>
  <c r="U753" i="1"/>
  <c r="R753" i="1"/>
  <c r="N753" i="1"/>
  <c r="J753" i="1"/>
  <c r="G753" i="1"/>
  <c r="D753" i="1"/>
  <c r="AD752" i="1"/>
  <c r="AA752" i="1"/>
  <c r="X752" i="1"/>
  <c r="U752" i="1"/>
  <c r="R752" i="1"/>
  <c r="N752" i="1"/>
  <c r="J752" i="1"/>
  <c r="G752" i="1"/>
  <c r="D752" i="1"/>
  <c r="AD751" i="1"/>
  <c r="AA751" i="1"/>
  <c r="X751" i="1"/>
  <c r="U751" i="1"/>
  <c r="R751" i="1"/>
  <c r="N751" i="1"/>
  <c r="J751" i="1"/>
  <c r="G751" i="1"/>
  <c r="D751" i="1"/>
  <c r="AD750" i="1"/>
  <c r="AA750" i="1"/>
  <c r="X750" i="1"/>
  <c r="U750" i="1"/>
  <c r="R750" i="1"/>
  <c r="N750" i="1"/>
  <c r="J750" i="1"/>
  <c r="G750" i="1"/>
  <c r="D750" i="1"/>
  <c r="AD749" i="1"/>
  <c r="AA749" i="1"/>
  <c r="X749" i="1"/>
  <c r="U749" i="1"/>
  <c r="R749" i="1"/>
  <c r="N749" i="1"/>
  <c r="J749" i="1"/>
  <c r="G749" i="1"/>
  <c r="D749" i="1"/>
  <c r="AD748" i="1"/>
  <c r="AA748" i="1"/>
  <c r="X748" i="1"/>
  <c r="U748" i="1"/>
  <c r="R748" i="1"/>
  <c r="N748" i="1"/>
  <c r="J748" i="1"/>
  <c r="G748" i="1"/>
  <c r="D748" i="1"/>
  <c r="AD747" i="1"/>
  <c r="AA747" i="1"/>
  <c r="X747" i="1"/>
  <c r="U747" i="1"/>
  <c r="R747" i="1"/>
  <c r="N747" i="1"/>
  <c r="J747" i="1"/>
  <c r="G747" i="1"/>
  <c r="D747" i="1"/>
  <c r="AD746" i="1"/>
  <c r="AA746" i="1"/>
  <c r="X746" i="1"/>
  <c r="U746" i="1"/>
  <c r="R746" i="1"/>
  <c r="N746" i="1"/>
  <c r="J746" i="1"/>
  <c r="G746" i="1"/>
  <c r="D746" i="1"/>
  <c r="AD745" i="1"/>
  <c r="AA745" i="1"/>
  <c r="X745" i="1"/>
  <c r="U745" i="1"/>
  <c r="R745" i="1"/>
  <c r="N745" i="1"/>
  <c r="J745" i="1"/>
  <c r="G745" i="1"/>
  <c r="D745" i="1"/>
  <c r="AD744" i="1"/>
  <c r="AA744" i="1"/>
  <c r="X744" i="1"/>
  <c r="U744" i="1"/>
  <c r="R744" i="1"/>
  <c r="N744" i="1"/>
  <c r="J744" i="1"/>
  <c r="G744" i="1"/>
  <c r="D744" i="1"/>
  <c r="AD743" i="1"/>
  <c r="AA743" i="1"/>
  <c r="X743" i="1"/>
  <c r="U743" i="1"/>
  <c r="R743" i="1"/>
  <c r="N743" i="1"/>
  <c r="J743" i="1"/>
  <c r="G743" i="1"/>
  <c r="D743" i="1"/>
  <c r="AD742" i="1"/>
  <c r="AA742" i="1"/>
  <c r="X742" i="1"/>
  <c r="U742" i="1"/>
  <c r="R742" i="1"/>
  <c r="N742" i="1"/>
  <c r="J742" i="1"/>
  <c r="G742" i="1"/>
  <c r="D742" i="1"/>
  <c r="AD741" i="1"/>
  <c r="AA741" i="1"/>
  <c r="X741" i="1"/>
  <c r="U741" i="1"/>
  <c r="R741" i="1"/>
  <c r="N741" i="1"/>
  <c r="J741" i="1"/>
  <c r="G741" i="1"/>
  <c r="D741" i="1"/>
  <c r="AD740" i="1"/>
  <c r="AA740" i="1"/>
  <c r="X740" i="1"/>
  <c r="U740" i="1"/>
  <c r="R740" i="1"/>
  <c r="N740" i="1"/>
  <c r="J740" i="1"/>
  <c r="G740" i="1"/>
  <c r="D740" i="1"/>
  <c r="AD739" i="1"/>
  <c r="AA739" i="1"/>
  <c r="X739" i="1"/>
  <c r="U739" i="1"/>
  <c r="R739" i="1"/>
  <c r="N739" i="1"/>
  <c r="J739" i="1"/>
  <c r="G739" i="1"/>
  <c r="D739" i="1"/>
  <c r="AD738" i="1"/>
  <c r="AA738" i="1"/>
  <c r="X738" i="1"/>
  <c r="U738" i="1"/>
  <c r="R738" i="1"/>
  <c r="N738" i="1"/>
  <c r="J738" i="1"/>
  <c r="G738" i="1"/>
  <c r="D738" i="1"/>
  <c r="AD737" i="1"/>
  <c r="AA737" i="1"/>
  <c r="X737" i="1"/>
  <c r="U737" i="1"/>
  <c r="R737" i="1"/>
  <c r="N737" i="1"/>
  <c r="J737" i="1"/>
  <c r="G737" i="1"/>
  <c r="D737" i="1"/>
  <c r="AD736" i="1"/>
  <c r="AA736" i="1"/>
  <c r="X736" i="1"/>
  <c r="U736" i="1"/>
  <c r="R736" i="1"/>
  <c r="N736" i="1"/>
  <c r="J736" i="1"/>
  <c r="G736" i="1"/>
  <c r="D736" i="1"/>
  <c r="AD735" i="1"/>
  <c r="AA735" i="1"/>
  <c r="X735" i="1"/>
  <c r="U735" i="1"/>
  <c r="R735" i="1"/>
  <c r="N735" i="1"/>
  <c r="J735" i="1"/>
  <c r="G735" i="1"/>
  <c r="D735" i="1"/>
  <c r="AD734" i="1"/>
  <c r="AA734" i="1"/>
  <c r="X734" i="1"/>
  <c r="U734" i="1"/>
  <c r="R734" i="1"/>
  <c r="N734" i="1"/>
  <c r="J734" i="1"/>
  <c r="G734" i="1"/>
  <c r="D734" i="1"/>
  <c r="AD733" i="1"/>
  <c r="AA733" i="1"/>
  <c r="X733" i="1"/>
  <c r="U733" i="1"/>
  <c r="R733" i="1"/>
  <c r="N733" i="1"/>
  <c r="J733" i="1"/>
  <c r="G733" i="1"/>
  <c r="D733" i="1"/>
  <c r="AD732" i="1"/>
  <c r="AA732" i="1"/>
  <c r="X732" i="1"/>
  <c r="U732" i="1"/>
  <c r="R732" i="1"/>
  <c r="N732" i="1"/>
  <c r="J732" i="1"/>
  <c r="G732" i="1"/>
  <c r="D732" i="1"/>
  <c r="AD731" i="1"/>
  <c r="AA731" i="1"/>
  <c r="X731" i="1"/>
  <c r="U731" i="1"/>
  <c r="R731" i="1"/>
  <c r="N731" i="1"/>
  <c r="J731" i="1"/>
  <c r="G731" i="1"/>
  <c r="D731" i="1"/>
  <c r="AD730" i="1"/>
  <c r="AA730" i="1"/>
  <c r="X730" i="1"/>
  <c r="U730" i="1"/>
  <c r="R730" i="1"/>
  <c r="N730" i="1"/>
  <c r="J730" i="1"/>
  <c r="G730" i="1"/>
  <c r="D730" i="1"/>
  <c r="AD729" i="1"/>
  <c r="AA729" i="1"/>
  <c r="X729" i="1"/>
  <c r="U729" i="1"/>
  <c r="R729" i="1"/>
  <c r="N729" i="1"/>
  <c r="J729" i="1"/>
  <c r="G729" i="1"/>
  <c r="D729" i="1"/>
  <c r="AD728" i="1"/>
  <c r="AA728" i="1"/>
  <c r="X728" i="1"/>
  <c r="U728" i="1"/>
  <c r="R728" i="1"/>
  <c r="N728" i="1"/>
  <c r="J728" i="1"/>
  <c r="G728" i="1"/>
  <c r="D728" i="1"/>
  <c r="AD727" i="1"/>
  <c r="AA727" i="1"/>
  <c r="X727" i="1"/>
  <c r="U727" i="1"/>
  <c r="R727" i="1"/>
  <c r="N727" i="1"/>
  <c r="J727" i="1"/>
  <c r="G727" i="1"/>
  <c r="D727" i="1"/>
  <c r="AD726" i="1"/>
  <c r="AA726" i="1"/>
  <c r="X726" i="1"/>
  <c r="U726" i="1"/>
  <c r="R726" i="1"/>
  <c r="N726" i="1"/>
  <c r="J726" i="1"/>
  <c r="G726" i="1"/>
  <c r="D726" i="1"/>
  <c r="AD725" i="1"/>
  <c r="AA725" i="1"/>
  <c r="X725" i="1"/>
  <c r="U725" i="1"/>
  <c r="R725" i="1"/>
  <c r="N725" i="1"/>
  <c r="J725" i="1"/>
  <c r="G725" i="1"/>
  <c r="D725" i="1"/>
  <c r="AD724" i="1"/>
  <c r="AA724" i="1"/>
  <c r="X724" i="1"/>
  <c r="U724" i="1"/>
  <c r="R724" i="1"/>
  <c r="N724" i="1"/>
  <c r="J724" i="1"/>
  <c r="G724" i="1"/>
  <c r="D724" i="1"/>
  <c r="AD723" i="1"/>
  <c r="AA723" i="1"/>
  <c r="X723" i="1"/>
  <c r="U723" i="1"/>
  <c r="R723" i="1"/>
  <c r="N723" i="1"/>
  <c r="J723" i="1"/>
  <c r="G723" i="1"/>
  <c r="D723" i="1"/>
  <c r="AD722" i="1"/>
  <c r="AA722" i="1"/>
  <c r="X722" i="1"/>
  <c r="U722" i="1"/>
  <c r="R722" i="1"/>
  <c r="N722" i="1"/>
  <c r="J722" i="1"/>
  <c r="G722" i="1"/>
  <c r="D722" i="1"/>
  <c r="AD721" i="1"/>
  <c r="AA721" i="1"/>
  <c r="X721" i="1"/>
  <c r="U721" i="1"/>
  <c r="R721" i="1"/>
  <c r="N721" i="1"/>
  <c r="J721" i="1"/>
  <c r="G721" i="1"/>
  <c r="D721" i="1"/>
  <c r="AD720" i="1"/>
  <c r="AA720" i="1"/>
  <c r="X720" i="1"/>
  <c r="U720" i="1"/>
  <c r="R720" i="1"/>
  <c r="N720" i="1"/>
  <c r="J720" i="1"/>
  <c r="G720" i="1"/>
  <c r="D720" i="1"/>
  <c r="AD719" i="1"/>
  <c r="AA719" i="1"/>
  <c r="X719" i="1"/>
  <c r="U719" i="1"/>
  <c r="R719" i="1"/>
  <c r="N719" i="1"/>
  <c r="J719" i="1"/>
  <c r="G719" i="1"/>
  <c r="D719" i="1"/>
  <c r="AD718" i="1"/>
  <c r="AA718" i="1"/>
  <c r="X718" i="1"/>
  <c r="U718" i="1"/>
  <c r="R718" i="1"/>
  <c r="N718" i="1"/>
  <c r="J718" i="1"/>
  <c r="G718" i="1"/>
  <c r="D718" i="1"/>
  <c r="AD717" i="1"/>
  <c r="AA717" i="1"/>
  <c r="X717" i="1"/>
  <c r="U717" i="1"/>
  <c r="R717" i="1"/>
  <c r="N717" i="1"/>
  <c r="J717" i="1"/>
  <c r="G717" i="1"/>
  <c r="D717" i="1"/>
  <c r="AD716" i="1"/>
  <c r="AA716" i="1"/>
  <c r="X716" i="1"/>
  <c r="U716" i="1"/>
  <c r="R716" i="1"/>
  <c r="N716" i="1"/>
  <c r="J716" i="1"/>
  <c r="G716" i="1"/>
  <c r="D716" i="1"/>
  <c r="AD715" i="1"/>
  <c r="AA715" i="1"/>
  <c r="X715" i="1"/>
  <c r="U715" i="1"/>
  <c r="R715" i="1"/>
  <c r="N715" i="1"/>
  <c r="J715" i="1"/>
  <c r="G715" i="1"/>
  <c r="D715" i="1"/>
  <c r="AD714" i="1"/>
  <c r="AA714" i="1"/>
  <c r="X714" i="1"/>
  <c r="U714" i="1"/>
  <c r="R714" i="1"/>
  <c r="N714" i="1"/>
  <c r="J714" i="1"/>
  <c r="G714" i="1"/>
  <c r="D714" i="1"/>
  <c r="AD713" i="1"/>
  <c r="AA713" i="1"/>
  <c r="X713" i="1"/>
  <c r="U713" i="1"/>
  <c r="R713" i="1"/>
  <c r="N713" i="1"/>
  <c r="J713" i="1"/>
  <c r="G713" i="1"/>
  <c r="D713" i="1"/>
  <c r="AD712" i="1"/>
  <c r="AA712" i="1"/>
  <c r="X712" i="1"/>
  <c r="U712" i="1"/>
  <c r="R712" i="1"/>
  <c r="N712" i="1"/>
  <c r="J712" i="1"/>
  <c r="G712" i="1"/>
  <c r="D712" i="1"/>
  <c r="AD711" i="1"/>
  <c r="AA711" i="1"/>
  <c r="X711" i="1"/>
  <c r="U711" i="1"/>
  <c r="R711" i="1"/>
  <c r="N711" i="1"/>
  <c r="J711" i="1"/>
  <c r="G711" i="1"/>
  <c r="D711" i="1"/>
  <c r="AD710" i="1"/>
  <c r="AA710" i="1"/>
  <c r="X710" i="1"/>
  <c r="U710" i="1"/>
  <c r="R710" i="1"/>
  <c r="N710" i="1"/>
  <c r="J710" i="1"/>
  <c r="G710" i="1"/>
  <c r="D710" i="1"/>
  <c r="AD709" i="1"/>
  <c r="AA709" i="1"/>
  <c r="X709" i="1"/>
  <c r="U709" i="1"/>
  <c r="R709" i="1"/>
  <c r="N709" i="1"/>
  <c r="J709" i="1"/>
  <c r="G709" i="1"/>
  <c r="D709" i="1"/>
  <c r="AD708" i="1"/>
  <c r="AA708" i="1"/>
  <c r="X708" i="1"/>
  <c r="U708" i="1"/>
  <c r="R708" i="1"/>
  <c r="N708" i="1"/>
  <c r="J708" i="1"/>
  <c r="G708" i="1"/>
  <c r="D708" i="1"/>
  <c r="AD707" i="1"/>
  <c r="AA707" i="1"/>
  <c r="X707" i="1"/>
  <c r="U707" i="1"/>
  <c r="R707" i="1"/>
  <c r="N707" i="1"/>
  <c r="J707" i="1"/>
  <c r="G707" i="1"/>
  <c r="D707" i="1"/>
  <c r="AD706" i="1"/>
  <c r="AA706" i="1"/>
  <c r="X706" i="1"/>
  <c r="U706" i="1"/>
  <c r="R706" i="1"/>
  <c r="N706" i="1"/>
  <c r="J706" i="1"/>
  <c r="G706" i="1"/>
  <c r="D706" i="1"/>
  <c r="AD705" i="1"/>
  <c r="AA705" i="1"/>
  <c r="X705" i="1"/>
  <c r="U705" i="1"/>
  <c r="R705" i="1"/>
  <c r="N705" i="1"/>
  <c r="J705" i="1"/>
  <c r="G705" i="1"/>
  <c r="D705" i="1"/>
  <c r="AD704" i="1"/>
  <c r="AA704" i="1"/>
  <c r="X704" i="1"/>
  <c r="U704" i="1"/>
  <c r="R704" i="1"/>
  <c r="N704" i="1"/>
  <c r="J704" i="1"/>
  <c r="G704" i="1"/>
  <c r="D704" i="1"/>
  <c r="AD703" i="1"/>
  <c r="AA703" i="1"/>
  <c r="X703" i="1"/>
  <c r="U703" i="1"/>
  <c r="R703" i="1"/>
  <c r="N703" i="1"/>
  <c r="J703" i="1"/>
  <c r="G703" i="1"/>
  <c r="D703" i="1"/>
  <c r="AD702" i="1"/>
  <c r="AA702" i="1"/>
  <c r="X702" i="1"/>
  <c r="U702" i="1"/>
  <c r="R702" i="1"/>
  <c r="N702" i="1"/>
  <c r="J702" i="1"/>
  <c r="G702" i="1"/>
  <c r="D702" i="1"/>
  <c r="AD701" i="1"/>
  <c r="AA701" i="1"/>
  <c r="X701" i="1"/>
  <c r="U701" i="1"/>
  <c r="R701" i="1"/>
  <c r="N701" i="1"/>
  <c r="J701" i="1"/>
  <c r="G701" i="1"/>
  <c r="D701" i="1"/>
  <c r="AD700" i="1"/>
  <c r="AA700" i="1"/>
  <c r="X700" i="1"/>
  <c r="U700" i="1"/>
  <c r="R700" i="1"/>
  <c r="N700" i="1"/>
  <c r="J700" i="1"/>
  <c r="G700" i="1"/>
  <c r="D700" i="1"/>
  <c r="AD699" i="1"/>
  <c r="AA699" i="1"/>
  <c r="X699" i="1"/>
  <c r="U699" i="1"/>
  <c r="R699" i="1"/>
  <c r="N699" i="1"/>
  <c r="J699" i="1"/>
  <c r="G699" i="1"/>
  <c r="D699" i="1"/>
  <c r="AD698" i="1"/>
  <c r="AA698" i="1"/>
  <c r="X698" i="1"/>
  <c r="U698" i="1"/>
  <c r="R698" i="1"/>
  <c r="N698" i="1"/>
  <c r="J698" i="1"/>
  <c r="G698" i="1"/>
  <c r="D698" i="1"/>
  <c r="AD697" i="1"/>
  <c r="AA697" i="1"/>
  <c r="X697" i="1"/>
  <c r="U697" i="1"/>
  <c r="R697" i="1"/>
  <c r="N697" i="1"/>
  <c r="J697" i="1"/>
  <c r="G697" i="1"/>
  <c r="D697" i="1"/>
  <c r="AD696" i="1"/>
  <c r="AA696" i="1"/>
  <c r="X696" i="1"/>
  <c r="U696" i="1"/>
  <c r="R696" i="1"/>
  <c r="N696" i="1"/>
  <c r="J696" i="1"/>
  <c r="G696" i="1"/>
  <c r="D696" i="1"/>
  <c r="AD695" i="1"/>
  <c r="AA695" i="1"/>
  <c r="X695" i="1"/>
  <c r="U695" i="1"/>
  <c r="R695" i="1"/>
  <c r="N695" i="1"/>
  <c r="J695" i="1"/>
  <c r="G695" i="1"/>
  <c r="D695" i="1"/>
  <c r="AD694" i="1"/>
  <c r="AA694" i="1"/>
  <c r="X694" i="1"/>
  <c r="U694" i="1"/>
  <c r="R694" i="1"/>
  <c r="N694" i="1"/>
  <c r="J694" i="1"/>
  <c r="G694" i="1"/>
  <c r="D694" i="1"/>
  <c r="AD693" i="1"/>
  <c r="AA693" i="1"/>
  <c r="X693" i="1"/>
  <c r="U693" i="1"/>
  <c r="R693" i="1"/>
  <c r="N693" i="1"/>
  <c r="J693" i="1"/>
  <c r="G693" i="1"/>
  <c r="D693" i="1"/>
  <c r="AD692" i="1"/>
  <c r="AA692" i="1"/>
  <c r="X692" i="1"/>
  <c r="U692" i="1"/>
  <c r="R692" i="1"/>
  <c r="N692" i="1"/>
  <c r="J692" i="1"/>
  <c r="G692" i="1"/>
  <c r="D692" i="1"/>
  <c r="AD691" i="1"/>
  <c r="AA691" i="1"/>
  <c r="X691" i="1"/>
  <c r="U691" i="1"/>
  <c r="R691" i="1"/>
  <c r="N691" i="1"/>
  <c r="J691" i="1"/>
  <c r="G691" i="1"/>
  <c r="D691" i="1"/>
  <c r="AD690" i="1"/>
  <c r="AA690" i="1"/>
  <c r="X690" i="1"/>
  <c r="U690" i="1"/>
  <c r="R690" i="1"/>
  <c r="N690" i="1"/>
  <c r="J690" i="1"/>
  <c r="G690" i="1"/>
  <c r="D690" i="1"/>
  <c r="AD689" i="1"/>
  <c r="AA689" i="1"/>
  <c r="X689" i="1"/>
  <c r="U689" i="1"/>
  <c r="R689" i="1"/>
  <c r="N689" i="1"/>
  <c r="J689" i="1"/>
  <c r="G689" i="1"/>
  <c r="D689" i="1"/>
  <c r="AD688" i="1"/>
  <c r="AA688" i="1"/>
  <c r="X688" i="1"/>
  <c r="U688" i="1"/>
  <c r="R688" i="1"/>
  <c r="N688" i="1"/>
  <c r="J688" i="1"/>
  <c r="G688" i="1"/>
  <c r="D688" i="1"/>
  <c r="AD687" i="1"/>
  <c r="AA687" i="1"/>
  <c r="X687" i="1"/>
  <c r="U687" i="1"/>
  <c r="R687" i="1"/>
  <c r="N687" i="1"/>
  <c r="J687" i="1"/>
  <c r="G687" i="1"/>
  <c r="D687" i="1"/>
  <c r="AD686" i="1"/>
  <c r="AA686" i="1"/>
  <c r="X686" i="1"/>
  <c r="U686" i="1"/>
  <c r="R686" i="1"/>
  <c r="N686" i="1"/>
  <c r="J686" i="1"/>
  <c r="G686" i="1"/>
  <c r="D686" i="1"/>
  <c r="AD685" i="1"/>
  <c r="AA685" i="1"/>
  <c r="X685" i="1"/>
  <c r="U685" i="1"/>
  <c r="R685" i="1"/>
  <c r="N685" i="1"/>
  <c r="J685" i="1"/>
  <c r="G685" i="1"/>
  <c r="D685" i="1"/>
  <c r="AD684" i="1"/>
  <c r="AA684" i="1"/>
  <c r="X684" i="1"/>
  <c r="U684" i="1"/>
  <c r="R684" i="1"/>
  <c r="N684" i="1"/>
  <c r="J684" i="1"/>
  <c r="G684" i="1"/>
  <c r="D684" i="1"/>
  <c r="AD683" i="1"/>
  <c r="AA683" i="1"/>
  <c r="X683" i="1"/>
  <c r="U683" i="1"/>
  <c r="R683" i="1"/>
  <c r="N683" i="1"/>
  <c r="J683" i="1"/>
  <c r="G683" i="1"/>
  <c r="D683" i="1"/>
  <c r="AD682" i="1"/>
  <c r="AA682" i="1"/>
  <c r="X682" i="1"/>
  <c r="U682" i="1"/>
  <c r="R682" i="1"/>
  <c r="N682" i="1"/>
  <c r="J682" i="1"/>
  <c r="G682" i="1"/>
  <c r="D682" i="1"/>
  <c r="AD681" i="1"/>
  <c r="AA681" i="1"/>
  <c r="X681" i="1"/>
  <c r="U681" i="1"/>
  <c r="R681" i="1"/>
  <c r="N681" i="1"/>
  <c r="J681" i="1"/>
  <c r="G681" i="1"/>
  <c r="D681" i="1"/>
  <c r="AD680" i="1"/>
  <c r="AA680" i="1"/>
  <c r="X680" i="1"/>
  <c r="U680" i="1"/>
  <c r="R680" i="1"/>
  <c r="N680" i="1"/>
  <c r="J680" i="1"/>
  <c r="G680" i="1"/>
  <c r="D680" i="1"/>
  <c r="AD679" i="1"/>
  <c r="AA679" i="1"/>
  <c r="X679" i="1"/>
  <c r="U679" i="1"/>
  <c r="R679" i="1"/>
  <c r="N679" i="1"/>
  <c r="J679" i="1"/>
  <c r="G679" i="1"/>
  <c r="D679" i="1"/>
  <c r="AD678" i="1"/>
  <c r="AA678" i="1"/>
  <c r="X678" i="1"/>
  <c r="U678" i="1"/>
  <c r="R678" i="1"/>
  <c r="N678" i="1"/>
  <c r="J678" i="1"/>
  <c r="G678" i="1"/>
  <c r="D678" i="1"/>
  <c r="AD677" i="1"/>
  <c r="AA677" i="1"/>
  <c r="X677" i="1"/>
  <c r="U677" i="1"/>
  <c r="R677" i="1"/>
  <c r="N677" i="1"/>
  <c r="J677" i="1"/>
  <c r="G677" i="1"/>
  <c r="D677" i="1"/>
  <c r="AD676" i="1"/>
  <c r="AA676" i="1"/>
  <c r="X676" i="1"/>
  <c r="U676" i="1"/>
  <c r="R676" i="1"/>
  <c r="N676" i="1"/>
  <c r="J676" i="1"/>
  <c r="G676" i="1"/>
  <c r="D676" i="1"/>
  <c r="AD675" i="1"/>
  <c r="AA675" i="1"/>
  <c r="X675" i="1"/>
  <c r="U675" i="1"/>
  <c r="R675" i="1"/>
  <c r="N675" i="1"/>
  <c r="J675" i="1"/>
  <c r="G675" i="1"/>
  <c r="D675" i="1"/>
  <c r="AD674" i="1"/>
  <c r="AA674" i="1"/>
  <c r="X674" i="1"/>
  <c r="U674" i="1"/>
  <c r="R674" i="1"/>
  <c r="N674" i="1"/>
  <c r="J674" i="1"/>
  <c r="G674" i="1"/>
  <c r="D674" i="1"/>
  <c r="AD673" i="1"/>
  <c r="AA673" i="1"/>
  <c r="X673" i="1"/>
  <c r="U673" i="1"/>
  <c r="R673" i="1"/>
  <c r="N673" i="1"/>
  <c r="J673" i="1"/>
  <c r="G673" i="1"/>
  <c r="D673" i="1"/>
  <c r="AD672" i="1"/>
  <c r="AA672" i="1"/>
  <c r="X672" i="1"/>
  <c r="U672" i="1"/>
  <c r="R672" i="1"/>
  <c r="N672" i="1"/>
  <c r="J672" i="1"/>
  <c r="G672" i="1"/>
  <c r="D672" i="1"/>
  <c r="AD671" i="1"/>
  <c r="AA671" i="1"/>
  <c r="X671" i="1"/>
  <c r="U671" i="1"/>
  <c r="R671" i="1"/>
  <c r="N671" i="1"/>
  <c r="J671" i="1"/>
  <c r="G671" i="1"/>
  <c r="D671" i="1"/>
  <c r="AD670" i="1"/>
  <c r="AA670" i="1"/>
  <c r="X670" i="1"/>
  <c r="U670" i="1"/>
  <c r="R670" i="1"/>
  <c r="N670" i="1"/>
  <c r="J670" i="1"/>
  <c r="G670" i="1"/>
  <c r="D670" i="1"/>
  <c r="AD669" i="1"/>
  <c r="AA669" i="1"/>
  <c r="X669" i="1"/>
  <c r="U669" i="1"/>
  <c r="R669" i="1"/>
  <c r="N669" i="1"/>
  <c r="J669" i="1"/>
  <c r="G669" i="1"/>
  <c r="D669" i="1"/>
  <c r="AD668" i="1"/>
  <c r="AA668" i="1"/>
  <c r="X668" i="1"/>
  <c r="U668" i="1"/>
  <c r="R668" i="1"/>
  <c r="N668" i="1"/>
  <c r="J668" i="1"/>
  <c r="G668" i="1"/>
  <c r="D668" i="1"/>
  <c r="AD667" i="1"/>
  <c r="AA667" i="1"/>
  <c r="X667" i="1"/>
  <c r="U667" i="1"/>
  <c r="R667" i="1"/>
  <c r="N667" i="1"/>
  <c r="J667" i="1"/>
  <c r="G667" i="1"/>
  <c r="D667" i="1"/>
  <c r="AD666" i="1"/>
  <c r="AA666" i="1"/>
  <c r="X666" i="1"/>
  <c r="U666" i="1"/>
  <c r="R666" i="1"/>
  <c r="N666" i="1"/>
  <c r="J666" i="1"/>
  <c r="G666" i="1"/>
  <c r="D666" i="1"/>
  <c r="AD665" i="1"/>
  <c r="AA665" i="1"/>
  <c r="X665" i="1"/>
  <c r="U665" i="1"/>
  <c r="R665" i="1"/>
  <c r="N665" i="1"/>
  <c r="J665" i="1"/>
  <c r="G665" i="1"/>
  <c r="D665" i="1"/>
  <c r="AD664" i="1"/>
  <c r="AA664" i="1"/>
  <c r="X664" i="1"/>
  <c r="U664" i="1"/>
  <c r="R664" i="1"/>
  <c r="N664" i="1"/>
  <c r="J664" i="1"/>
  <c r="G664" i="1"/>
  <c r="D664" i="1"/>
  <c r="AD663" i="1"/>
  <c r="AA663" i="1"/>
  <c r="X663" i="1"/>
  <c r="U663" i="1"/>
  <c r="R663" i="1"/>
  <c r="N663" i="1"/>
  <c r="J663" i="1"/>
  <c r="G663" i="1"/>
  <c r="D663" i="1"/>
  <c r="AD662" i="1"/>
  <c r="AA662" i="1"/>
  <c r="X662" i="1"/>
  <c r="U662" i="1"/>
  <c r="R662" i="1"/>
  <c r="N662" i="1"/>
  <c r="J662" i="1"/>
  <c r="G662" i="1"/>
  <c r="D662" i="1"/>
  <c r="AD661" i="1"/>
  <c r="AA661" i="1"/>
  <c r="X661" i="1"/>
  <c r="U661" i="1"/>
  <c r="R661" i="1"/>
  <c r="N661" i="1"/>
  <c r="J661" i="1"/>
  <c r="G661" i="1"/>
  <c r="D661" i="1"/>
  <c r="AD660" i="1"/>
  <c r="AA660" i="1"/>
  <c r="X660" i="1"/>
  <c r="U660" i="1"/>
  <c r="R660" i="1"/>
  <c r="N660" i="1"/>
  <c r="J660" i="1"/>
  <c r="G660" i="1"/>
  <c r="D660" i="1"/>
  <c r="AD659" i="1"/>
  <c r="AA659" i="1"/>
  <c r="X659" i="1"/>
  <c r="U659" i="1"/>
  <c r="R659" i="1"/>
  <c r="N659" i="1"/>
  <c r="J659" i="1"/>
  <c r="G659" i="1"/>
  <c r="D659" i="1"/>
  <c r="AD658" i="1"/>
  <c r="AA658" i="1"/>
  <c r="X658" i="1"/>
  <c r="U658" i="1"/>
  <c r="R658" i="1"/>
  <c r="N658" i="1"/>
  <c r="J658" i="1"/>
  <c r="G658" i="1"/>
  <c r="D658" i="1"/>
  <c r="AD657" i="1"/>
  <c r="AA657" i="1"/>
  <c r="X657" i="1"/>
  <c r="U657" i="1"/>
  <c r="R657" i="1"/>
  <c r="N657" i="1"/>
  <c r="J657" i="1"/>
  <c r="G657" i="1"/>
  <c r="D657" i="1"/>
  <c r="AD656" i="1"/>
  <c r="AA656" i="1"/>
  <c r="X656" i="1"/>
  <c r="U656" i="1"/>
  <c r="R656" i="1"/>
  <c r="N656" i="1"/>
  <c r="J656" i="1"/>
  <c r="G656" i="1"/>
  <c r="D656" i="1"/>
  <c r="AD655" i="1"/>
  <c r="AA655" i="1"/>
  <c r="X655" i="1"/>
  <c r="U655" i="1"/>
  <c r="R655" i="1"/>
  <c r="N655" i="1"/>
  <c r="J655" i="1"/>
  <c r="G655" i="1"/>
  <c r="D655" i="1"/>
  <c r="AD654" i="1"/>
  <c r="AA654" i="1"/>
  <c r="X654" i="1"/>
  <c r="U654" i="1"/>
  <c r="R654" i="1"/>
  <c r="N654" i="1"/>
  <c r="J654" i="1"/>
  <c r="G654" i="1"/>
  <c r="D654" i="1"/>
  <c r="AD653" i="1"/>
  <c r="X653" i="1"/>
  <c r="U653" i="1"/>
  <c r="R653" i="1"/>
  <c r="N653" i="1"/>
  <c r="J653" i="1"/>
  <c r="G653" i="1"/>
  <c r="D653" i="1"/>
  <c r="AD652" i="1"/>
  <c r="AA652" i="1"/>
  <c r="X652" i="1"/>
  <c r="U652" i="1"/>
  <c r="R652" i="1"/>
  <c r="N652" i="1"/>
  <c r="J652" i="1"/>
  <c r="G652" i="1"/>
  <c r="D652" i="1"/>
  <c r="AD651" i="1"/>
  <c r="AA651" i="1"/>
  <c r="X651" i="1"/>
  <c r="U651" i="1"/>
  <c r="R651" i="1"/>
  <c r="N651" i="1"/>
  <c r="J651" i="1"/>
  <c r="G651" i="1"/>
  <c r="D651" i="1"/>
  <c r="AD650" i="1"/>
  <c r="AA650" i="1"/>
  <c r="X650" i="1"/>
  <c r="U650" i="1"/>
  <c r="R650" i="1"/>
  <c r="N650" i="1"/>
  <c r="J650" i="1"/>
  <c r="G650" i="1"/>
  <c r="D650" i="1"/>
  <c r="AD649" i="1"/>
  <c r="AA649" i="1"/>
  <c r="X649" i="1"/>
  <c r="U649" i="1"/>
  <c r="R649" i="1"/>
  <c r="N649" i="1"/>
  <c r="J649" i="1"/>
  <c r="G649" i="1"/>
  <c r="D649" i="1"/>
  <c r="AD648" i="1"/>
  <c r="AA648" i="1"/>
  <c r="X648" i="1"/>
  <c r="U648" i="1"/>
  <c r="R648" i="1"/>
  <c r="N648" i="1"/>
  <c r="J648" i="1"/>
  <c r="G648" i="1"/>
  <c r="D648" i="1"/>
  <c r="AD647" i="1"/>
  <c r="AA647" i="1"/>
  <c r="X647" i="1"/>
  <c r="U647" i="1"/>
  <c r="R647" i="1"/>
  <c r="N647" i="1"/>
  <c r="J647" i="1"/>
  <c r="G647" i="1"/>
  <c r="D647" i="1"/>
  <c r="AD646" i="1"/>
  <c r="AA646" i="1"/>
  <c r="X646" i="1"/>
  <c r="U646" i="1"/>
  <c r="R646" i="1"/>
  <c r="N646" i="1"/>
  <c r="J646" i="1"/>
  <c r="G646" i="1"/>
  <c r="D646" i="1"/>
  <c r="AD645" i="1"/>
  <c r="AA645" i="1"/>
  <c r="X645" i="1"/>
  <c r="U645" i="1"/>
  <c r="R645" i="1"/>
  <c r="N645" i="1"/>
  <c r="J645" i="1"/>
  <c r="G645" i="1"/>
  <c r="D645" i="1"/>
  <c r="AD644" i="1"/>
  <c r="AA644" i="1"/>
  <c r="X644" i="1"/>
  <c r="U644" i="1"/>
  <c r="R644" i="1"/>
  <c r="N644" i="1"/>
  <c r="J644" i="1"/>
  <c r="G644" i="1"/>
  <c r="D644" i="1"/>
  <c r="AD643" i="1"/>
  <c r="AA643" i="1"/>
  <c r="X643" i="1"/>
  <c r="U643" i="1"/>
  <c r="R643" i="1"/>
  <c r="N643" i="1"/>
  <c r="J643" i="1"/>
  <c r="G643" i="1"/>
  <c r="D643" i="1"/>
  <c r="AD642" i="1"/>
  <c r="AA642" i="1"/>
  <c r="X642" i="1"/>
  <c r="U642" i="1"/>
  <c r="R642" i="1"/>
  <c r="N642" i="1"/>
  <c r="J642" i="1"/>
  <c r="G642" i="1"/>
  <c r="D642" i="1"/>
  <c r="AD641" i="1"/>
  <c r="AA641" i="1"/>
  <c r="X641" i="1"/>
  <c r="U641" i="1"/>
  <c r="R641" i="1"/>
  <c r="N641" i="1"/>
  <c r="J641" i="1"/>
  <c r="G641" i="1"/>
  <c r="D641" i="1"/>
  <c r="AD640" i="1"/>
  <c r="AA640" i="1"/>
  <c r="X640" i="1"/>
  <c r="U640" i="1"/>
  <c r="R640" i="1"/>
  <c r="N640" i="1"/>
  <c r="J640" i="1"/>
  <c r="G640" i="1"/>
  <c r="D640" i="1"/>
  <c r="AD639" i="1"/>
  <c r="AA639" i="1"/>
  <c r="X639" i="1"/>
  <c r="U639" i="1"/>
  <c r="R639" i="1"/>
  <c r="N639" i="1"/>
  <c r="J639" i="1"/>
  <c r="G639" i="1"/>
  <c r="D639" i="1"/>
  <c r="AD638" i="1"/>
  <c r="AA638" i="1"/>
  <c r="X638" i="1"/>
  <c r="U638" i="1"/>
  <c r="R638" i="1"/>
  <c r="N638" i="1"/>
  <c r="J638" i="1"/>
  <c r="G638" i="1"/>
  <c r="D638" i="1"/>
  <c r="AD637" i="1"/>
  <c r="AA637" i="1"/>
  <c r="X637" i="1"/>
  <c r="U637" i="1"/>
  <c r="R637" i="1"/>
  <c r="N637" i="1"/>
  <c r="J637" i="1"/>
  <c r="G637" i="1"/>
  <c r="D637" i="1"/>
  <c r="AD636" i="1"/>
  <c r="AA636" i="1"/>
  <c r="X636" i="1"/>
  <c r="U636" i="1"/>
  <c r="R636" i="1"/>
  <c r="N636" i="1"/>
  <c r="J636" i="1"/>
  <c r="G636" i="1"/>
  <c r="D636" i="1"/>
  <c r="AD635" i="1"/>
  <c r="AA635" i="1"/>
  <c r="X635" i="1"/>
  <c r="U635" i="1"/>
  <c r="R635" i="1"/>
  <c r="N635" i="1"/>
  <c r="J635" i="1"/>
  <c r="G635" i="1"/>
  <c r="D635" i="1"/>
  <c r="AD634" i="1"/>
  <c r="AA634" i="1"/>
  <c r="X634" i="1"/>
  <c r="U634" i="1"/>
  <c r="R634" i="1"/>
  <c r="N634" i="1"/>
  <c r="J634" i="1"/>
  <c r="G634" i="1"/>
  <c r="D634" i="1"/>
  <c r="AD633" i="1"/>
  <c r="AA633" i="1"/>
  <c r="X633" i="1"/>
  <c r="U633" i="1"/>
  <c r="R633" i="1"/>
  <c r="N633" i="1"/>
  <c r="J633" i="1"/>
  <c r="G633" i="1"/>
  <c r="D633" i="1"/>
  <c r="AD632" i="1"/>
  <c r="AA632" i="1"/>
  <c r="X632" i="1"/>
  <c r="U632" i="1"/>
  <c r="R632" i="1"/>
  <c r="N632" i="1"/>
  <c r="J632" i="1"/>
  <c r="G632" i="1"/>
  <c r="D632" i="1"/>
  <c r="AD631" i="1"/>
  <c r="AA631" i="1"/>
  <c r="X631" i="1"/>
  <c r="U631" i="1"/>
  <c r="R631" i="1"/>
  <c r="N631" i="1"/>
  <c r="J631" i="1"/>
  <c r="G631" i="1"/>
  <c r="D631" i="1"/>
  <c r="AD630" i="1"/>
  <c r="AA630" i="1"/>
  <c r="X630" i="1"/>
  <c r="U630" i="1"/>
  <c r="R630" i="1"/>
  <c r="N630" i="1"/>
  <c r="J630" i="1"/>
  <c r="G630" i="1"/>
  <c r="D630" i="1"/>
  <c r="AD629" i="1"/>
  <c r="AA629" i="1"/>
  <c r="X629" i="1"/>
  <c r="U629" i="1"/>
  <c r="R629" i="1"/>
  <c r="N629" i="1"/>
  <c r="J629" i="1"/>
  <c r="G629" i="1"/>
  <c r="D629" i="1"/>
  <c r="AD628" i="1"/>
  <c r="AA628" i="1"/>
  <c r="X628" i="1"/>
  <c r="U628" i="1"/>
  <c r="R628" i="1"/>
  <c r="N628" i="1"/>
  <c r="J628" i="1"/>
  <c r="G628" i="1"/>
  <c r="D628" i="1"/>
  <c r="AD627" i="1"/>
  <c r="AA627" i="1"/>
  <c r="X627" i="1"/>
  <c r="U627" i="1"/>
  <c r="R627" i="1"/>
  <c r="N627" i="1"/>
  <c r="J627" i="1"/>
  <c r="G627" i="1"/>
  <c r="D627" i="1"/>
  <c r="AD626" i="1"/>
  <c r="AA626" i="1"/>
  <c r="X626" i="1"/>
  <c r="U626" i="1"/>
  <c r="R626" i="1"/>
  <c r="N626" i="1"/>
  <c r="J626" i="1"/>
  <c r="G626" i="1"/>
  <c r="D626" i="1"/>
  <c r="AD625" i="1"/>
  <c r="AA625" i="1"/>
  <c r="X625" i="1"/>
  <c r="U625" i="1"/>
  <c r="R625" i="1"/>
  <c r="N625" i="1"/>
  <c r="J625" i="1"/>
  <c r="G625" i="1"/>
  <c r="D625" i="1"/>
  <c r="AD624" i="1"/>
  <c r="AA624" i="1"/>
  <c r="X624" i="1"/>
  <c r="U624" i="1"/>
  <c r="R624" i="1"/>
  <c r="N624" i="1"/>
  <c r="J624" i="1"/>
  <c r="G624" i="1"/>
  <c r="D624" i="1"/>
  <c r="AD623" i="1"/>
  <c r="AA623" i="1"/>
  <c r="X623" i="1"/>
  <c r="U623" i="1"/>
  <c r="R623" i="1"/>
  <c r="N623" i="1"/>
  <c r="J623" i="1"/>
  <c r="G623" i="1"/>
  <c r="D623" i="1"/>
  <c r="AD622" i="1"/>
  <c r="AA622" i="1"/>
  <c r="X622" i="1"/>
  <c r="U622" i="1"/>
  <c r="R622" i="1"/>
  <c r="N622" i="1"/>
  <c r="J622" i="1"/>
  <c r="G622" i="1"/>
  <c r="D622" i="1"/>
  <c r="AD621" i="1"/>
  <c r="AA621" i="1"/>
  <c r="X621" i="1"/>
  <c r="U621" i="1"/>
  <c r="R621" i="1"/>
  <c r="N621" i="1"/>
  <c r="J621" i="1"/>
  <c r="G621" i="1"/>
  <c r="D621" i="1"/>
  <c r="AD620" i="1"/>
  <c r="AA620" i="1"/>
  <c r="X620" i="1"/>
  <c r="U620" i="1"/>
  <c r="R620" i="1"/>
  <c r="N620" i="1"/>
  <c r="J620" i="1"/>
  <c r="G620" i="1"/>
  <c r="D620" i="1"/>
  <c r="AD619" i="1"/>
  <c r="AA619" i="1"/>
  <c r="X619" i="1"/>
  <c r="U619" i="1"/>
  <c r="R619" i="1"/>
  <c r="N619" i="1"/>
  <c r="J619" i="1"/>
  <c r="G619" i="1"/>
  <c r="D619" i="1"/>
  <c r="AD618" i="1"/>
  <c r="AA618" i="1"/>
  <c r="X618" i="1"/>
  <c r="U618" i="1"/>
  <c r="R618" i="1"/>
  <c r="N618" i="1"/>
  <c r="J618" i="1"/>
  <c r="G618" i="1"/>
  <c r="D618" i="1"/>
  <c r="AD617" i="1"/>
  <c r="AA617" i="1"/>
  <c r="X617" i="1"/>
  <c r="U617" i="1"/>
  <c r="R617" i="1"/>
  <c r="N617" i="1"/>
  <c r="J617" i="1"/>
  <c r="G617" i="1"/>
  <c r="D617" i="1"/>
  <c r="AD616" i="1"/>
  <c r="AA616" i="1"/>
  <c r="X616" i="1"/>
  <c r="U616" i="1"/>
  <c r="R616" i="1"/>
  <c r="N616" i="1"/>
  <c r="J616" i="1"/>
  <c r="G616" i="1"/>
  <c r="D616" i="1"/>
  <c r="AD615" i="1"/>
  <c r="AA615" i="1"/>
  <c r="X615" i="1"/>
  <c r="U615" i="1"/>
  <c r="R615" i="1"/>
  <c r="N615" i="1"/>
  <c r="J615" i="1"/>
  <c r="G615" i="1"/>
  <c r="D615" i="1"/>
  <c r="AD614" i="1"/>
  <c r="AA614" i="1"/>
  <c r="X614" i="1"/>
  <c r="U614" i="1"/>
  <c r="R614" i="1"/>
  <c r="N614" i="1"/>
  <c r="J614" i="1"/>
  <c r="G614" i="1"/>
  <c r="D614" i="1"/>
  <c r="AD613" i="1"/>
  <c r="AA613" i="1"/>
  <c r="X613" i="1"/>
  <c r="U613" i="1"/>
  <c r="R613" i="1"/>
  <c r="N613" i="1"/>
  <c r="J613" i="1"/>
  <c r="G613" i="1"/>
  <c r="D613" i="1"/>
  <c r="AD612" i="1"/>
  <c r="AA612" i="1"/>
  <c r="X612" i="1"/>
  <c r="U612" i="1"/>
  <c r="R612" i="1"/>
  <c r="N612" i="1"/>
  <c r="J612" i="1"/>
  <c r="G612" i="1"/>
  <c r="D612" i="1"/>
  <c r="AD611" i="1"/>
  <c r="AA611" i="1"/>
  <c r="X611" i="1"/>
  <c r="U611" i="1"/>
  <c r="R611" i="1"/>
  <c r="N611" i="1"/>
  <c r="J611" i="1"/>
  <c r="G611" i="1"/>
  <c r="D611" i="1"/>
  <c r="AD610" i="1"/>
  <c r="AA610" i="1"/>
  <c r="X610" i="1"/>
  <c r="U610" i="1"/>
  <c r="R610" i="1"/>
  <c r="N610" i="1"/>
  <c r="J610" i="1"/>
  <c r="G610" i="1"/>
  <c r="D610" i="1"/>
  <c r="AD609" i="1"/>
  <c r="AA609" i="1"/>
  <c r="X609" i="1"/>
  <c r="U609" i="1"/>
  <c r="R609" i="1"/>
  <c r="N609" i="1"/>
  <c r="J609" i="1"/>
  <c r="G609" i="1"/>
  <c r="D609" i="1"/>
  <c r="AD608" i="1"/>
  <c r="AA608" i="1"/>
  <c r="X608" i="1"/>
  <c r="U608" i="1"/>
  <c r="R608" i="1"/>
  <c r="N608" i="1"/>
  <c r="J608" i="1"/>
  <c r="G608" i="1"/>
  <c r="D608" i="1"/>
  <c r="AD607" i="1"/>
  <c r="AA607" i="1"/>
  <c r="X607" i="1"/>
  <c r="U607" i="1"/>
  <c r="R607" i="1"/>
  <c r="N607" i="1"/>
  <c r="J607" i="1"/>
  <c r="G607" i="1"/>
  <c r="D607" i="1"/>
  <c r="AD606" i="1"/>
  <c r="AA606" i="1"/>
  <c r="X606" i="1"/>
  <c r="U606" i="1"/>
  <c r="R606" i="1"/>
  <c r="N606" i="1"/>
  <c r="J606" i="1"/>
  <c r="G606" i="1"/>
  <c r="D606" i="1"/>
  <c r="AD605" i="1"/>
  <c r="AA605" i="1"/>
  <c r="X605" i="1"/>
  <c r="U605" i="1"/>
  <c r="R605" i="1"/>
  <c r="N605" i="1"/>
  <c r="J605" i="1"/>
  <c r="G605" i="1"/>
  <c r="D605" i="1"/>
  <c r="AD604" i="1"/>
  <c r="AA604" i="1"/>
  <c r="X604" i="1"/>
  <c r="U604" i="1"/>
  <c r="R604" i="1"/>
  <c r="N604" i="1"/>
  <c r="J604" i="1"/>
  <c r="G604" i="1"/>
  <c r="D604" i="1"/>
  <c r="AD603" i="1"/>
  <c r="AA603" i="1"/>
  <c r="X603" i="1"/>
  <c r="U603" i="1"/>
  <c r="R603" i="1"/>
  <c r="N603" i="1"/>
  <c r="J603" i="1"/>
  <c r="G603" i="1"/>
  <c r="D603" i="1"/>
  <c r="AD602" i="1"/>
  <c r="AA602" i="1"/>
  <c r="X602" i="1"/>
  <c r="U602" i="1"/>
  <c r="R602" i="1"/>
  <c r="N602" i="1"/>
  <c r="J602" i="1"/>
  <c r="G602" i="1"/>
  <c r="D602" i="1"/>
  <c r="AD601" i="1"/>
  <c r="AA601" i="1"/>
  <c r="X601" i="1"/>
  <c r="U601" i="1"/>
  <c r="R601" i="1"/>
  <c r="N601" i="1"/>
  <c r="J601" i="1"/>
  <c r="G601" i="1"/>
  <c r="D601" i="1"/>
  <c r="AD600" i="1"/>
  <c r="AA600" i="1"/>
  <c r="X600" i="1"/>
  <c r="U600" i="1"/>
  <c r="R600" i="1"/>
  <c r="N600" i="1"/>
  <c r="J600" i="1"/>
  <c r="G600" i="1"/>
  <c r="D600" i="1"/>
  <c r="AD599" i="1"/>
  <c r="AA599" i="1"/>
  <c r="X599" i="1"/>
  <c r="U599" i="1"/>
  <c r="R599" i="1"/>
  <c r="N599" i="1"/>
  <c r="J599" i="1"/>
  <c r="G599" i="1"/>
  <c r="D599" i="1"/>
  <c r="AD598" i="1"/>
  <c r="AA598" i="1"/>
  <c r="X598" i="1"/>
  <c r="U598" i="1"/>
  <c r="R598" i="1"/>
  <c r="N598" i="1"/>
  <c r="J598" i="1"/>
  <c r="G598" i="1"/>
  <c r="D598" i="1"/>
  <c r="AD597" i="1"/>
  <c r="AA597" i="1"/>
  <c r="X597" i="1"/>
  <c r="U597" i="1"/>
  <c r="R597" i="1"/>
  <c r="N597" i="1"/>
  <c r="J597" i="1"/>
  <c r="G597" i="1"/>
  <c r="D597" i="1"/>
  <c r="AD596" i="1"/>
  <c r="AA596" i="1"/>
  <c r="X596" i="1"/>
  <c r="U596" i="1"/>
  <c r="R596" i="1"/>
  <c r="N596" i="1"/>
  <c r="J596" i="1"/>
  <c r="G596" i="1"/>
  <c r="D596" i="1"/>
  <c r="AD595" i="1"/>
  <c r="AA595" i="1"/>
  <c r="X595" i="1"/>
  <c r="U595" i="1"/>
  <c r="R595" i="1"/>
  <c r="N595" i="1"/>
  <c r="J595" i="1"/>
  <c r="G595" i="1"/>
  <c r="D595" i="1"/>
  <c r="AD594" i="1"/>
  <c r="AA594" i="1"/>
  <c r="X594" i="1"/>
  <c r="U594" i="1"/>
  <c r="R594" i="1"/>
  <c r="N594" i="1"/>
  <c r="J594" i="1"/>
  <c r="G594" i="1"/>
  <c r="D594" i="1"/>
  <c r="AD593" i="1"/>
  <c r="AA593" i="1"/>
  <c r="X593" i="1"/>
  <c r="U593" i="1"/>
  <c r="R593" i="1"/>
  <c r="N593" i="1"/>
  <c r="J593" i="1"/>
  <c r="G593" i="1"/>
  <c r="D593" i="1"/>
  <c r="AD592" i="1"/>
  <c r="AA592" i="1"/>
  <c r="X592" i="1"/>
  <c r="U592" i="1"/>
  <c r="R592" i="1"/>
  <c r="N592" i="1"/>
  <c r="J592" i="1"/>
  <c r="G592" i="1"/>
  <c r="D592" i="1"/>
  <c r="AD591" i="1"/>
  <c r="AA591" i="1"/>
  <c r="X591" i="1"/>
  <c r="U591" i="1"/>
  <c r="R591" i="1"/>
  <c r="N591" i="1"/>
  <c r="J591" i="1"/>
  <c r="G591" i="1"/>
  <c r="D591" i="1"/>
  <c r="AD590" i="1"/>
  <c r="AA590" i="1"/>
  <c r="X590" i="1"/>
  <c r="U590" i="1"/>
  <c r="R590" i="1"/>
  <c r="N590" i="1"/>
  <c r="J590" i="1"/>
  <c r="G590" i="1"/>
  <c r="D590" i="1"/>
  <c r="AD589" i="1"/>
  <c r="AA589" i="1"/>
  <c r="X589" i="1"/>
  <c r="U589" i="1"/>
  <c r="R589" i="1"/>
  <c r="N589" i="1"/>
  <c r="J589" i="1"/>
  <c r="G589" i="1"/>
  <c r="D589" i="1"/>
  <c r="AD588" i="1"/>
  <c r="AA588" i="1"/>
  <c r="X588" i="1"/>
  <c r="U588" i="1"/>
  <c r="R588" i="1"/>
  <c r="N588" i="1"/>
  <c r="J588" i="1"/>
  <c r="G588" i="1"/>
  <c r="D588" i="1"/>
  <c r="AD587" i="1"/>
  <c r="AA587" i="1"/>
  <c r="X587" i="1"/>
  <c r="U587" i="1"/>
  <c r="R587" i="1"/>
  <c r="N587" i="1"/>
  <c r="J587" i="1"/>
  <c r="G587" i="1"/>
  <c r="D587" i="1"/>
  <c r="AD586" i="1"/>
  <c r="AA586" i="1"/>
  <c r="X586" i="1"/>
  <c r="U586" i="1"/>
  <c r="R586" i="1"/>
  <c r="N586" i="1"/>
  <c r="J586" i="1"/>
  <c r="G586" i="1"/>
  <c r="D586" i="1"/>
  <c r="AD585" i="1"/>
  <c r="AA585" i="1"/>
  <c r="X585" i="1"/>
  <c r="U585" i="1"/>
  <c r="R585" i="1"/>
  <c r="N585" i="1"/>
  <c r="J585" i="1"/>
  <c r="G585" i="1"/>
  <c r="D585" i="1"/>
  <c r="AD584" i="1"/>
  <c r="AA584" i="1"/>
  <c r="X584" i="1"/>
  <c r="U584" i="1"/>
  <c r="R584" i="1"/>
  <c r="N584" i="1"/>
  <c r="J584" i="1"/>
  <c r="G584" i="1"/>
  <c r="D584" i="1"/>
  <c r="AD583" i="1"/>
  <c r="AA583" i="1"/>
  <c r="X583" i="1"/>
  <c r="U583" i="1"/>
  <c r="R583" i="1"/>
  <c r="N583" i="1"/>
  <c r="J583" i="1"/>
  <c r="G583" i="1"/>
  <c r="D583" i="1"/>
  <c r="AD582" i="1"/>
  <c r="AA582" i="1"/>
  <c r="X582" i="1"/>
  <c r="U582" i="1"/>
  <c r="R582" i="1"/>
  <c r="N582" i="1"/>
  <c r="J582" i="1"/>
  <c r="G582" i="1"/>
  <c r="D582" i="1"/>
  <c r="AD581" i="1"/>
  <c r="AA581" i="1"/>
  <c r="X581" i="1"/>
  <c r="U581" i="1"/>
  <c r="R581" i="1"/>
  <c r="N581" i="1"/>
  <c r="J581" i="1"/>
  <c r="G581" i="1"/>
  <c r="D581" i="1"/>
  <c r="AD580" i="1"/>
  <c r="AA580" i="1"/>
  <c r="X580" i="1"/>
  <c r="U580" i="1"/>
  <c r="R580" i="1"/>
  <c r="N580" i="1"/>
  <c r="J580" i="1"/>
  <c r="G580" i="1"/>
  <c r="D580" i="1"/>
  <c r="AD579" i="1"/>
  <c r="AA579" i="1"/>
  <c r="X579" i="1"/>
  <c r="U579" i="1"/>
  <c r="R579" i="1"/>
  <c r="N579" i="1"/>
  <c r="J579" i="1"/>
  <c r="G579" i="1"/>
  <c r="D579" i="1"/>
  <c r="AD578" i="1"/>
  <c r="AA578" i="1"/>
  <c r="X578" i="1"/>
  <c r="U578" i="1"/>
  <c r="R578" i="1"/>
  <c r="N578" i="1"/>
  <c r="J578" i="1"/>
  <c r="G578" i="1"/>
  <c r="D578" i="1"/>
  <c r="AD577" i="1"/>
  <c r="AA577" i="1"/>
  <c r="X577" i="1"/>
  <c r="U577" i="1"/>
  <c r="R577" i="1"/>
  <c r="N577" i="1"/>
  <c r="J577" i="1"/>
  <c r="G577" i="1"/>
  <c r="D577" i="1"/>
  <c r="AD576" i="1"/>
  <c r="AA576" i="1"/>
  <c r="X576" i="1"/>
  <c r="U576" i="1"/>
  <c r="R576" i="1"/>
  <c r="N576" i="1"/>
  <c r="J576" i="1"/>
  <c r="G576" i="1"/>
  <c r="D576" i="1"/>
  <c r="AD575" i="1"/>
  <c r="AA575" i="1"/>
  <c r="X575" i="1"/>
  <c r="U575" i="1"/>
  <c r="R575" i="1"/>
  <c r="N575" i="1"/>
  <c r="J575" i="1"/>
  <c r="G575" i="1"/>
  <c r="D575" i="1"/>
  <c r="AD574" i="1"/>
  <c r="AA574" i="1"/>
  <c r="X574" i="1"/>
  <c r="U574" i="1"/>
  <c r="R574" i="1"/>
  <c r="N574" i="1"/>
  <c r="J574" i="1"/>
  <c r="G574" i="1"/>
  <c r="D574" i="1"/>
  <c r="AD573" i="1"/>
  <c r="AA573" i="1"/>
  <c r="X573" i="1"/>
  <c r="U573" i="1"/>
  <c r="R573" i="1"/>
  <c r="N573" i="1"/>
  <c r="J573" i="1"/>
  <c r="G573" i="1"/>
  <c r="D573" i="1"/>
  <c r="AD572" i="1"/>
  <c r="AA572" i="1"/>
  <c r="X572" i="1"/>
  <c r="U572" i="1"/>
  <c r="R572" i="1"/>
  <c r="N572" i="1"/>
  <c r="J572" i="1"/>
  <c r="G572" i="1"/>
  <c r="D572" i="1"/>
  <c r="AD571" i="1"/>
  <c r="AA571" i="1"/>
  <c r="X571" i="1"/>
  <c r="U571" i="1"/>
  <c r="R571" i="1"/>
  <c r="N571" i="1"/>
  <c r="J571" i="1"/>
  <c r="G571" i="1"/>
  <c r="D571" i="1"/>
  <c r="AD570" i="1"/>
  <c r="AA570" i="1"/>
  <c r="X570" i="1"/>
  <c r="U570" i="1"/>
  <c r="R570" i="1"/>
  <c r="N570" i="1"/>
  <c r="J570" i="1"/>
  <c r="G570" i="1"/>
  <c r="D570" i="1"/>
  <c r="AD569" i="1"/>
  <c r="AA569" i="1"/>
  <c r="X569" i="1"/>
  <c r="U569" i="1"/>
  <c r="R569" i="1"/>
  <c r="N569" i="1"/>
  <c r="J569" i="1"/>
  <c r="G569" i="1"/>
  <c r="D569" i="1"/>
  <c r="AD568" i="1"/>
  <c r="AA568" i="1"/>
  <c r="X568" i="1"/>
  <c r="U568" i="1"/>
  <c r="R568" i="1"/>
  <c r="N568" i="1"/>
  <c r="J568" i="1"/>
  <c r="G568" i="1"/>
  <c r="D568" i="1"/>
  <c r="AD567" i="1"/>
  <c r="AA567" i="1"/>
  <c r="X567" i="1"/>
  <c r="U567" i="1"/>
  <c r="R567" i="1"/>
  <c r="N567" i="1"/>
  <c r="J567" i="1"/>
  <c r="G567" i="1"/>
  <c r="D567" i="1"/>
  <c r="AD566" i="1"/>
  <c r="AA566" i="1"/>
  <c r="X566" i="1"/>
  <c r="U566" i="1"/>
  <c r="R566" i="1"/>
  <c r="N566" i="1"/>
  <c r="J566" i="1"/>
  <c r="G566" i="1"/>
  <c r="D566" i="1"/>
  <c r="AD565" i="1"/>
  <c r="AA565" i="1"/>
  <c r="X565" i="1"/>
  <c r="U565" i="1"/>
  <c r="R565" i="1"/>
  <c r="N565" i="1"/>
  <c r="J565" i="1"/>
  <c r="G565" i="1"/>
  <c r="D565" i="1"/>
  <c r="AD564" i="1"/>
  <c r="AA564" i="1"/>
  <c r="X564" i="1"/>
  <c r="U564" i="1"/>
  <c r="R564" i="1"/>
  <c r="N564" i="1"/>
  <c r="J564" i="1"/>
  <c r="G564" i="1"/>
  <c r="D564" i="1"/>
  <c r="AD563" i="1"/>
  <c r="AA563" i="1"/>
  <c r="X563" i="1"/>
  <c r="U563" i="1"/>
  <c r="R563" i="1"/>
  <c r="N563" i="1"/>
  <c r="J563" i="1"/>
  <c r="G563" i="1"/>
  <c r="D563" i="1"/>
  <c r="AD562" i="1"/>
  <c r="AA562" i="1"/>
  <c r="X562" i="1"/>
  <c r="U562" i="1"/>
  <c r="R562" i="1"/>
  <c r="N562" i="1"/>
  <c r="J562" i="1"/>
  <c r="G562" i="1"/>
  <c r="D562" i="1"/>
  <c r="AD561" i="1"/>
  <c r="AA561" i="1"/>
  <c r="X561" i="1"/>
  <c r="U561" i="1"/>
  <c r="R561" i="1"/>
  <c r="N561" i="1"/>
  <c r="J561" i="1"/>
  <c r="G561" i="1"/>
  <c r="D561" i="1"/>
  <c r="AD560" i="1"/>
  <c r="AA560" i="1"/>
  <c r="X560" i="1"/>
  <c r="U560" i="1"/>
  <c r="R560" i="1"/>
  <c r="N560" i="1"/>
  <c r="J560" i="1"/>
  <c r="G560" i="1"/>
  <c r="D560" i="1"/>
  <c r="AD559" i="1"/>
  <c r="AA559" i="1"/>
  <c r="X559" i="1"/>
  <c r="U559" i="1"/>
  <c r="R559" i="1"/>
  <c r="N559" i="1"/>
  <c r="J559" i="1"/>
  <c r="G559" i="1"/>
  <c r="D559" i="1"/>
  <c r="AD558" i="1"/>
  <c r="AA558" i="1"/>
  <c r="X558" i="1"/>
  <c r="U558" i="1"/>
  <c r="R558" i="1"/>
  <c r="N558" i="1"/>
  <c r="J558" i="1"/>
  <c r="G558" i="1"/>
  <c r="D558" i="1"/>
  <c r="AD557" i="1"/>
  <c r="AA557" i="1"/>
  <c r="X557" i="1"/>
  <c r="U557" i="1"/>
  <c r="R557" i="1"/>
  <c r="N557" i="1"/>
  <c r="J557" i="1"/>
  <c r="G557" i="1"/>
  <c r="D557" i="1"/>
  <c r="AD556" i="1"/>
  <c r="AA556" i="1"/>
  <c r="X556" i="1"/>
  <c r="U556" i="1"/>
  <c r="R556" i="1"/>
  <c r="N556" i="1"/>
  <c r="J556" i="1"/>
  <c r="G556" i="1"/>
  <c r="D556" i="1"/>
  <c r="AD555" i="1"/>
  <c r="AA555" i="1"/>
  <c r="X555" i="1"/>
  <c r="U555" i="1"/>
  <c r="R555" i="1"/>
  <c r="N555" i="1"/>
  <c r="J555" i="1"/>
  <c r="G555" i="1"/>
  <c r="D555" i="1"/>
  <c r="AD554" i="1"/>
  <c r="AA554" i="1"/>
  <c r="X554" i="1"/>
  <c r="U554" i="1"/>
  <c r="R554" i="1"/>
  <c r="N554" i="1"/>
  <c r="J554" i="1"/>
  <c r="G554" i="1"/>
  <c r="D554" i="1"/>
  <c r="AD553" i="1"/>
  <c r="AA553" i="1"/>
  <c r="X553" i="1"/>
  <c r="U553" i="1"/>
  <c r="R553" i="1"/>
  <c r="N553" i="1"/>
  <c r="J553" i="1"/>
  <c r="G553" i="1"/>
  <c r="D553" i="1"/>
  <c r="AD552" i="1"/>
  <c r="AA552" i="1"/>
  <c r="X552" i="1"/>
  <c r="U552" i="1"/>
  <c r="R552" i="1"/>
  <c r="N552" i="1"/>
  <c r="J552" i="1"/>
  <c r="G552" i="1"/>
  <c r="D552" i="1"/>
  <c r="AD551" i="1"/>
  <c r="AA551" i="1"/>
  <c r="X551" i="1"/>
  <c r="U551" i="1"/>
  <c r="R551" i="1"/>
  <c r="N551" i="1"/>
  <c r="J551" i="1"/>
  <c r="G551" i="1"/>
  <c r="D551" i="1"/>
  <c r="AD550" i="1"/>
  <c r="AA550" i="1"/>
  <c r="X550" i="1"/>
  <c r="U550" i="1"/>
  <c r="R550" i="1"/>
  <c r="N550" i="1"/>
  <c r="J550" i="1"/>
  <c r="G550" i="1"/>
  <c r="D550" i="1"/>
  <c r="AD549" i="1"/>
  <c r="AA549" i="1"/>
  <c r="X549" i="1"/>
  <c r="U549" i="1"/>
  <c r="R549" i="1"/>
  <c r="N549" i="1"/>
  <c r="J549" i="1"/>
  <c r="G549" i="1"/>
  <c r="D549" i="1"/>
  <c r="AD548" i="1"/>
  <c r="AA548" i="1"/>
  <c r="X548" i="1"/>
  <c r="U548" i="1"/>
  <c r="R548" i="1"/>
  <c r="N548" i="1"/>
  <c r="J548" i="1"/>
  <c r="G548" i="1"/>
  <c r="D548" i="1"/>
  <c r="AD547" i="1"/>
  <c r="AA547" i="1"/>
  <c r="X547" i="1"/>
  <c r="U547" i="1"/>
  <c r="R547" i="1"/>
  <c r="N547" i="1"/>
  <c r="J547" i="1"/>
  <c r="G547" i="1"/>
  <c r="D547" i="1"/>
  <c r="AD546" i="1"/>
  <c r="AA546" i="1"/>
  <c r="X546" i="1"/>
  <c r="U546" i="1"/>
  <c r="R546" i="1"/>
  <c r="N546" i="1"/>
  <c r="J546" i="1"/>
  <c r="G546" i="1"/>
  <c r="D546" i="1"/>
  <c r="AD545" i="1"/>
  <c r="AA545" i="1"/>
  <c r="X545" i="1"/>
  <c r="U545" i="1"/>
  <c r="R545" i="1"/>
  <c r="N545" i="1"/>
  <c r="J545" i="1"/>
  <c r="G545" i="1"/>
  <c r="D545" i="1"/>
  <c r="AD544" i="1"/>
  <c r="AA544" i="1"/>
  <c r="X544" i="1"/>
  <c r="U544" i="1"/>
  <c r="R544" i="1"/>
  <c r="N544" i="1"/>
  <c r="J544" i="1"/>
  <c r="G544" i="1"/>
  <c r="D544" i="1"/>
  <c r="AD543" i="1"/>
  <c r="AA543" i="1"/>
  <c r="X543" i="1"/>
  <c r="U543" i="1"/>
  <c r="R543" i="1"/>
  <c r="N543" i="1"/>
  <c r="J543" i="1"/>
  <c r="G543" i="1"/>
  <c r="D543" i="1"/>
  <c r="AD542" i="1"/>
  <c r="AA542" i="1"/>
  <c r="X542" i="1"/>
  <c r="U542" i="1"/>
  <c r="R542" i="1"/>
  <c r="N542" i="1"/>
  <c r="J542" i="1"/>
  <c r="G542" i="1"/>
  <c r="D542" i="1"/>
  <c r="AD541" i="1"/>
  <c r="AA541" i="1"/>
  <c r="X541" i="1"/>
  <c r="U541" i="1"/>
  <c r="R541" i="1"/>
  <c r="N541" i="1"/>
  <c r="J541" i="1"/>
  <c r="G541" i="1"/>
  <c r="D541" i="1"/>
  <c r="AD540" i="1"/>
  <c r="AA540" i="1"/>
  <c r="X540" i="1"/>
  <c r="U540" i="1"/>
  <c r="R540" i="1"/>
  <c r="N540" i="1"/>
  <c r="J540" i="1"/>
  <c r="G540" i="1"/>
  <c r="D540" i="1"/>
  <c r="AD539" i="1"/>
  <c r="AA539" i="1"/>
  <c r="X539" i="1"/>
  <c r="U539" i="1"/>
  <c r="R539" i="1"/>
  <c r="N539" i="1"/>
  <c r="J539" i="1"/>
  <c r="G539" i="1"/>
  <c r="D539" i="1"/>
  <c r="AD538" i="1"/>
  <c r="AA538" i="1"/>
  <c r="X538" i="1"/>
  <c r="U538" i="1"/>
  <c r="R538" i="1"/>
  <c r="N538" i="1"/>
  <c r="J538" i="1"/>
  <c r="G538" i="1"/>
  <c r="D538" i="1"/>
  <c r="AD537" i="1"/>
  <c r="AA537" i="1"/>
  <c r="X537" i="1"/>
  <c r="U537" i="1"/>
  <c r="R537" i="1"/>
  <c r="N537" i="1"/>
  <c r="J537" i="1"/>
  <c r="G537" i="1"/>
  <c r="D537" i="1"/>
  <c r="AD536" i="1"/>
  <c r="AA536" i="1"/>
  <c r="X536" i="1"/>
  <c r="U536" i="1"/>
  <c r="R536" i="1"/>
  <c r="N536" i="1"/>
  <c r="J536" i="1"/>
  <c r="G536" i="1"/>
  <c r="D536" i="1"/>
  <c r="AD535" i="1"/>
  <c r="AA535" i="1"/>
  <c r="X535" i="1"/>
  <c r="U535" i="1"/>
  <c r="R535" i="1"/>
  <c r="N535" i="1"/>
  <c r="J535" i="1"/>
  <c r="G535" i="1"/>
  <c r="D535" i="1"/>
  <c r="AD534" i="1"/>
  <c r="AA534" i="1"/>
  <c r="X534" i="1"/>
  <c r="U534" i="1"/>
  <c r="R534" i="1"/>
  <c r="N534" i="1"/>
  <c r="J534" i="1"/>
  <c r="G534" i="1"/>
  <c r="D534" i="1"/>
  <c r="AD533" i="1"/>
  <c r="AA533" i="1"/>
  <c r="X533" i="1"/>
  <c r="U533" i="1"/>
  <c r="R533" i="1"/>
  <c r="N533" i="1"/>
  <c r="J533" i="1"/>
  <c r="G533" i="1"/>
  <c r="D533" i="1"/>
  <c r="AD532" i="1"/>
  <c r="AA532" i="1"/>
  <c r="X532" i="1"/>
  <c r="U532" i="1"/>
  <c r="R532" i="1"/>
  <c r="N532" i="1"/>
  <c r="J532" i="1"/>
  <c r="G532" i="1"/>
  <c r="D532" i="1"/>
  <c r="AD531" i="1"/>
  <c r="AA531" i="1"/>
  <c r="X531" i="1"/>
  <c r="U531" i="1"/>
  <c r="R531" i="1"/>
  <c r="N531" i="1"/>
  <c r="J531" i="1"/>
  <c r="G531" i="1"/>
  <c r="D531" i="1"/>
  <c r="AD530" i="1"/>
  <c r="AA530" i="1"/>
  <c r="X530" i="1"/>
  <c r="U530" i="1"/>
  <c r="R530" i="1"/>
  <c r="N530" i="1"/>
  <c r="J530" i="1"/>
  <c r="G530" i="1"/>
  <c r="D530" i="1"/>
  <c r="AD529" i="1"/>
  <c r="AA529" i="1"/>
  <c r="X529" i="1"/>
  <c r="U529" i="1"/>
  <c r="R529" i="1"/>
  <c r="N529" i="1"/>
  <c r="J529" i="1"/>
  <c r="G529" i="1"/>
  <c r="D529" i="1"/>
  <c r="AD528" i="1"/>
  <c r="AA528" i="1"/>
  <c r="X528" i="1"/>
  <c r="U528" i="1"/>
  <c r="R528" i="1"/>
  <c r="N528" i="1"/>
  <c r="J528" i="1"/>
  <c r="G528" i="1"/>
  <c r="D528" i="1"/>
  <c r="AD527" i="1"/>
  <c r="AA527" i="1"/>
  <c r="X527" i="1"/>
  <c r="U527" i="1"/>
  <c r="R527" i="1"/>
  <c r="N527" i="1"/>
  <c r="J527" i="1"/>
  <c r="G527" i="1"/>
  <c r="D527" i="1"/>
  <c r="AD526" i="1"/>
  <c r="AA526" i="1"/>
  <c r="X526" i="1"/>
  <c r="U526" i="1"/>
  <c r="R526" i="1"/>
  <c r="N526" i="1"/>
  <c r="J526" i="1"/>
  <c r="G526" i="1"/>
  <c r="D526" i="1"/>
  <c r="AD525" i="1"/>
  <c r="AA525" i="1"/>
  <c r="X525" i="1"/>
  <c r="U525" i="1"/>
  <c r="R525" i="1"/>
  <c r="N525" i="1"/>
  <c r="J525" i="1"/>
  <c r="G525" i="1"/>
  <c r="D525" i="1"/>
  <c r="AD524" i="1"/>
  <c r="AA524" i="1"/>
  <c r="X524" i="1"/>
  <c r="U524" i="1"/>
  <c r="R524" i="1"/>
  <c r="N524" i="1"/>
  <c r="J524" i="1"/>
  <c r="G524" i="1"/>
  <c r="D524" i="1"/>
  <c r="AD523" i="1"/>
  <c r="AA523" i="1"/>
  <c r="X523" i="1"/>
  <c r="U523" i="1"/>
  <c r="R523" i="1"/>
  <c r="N523" i="1"/>
  <c r="J523" i="1"/>
  <c r="G523" i="1"/>
  <c r="D523" i="1"/>
  <c r="AD522" i="1"/>
  <c r="AA522" i="1"/>
  <c r="X522" i="1"/>
  <c r="U522" i="1"/>
  <c r="R522" i="1"/>
  <c r="N522" i="1"/>
  <c r="J522" i="1"/>
  <c r="G522" i="1"/>
  <c r="D522" i="1"/>
  <c r="AD521" i="1"/>
  <c r="AA521" i="1"/>
  <c r="X521" i="1"/>
  <c r="U521" i="1"/>
  <c r="R521" i="1"/>
  <c r="N521" i="1"/>
  <c r="J521" i="1"/>
  <c r="G521" i="1"/>
  <c r="D521" i="1"/>
  <c r="AD520" i="1"/>
  <c r="AA520" i="1"/>
  <c r="X520" i="1"/>
  <c r="U520" i="1"/>
  <c r="R520" i="1"/>
  <c r="N520" i="1"/>
  <c r="J520" i="1"/>
  <c r="G520" i="1"/>
  <c r="D520" i="1"/>
  <c r="AD519" i="1"/>
  <c r="AA519" i="1"/>
  <c r="X519" i="1"/>
  <c r="U519" i="1"/>
  <c r="R519" i="1"/>
  <c r="N519" i="1"/>
  <c r="J519" i="1"/>
  <c r="G519" i="1"/>
  <c r="D519" i="1"/>
  <c r="AD518" i="1"/>
  <c r="AA518" i="1"/>
  <c r="X518" i="1"/>
  <c r="U518" i="1"/>
  <c r="R518" i="1"/>
  <c r="N518" i="1"/>
  <c r="J518" i="1"/>
  <c r="G518" i="1"/>
  <c r="D518" i="1"/>
  <c r="AD517" i="1"/>
  <c r="AA517" i="1"/>
  <c r="X517" i="1"/>
  <c r="U517" i="1"/>
  <c r="R517" i="1"/>
  <c r="N517" i="1"/>
  <c r="J517" i="1"/>
  <c r="G517" i="1"/>
  <c r="D517" i="1"/>
  <c r="AD516" i="1"/>
  <c r="AA516" i="1"/>
  <c r="X516" i="1"/>
  <c r="U516" i="1"/>
  <c r="R516" i="1"/>
  <c r="N516" i="1"/>
  <c r="J516" i="1"/>
  <c r="G516" i="1"/>
  <c r="D516" i="1"/>
  <c r="AD515" i="1"/>
  <c r="AA515" i="1"/>
  <c r="X515" i="1"/>
  <c r="U515" i="1"/>
  <c r="R515" i="1"/>
  <c r="N515" i="1"/>
  <c r="J515" i="1"/>
  <c r="G515" i="1"/>
  <c r="D515" i="1"/>
  <c r="AD514" i="1"/>
  <c r="AA514" i="1"/>
  <c r="X514" i="1"/>
  <c r="U514" i="1"/>
  <c r="R514" i="1"/>
  <c r="N514" i="1"/>
  <c r="J514" i="1"/>
  <c r="G514" i="1"/>
  <c r="D514" i="1"/>
  <c r="AD513" i="1"/>
  <c r="AA513" i="1"/>
  <c r="X513" i="1"/>
  <c r="U513" i="1"/>
  <c r="R513" i="1"/>
  <c r="N513" i="1"/>
  <c r="J513" i="1"/>
  <c r="G513" i="1"/>
  <c r="D513" i="1"/>
  <c r="AD512" i="1"/>
  <c r="AA512" i="1"/>
  <c r="X512" i="1"/>
  <c r="U512" i="1"/>
  <c r="R512" i="1"/>
  <c r="N512" i="1"/>
  <c r="J512" i="1"/>
  <c r="G512" i="1"/>
  <c r="D512" i="1"/>
  <c r="AD511" i="1"/>
  <c r="AA511" i="1"/>
  <c r="X511" i="1"/>
  <c r="U511" i="1"/>
  <c r="R511" i="1"/>
  <c r="N511" i="1"/>
  <c r="J511" i="1"/>
  <c r="G511" i="1"/>
  <c r="D511" i="1"/>
  <c r="AD510" i="1"/>
  <c r="AA510" i="1"/>
  <c r="X510" i="1"/>
  <c r="U510" i="1"/>
  <c r="R510" i="1"/>
  <c r="N510" i="1"/>
  <c r="J510" i="1"/>
  <c r="G510" i="1"/>
  <c r="D510" i="1"/>
  <c r="AD509" i="1"/>
  <c r="AA509" i="1"/>
  <c r="X509" i="1"/>
  <c r="U509" i="1"/>
  <c r="R509" i="1"/>
  <c r="N509" i="1"/>
  <c r="J509" i="1"/>
  <c r="G509" i="1"/>
  <c r="D509" i="1"/>
  <c r="AD508" i="1"/>
  <c r="AA508" i="1"/>
  <c r="X508" i="1"/>
  <c r="U508" i="1"/>
  <c r="R508" i="1"/>
  <c r="N508" i="1"/>
  <c r="J508" i="1"/>
  <c r="G508" i="1"/>
  <c r="D508" i="1"/>
  <c r="AD507" i="1"/>
  <c r="AA507" i="1"/>
  <c r="X507" i="1"/>
  <c r="U507" i="1"/>
  <c r="R507" i="1"/>
  <c r="N507" i="1"/>
  <c r="J507" i="1"/>
  <c r="G507" i="1"/>
  <c r="D507" i="1"/>
  <c r="AD506" i="1"/>
  <c r="AA506" i="1"/>
  <c r="X506" i="1"/>
  <c r="U506" i="1"/>
  <c r="R506" i="1"/>
  <c r="N506" i="1"/>
  <c r="J506" i="1"/>
  <c r="G506" i="1"/>
  <c r="D506" i="1"/>
  <c r="AD505" i="1"/>
  <c r="AA505" i="1"/>
  <c r="X505" i="1"/>
  <c r="U505" i="1"/>
  <c r="R505" i="1"/>
  <c r="N505" i="1"/>
  <c r="J505" i="1"/>
  <c r="G505" i="1"/>
  <c r="D505" i="1"/>
  <c r="AD504" i="1"/>
  <c r="AA504" i="1"/>
  <c r="X504" i="1"/>
  <c r="U504" i="1"/>
  <c r="R504" i="1"/>
  <c r="N504" i="1"/>
  <c r="J504" i="1"/>
  <c r="G504" i="1"/>
  <c r="D504" i="1"/>
  <c r="AD503" i="1"/>
  <c r="AA503" i="1"/>
  <c r="X503" i="1"/>
  <c r="U503" i="1"/>
  <c r="R503" i="1"/>
  <c r="N503" i="1"/>
  <c r="J503" i="1"/>
  <c r="G503" i="1"/>
  <c r="D503" i="1"/>
  <c r="AD502" i="1"/>
  <c r="AA502" i="1"/>
  <c r="X502" i="1"/>
  <c r="U502" i="1"/>
  <c r="R502" i="1"/>
  <c r="N502" i="1"/>
  <c r="J502" i="1"/>
  <c r="G502" i="1"/>
  <c r="D502" i="1"/>
  <c r="AD501" i="1"/>
  <c r="AA501" i="1"/>
  <c r="X501" i="1"/>
  <c r="U501" i="1"/>
  <c r="R501" i="1"/>
  <c r="N501" i="1"/>
  <c r="J501" i="1"/>
  <c r="G501" i="1"/>
  <c r="D501" i="1"/>
  <c r="AD500" i="1"/>
  <c r="AA500" i="1"/>
  <c r="X500" i="1"/>
  <c r="U500" i="1"/>
  <c r="R500" i="1"/>
  <c r="N500" i="1"/>
  <c r="J500" i="1"/>
  <c r="G500" i="1"/>
  <c r="D500" i="1"/>
  <c r="AD499" i="1"/>
  <c r="AA499" i="1"/>
  <c r="X499" i="1"/>
  <c r="U499" i="1"/>
  <c r="R499" i="1"/>
  <c r="N499" i="1"/>
  <c r="J499" i="1"/>
  <c r="G499" i="1"/>
  <c r="D499" i="1"/>
  <c r="AD498" i="1"/>
  <c r="AA498" i="1"/>
  <c r="X498" i="1"/>
  <c r="U498" i="1"/>
  <c r="R498" i="1"/>
  <c r="N498" i="1"/>
  <c r="J498" i="1"/>
  <c r="G498" i="1"/>
  <c r="D498" i="1"/>
  <c r="AD497" i="1"/>
  <c r="AA497" i="1"/>
  <c r="X497" i="1"/>
  <c r="U497" i="1"/>
  <c r="R497" i="1"/>
  <c r="N497" i="1"/>
  <c r="J497" i="1"/>
  <c r="G497" i="1"/>
  <c r="D497" i="1"/>
  <c r="AD496" i="1"/>
  <c r="AA496" i="1"/>
  <c r="X496" i="1"/>
  <c r="U496" i="1"/>
  <c r="R496" i="1"/>
  <c r="N496" i="1"/>
  <c r="J496" i="1"/>
  <c r="G496" i="1"/>
  <c r="D496" i="1"/>
  <c r="AD495" i="1"/>
  <c r="AA495" i="1"/>
  <c r="X495" i="1"/>
  <c r="U495" i="1"/>
  <c r="R495" i="1"/>
  <c r="N495" i="1"/>
  <c r="J495" i="1"/>
  <c r="G495" i="1"/>
  <c r="D495" i="1"/>
  <c r="AD494" i="1"/>
  <c r="AA494" i="1"/>
  <c r="X494" i="1"/>
  <c r="U494" i="1"/>
  <c r="R494" i="1"/>
  <c r="N494" i="1"/>
  <c r="J494" i="1"/>
  <c r="G494" i="1"/>
  <c r="D494" i="1"/>
  <c r="AD493" i="1"/>
  <c r="AA493" i="1"/>
  <c r="X493" i="1"/>
  <c r="U493" i="1"/>
  <c r="R493" i="1"/>
  <c r="N493" i="1"/>
  <c r="J493" i="1"/>
  <c r="G493" i="1"/>
  <c r="D493" i="1"/>
  <c r="AD492" i="1"/>
  <c r="AA492" i="1"/>
  <c r="X492" i="1"/>
  <c r="U492" i="1"/>
  <c r="R492" i="1"/>
  <c r="N492" i="1"/>
  <c r="J492" i="1"/>
  <c r="G492" i="1"/>
  <c r="D492" i="1"/>
  <c r="AD491" i="1"/>
  <c r="AA491" i="1"/>
  <c r="X491" i="1"/>
  <c r="U491" i="1"/>
  <c r="R491" i="1"/>
  <c r="N491" i="1"/>
  <c r="J491" i="1"/>
  <c r="G491" i="1"/>
  <c r="D491" i="1"/>
  <c r="AD490" i="1"/>
  <c r="AA490" i="1"/>
  <c r="X490" i="1"/>
  <c r="U490" i="1"/>
  <c r="R490" i="1"/>
  <c r="N490" i="1"/>
  <c r="J490" i="1"/>
  <c r="G490" i="1"/>
  <c r="D490" i="1"/>
  <c r="AD489" i="1"/>
  <c r="AA489" i="1"/>
  <c r="X489" i="1"/>
  <c r="U489" i="1"/>
  <c r="R489" i="1"/>
  <c r="N489" i="1"/>
  <c r="J489" i="1"/>
  <c r="G489" i="1"/>
  <c r="D489" i="1"/>
  <c r="AD488" i="1"/>
  <c r="AA488" i="1"/>
  <c r="X488" i="1"/>
  <c r="U488" i="1"/>
  <c r="R488" i="1"/>
  <c r="N488" i="1"/>
  <c r="J488" i="1"/>
  <c r="G488" i="1"/>
  <c r="D488" i="1"/>
  <c r="AD487" i="1"/>
  <c r="AA487" i="1"/>
  <c r="X487" i="1"/>
  <c r="U487" i="1"/>
  <c r="R487" i="1"/>
  <c r="N487" i="1"/>
  <c r="J487" i="1"/>
  <c r="G487" i="1"/>
  <c r="D487" i="1"/>
  <c r="AD486" i="1"/>
  <c r="AA486" i="1"/>
  <c r="X486" i="1"/>
  <c r="U486" i="1"/>
  <c r="R486" i="1"/>
  <c r="N486" i="1"/>
  <c r="J486" i="1"/>
  <c r="G486" i="1"/>
  <c r="D486" i="1"/>
  <c r="AD485" i="1"/>
  <c r="AA485" i="1"/>
  <c r="X485" i="1"/>
  <c r="U485" i="1"/>
  <c r="R485" i="1"/>
  <c r="N485" i="1"/>
  <c r="J485" i="1"/>
  <c r="G485" i="1"/>
  <c r="D485" i="1"/>
  <c r="AD484" i="1"/>
  <c r="AA484" i="1"/>
  <c r="X484" i="1"/>
  <c r="U484" i="1"/>
  <c r="R484" i="1"/>
  <c r="N484" i="1"/>
  <c r="J484" i="1"/>
  <c r="G484" i="1"/>
  <c r="D484" i="1"/>
  <c r="AD483" i="1"/>
  <c r="AA483" i="1"/>
  <c r="X483" i="1"/>
  <c r="U483" i="1"/>
  <c r="R483" i="1"/>
  <c r="N483" i="1"/>
  <c r="J483" i="1"/>
  <c r="G483" i="1"/>
  <c r="D483" i="1"/>
  <c r="AD482" i="1"/>
  <c r="AA482" i="1"/>
  <c r="X482" i="1"/>
  <c r="U482" i="1"/>
  <c r="R482" i="1"/>
  <c r="N482" i="1"/>
  <c r="J482" i="1"/>
  <c r="G482" i="1"/>
  <c r="D482" i="1"/>
  <c r="AD481" i="1"/>
  <c r="AA481" i="1"/>
  <c r="X481" i="1"/>
  <c r="U481" i="1"/>
  <c r="R481" i="1"/>
  <c r="N481" i="1"/>
  <c r="J481" i="1"/>
  <c r="G481" i="1"/>
  <c r="D481" i="1"/>
  <c r="AD480" i="1"/>
  <c r="AA480" i="1"/>
  <c r="X480" i="1"/>
  <c r="U480" i="1"/>
  <c r="R480" i="1"/>
  <c r="N480" i="1"/>
  <c r="J480" i="1"/>
  <c r="G480" i="1"/>
  <c r="D480" i="1"/>
  <c r="AD479" i="1"/>
  <c r="AA479" i="1"/>
  <c r="X479" i="1"/>
  <c r="U479" i="1"/>
  <c r="R479" i="1"/>
  <c r="N479" i="1"/>
  <c r="J479" i="1"/>
  <c r="G479" i="1"/>
  <c r="D479" i="1"/>
  <c r="AD478" i="1"/>
  <c r="AA478" i="1"/>
  <c r="X478" i="1"/>
  <c r="U478" i="1"/>
  <c r="R478" i="1"/>
  <c r="N478" i="1"/>
  <c r="J478" i="1"/>
  <c r="G478" i="1"/>
  <c r="D478" i="1"/>
  <c r="AD477" i="1"/>
  <c r="AA477" i="1"/>
  <c r="X477" i="1"/>
  <c r="U477" i="1"/>
  <c r="R477" i="1"/>
  <c r="N477" i="1"/>
  <c r="J477" i="1"/>
  <c r="G477" i="1"/>
  <c r="D477" i="1"/>
  <c r="AD476" i="1"/>
  <c r="AA476" i="1"/>
  <c r="X476" i="1"/>
  <c r="U476" i="1"/>
  <c r="R476" i="1"/>
  <c r="N476" i="1"/>
  <c r="J476" i="1"/>
  <c r="G476" i="1"/>
  <c r="D476" i="1"/>
  <c r="AD475" i="1"/>
  <c r="AA475" i="1"/>
  <c r="X475" i="1"/>
  <c r="U475" i="1"/>
  <c r="R475" i="1"/>
  <c r="N475" i="1"/>
  <c r="J475" i="1"/>
  <c r="G475" i="1"/>
  <c r="D475" i="1"/>
  <c r="AD474" i="1"/>
  <c r="AA474" i="1"/>
  <c r="X474" i="1"/>
  <c r="U474" i="1"/>
  <c r="R474" i="1"/>
  <c r="N474" i="1"/>
  <c r="J474" i="1"/>
  <c r="G474" i="1"/>
  <c r="D474" i="1"/>
  <c r="AD473" i="1"/>
  <c r="AA473" i="1"/>
  <c r="X473" i="1"/>
  <c r="U473" i="1"/>
  <c r="R473" i="1"/>
  <c r="N473" i="1"/>
  <c r="J473" i="1"/>
  <c r="G473" i="1"/>
  <c r="D473" i="1"/>
  <c r="AD472" i="1"/>
  <c r="AA472" i="1"/>
  <c r="X472" i="1"/>
  <c r="U472" i="1"/>
  <c r="R472" i="1"/>
  <c r="N472" i="1"/>
  <c r="J472" i="1"/>
  <c r="G472" i="1"/>
  <c r="D472" i="1"/>
  <c r="AD471" i="1"/>
  <c r="AA471" i="1"/>
  <c r="X471" i="1"/>
  <c r="U471" i="1"/>
  <c r="R471" i="1"/>
  <c r="N471" i="1"/>
  <c r="J471" i="1"/>
  <c r="G471" i="1"/>
  <c r="D471" i="1"/>
  <c r="AD470" i="1"/>
  <c r="AA470" i="1"/>
  <c r="X470" i="1"/>
  <c r="U470" i="1"/>
  <c r="R470" i="1"/>
  <c r="N470" i="1"/>
  <c r="J470" i="1"/>
  <c r="G470" i="1"/>
  <c r="D470" i="1"/>
  <c r="AD469" i="1"/>
  <c r="AA469" i="1"/>
  <c r="X469" i="1"/>
  <c r="U469" i="1"/>
  <c r="R469" i="1"/>
  <c r="N469" i="1"/>
  <c r="J469" i="1"/>
  <c r="G469" i="1"/>
  <c r="D469" i="1"/>
  <c r="AD468" i="1"/>
  <c r="AA468" i="1"/>
  <c r="X468" i="1"/>
  <c r="U468" i="1"/>
  <c r="R468" i="1"/>
  <c r="N468" i="1"/>
  <c r="J468" i="1"/>
  <c r="G468" i="1"/>
  <c r="D468" i="1"/>
  <c r="AD467" i="1"/>
  <c r="AA467" i="1"/>
  <c r="X467" i="1"/>
  <c r="U467" i="1"/>
  <c r="R467" i="1"/>
  <c r="N467" i="1"/>
  <c r="J467" i="1"/>
  <c r="G467" i="1"/>
  <c r="D467" i="1"/>
  <c r="AD466" i="1"/>
  <c r="AA466" i="1"/>
  <c r="X466" i="1"/>
  <c r="U466" i="1"/>
  <c r="R466" i="1"/>
  <c r="N466" i="1"/>
  <c r="J466" i="1"/>
  <c r="G466" i="1"/>
  <c r="D466" i="1"/>
  <c r="AD465" i="1"/>
  <c r="AA465" i="1"/>
  <c r="X465" i="1"/>
  <c r="U465" i="1"/>
  <c r="R465" i="1"/>
  <c r="N465" i="1"/>
  <c r="J465" i="1"/>
  <c r="G465" i="1"/>
  <c r="D465" i="1"/>
  <c r="AD464" i="1"/>
  <c r="AA464" i="1"/>
  <c r="X464" i="1"/>
  <c r="U464" i="1"/>
  <c r="R464" i="1"/>
  <c r="N464" i="1"/>
  <c r="J464" i="1"/>
  <c r="G464" i="1"/>
  <c r="D464" i="1"/>
  <c r="AD463" i="1"/>
  <c r="AA463" i="1"/>
  <c r="X463" i="1"/>
  <c r="U463" i="1"/>
  <c r="R463" i="1"/>
  <c r="N463" i="1"/>
  <c r="J463" i="1"/>
  <c r="G463" i="1"/>
  <c r="D463" i="1"/>
  <c r="AD462" i="1"/>
  <c r="AA462" i="1"/>
  <c r="X462" i="1"/>
  <c r="U462" i="1"/>
  <c r="R462" i="1"/>
  <c r="N462" i="1"/>
  <c r="J462" i="1"/>
  <c r="G462" i="1"/>
  <c r="D462" i="1"/>
  <c r="AD461" i="1"/>
  <c r="AA461" i="1"/>
  <c r="X461" i="1"/>
  <c r="U461" i="1"/>
  <c r="R461" i="1"/>
  <c r="N461" i="1"/>
  <c r="J461" i="1"/>
  <c r="G461" i="1"/>
  <c r="D461" i="1"/>
  <c r="AD460" i="1"/>
  <c r="AA460" i="1"/>
  <c r="X460" i="1"/>
  <c r="U460" i="1"/>
  <c r="R460" i="1"/>
  <c r="N460" i="1"/>
  <c r="J460" i="1"/>
  <c r="G460" i="1"/>
  <c r="D460" i="1"/>
  <c r="AD459" i="1"/>
  <c r="AA459" i="1"/>
  <c r="X459" i="1"/>
  <c r="U459" i="1"/>
  <c r="R459" i="1"/>
  <c r="N459" i="1"/>
  <c r="J459" i="1"/>
  <c r="G459" i="1"/>
  <c r="D459" i="1"/>
  <c r="AD458" i="1"/>
  <c r="AA458" i="1"/>
  <c r="X458" i="1"/>
  <c r="U458" i="1"/>
  <c r="R458" i="1"/>
  <c r="N458" i="1"/>
  <c r="J458" i="1"/>
  <c r="G458" i="1"/>
  <c r="D458" i="1"/>
  <c r="AD457" i="1"/>
  <c r="AA457" i="1"/>
  <c r="X457" i="1"/>
  <c r="U457" i="1"/>
  <c r="R457" i="1"/>
  <c r="N457" i="1"/>
  <c r="J457" i="1"/>
  <c r="G457" i="1"/>
  <c r="D457" i="1"/>
  <c r="AD456" i="1"/>
  <c r="AA456" i="1"/>
  <c r="X456" i="1"/>
  <c r="U456" i="1"/>
  <c r="R456" i="1"/>
  <c r="N456" i="1"/>
  <c r="J456" i="1"/>
  <c r="G456" i="1"/>
  <c r="D456" i="1"/>
  <c r="AD455" i="1"/>
  <c r="AA455" i="1"/>
  <c r="X455" i="1"/>
  <c r="U455" i="1"/>
  <c r="R455" i="1"/>
  <c r="N455" i="1"/>
  <c r="J455" i="1"/>
  <c r="G455" i="1"/>
  <c r="D455" i="1"/>
  <c r="AD454" i="1"/>
  <c r="AA454" i="1"/>
  <c r="X454" i="1"/>
  <c r="U454" i="1"/>
  <c r="R454" i="1"/>
  <c r="N454" i="1"/>
  <c r="J454" i="1"/>
  <c r="G454" i="1"/>
  <c r="D454" i="1"/>
  <c r="AD453" i="1"/>
  <c r="AA453" i="1"/>
  <c r="X453" i="1"/>
  <c r="U453" i="1"/>
  <c r="R453" i="1"/>
  <c r="N453" i="1"/>
  <c r="J453" i="1"/>
  <c r="G453" i="1"/>
  <c r="D453" i="1"/>
  <c r="AD452" i="1"/>
  <c r="AA452" i="1"/>
  <c r="X452" i="1"/>
  <c r="U452" i="1"/>
  <c r="R452" i="1"/>
  <c r="N452" i="1"/>
  <c r="J452" i="1"/>
  <c r="G452" i="1"/>
  <c r="D452" i="1"/>
  <c r="AD451" i="1"/>
  <c r="AA451" i="1"/>
  <c r="X451" i="1"/>
  <c r="U451" i="1"/>
  <c r="R451" i="1"/>
  <c r="N451" i="1"/>
  <c r="J451" i="1"/>
  <c r="G451" i="1"/>
  <c r="D451" i="1"/>
  <c r="AD450" i="1"/>
  <c r="AA450" i="1"/>
  <c r="X450" i="1"/>
  <c r="U450" i="1"/>
  <c r="R450" i="1"/>
  <c r="N450" i="1"/>
  <c r="J450" i="1"/>
  <c r="G450" i="1"/>
  <c r="D450" i="1"/>
  <c r="AD449" i="1"/>
  <c r="AA449" i="1"/>
  <c r="X449" i="1"/>
  <c r="U449" i="1"/>
  <c r="R449" i="1"/>
  <c r="N449" i="1"/>
  <c r="J449" i="1"/>
  <c r="G449" i="1"/>
  <c r="D449" i="1"/>
  <c r="AD448" i="1"/>
  <c r="AA448" i="1"/>
  <c r="X448" i="1"/>
  <c r="U448" i="1"/>
  <c r="R448" i="1"/>
  <c r="N448" i="1"/>
  <c r="J448" i="1"/>
  <c r="G448" i="1"/>
  <c r="D448" i="1"/>
  <c r="AD447" i="1"/>
  <c r="AA447" i="1"/>
  <c r="X447" i="1"/>
  <c r="U447" i="1"/>
  <c r="R447" i="1"/>
  <c r="N447" i="1"/>
  <c r="J447" i="1"/>
  <c r="G447" i="1"/>
  <c r="D447" i="1"/>
  <c r="AD446" i="1"/>
  <c r="AA446" i="1"/>
  <c r="X446" i="1"/>
  <c r="U446" i="1"/>
  <c r="R446" i="1"/>
  <c r="N446" i="1"/>
  <c r="J446" i="1"/>
  <c r="G446" i="1"/>
  <c r="D446" i="1"/>
  <c r="AD445" i="1"/>
  <c r="AA445" i="1"/>
  <c r="X445" i="1"/>
  <c r="U445" i="1"/>
  <c r="R445" i="1"/>
  <c r="N445" i="1"/>
  <c r="J445" i="1"/>
  <c r="G445" i="1"/>
  <c r="D445" i="1"/>
  <c r="AD444" i="1"/>
  <c r="AA444" i="1"/>
  <c r="X444" i="1"/>
  <c r="U444" i="1"/>
  <c r="R444" i="1"/>
  <c r="N444" i="1"/>
  <c r="J444" i="1"/>
  <c r="G444" i="1"/>
  <c r="D444" i="1"/>
  <c r="AD443" i="1"/>
  <c r="AA443" i="1"/>
  <c r="X443" i="1"/>
  <c r="U443" i="1"/>
  <c r="R443" i="1"/>
  <c r="N443" i="1"/>
  <c r="J443" i="1"/>
  <c r="G443" i="1"/>
  <c r="D443" i="1"/>
  <c r="AD442" i="1"/>
  <c r="AA442" i="1"/>
  <c r="X442" i="1"/>
  <c r="U442" i="1"/>
  <c r="R442" i="1"/>
  <c r="N442" i="1"/>
  <c r="J442" i="1"/>
  <c r="G442" i="1"/>
  <c r="D442" i="1"/>
  <c r="AD441" i="1"/>
  <c r="AA441" i="1"/>
  <c r="X441" i="1"/>
  <c r="U441" i="1"/>
  <c r="R441" i="1"/>
  <c r="N441" i="1"/>
  <c r="J441" i="1"/>
  <c r="G441" i="1"/>
  <c r="D441" i="1"/>
  <c r="AD440" i="1"/>
  <c r="AA440" i="1"/>
  <c r="X440" i="1"/>
  <c r="U440" i="1"/>
  <c r="R440" i="1"/>
  <c r="N440" i="1"/>
  <c r="J440" i="1"/>
  <c r="G440" i="1"/>
  <c r="D440" i="1"/>
  <c r="AD439" i="1"/>
  <c r="AA439" i="1"/>
  <c r="X439" i="1"/>
  <c r="U439" i="1"/>
  <c r="R439" i="1"/>
  <c r="N439" i="1"/>
  <c r="J439" i="1"/>
  <c r="G439" i="1"/>
  <c r="D439" i="1"/>
  <c r="AD438" i="1"/>
  <c r="AA438" i="1"/>
  <c r="X438" i="1"/>
  <c r="U438" i="1"/>
  <c r="R438" i="1"/>
  <c r="N438" i="1"/>
  <c r="J438" i="1"/>
  <c r="G438" i="1"/>
  <c r="D438" i="1"/>
  <c r="AD437" i="1"/>
  <c r="AA437" i="1"/>
  <c r="X437" i="1"/>
  <c r="U437" i="1"/>
  <c r="R437" i="1"/>
  <c r="N437" i="1"/>
  <c r="J437" i="1"/>
  <c r="G437" i="1"/>
  <c r="D437" i="1"/>
  <c r="AD436" i="1"/>
  <c r="AA436" i="1"/>
  <c r="X436" i="1"/>
  <c r="U436" i="1"/>
  <c r="R436" i="1"/>
  <c r="N436" i="1"/>
  <c r="J436" i="1"/>
  <c r="G436" i="1"/>
  <c r="D436" i="1"/>
  <c r="AD435" i="1"/>
  <c r="AA435" i="1"/>
  <c r="X435" i="1"/>
  <c r="U435" i="1"/>
  <c r="R435" i="1"/>
  <c r="N435" i="1"/>
  <c r="J435" i="1"/>
  <c r="G435" i="1"/>
  <c r="D435" i="1"/>
  <c r="AD434" i="1"/>
  <c r="AA434" i="1"/>
  <c r="X434" i="1"/>
  <c r="U434" i="1"/>
  <c r="R434" i="1"/>
  <c r="N434" i="1"/>
  <c r="J434" i="1"/>
  <c r="G434" i="1"/>
  <c r="D434" i="1"/>
  <c r="AD433" i="1"/>
  <c r="AA433" i="1"/>
  <c r="X433" i="1"/>
  <c r="U433" i="1"/>
  <c r="R433" i="1"/>
  <c r="N433" i="1"/>
  <c r="J433" i="1"/>
  <c r="G433" i="1"/>
  <c r="D433" i="1"/>
  <c r="AD432" i="1"/>
  <c r="AA432" i="1"/>
  <c r="X432" i="1"/>
  <c r="U432" i="1"/>
  <c r="R432" i="1"/>
  <c r="N432" i="1"/>
  <c r="J432" i="1"/>
  <c r="G432" i="1"/>
  <c r="D432" i="1"/>
  <c r="AD431" i="1"/>
  <c r="AA431" i="1"/>
  <c r="X431" i="1"/>
  <c r="U431" i="1"/>
  <c r="R431" i="1"/>
  <c r="N431" i="1"/>
  <c r="J431" i="1"/>
  <c r="G431" i="1"/>
  <c r="D431" i="1"/>
  <c r="AD430" i="1"/>
  <c r="AA430" i="1"/>
  <c r="X430" i="1"/>
  <c r="U430" i="1"/>
  <c r="R430" i="1"/>
  <c r="N430" i="1"/>
  <c r="J430" i="1"/>
  <c r="G430" i="1"/>
  <c r="D430" i="1"/>
  <c r="AD429" i="1"/>
  <c r="AA429" i="1"/>
  <c r="X429" i="1"/>
  <c r="U429" i="1"/>
  <c r="R429" i="1"/>
  <c r="N429" i="1"/>
  <c r="J429" i="1"/>
  <c r="G429" i="1"/>
  <c r="D429" i="1"/>
  <c r="AD428" i="1"/>
  <c r="AA428" i="1"/>
  <c r="X428" i="1"/>
  <c r="U428" i="1"/>
  <c r="R428" i="1"/>
  <c r="N428" i="1"/>
  <c r="J428" i="1"/>
  <c r="G428" i="1"/>
  <c r="D428" i="1"/>
  <c r="AD427" i="1"/>
  <c r="AA427" i="1"/>
  <c r="X427" i="1"/>
  <c r="U427" i="1"/>
  <c r="R427" i="1"/>
  <c r="N427" i="1"/>
  <c r="J427" i="1"/>
  <c r="G427" i="1"/>
  <c r="D427" i="1"/>
  <c r="AD426" i="1"/>
  <c r="AA426" i="1"/>
  <c r="X426" i="1"/>
  <c r="U426" i="1"/>
  <c r="R426" i="1"/>
  <c r="N426" i="1"/>
  <c r="J426" i="1"/>
  <c r="G426" i="1"/>
  <c r="D426" i="1"/>
  <c r="AD425" i="1"/>
  <c r="AA425" i="1"/>
  <c r="X425" i="1"/>
  <c r="U425" i="1"/>
  <c r="R425" i="1"/>
  <c r="N425" i="1"/>
  <c r="J425" i="1"/>
  <c r="G425" i="1"/>
  <c r="D425" i="1"/>
  <c r="AD424" i="1"/>
  <c r="AA424" i="1"/>
  <c r="X424" i="1"/>
  <c r="U424" i="1"/>
  <c r="R424" i="1"/>
  <c r="N424" i="1"/>
  <c r="J424" i="1"/>
  <c r="G424" i="1"/>
  <c r="D424" i="1"/>
  <c r="AD423" i="1"/>
  <c r="AA423" i="1"/>
  <c r="X423" i="1"/>
  <c r="U423" i="1"/>
  <c r="R423" i="1"/>
  <c r="N423" i="1"/>
  <c r="J423" i="1"/>
  <c r="G423" i="1"/>
  <c r="D423" i="1"/>
  <c r="AD422" i="1"/>
  <c r="AA422" i="1"/>
  <c r="X422" i="1"/>
  <c r="U422" i="1"/>
  <c r="R422" i="1"/>
  <c r="N422" i="1"/>
  <c r="J422" i="1"/>
  <c r="G422" i="1"/>
  <c r="D422" i="1"/>
  <c r="AD421" i="1"/>
  <c r="AA421" i="1"/>
  <c r="X421" i="1"/>
  <c r="U421" i="1"/>
  <c r="R421" i="1"/>
  <c r="N421" i="1"/>
  <c r="J421" i="1"/>
  <c r="G421" i="1"/>
  <c r="D421" i="1"/>
  <c r="AD420" i="1"/>
  <c r="AA420" i="1"/>
  <c r="X420" i="1"/>
  <c r="U420" i="1"/>
  <c r="R420" i="1"/>
  <c r="N420" i="1"/>
  <c r="J420" i="1"/>
  <c r="G420" i="1"/>
  <c r="D420" i="1"/>
  <c r="AD419" i="1"/>
  <c r="AA419" i="1"/>
  <c r="X419" i="1"/>
  <c r="U419" i="1"/>
  <c r="R419" i="1"/>
  <c r="N419" i="1"/>
  <c r="J419" i="1"/>
  <c r="G419" i="1"/>
  <c r="D419" i="1"/>
  <c r="AD418" i="1"/>
  <c r="AA418" i="1"/>
  <c r="X418" i="1"/>
  <c r="U418" i="1"/>
  <c r="R418" i="1"/>
  <c r="N418" i="1"/>
  <c r="J418" i="1"/>
  <c r="G418" i="1"/>
  <c r="D418" i="1"/>
  <c r="AD417" i="1"/>
  <c r="AA417" i="1"/>
  <c r="X417" i="1"/>
  <c r="U417" i="1"/>
  <c r="R417" i="1"/>
  <c r="N417" i="1"/>
  <c r="J417" i="1"/>
  <c r="G417" i="1"/>
  <c r="D417" i="1"/>
  <c r="AD416" i="1"/>
  <c r="AA416" i="1"/>
  <c r="X416" i="1"/>
  <c r="U416" i="1"/>
  <c r="R416" i="1"/>
  <c r="N416" i="1"/>
  <c r="J416" i="1"/>
  <c r="G416" i="1"/>
  <c r="D416" i="1"/>
  <c r="AD415" i="1"/>
  <c r="AA415" i="1"/>
  <c r="X415" i="1"/>
  <c r="U415" i="1"/>
  <c r="R415" i="1"/>
  <c r="N415" i="1"/>
  <c r="J415" i="1"/>
  <c r="G415" i="1"/>
  <c r="D415" i="1"/>
  <c r="AD414" i="1"/>
  <c r="AA414" i="1"/>
  <c r="X414" i="1"/>
  <c r="U414" i="1"/>
  <c r="R414" i="1"/>
  <c r="N414" i="1"/>
  <c r="J414" i="1"/>
  <c r="G414" i="1"/>
  <c r="D414" i="1"/>
  <c r="AD413" i="1"/>
  <c r="AA413" i="1"/>
  <c r="X413" i="1"/>
  <c r="U413" i="1"/>
  <c r="R413" i="1"/>
  <c r="N413" i="1"/>
  <c r="J413" i="1"/>
  <c r="G413" i="1"/>
  <c r="D413" i="1"/>
  <c r="AD412" i="1"/>
  <c r="AA412" i="1"/>
  <c r="X412" i="1"/>
  <c r="U412" i="1"/>
  <c r="R412" i="1"/>
  <c r="N412" i="1"/>
  <c r="J412" i="1"/>
  <c r="G412" i="1"/>
  <c r="D412" i="1"/>
  <c r="AD411" i="1"/>
  <c r="AA411" i="1"/>
  <c r="X411" i="1"/>
  <c r="U411" i="1"/>
  <c r="R411" i="1"/>
  <c r="N411" i="1"/>
  <c r="J411" i="1"/>
  <c r="G411" i="1"/>
  <c r="D411" i="1"/>
  <c r="AD410" i="1"/>
  <c r="AA410" i="1"/>
  <c r="X410" i="1"/>
  <c r="U410" i="1"/>
  <c r="R410" i="1"/>
  <c r="N410" i="1"/>
  <c r="J410" i="1"/>
  <c r="G410" i="1"/>
  <c r="D410" i="1"/>
  <c r="AD409" i="1"/>
  <c r="AA409" i="1"/>
  <c r="X409" i="1"/>
  <c r="U409" i="1"/>
  <c r="R409" i="1"/>
  <c r="N409" i="1"/>
  <c r="J409" i="1"/>
  <c r="G409" i="1"/>
  <c r="D409" i="1"/>
  <c r="AD408" i="1"/>
  <c r="AA408" i="1"/>
  <c r="X408" i="1"/>
  <c r="U408" i="1"/>
  <c r="R408" i="1"/>
  <c r="N408" i="1"/>
  <c r="J408" i="1"/>
  <c r="G408" i="1"/>
  <c r="D408" i="1"/>
  <c r="AD407" i="1"/>
  <c r="AA407" i="1"/>
  <c r="X407" i="1"/>
  <c r="U407" i="1"/>
  <c r="R407" i="1"/>
  <c r="N407" i="1"/>
  <c r="J407" i="1"/>
  <c r="G407" i="1"/>
  <c r="D407" i="1"/>
  <c r="AD406" i="1"/>
  <c r="AA406" i="1"/>
  <c r="X406" i="1"/>
  <c r="U406" i="1"/>
  <c r="R406" i="1"/>
  <c r="N406" i="1"/>
  <c r="J406" i="1"/>
  <c r="G406" i="1"/>
  <c r="D406" i="1"/>
  <c r="AD405" i="1"/>
  <c r="AA405" i="1"/>
  <c r="X405" i="1"/>
  <c r="U405" i="1"/>
  <c r="R405" i="1"/>
  <c r="N405" i="1"/>
  <c r="J405" i="1"/>
  <c r="G405" i="1"/>
  <c r="D405" i="1"/>
  <c r="AD404" i="1"/>
  <c r="AA404" i="1"/>
  <c r="X404" i="1"/>
  <c r="U404" i="1"/>
  <c r="R404" i="1"/>
  <c r="N404" i="1"/>
  <c r="J404" i="1"/>
  <c r="G404" i="1"/>
  <c r="D404" i="1"/>
  <c r="AD403" i="1"/>
  <c r="AA403" i="1"/>
  <c r="X403" i="1"/>
  <c r="U403" i="1"/>
  <c r="R403" i="1"/>
  <c r="N403" i="1"/>
  <c r="J403" i="1"/>
  <c r="G403" i="1"/>
  <c r="D403" i="1"/>
  <c r="AD402" i="1"/>
  <c r="AA402" i="1"/>
  <c r="X402" i="1"/>
  <c r="U402" i="1"/>
  <c r="R402" i="1"/>
  <c r="N402" i="1"/>
  <c r="J402" i="1"/>
  <c r="G402" i="1"/>
  <c r="D402" i="1"/>
  <c r="AD401" i="1"/>
  <c r="AA401" i="1"/>
  <c r="X401" i="1"/>
  <c r="U401" i="1"/>
  <c r="R401" i="1"/>
  <c r="N401" i="1"/>
  <c r="J401" i="1"/>
  <c r="G401" i="1"/>
  <c r="D401" i="1"/>
  <c r="AD400" i="1"/>
  <c r="AA400" i="1"/>
  <c r="X400" i="1"/>
  <c r="U400" i="1"/>
  <c r="R400" i="1"/>
  <c r="N400" i="1"/>
  <c r="J400" i="1"/>
  <c r="G400" i="1"/>
  <c r="D400" i="1"/>
  <c r="AD399" i="1"/>
  <c r="AA399" i="1"/>
  <c r="X399" i="1"/>
  <c r="U399" i="1"/>
  <c r="R399" i="1"/>
  <c r="N399" i="1"/>
  <c r="J399" i="1"/>
  <c r="G399" i="1"/>
  <c r="D399" i="1"/>
  <c r="AD398" i="1"/>
  <c r="AA398" i="1"/>
  <c r="X398" i="1"/>
  <c r="U398" i="1"/>
  <c r="R398" i="1"/>
  <c r="N398" i="1"/>
  <c r="J398" i="1"/>
  <c r="G398" i="1"/>
  <c r="D398" i="1"/>
  <c r="AD397" i="1"/>
  <c r="AA397" i="1"/>
  <c r="X397" i="1"/>
  <c r="U397" i="1"/>
  <c r="R397" i="1"/>
  <c r="N397" i="1"/>
  <c r="J397" i="1"/>
  <c r="G397" i="1"/>
  <c r="D397" i="1"/>
  <c r="AD396" i="1"/>
  <c r="AA396" i="1"/>
  <c r="X396" i="1"/>
  <c r="U396" i="1"/>
  <c r="R396" i="1"/>
  <c r="N396" i="1"/>
  <c r="J396" i="1"/>
  <c r="G396" i="1"/>
  <c r="D396" i="1"/>
  <c r="AD395" i="1"/>
  <c r="AA395" i="1"/>
  <c r="X395" i="1"/>
  <c r="U395" i="1"/>
  <c r="R395" i="1"/>
  <c r="N395" i="1"/>
  <c r="J395" i="1"/>
  <c r="G395" i="1"/>
  <c r="D395" i="1"/>
  <c r="AD394" i="1"/>
  <c r="AA394" i="1"/>
  <c r="X394" i="1"/>
  <c r="U394" i="1"/>
  <c r="R394" i="1"/>
  <c r="N394" i="1"/>
  <c r="J394" i="1"/>
  <c r="G394" i="1"/>
  <c r="D394" i="1"/>
  <c r="AD393" i="1"/>
  <c r="AA393" i="1"/>
  <c r="X393" i="1"/>
  <c r="U393" i="1"/>
  <c r="R393" i="1"/>
  <c r="N393" i="1"/>
  <c r="J393" i="1"/>
  <c r="G393" i="1"/>
  <c r="D393" i="1"/>
  <c r="AD392" i="1"/>
  <c r="AA392" i="1"/>
  <c r="X392" i="1"/>
  <c r="U392" i="1"/>
  <c r="R392" i="1"/>
  <c r="N392" i="1"/>
  <c r="J392" i="1"/>
  <c r="G392" i="1"/>
  <c r="D392" i="1"/>
  <c r="AA391" i="1"/>
  <c r="X391" i="1"/>
  <c r="U391" i="1"/>
  <c r="R391" i="1"/>
  <c r="N391" i="1"/>
  <c r="J391" i="1"/>
  <c r="G391" i="1"/>
  <c r="D391" i="1"/>
  <c r="AD390" i="1"/>
  <c r="AA390" i="1"/>
  <c r="X390" i="1"/>
  <c r="U390" i="1"/>
  <c r="R390" i="1"/>
  <c r="N390" i="1"/>
  <c r="J390" i="1"/>
  <c r="G390" i="1"/>
  <c r="D390" i="1"/>
  <c r="AD389" i="1"/>
  <c r="AA389" i="1"/>
  <c r="X389" i="1"/>
  <c r="U389" i="1"/>
  <c r="R389" i="1"/>
  <c r="N389" i="1"/>
  <c r="J389" i="1"/>
  <c r="G389" i="1"/>
  <c r="D389" i="1"/>
  <c r="AD388" i="1"/>
  <c r="AA388" i="1"/>
  <c r="X388" i="1"/>
  <c r="U388" i="1"/>
  <c r="R388" i="1"/>
  <c r="N388" i="1"/>
  <c r="J388" i="1"/>
  <c r="G388" i="1"/>
  <c r="D388" i="1"/>
  <c r="AD387" i="1"/>
  <c r="AA387" i="1"/>
  <c r="X387" i="1"/>
  <c r="U387" i="1"/>
  <c r="R387" i="1"/>
  <c r="N387" i="1"/>
  <c r="J387" i="1"/>
  <c r="G387" i="1"/>
  <c r="D387" i="1"/>
  <c r="AD386" i="1"/>
  <c r="AA386" i="1"/>
  <c r="X386" i="1"/>
  <c r="U386" i="1"/>
  <c r="R386" i="1"/>
  <c r="N386" i="1"/>
  <c r="J386" i="1"/>
  <c r="G386" i="1"/>
  <c r="D386" i="1"/>
  <c r="AD385" i="1"/>
  <c r="AA385" i="1"/>
  <c r="X385" i="1"/>
  <c r="U385" i="1"/>
  <c r="R385" i="1"/>
  <c r="N385" i="1"/>
  <c r="J385" i="1"/>
  <c r="G385" i="1"/>
  <c r="D385" i="1"/>
  <c r="AD384" i="1"/>
  <c r="AA384" i="1"/>
  <c r="X384" i="1"/>
  <c r="U384" i="1"/>
  <c r="R384" i="1"/>
  <c r="N384" i="1"/>
  <c r="J384" i="1"/>
  <c r="G384" i="1"/>
  <c r="D384" i="1"/>
  <c r="AD383" i="1"/>
  <c r="AA383" i="1"/>
  <c r="X383" i="1"/>
  <c r="U383" i="1"/>
  <c r="R383" i="1"/>
  <c r="N383" i="1"/>
  <c r="J383" i="1"/>
  <c r="G383" i="1"/>
  <c r="D383" i="1"/>
  <c r="AD382" i="1"/>
  <c r="AA382" i="1"/>
  <c r="X382" i="1"/>
  <c r="U382" i="1"/>
  <c r="R382" i="1"/>
  <c r="N382" i="1"/>
  <c r="J382" i="1"/>
  <c r="G382" i="1"/>
  <c r="D382" i="1"/>
  <c r="AD381" i="1"/>
  <c r="AA381" i="1"/>
  <c r="X381" i="1"/>
  <c r="U381" i="1"/>
  <c r="R381" i="1"/>
  <c r="N381" i="1"/>
  <c r="J381" i="1"/>
  <c r="G381" i="1"/>
  <c r="D381" i="1"/>
  <c r="AD380" i="1"/>
  <c r="AA380" i="1"/>
  <c r="X380" i="1"/>
  <c r="U380" i="1"/>
  <c r="R380" i="1"/>
  <c r="N380" i="1"/>
  <c r="J380" i="1"/>
  <c r="G380" i="1"/>
  <c r="D380" i="1"/>
  <c r="AD379" i="1"/>
  <c r="AA379" i="1"/>
  <c r="X379" i="1"/>
  <c r="U379" i="1"/>
  <c r="R379" i="1"/>
  <c r="N379" i="1"/>
  <c r="J379" i="1"/>
  <c r="G379" i="1"/>
  <c r="D379" i="1"/>
  <c r="AD378" i="1"/>
  <c r="AA378" i="1"/>
  <c r="X378" i="1"/>
  <c r="U378" i="1"/>
  <c r="R378" i="1"/>
  <c r="N378" i="1"/>
  <c r="J378" i="1"/>
  <c r="G378" i="1"/>
  <c r="D378" i="1"/>
  <c r="AD377" i="1"/>
  <c r="AA377" i="1"/>
  <c r="X377" i="1"/>
  <c r="U377" i="1"/>
  <c r="R377" i="1"/>
  <c r="N377" i="1"/>
  <c r="J377" i="1"/>
  <c r="G377" i="1"/>
  <c r="D377" i="1"/>
  <c r="AD376" i="1"/>
  <c r="AA376" i="1"/>
  <c r="X376" i="1"/>
  <c r="U376" i="1"/>
  <c r="R376" i="1"/>
  <c r="N376" i="1"/>
  <c r="J376" i="1"/>
  <c r="G376" i="1"/>
  <c r="D376" i="1"/>
  <c r="AD375" i="1"/>
  <c r="AA375" i="1"/>
  <c r="X375" i="1"/>
  <c r="U375" i="1"/>
  <c r="R375" i="1"/>
  <c r="N375" i="1"/>
  <c r="J375" i="1"/>
  <c r="G375" i="1"/>
  <c r="D375" i="1"/>
  <c r="AD374" i="1"/>
  <c r="AA374" i="1"/>
  <c r="X374" i="1"/>
  <c r="U374" i="1"/>
  <c r="R374" i="1"/>
  <c r="N374" i="1"/>
  <c r="J374" i="1"/>
  <c r="G374" i="1"/>
  <c r="D374" i="1"/>
  <c r="AD373" i="1"/>
  <c r="AA373" i="1"/>
  <c r="X373" i="1"/>
  <c r="U373" i="1"/>
  <c r="R373" i="1"/>
  <c r="N373" i="1"/>
  <c r="J373" i="1"/>
  <c r="G373" i="1"/>
  <c r="D373" i="1"/>
  <c r="AD372" i="1"/>
  <c r="AA372" i="1"/>
  <c r="X372" i="1"/>
  <c r="U372" i="1"/>
  <c r="R372" i="1"/>
  <c r="N372" i="1"/>
  <c r="J372" i="1"/>
  <c r="G372" i="1"/>
  <c r="D372" i="1"/>
  <c r="AD371" i="1"/>
  <c r="AA371" i="1"/>
  <c r="X371" i="1"/>
  <c r="U371" i="1"/>
  <c r="R371" i="1"/>
  <c r="N371" i="1"/>
  <c r="J371" i="1"/>
  <c r="G371" i="1"/>
  <c r="D371" i="1"/>
  <c r="AD370" i="1"/>
  <c r="AA370" i="1"/>
  <c r="X370" i="1"/>
  <c r="U370" i="1"/>
  <c r="R370" i="1"/>
  <c r="N370" i="1"/>
  <c r="J370" i="1"/>
  <c r="G370" i="1"/>
  <c r="D370" i="1"/>
  <c r="AD369" i="1"/>
  <c r="AA369" i="1"/>
  <c r="X369" i="1"/>
  <c r="U369" i="1"/>
  <c r="R369" i="1"/>
  <c r="N369" i="1"/>
  <c r="J369" i="1"/>
  <c r="G369" i="1"/>
  <c r="D369" i="1"/>
  <c r="AD368" i="1"/>
  <c r="AA368" i="1"/>
  <c r="X368" i="1"/>
  <c r="U368" i="1"/>
  <c r="R368" i="1"/>
  <c r="N368" i="1"/>
  <c r="J368" i="1"/>
  <c r="G368" i="1"/>
  <c r="D368" i="1"/>
  <c r="AD367" i="1"/>
  <c r="AA367" i="1"/>
  <c r="X367" i="1"/>
  <c r="U367" i="1"/>
  <c r="R367" i="1"/>
  <c r="N367" i="1"/>
  <c r="J367" i="1"/>
  <c r="G367" i="1"/>
  <c r="D367" i="1"/>
  <c r="AD366" i="1"/>
  <c r="AA366" i="1"/>
  <c r="X366" i="1"/>
  <c r="U366" i="1"/>
  <c r="R366" i="1"/>
  <c r="N366" i="1"/>
  <c r="J366" i="1"/>
  <c r="G366" i="1"/>
  <c r="D366" i="1"/>
  <c r="AD365" i="1"/>
  <c r="AA365" i="1"/>
  <c r="X365" i="1"/>
  <c r="U365" i="1"/>
  <c r="R365" i="1"/>
  <c r="N365" i="1"/>
  <c r="J365" i="1"/>
  <c r="G365" i="1"/>
  <c r="D365" i="1"/>
  <c r="AD364" i="1"/>
  <c r="AA364" i="1"/>
  <c r="X364" i="1"/>
  <c r="U364" i="1"/>
  <c r="R364" i="1"/>
  <c r="N364" i="1"/>
  <c r="J364" i="1"/>
  <c r="G364" i="1"/>
  <c r="D364" i="1"/>
  <c r="AD363" i="1"/>
  <c r="AA363" i="1"/>
  <c r="X363" i="1"/>
  <c r="U363" i="1"/>
  <c r="R363" i="1"/>
  <c r="N363" i="1"/>
  <c r="J363" i="1"/>
  <c r="G363" i="1"/>
  <c r="D363" i="1"/>
  <c r="AD362" i="1"/>
  <c r="AA362" i="1"/>
  <c r="X362" i="1"/>
  <c r="U362" i="1"/>
  <c r="R362" i="1"/>
  <c r="N362" i="1"/>
  <c r="J362" i="1"/>
  <c r="G362" i="1"/>
  <c r="D362" i="1"/>
  <c r="AD361" i="1"/>
  <c r="AA361" i="1"/>
  <c r="X361" i="1"/>
  <c r="U361" i="1"/>
  <c r="R361" i="1"/>
  <c r="N361" i="1"/>
  <c r="J361" i="1"/>
  <c r="G361" i="1"/>
  <c r="D361" i="1"/>
  <c r="AD360" i="1"/>
  <c r="AA360" i="1"/>
  <c r="X360" i="1"/>
  <c r="U360" i="1"/>
  <c r="R360" i="1"/>
  <c r="N360" i="1"/>
  <c r="J360" i="1"/>
  <c r="G360" i="1"/>
  <c r="D360" i="1"/>
  <c r="AD359" i="1"/>
  <c r="AA359" i="1"/>
  <c r="X359" i="1"/>
  <c r="U359" i="1"/>
  <c r="R359" i="1"/>
  <c r="N359" i="1"/>
  <c r="J359" i="1"/>
  <c r="G359" i="1"/>
  <c r="D359" i="1"/>
  <c r="AD358" i="1"/>
  <c r="AA358" i="1"/>
  <c r="X358" i="1"/>
  <c r="U358" i="1"/>
  <c r="R358" i="1"/>
  <c r="N358" i="1"/>
  <c r="J358" i="1"/>
  <c r="G358" i="1"/>
  <c r="D358" i="1"/>
  <c r="AD357" i="1"/>
  <c r="AA357" i="1"/>
  <c r="X357" i="1"/>
  <c r="U357" i="1"/>
  <c r="R357" i="1"/>
  <c r="N357" i="1"/>
  <c r="J357" i="1"/>
  <c r="G357" i="1"/>
  <c r="D357" i="1"/>
  <c r="AD356" i="1"/>
  <c r="AA356" i="1"/>
  <c r="X356" i="1"/>
  <c r="U356" i="1"/>
  <c r="R356" i="1"/>
  <c r="N356" i="1"/>
  <c r="J356" i="1"/>
  <c r="G356" i="1"/>
  <c r="D356" i="1"/>
  <c r="AD355" i="1"/>
  <c r="AA355" i="1"/>
  <c r="X355" i="1"/>
  <c r="U355" i="1"/>
  <c r="R355" i="1"/>
  <c r="N355" i="1"/>
  <c r="J355" i="1"/>
  <c r="G355" i="1"/>
  <c r="D355" i="1"/>
  <c r="AD354" i="1"/>
  <c r="AA354" i="1"/>
  <c r="X354" i="1"/>
  <c r="U354" i="1"/>
  <c r="R354" i="1"/>
  <c r="N354" i="1"/>
  <c r="J354" i="1"/>
  <c r="G354" i="1"/>
  <c r="D354" i="1"/>
  <c r="AD353" i="1"/>
  <c r="AA353" i="1"/>
  <c r="X353" i="1"/>
  <c r="U353" i="1"/>
  <c r="R353" i="1"/>
  <c r="N353" i="1"/>
  <c r="J353" i="1"/>
  <c r="G353" i="1"/>
  <c r="D353" i="1"/>
  <c r="AD352" i="1"/>
  <c r="AA352" i="1"/>
  <c r="X352" i="1"/>
  <c r="U352" i="1"/>
  <c r="R352" i="1"/>
  <c r="N352" i="1"/>
  <c r="J352" i="1"/>
  <c r="G352" i="1"/>
  <c r="D352" i="1"/>
  <c r="AD351" i="1"/>
  <c r="AA351" i="1"/>
  <c r="X351" i="1"/>
  <c r="U351" i="1"/>
  <c r="R351" i="1"/>
  <c r="N351" i="1"/>
  <c r="J351" i="1"/>
  <c r="G351" i="1"/>
  <c r="D351" i="1"/>
  <c r="AD350" i="1"/>
  <c r="AA350" i="1"/>
  <c r="X350" i="1"/>
  <c r="U350" i="1"/>
  <c r="R350" i="1"/>
  <c r="N350" i="1"/>
  <c r="J350" i="1"/>
  <c r="G350" i="1"/>
  <c r="D350" i="1"/>
  <c r="AD349" i="1"/>
  <c r="AA349" i="1"/>
  <c r="X349" i="1"/>
  <c r="U349" i="1"/>
  <c r="R349" i="1"/>
  <c r="N349" i="1"/>
  <c r="J349" i="1"/>
  <c r="G349" i="1"/>
  <c r="D349" i="1"/>
  <c r="AD348" i="1"/>
  <c r="AA348" i="1"/>
  <c r="X348" i="1"/>
  <c r="U348" i="1"/>
  <c r="R348" i="1"/>
  <c r="N348" i="1"/>
  <c r="J348" i="1"/>
  <c r="G348" i="1"/>
  <c r="D348" i="1"/>
  <c r="AD347" i="1"/>
  <c r="AA347" i="1"/>
  <c r="X347" i="1"/>
  <c r="U347" i="1"/>
  <c r="R347" i="1"/>
  <c r="N347" i="1"/>
  <c r="J347" i="1"/>
  <c r="G347" i="1"/>
  <c r="D347" i="1"/>
  <c r="AD346" i="1"/>
  <c r="AA346" i="1"/>
  <c r="X346" i="1"/>
  <c r="U346" i="1"/>
  <c r="R346" i="1"/>
  <c r="N346" i="1"/>
  <c r="J346" i="1"/>
  <c r="G346" i="1"/>
  <c r="D346" i="1"/>
  <c r="AD345" i="1"/>
  <c r="AA345" i="1"/>
  <c r="X345" i="1"/>
  <c r="U345" i="1"/>
  <c r="R345" i="1"/>
  <c r="N345" i="1"/>
  <c r="J345" i="1"/>
  <c r="G345" i="1"/>
  <c r="D345" i="1"/>
  <c r="AD344" i="1"/>
  <c r="AA344" i="1"/>
  <c r="X344" i="1"/>
  <c r="U344" i="1"/>
  <c r="R344" i="1"/>
  <c r="N344" i="1"/>
  <c r="J344" i="1"/>
  <c r="G344" i="1"/>
  <c r="D344" i="1"/>
  <c r="AD343" i="1"/>
  <c r="AA343" i="1"/>
  <c r="X343" i="1"/>
  <c r="U343" i="1"/>
  <c r="R343" i="1"/>
  <c r="N343" i="1"/>
  <c r="J343" i="1"/>
  <c r="G343" i="1"/>
  <c r="D343" i="1"/>
  <c r="AD342" i="1"/>
  <c r="AA342" i="1"/>
  <c r="X342" i="1"/>
  <c r="U342" i="1"/>
  <c r="R342" i="1"/>
  <c r="N342" i="1"/>
  <c r="J342" i="1"/>
  <c r="G342" i="1"/>
  <c r="D342" i="1"/>
  <c r="AD341" i="1"/>
  <c r="AA341" i="1"/>
  <c r="X341" i="1"/>
  <c r="U341" i="1"/>
  <c r="R341" i="1"/>
  <c r="N341" i="1"/>
  <c r="J341" i="1"/>
  <c r="G341" i="1"/>
  <c r="D341" i="1"/>
  <c r="AD340" i="1"/>
  <c r="AA340" i="1"/>
  <c r="X340" i="1"/>
  <c r="U340" i="1"/>
  <c r="R340" i="1"/>
  <c r="N340" i="1"/>
  <c r="J340" i="1"/>
  <c r="G340" i="1"/>
  <c r="D340" i="1"/>
  <c r="AD339" i="1"/>
  <c r="AA339" i="1"/>
  <c r="X339" i="1"/>
  <c r="U339" i="1"/>
  <c r="R339" i="1"/>
  <c r="N339" i="1"/>
  <c r="J339" i="1"/>
  <c r="G339" i="1"/>
  <c r="D339" i="1"/>
  <c r="AD338" i="1"/>
  <c r="AA338" i="1"/>
  <c r="X338" i="1"/>
  <c r="U338" i="1"/>
  <c r="R338" i="1"/>
  <c r="N338" i="1"/>
  <c r="J338" i="1"/>
  <c r="G338" i="1"/>
  <c r="D338" i="1"/>
  <c r="AD337" i="1"/>
  <c r="AA337" i="1"/>
  <c r="X337" i="1"/>
  <c r="U337" i="1"/>
  <c r="R337" i="1"/>
  <c r="N337" i="1"/>
  <c r="J337" i="1"/>
  <c r="G337" i="1"/>
  <c r="D337" i="1"/>
  <c r="AD336" i="1"/>
  <c r="AA336" i="1"/>
  <c r="X336" i="1"/>
  <c r="U336" i="1"/>
  <c r="R336" i="1"/>
  <c r="N336" i="1"/>
  <c r="J336" i="1"/>
  <c r="G336" i="1"/>
  <c r="D336" i="1"/>
  <c r="AD335" i="1"/>
  <c r="AA335" i="1"/>
  <c r="X335" i="1"/>
  <c r="U335" i="1"/>
  <c r="R335" i="1"/>
  <c r="N335" i="1"/>
  <c r="J335" i="1"/>
  <c r="G335" i="1"/>
  <c r="D335" i="1"/>
  <c r="AD334" i="1"/>
  <c r="AA334" i="1"/>
  <c r="X334" i="1"/>
  <c r="U334" i="1"/>
  <c r="R334" i="1"/>
  <c r="N334" i="1"/>
  <c r="J334" i="1"/>
  <c r="G334" i="1"/>
  <c r="D334" i="1"/>
  <c r="AD333" i="1"/>
  <c r="AA333" i="1"/>
  <c r="X333" i="1"/>
  <c r="U333" i="1"/>
  <c r="R333" i="1"/>
  <c r="N333" i="1"/>
  <c r="J333" i="1"/>
  <c r="G333" i="1"/>
  <c r="D333" i="1"/>
  <c r="AD332" i="1"/>
  <c r="AA332" i="1"/>
  <c r="X332" i="1"/>
  <c r="U332" i="1"/>
  <c r="R332" i="1"/>
  <c r="N332" i="1"/>
  <c r="J332" i="1"/>
  <c r="G332" i="1"/>
  <c r="D332" i="1"/>
  <c r="AD331" i="1"/>
  <c r="AA331" i="1"/>
  <c r="X331" i="1"/>
  <c r="U331" i="1"/>
  <c r="R331" i="1"/>
  <c r="N331" i="1"/>
  <c r="J331" i="1"/>
  <c r="G331" i="1"/>
  <c r="D331" i="1"/>
  <c r="AD330" i="1"/>
  <c r="AA330" i="1"/>
  <c r="X330" i="1"/>
  <c r="U330" i="1"/>
  <c r="R330" i="1"/>
  <c r="N330" i="1"/>
  <c r="J330" i="1"/>
  <c r="G330" i="1"/>
  <c r="D330" i="1"/>
  <c r="AD329" i="1"/>
  <c r="AA329" i="1"/>
  <c r="X329" i="1"/>
  <c r="U329" i="1"/>
  <c r="R329" i="1"/>
  <c r="N329" i="1"/>
  <c r="J329" i="1"/>
  <c r="G329" i="1"/>
  <c r="D329" i="1"/>
  <c r="AD328" i="1"/>
  <c r="AA328" i="1"/>
  <c r="X328" i="1"/>
  <c r="U328" i="1"/>
  <c r="R328" i="1"/>
  <c r="N328" i="1"/>
  <c r="J328" i="1"/>
  <c r="G328" i="1"/>
  <c r="D328" i="1"/>
  <c r="AD327" i="1"/>
  <c r="AA327" i="1"/>
  <c r="X327" i="1"/>
  <c r="U327" i="1"/>
  <c r="R327" i="1"/>
  <c r="N327" i="1"/>
  <c r="J327" i="1"/>
  <c r="G327" i="1"/>
  <c r="D327" i="1"/>
  <c r="AD326" i="1"/>
  <c r="AA326" i="1"/>
  <c r="X326" i="1"/>
  <c r="U326" i="1"/>
  <c r="R326" i="1"/>
  <c r="N326" i="1"/>
  <c r="J326" i="1"/>
  <c r="G326" i="1"/>
  <c r="D326" i="1"/>
  <c r="AD325" i="1"/>
  <c r="AA325" i="1"/>
  <c r="X325" i="1"/>
  <c r="U325" i="1"/>
  <c r="R325" i="1"/>
  <c r="N325" i="1"/>
  <c r="G325" i="1"/>
  <c r="D325" i="1"/>
  <c r="AD324" i="1"/>
  <c r="AA324" i="1"/>
  <c r="X324" i="1"/>
  <c r="U324" i="1"/>
  <c r="R324" i="1"/>
  <c r="N324" i="1"/>
  <c r="J324" i="1"/>
  <c r="G324" i="1"/>
  <c r="D324" i="1"/>
  <c r="AD323" i="1"/>
  <c r="AA323" i="1"/>
  <c r="X323" i="1"/>
  <c r="U323" i="1"/>
  <c r="R323" i="1"/>
  <c r="N323" i="1"/>
  <c r="J323" i="1"/>
  <c r="G323" i="1"/>
  <c r="D323" i="1"/>
  <c r="AD322" i="1"/>
  <c r="AA322" i="1"/>
  <c r="X322" i="1"/>
  <c r="U322" i="1"/>
  <c r="R322" i="1"/>
  <c r="N322" i="1"/>
  <c r="J322" i="1"/>
  <c r="G322" i="1"/>
  <c r="D322" i="1"/>
  <c r="AD321" i="1"/>
  <c r="AA321" i="1"/>
  <c r="X321" i="1"/>
  <c r="U321" i="1"/>
  <c r="R321" i="1"/>
  <c r="N321" i="1"/>
  <c r="J321" i="1"/>
  <c r="G321" i="1"/>
  <c r="D321" i="1"/>
  <c r="AD320" i="1"/>
  <c r="AA320" i="1"/>
  <c r="X320" i="1"/>
  <c r="U320" i="1"/>
  <c r="R320" i="1"/>
  <c r="N320" i="1"/>
  <c r="J320" i="1"/>
  <c r="G320" i="1"/>
  <c r="D320" i="1"/>
  <c r="AD319" i="1"/>
  <c r="AA319" i="1"/>
  <c r="X319" i="1"/>
  <c r="U319" i="1"/>
  <c r="R319" i="1"/>
  <c r="N319" i="1"/>
  <c r="J319" i="1"/>
  <c r="G319" i="1"/>
  <c r="D319" i="1"/>
  <c r="AD318" i="1"/>
  <c r="AA318" i="1"/>
  <c r="X318" i="1"/>
  <c r="U318" i="1"/>
  <c r="R318" i="1"/>
  <c r="N318" i="1"/>
  <c r="J318" i="1"/>
  <c r="G318" i="1"/>
  <c r="D318" i="1"/>
  <c r="AD317" i="1"/>
  <c r="AA317" i="1"/>
  <c r="X317" i="1"/>
  <c r="U317" i="1"/>
  <c r="R317" i="1"/>
  <c r="N317" i="1"/>
  <c r="J317" i="1"/>
  <c r="G317" i="1"/>
  <c r="D317" i="1"/>
  <c r="AD316" i="1"/>
  <c r="AA316" i="1"/>
  <c r="X316" i="1"/>
  <c r="U316" i="1"/>
  <c r="R316" i="1"/>
  <c r="N316" i="1"/>
  <c r="J316" i="1"/>
  <c r="G316" i="1"/>
  <c r="D316" i="1"/>
  <c r="AD315" i="1"/>
  <c r="AA315" i="1"/>
  <c r="X315" i="1"/>
  <c r="U315" i="1"/>
  <c r="R315" i="1"/>
  <c r="N315" i="1"/>
  <c r="J315" i="1"/>
  <c r="G315" i="1"/>
  <c r="D315" i="1"/>
  <c r="AD314" i="1"/>
  <c r="AA314" i="1"/>
  <c r="X314" i="1"/>
  <c r="U314" i="1"/>
  <c r="R314" i="1"/>
  <c r="N314" i="1"/>
  <c r="J314" i="1"/>
  <c r="G314" i="1"/>
  <c r="D314" i="1"/>
  <c r="AD313" i="1"/>
  <c r="AA313" i="1"/>
  <c r="X313" i="1"/>
  <c r="U313" i="1"/>
  <c r="R313" i="1"/>
  <c r="N313" i="1"/>
  <c r="J313" i="1"/>
  <c r="G313" i="1"/>
  <c r="D313" i="1"/>
  <c r="AD312" i="1"/>
  <c r="AA312" i="1"/>
  <c r="X312" i="1"/>
  <c r="U312" i="1"/>
  <c r="R312" i="1"/>
  <c r="N312" i="1"/>
  <c r="J312" i="1"/>
  <c r="G312" i="1"/>
  <c r="D312" i="1"/>
  <c r="AD311" i="1"/>
  <c r="AA311" i="1"/>
  <c r="X311" i="1"/>
  <c r="U311" i="1"/>
  <c r="R311" i="1"/>
  <c r="N311" i="1"/>
  <c r="J311" i="1"/>
  <c r="G311" i="1"/>
  <c r="D311" i="1"/>
  <c r="AD310" i="1"/>
  <c r="AA310" i="1"/>
  <c r="X310" i="1"/>
  <c r="U310" i="1"/>
  <c r="R310" i="1"/>
  <c r="J310" i="1"/>
  <c r="G310" i="1"/>
  <c r="D310" i="1"/>
  <c r="AD309" i="1"/>
  <c r="AA309" i="1"/>
  <c r="X309" i="1"/>
  <c r="U309" i="1"/>
  <c r="R309" i="1"/>
  <c r="N309" i="1"/>
  <c r="J309" i="1"/>
  <c r="G309" i="1"/>
  <c r="D309" i="1"/>
  <c r="AD308" i="1"/>
  <c r="AA308" i="1"/>
  <c r="X308" i="1"/>
  <c r="U308" i="1"/>
  <c r="R308" i="1"/>
  <c r="N308" i="1"/>
  <c r="J308" i="1"/>
  <c r="G308" i="1"/>
  <c r="D308" i="1"/>
  <c r="AD307" i="1"/>
  <c r="AA307" i="1"/>
  <c r="X307" i="1"/>
  <c r="U307" i="1"/>
  <c r="R307" i="1"/>
  <c r="N307" i="1"/>
  <c r="J307" i="1"/>
  <c r="G307" i="1"/>
  <c r="D307" i="1"/>
  <c r="AD306" i="1"/>
  <c r="AA306" i="1"/>
  <c r="X306" i="1"/>
  <c r="U306" i="1"/>
  <c r="R306" i="1"/>
  <c r="N306" i="1"/>
  <c r="J306" i="1"/>
  <c r="G306" i="1"/>
  <c r="D306" i="1"/>
  <c r="AD305" i="1"/>
  <c r="AA305" i="1"/>
  <c r="X305" i="1"/>
  <c r="U305" i="1"/>
  <c r="R305" i="1"/>
  <c r="N305" i="1"/>
  <c r="J305" i="1"/>
  <c r="G305" i="1"/>
  <c r="D305" i="1"/>
  <c r="AD304" i="1"/>
  <c r="AA304" i="1"/>
  <c r="X304" i="1"/>
  <c r="U304" i="1"/>
  <c r="R304" i="1"/>
  <c r="N304" i="1"/>
  <c r="J304" i="1"/>
  <c r="G304" i="1"/>
  <c r="D304" i="1"/>
  <c r="AD303" i="1"/>
  <c r="AA303" i="1"/>
  <c r="X303" i="1"/>
  <c r="U303" i="1"/>
  <c r="R303" i="1"/>
  <c r="N303" i="1"/>
  <c r="J303" i="1"/>
  <c r="G303" i="1"/>
  <c r="D303" i="1"/>
  <c r="AD302" i="1"/>
  <c r="AA302" i="1"/>
  <c r="X302" i="1"/>
  <c r="U302" i="1"/>
  <c r="R302" i="1"/>
  <c r="N302" i="1"/>
  <c r="J302" i="1"/>
  <c r="G302" i="1"/>
  <c r="D302" i="1"/>
  <c r="AD301" i="1"/>
  <c r="AA301" i="1"/>
  <c r="X301" i="1"/>
  <c r="U301" i="1"/>
  <c r="R301" i="1"/>
  <c r="N301" i="1"/>
  <c r="J301" i="1"/>
  <c r="G301" i="1"/>
  <c r="D301" i="1"/>
  <c r="AD300" i="1"/>
  <c r="AA300" i="1"/>
  <c r="X300" i="1"/>
  <c r="U300" i="1"/>
  <c r="R300" i="1"/>
  <c r="N300" i="1"/>
  <c r="J300" i="1"/>
  <c r="G300" i="1"/>
  <c r="D300" i="1"/>
  <c r="AD299" i="1"/>
  <c r="AA299" i="1"/>
  <c r="X299" i="1"/>
  <c r="U299" i="1"/>
  <c r="R299" i="1"/>
  <c r="N299" i="1"/>
  <c r="J299" i="1"/>
  <c r="G299" i="1"/>
  <c r="D299" i="1"/>
  <c r="AD298" i="1"/>
  <c r="AA298" i="1"/>
  <c r="X298" i="1"/>
  <c r="U298" i="1"/>
  <c r="R298" i="1"/>
  <c r="N298" i="1"/>
  <c r="J298" i="1"/>
  <c r="G298" i="1"/>
  <c r="D298" i="1"/>
  <c r="AD297" i="1"/>
  <c r="AA297" i="1"/>
  <c r="X297" i="1"/>
  <c r="U297" i="1"/>
  <c r="R297" i="1"/>
  <c r="N297" i="1"/>
  <c r="J297" i="1"/>
  <c r="G297" i="1"/>
  <c r="D297" i="1"/>
  <c r="AD296" i="1"/>
  <c r="AA296" i="1"/>
  <c r="X296" i="1"/>
  <c r="U296" i="1"/>
  <c r="R296" i="1"/>
  <c r="N296" i="1"/>
  <c r="J296" i="1"/>
  <c r="G296" i="1"/>
  <c r="D296" i="1"/>
  <c r="AD295" i="1"/>
  <c r="AA295" i="1"/>
  <c r="X295" i="1"/>
  <c r="U295" i="1"/>
  <c r="R295" i="1"/>
  <c r="N295" i="1"/>
  <c r="J295" i="1"/>
  <c r="G295" i="1"/>
  <c r="D295" i="1"/>
  <c r="AD294" i="1"/>
  <c r="AA294" i="1"/>
  <c r="X294" i="1"/>
  <c r="U294" i="1"/>
  <c r="R294" i="1"/>
  <c r="N294" i="1"/>
  <c r="J294" i="1"/>
  <c r="G294" i="1"/>
  <c r="D294" i="1"/>
  <c r="AD293" i="1"/>
  <c r="AA293" i="1"/>
  <c r="X293" i="1"/>
  <c r="U293" i="1"/>
  <c r="R293" i="1"/>
  <c r="N293" i="1"/>
  <c r="J293" i="1"/>
  <c r="G293" i="1"/>
  <c r="D293" i="1"/>
  <c r="AD292" i="1"/>
  <c r="AA292" i="1"/>
  <c r="X292" i="1"/>
  <c r="U292" i="1"/>
  <c r="R292" i="1"/>
  <c r="N292" i="1"/>
  <c r="J292" i="1"/>
  <c r="G292" i="1"/>
  <c r="D292" i="1"/>
  <c r="AD291" i="1"/>
  <c r="AA291" i="1"/>
  <c r="X291" i="1"/>
  <c r="U291" i="1"/>
  <c r="R291" i="1"/>
  <c r="N291" i="1"/>
  <c r="J291" i="1"/>
  <c r="G291" i="1"/>
  <c r="D291" i="1"/>
  <c r="AD290" i="1"/>
  <c r="AA290" i="1"/>
  <c r="X290" i="1"/>
  <c r="U290" i="1"/>
  <c r="R290" i="1"/>
  <c r="N290" i="1"/>
  <c r="J290" i="1"/>
  <c r="G290" i="1"/>
  <c r="D290" i="1"/>
  <c r="AD289" i="1"/>
  <c r="AA289" i="1"/>
  <c r="X289" i="1"/>
  <c r="U289" i="1"/>
  <c r="R289" i="1"/>
  <c r="N289" i="1"/>
  <c r="J289" i="1"/>
  <c r="G289" i="1"/>
  <c r="D289" i="1"/>
  <c r="AD288" i="1"/>
  <c r="AA288" i="1"/>
  <c r="X288" i="1"/>
  <c r="U288" i="1"/>
  <c r="R288" i="1"/>
  <c r="N288" i="1"/>
  <c r="J288" i="1"/>
  <c r="G288" i="1"/>
  <c r="D288" i="1"/>
  <c r="AD287" i="1"/>
  <c r="AA287" i="1"/>
  <c r="X287" i="1"/>
  <c r="U287" i="1"/>
  <c r="R287" i="1"/>
  <c r="N287" i="1"/>
  <c r="J287" i="1"/>
  <c r="G287" i="1"/>
  <c r="D287" i="1"/>
  <c r="AD286" i="1"/>
  <c r="AA286" i="1"/>
  <c r="X286" i="1"/>
  <c r="U286" i="1"/>
  <c r="R286" i="1"/>
  <c r="N286" i="1"/>
  <c r="J286" i="1"/>
  <c r="G286" i="1"/>
  <c r="D286" i="1"/>
  <c r="AD285" i="1"/>
  <c r="AA285" i="1"/>
  <c r="X285" i="1"/>
  <c r="U285" i="1"/>
  <c r="R285" i="1"/>
  <c r="N285" i="1"/>
  <c r="J285" i="1"/>
  <c r="G285" i="1"/>
  <c r="D285" i="1"/>
  <c r="AD284" i="1"/>
  <c r="AA284" i="1"/>
  <c r="X284" i="1"/>
  <c r="U284" i="1"/>
  <c r="R284" i="1"/>
  <c r="N284" i="1"/>
  <c r="J284" i="1"/>
  <c r="G284" i="1"/>
  <c r="D284" i="1"/>
  <c r="AD283" i="1"/>
  <c r="AA283" i="1"/>
  <c r="X283" i="1"/>
  <c r="U283" i="1"/>
  <c r="R283" i="1"/>
  <c r="N283" i="1"/>
  <c r="J283" i="1"/>
  <c r="G283" i="1"/>
  <c r="D283" i="1"/>
  <c r="AD282" i="1"/>
  <c r="AA282" i="1"/>
  <c r="X282" i="1"/>
  <c r="U282" i="1"/>
  <c r="R282" i="1"/>
  <c r="N282" i="1"/>
  <c r="J282" i="1"/>
  <c r="G282" i="1"/>
  <c r="D282" i="1"/>
  <c r="AD281" i="1"/>
  <c r="AA281" i="1"/>
  <c r="X281" i="1"/>
  <c r="U281" i="1"/>
  <c r="R281" i="1"/>
  <c r="N281" i="1"/>
  <c r="J281" i="1"/>
  <c r="G281" i="1"/>
  <c r="D281" i="1"/>
  <c r="AD280" i="1"/>
  <c r="AA280" i="1"/>
  <c r="X280" i="1"/>
  <c r="U280" i="1"/>
  <c r="R280" i="1"/>
  <c r="N280" i="1"/>
  <c r="J280" i="1"/>
  <c r="G280" i="1"/>
  <c r="D280" i="1"/>
  <c r="AD279" i="1"/>
  <c r="AA279" i="1"/>
  <c r="X279" i="1"/>
  <c r="U279" i="1"/>
  <c r="R279" i="1"/>
  <c r="N279" i="1"/>
  <c r="J279" i="1"/>
  <c r="G279" i="1"/>
  <c r="D279" i="1"/>
  <c r="AD278" i="1"/>
  <c r="AA278" i="1"/>
  <c r="X278" i="1"/>
  <c r="U278" i="1"/>
  <c r="R278" i="1"/>
  <c r="N278" i="1"/>
  <c r="J278" i="1"/>
  <c r="G278" i="1"/>
  <c r="D278" i="1"/>
  <c r="AD277" i="1"/>
  <c r="AA277" i="1"/>
  <c r="X277" i="1"/>
  <c r="U277" i="1"/>
  <c r="R277" i="1"/>
  <c r="N277" i="1"/>
  <c r="J277" i="1"/>
  <c r="G277" i="1"/>
  <c r="D277" i="1"/>
  <c r="AD276" i="1"/>
  <c r="AA276" i="1"/>
  <c r="X276" i="1"/>
  <c r="U276" i="1"/>
  <c r="R276" i="1"/>
  <c r="N276" i="1"/>
  <c r="J276" i="1"/>
  <c r="G276" i="1"/>
  <c r="D276" i="1"/>
  <c r="AD275" i="1"/>
  <c r="AA275" i="1"/>
  <c r="X275" i="1"/>
  <c r="U275" i="1"/>
  <c r="R275" i="1"/>
  <c r="N275" i="1"/>
  <c r="J275" i="1"/>
  <c r="G275" i="1"/>
  <c r="D275" i="1"/>
  <c r="AD274" i="1"/>
  <c r="AA274" i="1"/>
  <c r="X274" i="1"/>
  <c r="U274" i="1"/>
  <c r="R274" i="1"/>
  <c r="N274" i="1"/>
  <c r="J274" i="1"/>
  <c r="G274" i="1"/>
  <c r="D274" i="1"/>
  <c r="AD273" i="1"/>
  <c r="AA273" i="1"/>
  <c r="X273" i="1"/>
  <c r="U273" i="1"/>
  <c r="R273" i="1"/>
  <c r="N273" i="1"/>
  <c r="J273" i="1"/>
  <c r="G273" i="1"/>
  <c r="D273" i="1"/>
  <c r="AD272" i="1"/>
  <c r="AA272" i="1"/>
  <c r="X272" i="1"/>
  <c r="U272" i="1"/>
  <c r="R272" i="1"/>
  <c r="N272" i="1"/>
  <c r="J272" i="1"/>
  <c r="G272" i="1"/>
  <c r="D272" i="1"/>
  <c r="AD271" i="1"/>
  <c r="AA271" i="1"/>
  <c r="X271" i="1"/>
  <c r="U271" i="1"/>
  <c r="R271" i="1"/>
  <c r="N271" i="1"/>
  <c r="J271" i="1"/>
  <c r="G271" i="1"/>
  <c r="D271" i="1"/>
  <c r="AD270" i="1"/>
  <c r="AA270" i="1"/>
  <c r="X270" i="1"/>
  <c r="U270" i="1"/>
  <c r="R270" i="1"/>
  <c r="N270" i="1"/>
  <c r="J270" i="1"/>
  <c r="G270" i="1"/>
  <c r="D270" i="1"/>
  <c r="AD269" i="1"/>
  <c r="AA269" i="1"/>
  <c r="X269" i="1"/>
  <c r="U269" i="1"/>
  <c r="R269" i="1"/>
  <c r="N269" i="1"/>
  <c r="J269" i="1"/>
  <c r="G269" i="1"/>
  <c r="D269" i="1"/>
  <c r="AD268" i="1"/>
  <c r="AA268" i="1"/>
  <c r="X268" i="1"/>
  <c r="U268" i="1"/>
  <c r="R268" i="1"/>
  <c r="N268" i="1"/>
  <c r="J268" i="1"/>
  <c r="G268" i="1"/>
  <c r="D268" i="1"/>
  <c r="AD267" i="1"/>
  <c r="AA267" i="1"/>
  <c r="X267" i="1"/>
  <c r="U267" i="1"/>
  <c r="R267" i="1"/>
  <c r="N267" i="1"/>
  <c r="J267" i="1"/>
  <c r="G267" i="1"/>
  <c r="D267" i="1"/>
  <c r="AD266" i="1"/>
  <c r="AA266" i="1"/>
  <c r="X266" i="1"/>
  <c r="U266" i="1"/>
  <c r="R266" i="1"/>
  <c r="N266" i="1"/>
  <c r="J266" i="1"/>
  <c r="G266" i="1"/>
  <c r="D266" i="1"/>
  <c r="AD265" i="1"/>
  <c r="AA265" i="1"/>
  <c r="X265" i="1"/>
  <c r="U265" i="1"/>
  <c r="R265" i="1"/>
  <c r="N265" i="1"/>
  <c r="J265" i="1"/>
  <c r="G265" i="1"/>
  <c r="D265" i="1"/>
  <c r="AD264" i="1"/>
  <c r="AA264" i="1"/>
  <c r="X264" i="1"/>
  <c r="U264" i="1"/>
  <c r="R264" i="1"/>
  <c r="N264" i="1"/>
  <c r="J264" i="1"/>
  <c r="G264" i="1"/>
  <c r="D264" i="1"/>
  <c r="AD263" i="1"/>
  <c r="AA263" i="1"/>
  <c r="X263" i="1"/>
  <c r="U263" i="1"/>
  <c r="R263" i="1"/>
  <c r="N263" i="1"/>
  <c r="J263" i="1"/>
  <c r="G263" i="1"/>
  <c r="D263" i="1"/>
  <c r="AD262" i="1"/>
  <c r="AA262" i="1"/>
  <c r="X262" i="1"/>
  <c r="U262" i="1"/>
  <c r="R262" i="1"/>
  <c r="N262" i="1"/>
  <c r="J262" i="1"/>
  <c r="G262" i="1"/>
  <c r="D262" i="1"/>
  <c r="AD261" i="1"/>
  <c r="AA261" i="1"/>
  <c r="X261" i="1"/>
  <c r="U261" i="1"/>
  <c r="R261" i="1"/>
  <c r="N261" i="1"/>
  <c r="J261" i="1"/>
  <c r="G261" i="1"/>
  <c r="D261" i="1"/>
  <c r="AD260" i="1"/>
  <c r="AA260" i="1"/>
  <c r="X260" i="1"/>
  <c r="U260" i="1"/>
  <c r="R260" i="1"/>
  <c r="N260" i="1"/>
  <c r="J260" i="1"/>
  <c r="G260" i="1"/>
  <c r="D260" i="1"/>
  <c r="AD259" i="1"/>
  <c r="AA259" i="1"/>
  <c r="X259" i="1"/>
  <c r="U259" i="1"/>
  <c r="R259" i="1"/>
  <c r="N259" i="1"/>
  <c r="J259" i="1"/>
  <c r="G259" i="1"/>
  <c r="D259" i="1"/>
  <c r="AD258" i="1"/>
  <c r="AA258" i="1"/>
  <c r="X258" i="1"/>
  <c r="U258" i="1"/>
  <c r="R258" i="1"/>
  <c r="N258" i="1"/>
  <c r="J258" i="1"/>
  <c r="G258" i="1"/>
  <c r="D258" i="1"/>
  <c r="AD257" i="1"/>
  <c r="AA257" i="1"/>
  <c r="X257" i="1"/>
  <c r="U257" i="1"/>
  <c r="R257" i="1"/>
  <c r="N257" i="1"/>
  <c r="J257" i="1"/>
  <c r="G257" i="1"/>
  <c r="D257" i="1"/>
  <c r="AD256" i="1"/>
  <c r="AA256" i="1"/>
  <c r="X256" i="1"/>
  <c r="U256" i="1"/>
  <c r="R256" i="1"/>
  <c r="N256" i="1"/>
  <c r="J256" i="1"/>
  <c r="G256" i="1"/>
  <c r="D256" i="1"/>
  <c r="AD255" i="1"/>
  <c r="AA255" i="1"/>
  <c r="X255" i="1"/>
  <c r="U255" i="1"/>
  <c r="R255" i="1"/>
  <c r="N255" i="1"/>
  <c r="J255" i="1"/>
  <c r="G255" i="1"/>
  <c r="D255" i="1"/>
  <c r="AD254" i="1"/>
  <c r="AA254" i="1"/>
  <c r="X254" i="1"/>
  <c r="U254" i="1"/>
  <c r="R254" i="1"/>
  <c r="N254" i="1"/>
  <c r="J254" i="1"/>
  <c r="G254" i="1"/>
  <c r="D254" i="1"/>
  <c r="AD253" i="1"/>
  <c r="AA253" i="1"/>
  <c r="X253" i="1"/>
  <c r="U253" i="1"/>
  <c r="R253" i="1"/>
  <c r="N253" i="1"/>
  <c r="J253" i="1"/>
  <c r="G253" i="1"/>
  <c r="D253" i="1"/>
  <c r="AD252" i="1"/>
  <c r="AA252" i="1"/>
  <c r="X252" i="1"/>
  <c r="U252" i="1"/>
  <c r="R252" i="1"/>
  <c r="N252" i="1"/>
  <c r="J252" i="1"/>
  <c r="G252" i="1"/>
  <c r="D252" i="1"/>
  <c r="AD251" i="1"/>
  <c r="AA251" i="1"/>
  <c r="X251" i="1"/>
  <c r="U251" i="1"/>
  <c r="R251" i="1"/>
  <c r="N251" i="1"/>
  <c r="J251" i="1"/>
  <c r="G251" i="1"/>
  <c r="D251" i="1"/>
  <c r="AD250" i="1"/>
  <c r="AA250" i="1"/>
  <c r="X250" i="1"/>
  <c r="U250" i="1"/>
  <c r="R250" i="1"/>
  <c r="N250" i="1"/>
  <c r="J250" i="1"/>
  <c r="G250" i="1"/>
  <c r="D250" i="1"/>
  <c r="AD249" i="1"/>
  <c r="AA249" i="1"/>
  <c r="X249" i="1"/>
  <c r="U249" i="1"/>
  <c r="R249" i="1"/>
  <c r="N249" i="1"/>
  <c r="J249" i="1"/>
  <c r="G249" i="1"/>
  <c r="D249" i="1"/>
  <c r="AD248" i="1"/>
  <c r="AA248" i="1"/>
  <c r="X248" i="1"/>
  <c r="U248" i="1"/>
  <c r="R248" i="1"/>
  <c r="N248" i="1"/>
  <c r="J248" i="1"/>
  <c r="G248" i="1"/>
  <c r="D248" i="1"/>
  <c r="AD247" i="1"/>
  <c r="AA247" i="1"/>
  <c r="X247" i="1"/>
  <c r="U247" i="1"/>
  <c r="R247" i="1"/>
  <c r="N247" i="1"/>
  <c r="J247" i="1"/>
  <c r="G247" i="1"/>
  <c r="D247" i="1"/>
  <c r="AD246" i="1"/>
  <c r="AA246" i="1"/>
  <c r="X246" i="1"/>
  <c r="U246" i="1"/>
  <c r="R246" i="1"/>
  <c r="N246" i="1"/>
  <c r="J246" i="1"/>
  <c r="G246" i="1"/>
  <c r="D246" i="1"/>
  <c r="AD245" i="1"/>
  <c r="AA245" i="1"/>
  <c r="X245" i="1"/>
  <c r="U245" i="1"/>
  <c r="R245" i="1"/>
  <c r="N245" i="1"/>
  <c r="J245" i="1"/>
  <c r="G245" i="1"/>
  <c r="D245" i="1"/>
  <c r="AD244" i="1"/>
  <c r="AA244" i="1"/>
  <c r="X244" i="1"/>
  <c r="U244" i="1"/>
  <c r="R244" i="1"/>
  <c r="N244" i="1"/>
  <c r="J244" i="1"/>
  <c r="G244" i="1"/>
  <c r="D244" i="1"/>
  <c r="AD243" i="1"/>
  <c r="AA243" i="1"/>
  <c r="X243" i="1"/>
  <c r="U243" i="1"/>
  <c r="R243" i="1"/>
  <c r="N243" i="1"/>
  <c r="J243" i="1"/>
  <c r="G243" i="1"/>
  <c r="D243" i="1"/>
  <c r="AD242" i="1"/>
  <c r="AA242" i="1"/>
  <c r="X242" i="1"/>
  <c r="U242" i="1"/>
  <c r="R242" i="1"/>
  <c r="N242" i="1"/>
  <c r="J242" i="1"/>
  <c r="G242" i="1"/>
  <c r="D242" i="1"/>
  <c r="AD241" i="1"/>
  <c r="AA241" i="1"/>
  <c r="X241" i="1"/>
  <c r="U241" i="1"/>
  <c r="R241" i="1"/>
  <c r="N241" i="1"/>
  <c r="J241" i="1"/>
  <c r="G241" i="1"/>
  <c r="D241" i="1"/>
  <c r="AD240" i="1"/>
  <c r="AA240" i="1"/>
  <c r="X240" i="1"/>
  <c r="U240" i="1"/>
  <c r="R240" i="1"/>
  <c r="N240" i="1"/>
  <c r="J240" i="1"/>
  <c r="G240" i="1"/>
  <c r="D240" i="1"/>
  <c r="AD239" i="1"/>
  <c r="AA239" i="1"/>
  <c r="X239" i="1"/>
  <c r="U239" i="1"/>
  <c r="R239" i="1"/>
  <c r="N239" i="1"/>
  <c r="J239" i="1"/>
  <c r="G239" i="1"/>
  <c r="D239" i="1"/>
  <c r="AD238" i="1"/>
  <c r="AA238" i="1"/>
  <c r="X238" i="1"/>
  <c r="U238" i="1"/>
  <c r="R238" i="1"/>
  <c r="N238" i="1"/>
  <c r="J238" i="1"/>
  <c r="G238" i="1"/>
  <c r="D238" i="1"/>
  <c r="AD237" i="1"/>
  <c r="AA237" i="1"/>
  <c r="X237" i="1"/>
  <c r="U237" i="1"/>
  <c r="R237" i="1"/>
  <c r="N237" i="1"/>
  <c r="J237" i="1"/>
  <c r="G237" i="1"/>
  <c r="D237" i="1"/>
  <c r="AD236" i="1"/>
  <c r="AA236" i="1"/>
  <c r="X236" i="1"/>
  <c r="U236" i="1"/>
  <c r="R236" i="1"/>
  <c r="N236" i="1"/>
  <c r="J236" i="1"/>
  <c r="G236" i="1"/>
  <c r="D236" i="1"/>
  <c r="AD235" i="1"/>
  <c r="AA235" i="1"/>
  <c r="X235" i="1"/>
  <c r="U235" i="1"/>
  <c r="R235" i="1"/>
  <c r="N235" i="1"/>
  <c r="J235" i="1"/>
  <c r="G235" i="1"/>
  <c r="D235" i="1"/>
  <c r="AD234" i="1"/>
  <c r="AA234" i="1"/>
  <c r="X234" i="1"/>
  <c r="U234" i="1"/>
  <c r="R234" i="1"/>
  <c r="N234" i="1"/>
  <c r="J234" i="1"/>
  <c r="G234" i="1"/>
  <c r="D234" i="1"/>
  <c r="AD233" i="1"/>
  <c r="AA233" i="1"/>
  <c r="X233" i="1"/>
  <c r="U233" i="1"/>
  <c r="R233" i="1"/>
  <c r="N233" i="1"/>
  <c r="J233" i="1"/>
  <c r="G233" i="1"/>
  <c r="D233" i="1"/>
  <c r="AD232" i="1"/>
  <c r="AA232" i="1"/>
  <c r="X232" i="1"/>
  <c r="U232" i="1"/>
  <c r="R232" i="1"/>
  <c r="N232" i="1"/>
  <c r="J232" i="1"/>
  <c r="G232" i="1"/>
  <c r="D232" i="1"/>
  <c r="AD231" i="1"/>
  <c r="AA231" i="1"/>
  <c r="X231" i="1"/>
  <c r="U231" i="1"/>
  <c r="R231" i="1"/>
  <c r="N231" i="1"/>
  <c r="J231" i="1"/>
  <c r="G231" i="1"/>
  <c r="D231" i="1"/>
  <c r="AD230" i="1"/>
  <c r="AA230" i="1"/>
  <c r="X230" i="1"/>
  <c r="U230" i="1"/>
  <c r="R230" i="1"/>
  <c r="N230" i="1"/>
  <c r="J230" i="1"/>
  <c r="G230" i="1"/>
  <c r="D230" i="1"/>
  <c r="AD229" i="1"/>
  <c r="AA229" i="1"/>
  <c r="X229" i="1"/>
  <c r="U229" i="1"/>
  <c r="R229" i="1"/>
  <c r="N229" i="1"/>
  <c r="J229" i="1"/>
  <c r="G229" i="1"/>
  <c r="D229" i="1"/>
  <c r="AD228" i="1"/>
  <c r="AA228" i="1"/>
  <c r="X228" i="1"/>
  <c r="U228" i="1"/>
  <c r="R228" i="1"/>
  <c r="N228" i="1"/>
  <c r="J228" i="1"/>
  <c r="G228" i="1"/>
  <c r="D228" i="1"/>
  <c r="AD227" i="1"/>
  <c r="AA227" i="1"/>
  <c r="X227" i="1"/>
  <c r="U227" i="1"/>
  <c r="R227" i="1"/>
  <c r="N227" i="1"/>
  <c r="J227" i="1"/>
  <c r="G227" i="1"/>
  <c r="D227" i="1"/>
  <c r="AD226" i="1"/>
  <c r="AA226" i="1"/>
  <c r="X226" i="1"/>
  <c r="U226" i="1"/>
  <c r="R226" i="1"/>
  <c r="N226" i="1"/>
  <c r="J226" i="1"/>
  <c r="G226" i="1"/>
  <c r="D226" i="1"/>
  <c r="AD225" i="1"/>
  <c r="AA225" i="1"/>
  <c r="X225" i="1"/>
  <c r="U225" i="1"/>
  <c r="R225" i="1"/>
  <c r="N225" i="1"/>
  <c r="J225" i="1"/>
  <c r="G225" i="1"/>
  <c r="D225" i="1"/>
  <c r="AD224" i="1"/>
  <c r="AA224" i="1"/>
  <c r="X224" i="1"/>
  <c r="U224" i="1"/>
  <c r="R224" i="1"/>
  <c r="N224" i="1"/>
  <c r="J224" i="1"/>
  <c r="G224" i="1"/>
  <c r="D224" i="1"/>
  <c r="AD223" i="1"/>
  <c r="AA223" i="1"/>
  <c r="X223" i="1"/>
  <c r="U223" i="1"/>
  <c r="R223" i="1"/>
  <c r="N223" i="1"/>
  <c r="J223" i="1"/>
  <c r="G223" i="1"/>
  <c r="D223" i="1"/>
  <c r="AD222" i="1"/>
  <c r="AA222" i="1"/>
  <c r="X222" i="1"/>
  <c r="U222" i="1"/>
  <c r="R222" i="1"/>
  <c r="N222" i="1"/>
  <c r="J222" i="1"/>
  <c r="G222" i="1"/>
  <c r="D222" i="1"/>
  <c r="AD221" i="1"/>
  <c r="AA221" i="1"/>
  <c r="X221" i="1"/>
  <c r="U221" i="1"/>
  <c r="R221" i="1"/>
  <c r="N221" i="1"/>
  <c r="J221" i="1"/>
  <c r="G221" i="1"/>
  <c r="D221" i="1"/>
  <c r="AD220" i="1"/>
  <c r="AA220" i="1"/>
  <c r="X220" i="1"/>
  <c r="U220" i="1"/>
  <c r="R220" i="1"/>
  <c r="N220" i="1"/>
  <c r="J220" i="1"/>
  <c r="G220" i="1"/>
  <c r="D220" i="1"/>
  <c r="AD219" i="1"/>
  <c r="AA219" i="1"/>
  <c r="X219" i="1"/>
  <c r="U219" i="1"/>
  <c r="R219" i="1"/>
  <c r="N219" i="1"/>
  <c r="J219" i="1"/>
  <c r="G219" i="1"/>
  <c r="D219" i="1"/>
  <c r="AD218" i="1"/>
  <c r="AA218" i="1"/>
  <c r="X218" i="1"/>
  <c r="U218" i="1"/>
  <c r="R218" i="1"/>
  <c r="N218" i="1"/>
  <c r="J218" i="1"/>
  <c r="G218" i="1"/>
  <c r="D218" i="1"/>
  <c r="AD217" i="1"/>
  <c r="AA217" i="1"/>
  <c r="X217" i="1"/>
  <c r="U217" i="1"/>
  <c r="R217" i="1"/>
  <c r="N217" i="1"/>
  <c r="J217" i="1"/>
  <c r="G217" i="1"/>
  <c r="D217" i="1"/>
  <c r="AD216" i="1"/>
  <c r="AA216" i="1"/>
  <c r="X216" i="1"/>
  <c r="U216" i="1"/>
  <c r="R216" i="1"/>
  <c r="N216" i="1"/>
  <c r="J216" i="1"/>
  <c r="G216" i="1"/>
  <c r="D216" i="1"/>
  <c r="AD215" i="1"/>
  <c r="AA215" i="1"/>
  <c r="X215" i="1"/>
  <c r="U215" i="1"/>
  <c r="R215" i="1"/>
  <c r="N215" i="1"/>
  <c r="J215" i="1"/>
  <c r="G215" i="1"/>
  <c r="D215" i="1"/>
  <c r="AD214" i="1"/>
  <c r="AA214" i="1"/>
  <c r="X214" i="1"/>
  <c r="U214" i="1"/>
  <c r="R214" i="1"/>
  <c r="N214" i="1"/>
  <c r="J214" i="1"/>
  <c r="G214" i="1"/>
  <c r="D214" i="1"/>
  <c r="AD213" i="1"/>
  <c r="AA213" i="1"/>
  <c r="X213" i="1"/>
  <c r="U213" i="1"/>
  <c r="R213" i="1"/>
  <c r="N213" i="1"/>
  <c r="J213" i="1"/>
  <c r="G213" i="1"/>
  <c r="D213" i="1"/>
  <c r="AD212" i="1"/>
  <c r="AA212" i="1"/>
  <c r="X212" i="1"/>
  <c r="U212" i="1"/>
  <c r="R212" i="1"/>
  <c r="N212" i="1"/>
  <c r="J212" i="1"/>
  <c r="G212" i="1"/>
  <c r="D212" i="1"/>
  <c r="AD211" i="1"/>
  <c r="AA211" i="1"/>
  <c r="X211" i="1"/>
  <c r="U211" i="1"/>
  <c r="R211" i="1"/>
  <c r="N211" i="1"/>
  <c r="J211" i="1"/>
  <c r="G211" i="1"/>
  <c r="D211" i="1"/>
  <c r="AD210" i="1"/>
  <c r="AA210" i="1"/>
  <c r="X210" i="1"/>
  <c r="U210" i="1"/>
  <c r="R210" i="1"/>
  <c r="N210" i="1"/>
  <c r="J210" i="1"/>
  <c r="G210" i="1"/>
  <c r="D210" i="1"/>
  <c r="AD209" i="1"/>
  <c r="AA209" i="1"/>
  <c r="X209" i="1"/>
  <c r="U209" i="1"/>
  <c r="R209" i="1"/>
  <c r="N209" i="1"/>
  <c r="J209" i="1"/>
  <c r="G209" i="1"/>
  <c r="D209" i="1"/>
  <c r="AD208" i="1"/>
  <c r="AA208" i="1"/>
  <c r="X208" i="1"/>
  <c r="U208" i="1"/>
  <c r="R208" i="1"/>
  <c r="N208" i="1"/>
  <c r="J208" i="1"/>
  <c r="G208" i="1"/>
  <c r="D208" i="1"/>
  <c r="AD207" i="1"/>
  <c r="AA207" i="1"/>
  <c r="X207" i="1"/>
  <c r="U207" i="1"/>
  <c r="R207" i="1"/>
  <c r="N207" i="1"/>
  <c r="J207" i="1"/>
  <c r="G207" i="1"/>
  <c r="D207" i="1"/>
  <c r="AD206" i="1"/>
  <c r="AA206" i="1"/>
  <c r="X206" i="1"/>
  <c r="U206" i="1"/>
  <c r="R206" i="1"/>
  <c r="N206" i="1"/>
  <c r="J206" i="1"/>
  <c r="G206" i="1"/>
  <c r="D206" i="1"/>
  <c r="AD205" i="1"/>
  <c r="AA205" i="1"/>
  <c r="X205" i="1"/>
  <c r="U205" i="1"/>
  <c r="R205" i="1"/>
  <c r="N205" i="1"/>
  <c r="J205" i="1"/>
  <c r="G205" i="1"/>
  <c r="D205" i="1"/>
  <c r="AD204" i="1"/>
  <c r="AA204" i="1"/>
  <c r="X204" i="1"/>
  <c r="U204" i="1"/>
  <c r="R204" i="1"/>
  <c r="N204" i="1"/>
  <c r="J204" i="1"/>
  <c r="G204" i="1"/>
  <c r="D204" i="1"/>
  <c r="AD203" i="1"/>
  <c r="AA203" i="1"/>
  <c r="X203" i="1"/>
  <c r="U203" i="1"/>
  <c r="R203" i="1"/>
  <c r="N203" i="1"/>
  <c r="J203" i="1"/>
  <c r="G203" i="1"/>
  <c r="D203" i="1"/>
  <c r="AD202" i="1"/>
  <c r="AA202" i="1"/>
  <c r="X202" i="1"/>
  <c r="U202" i="1"/>
  <c r="R202" i="1"/>
  <c r="N202" i="1"/>
  <c r="J202" i="1"/>
  <c r="G202" i="1"/>
  <c r="D202" i="1"/>
  <c r="AD201" i="1"/>
  <c r="AA201" i="1"/>
  <c r="X201" i="1"/>
  <c r="U201" i="1"/>
  <c r="R201" i="1"/>
  <c r="N201" i="1"/>
  <c r="J201" i="1"/>
  <c r="G201" i="1"/>
  <c r="D201" i="1"/>
  <c r="AD200" i="1"/>
  <c r="AA200" i="1"/>
  <c r="X200" i="1"/>
  <c r="U200" i="1"/>
  <c r="R200" i="1"/>
  <c r="N200" i="1"/>
  <c r="J200" i="1"/>
  <c r="G200" i="1"/>
  <c r="D200" i="1"/>
  <c r="AD199" i="1"/>
  <c r="AA199" i="1"/>
  <c r="X199" i="1"/>
  <c r="U199" i="1"/>
  <c r="R199" i="1"/>
  <c r="N199" i="1"/>
  <c r="J199" i="1"/>
  <c r="G199" i="1"/>
  <c r="D199" i="1"/>
  <c r="AD198" i="1"/>
  <c r="AA198" i="1"/>
  <c r="X198" i="1"/>
  <c r="U198" i="1"/>
  <c r="R198" i="1"/>
  <c r="N198" i="1"/>
  <c r="J198" i="1"/>
  <c r="G198" i="1"/>
  <c r="D198" i="1"/>
  <c r="AD197" i="1"/>
  <c r="AA197" i="1"/>
  <c r="X197" i="1"/>
  <c r="U197" i="1"/>
  <c r="R197" i="1"/>
  <c r="N197" i="1"/>
  <c r="J197" i="1"/>
  <c r="G197" i="1"/>
  <c r="D197" i="1"/>
  <c r="AD196" i="1"/>
  <c r="AA196" i="1"/>
  <c r="X196" i="1"/>
  <c r="U196" i="1"/>
  <c r="R196" i="1"/>
  <c r="N196" i="1"/>
  <c r="J196" i="1"/>
  <c r="G196" i="1"/>
  <c r="D196" i="1"/>
  <c r="AD195" i="1"/>
  <c r="AA195" i="1"/>
  <c r="X195" i="1"/>
  <c r="U195" i="1"/>
  <c r="R195" i="1"/>
  <c r="N195" i="1"/>
  <c r="J195" i="1"/>
  <c r="G195" i="1"/>
  <c r="D195" i="1"/>
  <c r="AD194" i="1"/>
  <c r="AA194" i="1"/>
  <c r="X194" i="1"/>
  <c r="U194" i="1"/>
  <c r="R194" i="1"/>
  <c r="N194" i="1"/>
  <c r="J194" i="1"/>
  <c r="G194" i="1"/>
  <c r="D194" i="1"/>
  <c r="AD193" i="1"/>
  <c r="AA193" i="1"/>
  <c r="X193" i="1"/>
  <c r="U193" i="1"/>
  <c r="R193" i="1"/>
  <c r="N193" i="1"/>
  <c r="J193" i="1"/>
  <c r="G193" i="1"/>
  <c r="D193" i="1"/>
  <c r="AD192" i="1"/>
  <c r="AA192" i="1"/>
  <c r="X192" i="1"/>
  <c r="U192" i="1"/>
  <c r="R192" i="1"/>
  <c r="N192" i="1"/>
  <c r="J192" i="1"/>
  <c r="G192" i="1"/>
  <c r="D192" i="1"/>
  <c r="AD191" i="1"/>
  <c r="AA191" i="1"/>
  <c r="X191" i="1"/>
  <c r="U191" i="1"/>
  <c r="R191" i="1"/>
  <c r="N191" i="1"/>
  <c r="J191" i="1"/>
  <c r="G191" i="1"/>
  <c r="D191" i="1"/>
  <c r="AD190" i="1"/>
  <c r="AA190" i="1"/>
  <c r="X190" i="1"/>
  <c r="U190" i="1"/>
  <c r="R190" i="1"/>
  <c r="N190" i="1"/>
  <c r="J190" i="1"/>
  <c r="G190" i="1"/>
  <c r="D190" i="1"/>
  <c r="AD189" i="1"/>
  <c r="AA189" i="1"/>
  <c r="X189" i="1"/>
  <c r="U189" i="1"/>
  <c r="R189" i="1"/>
  <c r="N189" i="1"/>
  <c r="J189" i="1"/>
  <c r="G189" i="1"/>
  <c r="D189" i="1"/>
  <c r="AD188" i="1"/>
  <c r="AA188" i="1"/>
  <c r="X188" i="1"/>
  <c r="U188" i="1"/>
  <c r="R188" i="1"/>
  <c r="N188" i="1"/>
  <c r="J188" i="1"/>
  <c r="G188" i="1"/>
  <c r="D188" i="1"/>
  <c r="AD187" i="1"/>
  <c r="AA187" i="1"/>
  <c r="X187" i="1"/>
  <c r="U187" i="1"/>
  <c r="R187" i="1"/>
  <c r="N187" i="1"/>
  <c r="J187" i="1"/>
  <c r="G187" i="1"/>
  <c r="D187" i="1"/>
  <c r="AD186" i="1"/>
  <c r="AA186" i="1"/>
  <c r="X186" i="1"/>
  <c r="U186" i="1"/>
  <c r="R186" i="1"/>
  <c r="N186" i="1"/>
  <c r="J186" i="1"/>
  <c r="G186" i="1"/>
  <c r="D186" i="1"/>
  <c r="AD185" i="1"/>
  <c r="AA185" i="1"/>
  <c r="X185" i="1"/>
  <c r="U185" i="1"/>
  <c r="R185" i="1"/>
  <c r="N185" i="1"/>
  <c r="J185" i="1"/>
  <c r="G185" i="1"/>
  <c r="D185" i="1"/>
  <c r="AD184" i="1"/>
  <c r="AA184" i="1"/>
  <c r="X184" i="1"/>
  <c r="U184" i="1"/>
  <c r="R184" i="1"/>
  <c r="N184" i="1"/>
  <c r="J184" i="1"/>
  <c r="G184" i="1"/>
  <c r="D184" i="1"/>
  <c r="AD183" i="1"/>
  <c r="AA183" i="1"/>
  <c r="X183" i="1"/>
  <c r="U183" i="1"/>
  <c r="R183" i="1"/>
  <c r="N183" i="1"/>
  <c r="J183" i="1"/>
  <c r="G183" i="1"/>
  <c r="D183" i="1"/>
  <c r="AD182" i="1"/>
  <c r="AA182" i="1"/>
  <c r="X182" i="1"/>
  <c r="U182" i="1"/>
  <c r="R182" i="1"/>
  <c r="N182" i="1"/>
  <c r="J182" i="1"/>
  <c r="G182" i="1"/>
  <c r="D182" i="1"/>
  <c r="AD181" i="1"/>
  <c r="AA181" i="1"/>
  <c r="X181" i="1"/>
  <c r="U181" i="1"/>
  <c r="R181" i="1"/>
  <c r="N181" i="1"/>
  <c r="J181" i="1"/>
  <c r="G181" i="1"/>
  <c r="D181" i="1"/>
  <c r="AD180" i="1"/>
  <c r="AA180" i="1"/>
  <c r="X180" i="1"/>
  <c r="U180" i="1"/>
  <c r="R180" i="1"/>
  <c r="N180" i="1"/>
  <c r="J180" i="1"/>
  <c r="G180" i="1"/>
  <c r="D180" i="1"/>
  <c r="AD179" i="1"/>
  <c r="AA179" i="1"/>
  <c r="X179" i="1"/>
  <c r="U179" i="1"/>
  <c r="R179" i="1"/>
  <c r="N179" i="1"/>
  <c r="J179" i="1"/>
  <c r="G179" i="1"/>
  <c r="D179" i="1"/>
  <c r="AD178" i="1"/>
  <c r="AA178" i="1"/>
  <c r="X178" i="1"/>
  <c r="U178" i="1"/>
  <c r="R178" i="1"/>
  <c r="N178" i="1"/>
  <c r="J178" i="1"/>
  <c r="G178" i="1"/>
  <c r="D178" i="1"/>
  <c r="AD177" i="1"/>
  <c r="AA177" i="1"/>
  <c r="X177" i="1"/>
  <c r="U177" i="1"/>
  <c r="R177" i="1"/>
  <c r="N177" i="1"/>
  <c r="J177" i="1"/>
  <c r="G177" i="1"/>
  <c r="D177" i="1"/>
  <c r="AD176" i="1"/>
  <c r="AA176" i="1"/>
  <c r="X176" i="1"/>
  <c r="U176" i="1"/>
  <c r="R176" i="1"/>
  <c r="N176" i="1"/>
  <c r="J176" i="1"/>
  <c r="G176" i="1"/>
  <c r="D176" i="1"/>
  <c r="AD175" i="1"/>
  <c r="AA175" i="1"/>
  <c r="X175" i="1"/>
  <c r="U175" i="1"/>
  <c r="R175" i="1"/>
  <c r="N175" i="1"/>
  <c r="J175" i="1"/>
  <c r="G175" i="1"/>
  <c r="D175" i="1"/>
  <c r="AD174" i="1"/>
  <c r="AA174" i="1"/>
  <c r="X174" i="1"/>
  <c r="U174" i="1"/>
  <c r="R174" i="1"/>
  <c r="N174" i="1"/>
  <c r="J174" i="1"/>
  <c r="G174" i="1"/>
  <c r="D174" i="1"/>
  <c r="AD173" i="1"/>
  <c r="AA173" i="1"/>
  <c r="X173" i="1"/>
  <c r="U173" i="1"/>
  <c r="R173" i="1"/>
  <c r="N173" i="1"/>
  <c r="J173" i="1"/>
  <c r="G173" i="1"/>
  <c r="D173" i="1"/>
  <c r="AD172" i="1"/>
  <c r="AA172" i="1"/>
  <c r="X172" i="1"/>
  <c r="U172" i="1"/>
  <c r="R172" i="1"/>
  <c r="N172" i="1"/>
  <c r="J172" i="1"/>
  <c r="G172" i="1"/>
  <c r="D172" i="1"/>
  <c r="AD171" i="1"/>
  <c r="AA171" i="1"/>
  <c r="X171" i="1"/>
  <c r="U171" i="1"/>
  <c r="R171" i="1"/>
  <c r="N171" i="1"/>
  <c r="J171" i="1"/>
  <c r="G171" i="1"/>
  <c r="D171" i="1"/>
  <c r="AD170" i="1"/>
  <c r="AA170" i="1"/>
  <c r="X170" i="1"/>
  <c r="U170" i="1"/>
  <c r="R170" i="1"/>
  <c r="N170" i="1"/>
  <c r="J170" i="1"/>
  <c r="G170" i="1"/>
  <c r="D170" i="1"/>
  <c r="AD169" i="1"/>
  <c r="AA169" i="1"/>
  <c r="X169" i="1"/>
  <c r="U169" i="1"/>
  <c r="R169" i="1"/>
  <c r="N169" i="1"/>
  <c r="J169" i="1"/>
  <c r="G169" i="1"/>
  <c r="D169" i="1"/>
  <c r="AD168" i="1"/>
  <c r="AA168" i="1"/>
  <c r="X168" i="1"/>
  <c r="U168" i="1"/>
  <c r="R168" i="1"/>
  <c r="N168" i="1"/>
  <c r="J168" i="1"/>
  <c r="G168" i="1"/>
  <c r="D168" i="1"/>
  <c r="AD167" i="1"/>
  <c r="AA167" i="1"/>
  <c r="X167" i="1"/>
  <c r="U167" i="1"/>
  <c r="R167" i="1"/>
  <c r="N167" i="1"/>
  <c r="J167" i="1"/>
  <c r="G167" i="1"/>
  <c r="D167" i="1"/>
  <c r="AD166" i="1"/>
  <c r="AA166" i="1"/>
  <c r="X166" i="1"/>
  <c r="U166" i="1"/>
  <c r="R166" i="1"/>
  <c r="N166" i="1"/>
  <c r="J166" i="1"/>
  <c r="G166" i="1"/>
  <c r="D166" i="1"/>
  <c r="AD165" i="1"/>
  <c r="AA165" i="1"/>
  <c r="X165" i="1"/>
  <c r="U165" i="1"/>
  <c r="R165" i="1"/>
  <c r="N165" i="1"/>
  <c r="J165" i="1"/>
  <c r="G165" i="1"/>
  <c r="D165" i="1"/>
  <c r="AD164" i="1"/>
  <c r="AA164" i="1"/>
  <c r="X164" i="1"/>
  <c r="U164" i="1"/>
  <c r="R164" i="1"/>
  <c r="N164" i="1"/>
  <c r="J164" i="1"/>
  <c r="G164" i="1"/>
  <c r="D164" i="1"/>
  <c r="AD163" i="1"/>
  <c r="AA163" i="1"/>
  <c r="X163" i="1"/>
  <c r="U163" i="1"/>
  <c r="R163" i="1"/>
  <c r="N163" i="1"/>
  <c r="J163" i="1"/>
  <c r="G163" i="1"/>
  <c r="D163" i="1"/>
  <c r="AD162" i="1"/>
  <c r="AA162" i="1"/>
  <c r="X162" i="1"/>
  <c r="U162" i="1"/>
  <c r="R162" i="1"/>
  <c r="N162" i="1"/>
  <c r="J162" i="1"/>
  <c r="G162" i="1"/>
  <c r="D162" i="1"/>
  <c r="AD161" i="1"/>
  <c r="AA161" i="1"/>
  <c r="X161" i="1"/>
  <c r="U161" i="1"/>
  <c r="R161" i="1"/>
  <c r="N161" i="1"/>
  <c r="J161" i="1"/>
  <c r="G161" i="1"/>
  <c r="D161" i="1"/>
  <c r="AD160" i="1"/>
  <c r="AA160" i="1"/>
  <c r="X160" i="1"/>
  <c r="U160" i="1"/>
  <c r="R160" i="1"/>
  <c r="N160" i="1"/>
  <c r="J160" i="1"/>
  <c r="G160" i="1"/>
  <c r="D160" i="1"/>
  <c r="AD159" i="1"/>
  <c r="AA159" i="1"/>
  <c r="X159" i="1"/>
  <c r="U159" i="1"/>
  <c r="R159" i="1"/>
  <c r="N159" i="1"/>
  <c r="J159" i="1"/>
  <c r="G159" i="1"/>
  <c r="D159" i="1"/>
  <c r="AD158" i="1"/>
  <c r="AA158" i="1"/>
  <c r="X158" i="1"/>
  <c r="U158" i="1"/>
  <c r="R158" i="1"/>
  <c r="N158" i="1"/>
  <c r="J158" i="1"/>
  <c r="G158" i="1"/>
  <c r="D158" i="1"/>
  <c r="AD157" i="1"/>
  <c r="AA157" i="1"/>
  <c r="X157" i="1"/>
  <c r="U157" i="1"/>
  <c r="R157" i="1"/>
  <c r="N157" i="1"/>
  <c r="J157" i="1"/>
  <c r="G157" i="1"/>
  <c r="D157" i="1"/>
  <c r="AD156" i="1"/>
  <c r="AA156" i="1"/>
  <c r="X156" i="1"/>
  <c r="U156" i="1"/>
  <c r="R156" i="1"/>
  <c r="N156" i="1"/>
  <c r="J156" i="1"/>
  <c r="G156" i="1"/>
  <c r="D156" i="1"/>
  <c r="AD155" i="1"/>
  <c r="AA155" i="1"/>
  <c r="X155" i="1"/>
  <c r="U155" i="1"/>
  <c r="R155" i="1"/>
  <c r="N155" i="1"/>
  <c r="J155" i="1"/>
  <c r="G155" i="1"/>
  <c r="D155" i="1"/>
  <c r="AD154" i="1"/>
  <c r="AA154" i="1"/>
  <c r="X154" i="1"/>
  <c r="U154" i="1"/>
  <c r="R154" i="1"/>
  <c r="N154" i="1"/>
  <c r="J154" i="1"/>
  <c r="G154" i="1"/>
  <c r="D154" i="1"/>
  <c r="AD153" i="1"/>
  <c r="AA153" i="1"/>
  <c r="X153" i="1"/>
  <c r="U153" i="1"/>
  <c r="R153" i="1"/>
  <c r="N153" i="1"/>
  <c r="J153" i="1"/>
  <c r="G153" i="1"/>
  <c r="D153" i="1"/>
  <c r="AD152" i="1"/>
  <c r="AA152" i="1"/>
  <c r="X152" i="1"/>
  <c r="U152" i="1"/>
  <c r="R152" i="1"/>
  <c r="N152" i="1"/>
  <c r="J152" i="1"/>
  <c r="G152" i="1"/>
  <c r="D152" i="1"/>
  <c r="AD151" i="1"/>
  <c r="AA151" i="1"/>
  <c r="X151" i="1"/>
  <c r="U151" i="1"/>
  <c r="R151" i="1"/>
  <c r="N151" i="1"/>
  <c r="J151" i="1"/>
  <c r="G151" i="1"/>
  <c r="D151" i="1"/>
  <c r="AD150" i="1"/>
  <c r="AA150" i="1"/>
  <c r="X150" i="1"/>
  <c r="U150" i="1"/>
  <c r="R150" i="1"/>
  <c r="N150" i="1"/>
  <c r="J150" i="1"/>
  <c r="G150" i="1"/>
  <c r="D150" i="1"/>
  <c r="AD149" i="1"/>
  <c r="AA149" i="1"/>
  <c r="X149" i="1"/>
  <c r="U149" i="1"/>
  <c r="R149" i="1"/>
  <c r="N149" i="1"/>
  <c r="J149" i="1"/>
  <c r="G149" i="1"/>
  <c r="D149" i="1"/>
  <c r="AD148" i="1"/>
  <c r="AA148" i="1"/>
  <c r="X148" i="1"/>
  <c r="U148" i="1"/>
  <c r="R148" i="1"/>
  <c r="N148" i="1"/>
  <c r="J148" i="1"/>
  <c r="G148" i="1"/>
  <c r="D148" i="1"/>
  <c r="AD147" i="1"/>
  <c r="AA147" i="1"/>
  <c r="X147" i="1"/>
  <c r="U147" i="1"/>
  <c r="R147" i="1"/>
  <c r="N147" i="1"/>
  <c r="J147" i="1"/>
  <c r="G147" i="1"/>
  <c r="D147" i="1"/>
  <c r="AD146" i="1"/>
  <c r="AA146" i="1"/>
  <c r="X146" i="1"/>
  <c r="U146" i="1"/>
  <c r="R146" i="1"/>
  <c r="N146" i="1"/>
  <c r="J146" i="1"/>
  <c r="G146" i="1"/>
  <c r="D146" i="1"/>
  <c r="AD145" i="1"/>
  <c r="AA145" i="1"/>
  <c r="X145" i="1"/>
  <c r="U145" i="1"/>
  <c r="R145" i="1"/>
  <c r="N145" i="1"/>
  <c r="J145" i="1"/>
  <c r="G145" i="1"/>
  <c r="D145" i="1"/>
  <c r="AD144" i="1"/>
  <c r="AA144" i="1"/>
  <c r="X144" i="1"/>
  <c r="U144" i="1"/>
  <c r="R144" i="1"/>
  <c r="N144" i="1"/>
  <c r="J144" i="1"/>
  <c r="G144" i="1"/>
  <c r="D144" i="1"/>
  <c r="AD143" i="1"/>
  <c r="AA143" i="1"/>
  <c r="X143" i="1"/>
  <c r="U143" i="1"/>
  <c r="R143" i="1"/>
  <c r="N143" i="1"/>
  <c r="J143" i="1"/>
  <c r="G143" i="1"/>
  <c r="D143" i="1"/>
  <c r="AD142" i="1"/>
  <c r="AA142" i="1"/>
  <c r="X142" i="1"/>
  <c r="U142" i="1"/>
  <c r="R142" i="1"/>
  <c r="N142" i="1"/>
  <c r="J142" i="1"/>
  <c r="G142" i="1"/>
  <c r="D142" i="1"/>
  <c r="AD141" i="1"/>
  <c r="AA141" i="1"/>
  <c r="X141" i="1"/>
  <c r="U141" i="1"/>
  <c r="R141" i="1"/>
  <c r="N141" i="1"/>
  <c r="J141" i="1"/>
  <c r="G141" i="1"/>
  <c r="D141" i="1"/>
  <c r="AD140" i="1"/>
  <c r="AA140" i="1"/>
  <c r="X140" i="1"/>
  <c r="U140" i="1"/>
  <c r="R140" i="1"/>
  <c r="N140" i="1"/>
  <c r="J140" i="1"/>
  <c r="G140" i="1"/>
  <c r="D140" i="1"/>
  <c r="AD139" i="1"/>
  <c r="AA139" i="1"/>
  <c r="X139" i="1"/>
  <c r="U139" i="1"/>
  <c r="R139" i="1"/>
  <c r="N139" i="1"/>
  <c r="J139" i="1"/>
  <c r="G139" i="1"/>
  <c r="D139" i="1"/>
  <c r="AD138" i="1"/>
  <c r="AA138" i="1"/>
  <c r="X138" i="1"/>
  <c r="U138" i="1"/>
  <c r="R138" i="1"/>
  <c r="N138" i="1"/>
  <c r="J138" i="1"/>
  <c r="G138" i="1"/>
  <c r="D138" i="1"/>
  <c r="AD137" i="1"/>
  <c r="AA137" i="1"/>
  <c r="X137" i="1"/>
  <c r="U137" i="1"/>
  <c r="R137" i="1"/>
  <c r="N137" i="1"/>
  <c r="J137" i="1"/>
  <c r="G137" i="1"/>
  <c r="D137" i="1"/>
  <c r="AD136" i="1"/>
  <c r="AA136" i="1"/>
  <c r="X136" i="1"/>
  <c r="U136" i="1"/>
  <c r="R136" i="1"/>
  <c r="N136" i="1"/>
  <c r="J136" i="1"/>
  <c r="G136" i="1"/>
  <c r="D136" i="1"/>
  <c r="AD135" i="1"/>
  <c r="AA135" i="1"/>
  <c r="X135" i="1"/>
  <c r="U135" i="1"/>
  <c r="R135" i="1"/>
  <c r="N135" i="1"/>
  <c r="J135" i="1"/>
  <c r="G135" i="1"/>
  <c r="D135" i="1"/>
  <c r="AD134" i="1"/>
  <c r="AA134" i="1"/>
  <c r="X134" i="1"/>
  <c r="U134" i="1"/>
  <c r="R134" i="1"/>
  <c r="N134" i="1"/>
  <c r="J134" i="1"/>
  <c r="G134" i="1"/>
  <c r="D134" i="1"/>
  <c r="AD133" i="1"/>
  <c r="AA133" i="1"/>
  <c r="X133" i="1"/>
  <c r="U133" i="1"/>
  <c r="R133" i="1"/>
  <c r="N133" i="1"/>
  <c r="J133" i="1"/>
  <c r="G133" i="1"/>
  <c r="D133" i="1"/>
  <c r="AD132" i="1"/>
  <c r="AA132" i="1"/>
  <c r="X132" i="1"/>
  <c r="U132" i="1"/>
  <c r="R132" i="1"/>
  <c r="N132" i="1"/>
  <c r="J132" i="1"/>
  <c r="G132" i="1"/>
  <c r="D132" i="1"/>
  <c r="AD131" i="1"/>
  <c r="AA131" i="1"/>
  <c r="X131" i="1"/>
  <c r="U131" i="1"/>
  <c r="R131" i="1"/>
  <c r="N131" i="1"/>
  <c r="J131" i="1"/>
  <c r="G131" i="1"/>
  <c r="D131" i="1"/>
  <c r="AD130" i="1"/>
  <c r="AA130" i="1"/>
  <c r="X130" i="1"/>
  <c r="U130" i="1"/>
  <c r="R130" i="1"/>
  <c r="N130" i="1"/>
  <c r="J130" i="1"/>
  <c r="G130" i="1"/>
  <c r="D130" i="1"/>
  <c r="AD129" i="1"/>
  <c r="AA129" i="1"/>
  <c r="X129" i="1"/>
  <c r="U129" i="1"/>
  <c r="R129" i="1"/>
  <c r="N129" i="1"/>
  <c r="J129" i="1"/>
  <c r="G129" i="1"/>
  <c r="D129" i="1"/>
  <c r="AD128" i="1"/>
  <c r="AA128" i="1"/>
  <c r="X128" i="1"/>
  <c r="U128" i="1"/>
  <c r="R128" i="1"/>
  <c r="N128" i="1"/>
  <c r="J128" i="1"/>
  <c r="G128" i="1"/>
  <c r="D128" i="1"/>
  <c r="AD127" i="1"/>
  <c r="AA127" i="1"/>
  <c r="X127" i="1"/>
  <c r="U127" i="1"/>
  <c r="R127" i="1"/>
  <c r="N127" i="1"/>
  <c r="J127" i="1"/>
  <c r="G127" i="1"/>
  <c r="D127" i="1"/>
  <c r="AD126" i="1"/>
  <c r="X126" i="1"/>
  <c r="U126" i="1"/>
  <c r="R126" i="1"/>
  <c r="N126" i="1"/>
  <c r="J126" i="1"/>
  <c r="G126" i="1"/>
  <c r="D126" i="1"/>
  <c r="AD125" i="1"/>
  <c r="AA125" i="1"/>
  <c r="X125" i="1"/>
  <c r="U125" i="1"/>
  <c r="R125" i="1"/>
  <c r="N125" i="1"/>
  <c r="J125" i="1"/>
  <c r="G125" i="1"/>
  <c r="D125" i="1"/>
  <c r="AD124" i="1"/>
  <c r="AA124" i="1"/>
  <c r="X124" i="1"/>
  <c r="U124" i="1"/>
  <c r="R124" i="1"/>
  <c r="N124" i="1"/>
  <c r="J124" i="1"/>
  <c r="G124" i="1"/>
  <c r="D124" i="1"/>
  <c r="AD123" i="1"/>
  <c r="AA123" i="1"/>
  <c r="X123" i="1"/>
  <c r="U123" i="1"/>
  <c r="R123" i="1"/>
  <c r="N123" i="1"/>
  <c r="J123" i="1"/>
  <c r="G123" i="1"/>
  <c r="D123" i="1"/>
  <c r="AD122" i="1"/>
  <c r="AA122" i="1"/>
  <c r="X122" i="1"/>
  <c r="U122" i="1"/>
  <c r="R122" i="1"/>
  <c r="N122" i="1"/>
  <c r="J122" i="1"/>
  <c r="G122" i="1"/>
  <c r="D122" i="1"/>
  <c r="AD121" i="1"/>
  <c r="AA121" i="1"/>
  <c r="X121" i="1"/>
  <c r="U121" i="1"/>
  <c r="R121" i="1"/>
  <c r="N121" i="1"/>
  <c r="J121" i="1"/>
  <c r="G121" i="1"/>
  <c r="D121" i="1"/>
  <c r="AD120" i="1"/>
  <c r="AA120" i="1"/>
  <c r="X120" i="1"/>
  <c r="U120" i="1"/>
  <c r="R120" i="1"/>
  <c r="N120" i="1"/>
  <c r="J120" i="1"/>
  <c r="G120" i="1"/>
  <c r="D120" i="1"/>
  <c r="AD119" i="1"/>
  <c r="AA119" i="1"/>
  <c r="X119" i="1"/>
  <c r="U119" i="1"/>
  <c r="R119" i="1"/>
  <c r="N119" i="1"/>
  <c r="J119" i="1"/>
  <c r="G119" i="1"/>
  <c r="D119" i="1"/>
  <c r="AD118" i="1"/>
  <c r="AA118" i="1"/>
  <c r="X118" i="1"/>
  <c r="R118" i="1"/>
  <c r="N118" i="1"/>
  <c r="J118" i="1"/>
  <c r="G118" i="1"/>
  <c r="D118" i="1"/>
  <c r="AD117" i="1"/>
  <c r="AA117" i="1"/>
  <c r="X117" i="1"/>
  <c r="R117" i="1"/>
  <c r="N117" i="1"/>
  <c r="J117" i="1"/>
  <c r="G117" i="1"/>
  <c r="D117" i="1"/>
  <c r="AD116" i="1"/>
  <c r="AA116" i="1"/>
  <c r="X116" i="1"/>
  <c r="U116" i="1"/>
  <c r="R116" i="1"/>
  <c r="N116" i="1"/>
  <c r="J116" i="1"/>
  <c r="G116" i="1"/>
  <c r="D116" i="1"/>
  <c r="AD115" i="1"/>
  <c r="AA115" i="1"/>
  <c r="X115" i="1"/>
  <c r="U115" i="1"/>
  <c r="R115" i="1"/>
  <c r="N115" i="1"/>
  <c r="J115" i="1"/>
  <c r="G115" i="1"/>
  <c r="D115" i="1"/>
  <c r="AD114" i="1"/>
  <c r="AA114" i="1"/>
  <c r="X114" i="1"/>
  <c r="U114" i="1"/>
  <c r="R114" i="1"/>
  <c r="N114" i="1"/>
  <c r="J114" i="1"/>
  <c r="G114" i="1"/>
  <c r="D114" i="1"/>
  <c r="AD113" i="1"/>
  <c r="AA113" i="1"/>
  <c r="X113" i="1"/>
  <c r="U113" i="1"/>
  <c r="R113" i="1"/>
  <c r="N113" i="1"/>
  <c r="J113" i="1"/>
  <c r="G113" i="1"/>
  <c r="D113" i="1"/>
  <c r="AD112" i="1"/>
  <c r="AA112" i="1"/>
  <c r="X112" i="1"/>
  <c r="U112" i="1"/>
  <c r="R112" i="1"/>
  <c r="N112" i="1"/>
  <c r="J112" i="1"/>
  <c r="G112" i="1"/>
  <c r="D112" i="1"/>
  <c r="AD111" i="1"/>
  <c r="AA111" i="1"/>
  <c r="X111" i="1"/>
  <c r="U111" i="1"/>
  <c r="R111" i="1"/>
  <c r="N111" i="1"/>
  <c r="J111" i="1"/>
  <c r="G111" i="1"/>
  <c r="D111" i="1"/>
  <c r="AD110" i="1"/>
  <c r="AA110" i="1"/>
  <c r="X110" i="1"/>
  <c r="U110" i="1"/>
  <c r="R110" i="1"/>
  <c r="N110" i="1"/>
  <c r="J110" i="1"/>
  <c r="G110" i="1"/>
  <c r="D110" i="1"/>
  <c r="AD109" i="1"/>
  <c r="AA109" i="1"/>
  <c r="X109" i="1"/>
  <c r="U109" i="1"/>
  <c r="R109" i="1"/>
  <c r="N109" i="1"/>
  <c r="J109" i="1"/>
  <c r="G109" i="1"/>
  <c r="D109" i="1"/>
  <c r="AD108" i="1"/>
  <c r="AA108" i="1"/>
  <c r="X108" i="1"/>
  <c r="U108" i="1"/>
  <c r="R108" i="1"/>
  <c r="N108" i="1"/>
  <c r="J108" i="1"/>
  <c r="G108" i="1"/>
  <c r="D108" i="1"/>
  <c r="AD107" i="1"/>
  <c r="AA107" i="1"/>
  <c r="X107" i="1"/>
  <c r="U107" i="1"/>
  <c r="R107" i="1"/>
  <c r="N107" i="1"/>
  <c r="J107" i="1"/>
  <c r="G107" i="1"/>
  <c r="D107" i="1"/>
  <c r="AD106" i="1"/>
  <c r="AA106" i="1"/>
  <c r="X106" i="1"/>
  <c r="U106" i="1"/>
  <c r="R106" i="1"/>
  <c r="N106" i="1"/>
  <c r="J106" i="1"/>
  <c r="G106" i="1"/>
  <c r="D106" i="1"/>
  <c r="AD105" i="1"/>
  <c r="AA105" i="1"/>
  <c r="X105" i="1"/>
  <c r="U105" i="1"/>
  <c r="R105" i="1"/>
  <c r="N105" i="1"/>
  <c r="J105" i="1"/>
  <c r="G105" i="1"/>
  <c r="D105" i="1"/>
  <c r="AD104" i="1"/>
  <c r="AA104" i="1"/>
  <c r="X104" i="1"/>
  <c r="U104" i="1"/>
  <c r="R104" i="1"/>
  <c r="N104" i="1"/>
  <c r="J104" i="1"/>
  <c r="G104" i="1"/>
  <c r="D104" i="1"/>
  <c r="AD103" i="1"/>
  <c r="AA103" i="1"/>
  <c r="X103" i="1"/>
  <c r="U103" i="1"/>
  <c r="R103" i="1"/>
  <c r="N103" i="1"/>
  <c r="J103" i="1"/>
  <c r="G103" i="1"/>
  <c r="D103" i="1"/>
  <c r="AD102" i="1"/>
  <c r="AA102" i="1"/>
  <c r="X102" i="1"/>
  <c r="U102" i="1"/>
  <c r="R102" i="1"/>
  <c r="N102" i="1"/>
  <c r="J102" i="1"/>
  <c r="G102" i="1"/>
  <c r="D102" i="1"/>
  <c r="AD101" i="1"/>
  <c r="AA101" i="1"/>
  <c r="X101" i="1"/>
  <c r="U101" i="1"/>
  <c r="R101" i="1"/>
  <c r="N101" i="1"/>
  <c r="J101" i="1"/>
  <c r="G101" i="1"/>
  <c r="D101" i="1"/>
  <c r="X100" i="1"/>
  <c r="U100" i="1"/>
  <c r="R100" i="1"/>
  <c r="N100" i="1"/>
  <c r="J100" i="1"/>
  <c r="G100" i="1"/>
  <c r="D100" i="1"/>
  <c r="X99" i="1"/>
  <c r="U99" i="1"/>
  <c r="R99" i="1"/>
  <c r="N99" i="1"/>
  <c r="J99" i="1"/>
  <c r="G99" i="1"/>
  <c r="D99" i="1"/>
  <c r="AA98" i="1"/>
  <c r="X98" i="1"/>
  <c r="U98" i="1"/>
  <c r="R98" i="1"/>
  <c r="N98" i="1"/>
  <c r="J98" i="1"/>
  <c r="G98" i="1"/>
  <c r="D98" i="1"/>
  <c r="AA97" i="1"/>
  <c r="X97" i="1"/>
  <c r="U97" i="1"/>
  <c r="R97" i="1"/>
  <c r="N97" i="1"/>
  <c r="J97" i="1"/>
  <c r="G97" i="1"/>
  <c r="D97" i="1"/>
  <c r="AA96" i="1"/>
  <c r="X96" i="1"/>
  <c r="U96" i="1"/>
  <c r="R96" i="1"/>
  <c r="N96" i="1"/>
  <c r="J96" i="1"/>
  <c r="G96" i="1"/>
  <c r="D96" i="1"/>
  <c r="AA95" i="1"/>
  <c r="X95" i="1"/>
  <c r="U95" i="1"/>
  <c r="R95" i="1"/>
  <c r="N95" i="1"/>
  <c r="J95" i="1"/>
  <c r="G95" i="1"/>
  <c r="D95" i="1"/>
  <c r="AA94" i="1"/>
  <c r="X94" i="1"/>
  <c r="U94" i="1"/>
  <c r="R94" i="1"/>
  <c r="N94" i="1"/>
  <c r="J94" i="1"/>
  <c r="G94" i="1"/>
  <c r="D94" i="1"/>
  <c r="AA93" i="1"/>
  <c r="X93" i="1"/>
  <c r="U93" i="1"/>
  <c r="R93" i="1"/>
  <c r="N93" i="1"/>
  <c r="J93" i="1"/>
  <c r="G93" i="1"/>
  <c r="D93" i="1"/>
  <c r="AA92" i="1"/>
  <c r="X92" i="1"/>
  <c r="U92" i="1"/>
  <c r="R92" i="1"/>
  <c r="N92" i="1"/>
  <c r="J92" i="1"/>
  <c r="G92" i="1"/>
  <c r="D92" i="1"/>
  <c r="AA91" i="1"/>
  <c r="X91" i="1"/>
  <c r="U91" i="1"/>
  <c r="R91" i="1"/>
  <c r="N91" i="1"/>
  <c r="J91" i="1"/>
  <c r="G91" i="1"/>
  <c r="D91" i="1"/>
  <c r="AA90" i="1"/>
  <c r="X90" i="1"/>
  <c r="U90" i="1"/>
  <c r="R90" i="1"/>
  <c r="N90" i="1"/>
  <c r="J90" i="1"/>
  <c r="G90" i="1"/>
  <c r="D90" i="1"/>
  <c r="AA89" i="1"/>
  <c r="X89" i="1"/>
  <c r="U89" i="1"/>
  <c r="R89" i="1"/>
  <c r="N89" i="1"/>
  <c r="J89" i="1"/>
  <c r="G89" i="1"/>
  <c r="D89" i="1"/>
  <c r="AA88" i="1"/>
  <c r="X88" i="1"/>
  <c r="U88" i="1"/>
  <c r="R88" i="1"/>
  <c r="N88" i="1"/>
  <c r="J88" i="1"/>
  <c r="G88" i="1"/>
  <c r="D88" i="1"/>
  <c r="AA87" i="1"/>
  <c r="X87" i="1"/>
  <c r="U87" i="1"/>
  <c r="R87" i="1"/>
  <c r="N87" i="1"/>
  <c r="J87" i="1"/>
  <c r="G87" i="1"/>
  <c r="D87" i="1"/>
  <c r="AA86" i="1"/>
  <c r="X86" i="1"/>
  <c r="U86" i="1"/>
  <c r="R86" i="1"/>
  <c r="N86" i="1"/>
  <c r="J86" i="1"/>
  <c r="G86" i="1"/>
  <c r="D86" i="1"/>
  <c r="AA85" i="1"/>
  <c r="X85" i="1"/>
  <c r="U85" i="1"/>
  <c r="R85" i="1"/>
  <c r="N85" i="1"/>
  <c r="J85" i="1"/>
  <c r="G85" i="1"/>
  <c r="D85" i="1"/>
  <c r="AA84" i="1"/>
  <c r="X84" i="1"/>
  <c r="U84" i="1"/>
  <c r="R84" i="1"/>
  <c r="N84" i="1"/>
  <c r="J84" i="1"/>
  <c r="G84" i="1"/>
  <c r="D84" i="1"/>
  <c r="AA83" i="1"/>
  <c r="X83" i="1"/>
  <c r="U83" i="1"/>
  <c r="R83" i="1"/>
  <c r="N83" i="1"/>
  <c r="J83" i="1"/>
  <c r="G83" i="1"/>
  <c r="D83" i="1"/>
  <c r="AA82" i="1"/>
  <c r="X82" i="1"/>
  <c r="U82" i="1"/>
  <c r="R82" i="1"/>
  <c r="N82" i="1"/>
  <c r="J82" i="1"/>
  <c r="G82" i="1"/>
  <c r="D82" i="1"/>
  <c r="AA81" i="1"/>
  <c r="X81" i="1"/>
  <c r="U81" i="1"/>
  <c r="R81" i="1"/>
  <c r="N81" i="1"/>
  <c r="J81" i="1"/>
  <c r="G81" i="1"/>
  <c r="D81" i="1"/>
  <c r="AA80" i="1"/>
  <c r="X80" i="1"/>
  <c r="U80" i="1"/>
  <c r="R80" i="1"/>
  <c r="N80" i="1"/>
  <c r="J80" i="1"/>
  <c r="G80" i="1"/>
  <c r="D80" i="1"/>
  <c r="AA79" i="1"/>
  <c r="X79" i="1"/>
  <c r="U79" i="1"/>
  <c r="R79" i="1"/>
  <c r="N79" i="1"/>
  <c r="J79" i="1"/>
  <c r="G79" i="1"/>
  <c r="D79" i="1"/>
  <c r="AA78" i="1"/>
  <c r="X78" i="1"/>
  <c r="U78" i="1"/>
  <c r="R78" i="1"/>
  <c r="N78" i="1"/>
  <c r="J78" i="1"/>
  <c r="G78" i="1"/>
  <c r="D78" i="1"/>
  <c r="AA77" i="1"/>
  <c r="X77" i="1"/>
  <c r="U77" i="1"/>
  <c r="R77" i="1"/>
  <c r="N77" i="1"/>
  <c r="J77" i="1"/>
  <c r="G77" i="1"/>
  <c r="D77" i="1"/>
  <c r="AA76" i="1"/>
  <c r="X76" i="1"/>
  <c r="U76" i="1"/>
  <c r="R76" i="1"/>
  <c r="N76" i="1"/>
  <c r="J76" i="1"/>
  <c r="G76" i="1"/>
  <c r="D76" i="1"/>
  <c r="AA75" i="1"/>
  <c r="X75" i="1"/>
  <c r="U75" i="1"/>
  <c r="R75" i="1"/>
  <c r="N75" i="1"/>
  <c r="J75" i="1"/>
  <c r="G75" i="1"/>
  <c r="D75" i="1"/>
  <c r="AA74" i="1"/>
  <c r="X74" i="1"/>
  <c r="U74" i="1"/>
  <c r="R74" i="1"/>
  <c r="N74" i="1"/>
  <c r="J74" i="1"/>
  <c r="G74" i="1"/>
  <c r="D74" i="1"/>
  <c r="AD73" i="1"/>
  <c r="AA73" i="1"/>
  <c r="X73" i="1"/>
  <c r="U73" i="1"/>
  <c r="R73" i="1"/>
  <c r="N73" i="1"/>
  <c r="J73" i="1"/>
  <c r="G73" i="1"/>
  <c r="D73" i="1"/>
  <c r="AD72" i="1"/>
  <c r="AA72" i="1"/>
  <c r="X72" i="1"/>
  <c r="U72" i="1"/>
  <c r="R72" i="1"/>
  <c r="N72" i="1"/>
  <c r="J72" i="1"/>
  <c r="G72" i="1"/>
  <c r="D72" i="1"/>
  <c r="AD71" i="1"/>
  <c r="AA71" i="1"/>
  <c r="X71" i="1"/>
  <c r="U71" i="1"/>
  <c r="R71" i="1"/>
  <c r="N71" i="1"/>
  <c r="J71" i="1"/>
  <c r="G71" i="1"/>
  <c r="D71" i="1"/>
  <c r="AD70" i="1"/>
  <c r="AA70" i="1"/>
  <c r="X70" i="1"/>
  <c r="U70" i="1"/>
  <c r="R70" i="1"/>
  <c r="N70" i="1"/>
  <c r="J70" i="1"/>
  <c r="G70" i="1"/>
  <c r="D70" i="1"/>
  <c r="AD69" i="1"/>
  <c r="AA69" i="1"/>
  <c r="X69" i="1"/>
  <c r="U69" i="1"/>
  <c r="R69" i="1"/>
  <c r="N69" i="1"/>
  <c r="J69" i="1"/>
  <c r="G69" i="1"/>
  <c r="D69" i="1"/>
  <c r="AD68" i="1"/>
  <c r="AA68" i="1"/>
  <c r="X68" i="1"/>
  <c r="U68" i="1"/>
  <c r="R68" i="1"/>
  <c r="N68" i="1"/>
  <c r="J68" i="1"/>
  <c r="G68" i="1"/>
  <c r="D68" i="1"/>
  <c r="AD67" i="1"/>
  <c r="AA67" i="1"/>
  <c r="X67" i="1"/>
  <c r="U67" i="1"/>
  <c r="R67" i="1"/>
  <c r="N67" i="1"/>
  <c r="J67" i="1"/>
  <c r="G67" i="1"/>
  <c r="D67" i="1"/>
  <c r="AD66" i="1"/>
  <c r="AA66" i="1"/>
  <c r="X66" i="1"/>
  <c r="U66" i="1"/>
  <c r="R66" i="1"/>
  <c r="N66" i="1"/>
  <c r="J66" i="1"/>
  <c r="G66" i="1"/>
  <c r="D66" i="1"/>
  <c r="AD65" i="1"/>
  <c r="AA65" i="1"/>
  <c r="X65" i="1"/>
  <c r="U65" i="1"/>
  <c r="R65" i="1"/>
  <c r="N65" i="1"/>
  <c r="J65" i="1"/>
  <c r="G65" i="1"/>
  <c r="D65" i="1"/>
  <c r="AD64" i="1"/>
  <c r="AA64" i="1"/>
  <c r="X64" i="1"/>
  <c r="U64" i="1"/>
  <c r="R64" i="1"/>
  <c r="N64" i="1"/>
  <c r="J64" i="1"/>
  <c r="G64" i="1"/>
  <c r="D64" i="1"/>
  <c r="AD63" i="1"/>
  <c r="AA63" i="1"/>
  <c r="X63" i="1"/>
  <c r="U63" i="1"/>
  <c r="R63" i="1"/>
  <c r="N63" i="1"/>
  <c r="J63" i="1"/>
  <c r="G63" i="1"/>
  <c r="D63" i="1"/>
  <c r="AD62" i="1"/>
  <c r="AA62" i="1"/>
  <c r="X62" i="1"/>
  <c r="U62" i="1"/>
  <c r="R62" i="1"/>
  <c r="N62" i="1"/>
  <c r="J62" i="1"/>
  <c r="G62" i="1"/>
  <c r="D62" i="1"/>
  <c r="AD61" i="1"/>
  <c r="AA61" i="1"/>
  <c r="X61" i="1"/>
  <c r="U61" i="1"/>
  <c r="R61" i="1"/>
  <c r="N61" i="1"/>
  <c r="J61" i="1"/>
  <c r="G61" i="1"/>
  <c r="D61" i="1"/>
  <c r="AD60" i="1"/>
  <c r="AA60" i="1"/>
  <c r="X60" i="1"/>
  <c r="U60" i="1"/>
  <c r="R60" i="1"/>
  <c r="N60" i="1"/>
  <c r="J60" i="1"/>
  <c r="G60" i="1"/>
  <c r="D60" i="1"/>
  <c r="AD59" i="1"/>
  <c r="AA59" i="1"/>
  <c r="X59" i="1"/>
  <c r="U59" i="1"/>
  <c r="R59" i="1"/>
  <c r="N59" i="1"/>
  <c r="J59" i="1"/>
  <c r="G59" i="1"/>
  <c r="D59" i="1"/>
  <c r="AD58" i="1"/>
  <c r="AA58" i="1"/>
  <c r="X58" i="1"/>
  <c r="U58" i="1"/>
  <c r="R58" i="1"/>
  <c r="N58" i="1"/>
  <c r="J58" i="1"/>
  <c r="G58" i="1"/>
  <c r="D58" i="1"/>
  <c r="AD57" i="1"/>
  <c r="AA57" i="1"/>
  <c r="X57" i="1"/>
  <c r="U57" i="1"/>
  <c r="R57" i="1"/>
  <c r="N57" i="1"/>
  <c r="J57" i="1"/>
  <c r="G57" i="1"/>
  <c r="D57" i="1"/>
  <c r="AD56" i="1"/>
  <c r="AA56" i="1"/>
  <c r="X56" i="1"/>
  <c r="U56" i="1"/>
  <c r="R56" i="1"/>
  <c r="N56" i="1"/>
  <c r="J56" i="1"/>
  <c r="G56" i="1"/>
  <c r="D56" i="1"/>
  <c r="AD55" i="1"/>
  <c r="AA55" i="1"/>
  <c r="X55" i="1"/>
  <c r="U55" i="1"/>
  <c r="R55" i="1"/>
  <c r="N55" i="1"/>
  <c r="J55" i="1"/>
  <c r="G55" i="1"/>
  <c r="D55" i="1"/>
  <c r="AD54" i="1"/>
  <c r="AA54" i="1"/>
  <c r="X54" i="1"/>
  <c r="U54" i="1"/>
  <c r="R54" i="1"/>
  <c r="N54" i="1"/>
  <c r="J54" i="1"/>
  <c r="G54" i="1"/>
  <c r="D54" i="1"/>
  <c r="AD53" i="1"/>
  <c r="AA53" i="1"/>
  <c r="X53" i="1"/>
  <c r="U53" i="1"/>
  <c r="R53" i="1"/>
  <c r="N53" i="1"/>
  <c r="J53" i="1"/>
  <c r="G53" i="1"/>
  <c r="D53" i="1"/>
  <c r="AD52" i="1"/>
  <c r="AA52" i="1"/>
  <c r="X52" i="1"/>
  <c r="U52" i="1"/>
  <c r="R52" i="1"/>
  <c r="N52" i="1"/>
  <c r="J52" i="1"/>
  <c r="G52" i="1"/>
  <c r="D52" i="1"/>
  <c r="AD51" i="1"/>
  <c r="AA51" i="1"/>
  <c r="X51" i="1"/>
  <c r="U51" i="1"/>
  <c r="R51" i="1"/>
  <c r="N51" i="1"/>
  <c r="J51" i="1"/>
  <c r="G51" i="1"/>
  <c r="D51" i="1"/>
  <c r="AD50" i="1"/>
  <c r="AA50" i="1"/>
  <c r="X50" i="1"/>
  <c r="U50" i="1"/>
  <c r="R50" i="1"/>
  <c r="N50" i="1"/>
  <c r="J50" i="1"/>
  <c r="G50" i="1"/>
  <c r="D50" i="1"/>
  <c r="AD49" i="1"/>
  <c r="AA49" i="1"/>
  <c r="X49" i="1"/>
  <c r="U49" i="1"/>
  <c r="R49" i="1"/>
  <c r="N49" i="1"/>
  <c r="J49" i="1"/>
  <c r="G49" i="1"/>
  <c r="D49" i="1"/>
  <c r="AD48" i="1"/>
  <c r="AA48" i="1"/>
  <c r="X48" i="1"/>
  <c r="U48" i="1"/>
  <c r="R48" i="1"/>
  <c r="N48" i="1"/>
  <c r="J48" i="1"/>
  <c r="G48" i="1"/>
  <c r="D48" i="1"/>
  <c r="AD47" i="1"/>
  <c r="AA47" i="1"/>
  <c r="X47" i="1"/>
  <c r="U47" i="1"/>
  <c r="R47" i="1"/>
  <c r="N47" i="1"/>
  <c r="J47" i="1"/>
  <c r="G47" i="1"/>
  <c r="D47" i="1"/>
  <c r="AD46" i="1"/>
  <c r="AA46" i="1"/>
  <c r="X46" i="1"/>
  <c r="U46" i="1"/>
  <c r="R46" i="1"/>
  <c r="N46" i="1"/>
  <c r="J46" i="1"/>
  <c r="G46" i="1"/>
  <c r="D46" i="1"/>
  <c r="AD45" i="1"/>
  <c r="AA45" i="1"/>
  <c r="X45" i="1"/>
  <c r="U45" i="1"/>
  <c r="R45" i="1"/>
  <c r="N45" i="1"/>
  <c r="J45" i="1"/>
  <c r="G45" i="1"/>
  <c r="D45" i="1"/>
  <c r="AD44" i="1"/>
  <c r="AA44" i="1"/>
  <c r="X44" i="1"/>
  <c r="U44" i="1"/>
  <c r="R44" i="1"/>
  <c r="N44" i="1"/>
  <c r="J44" i="1"/>
  <c r="G44" i="1"/>
  <c r="D44" i="1"/>
  <c r="AD43" i="1"/>
  <c r="AA43" i="1"/>
  <c r="X43" i="1"/>
  <c r="U43" i="1"/>
  <c r="R43" i="1"/>
  <c r="N43" i="1"/>
  <c r="J43" i="1"/>
  <c r="G43" i="1"/>
  <c r="D43" i="1"/>
  <c r="AD42" i="1"/>
  <c r="AA42" i="1"/>
  <c r="X42" i="1"/>
  <c r="U42" i="1"/>
  <c r="R42" i="1"/>
  <c r="N42" i="1"/>
  <c r="J42" i="1"/>
  <c r="G42" i="1"/>
  <c r="D42" i="1"/>
  <c r="AD41" i="1"/>
  <c r="AA41" i="1"/>
  <c r="X41" i="1"/>
  <c r="U41" i="1"/>
  <c r="R41" i="1"/>
  <c r="N41" i="1"/>
  <c r="J41" i="1"/>
  <c r="G41" i="1"/>
  <c r="D41" i="1"/>
  <c r="AD40" i="1"/>
  <c r="AA40" i="1"/>
  <c r="X40" i="1"/>
  <c r="U40" i="1"/>
  <c r="R40" i="1"/>
  <c r="N40" i="1"/>
  <c r="J40" i="1"/>
  <c r="G40" i="1"/>
  <c r="D40" i="1"/>
  <c r="AD39" i="1"/>
  <c r="AA39" i="1"/>
  <c r="X39" i="1"/>
  <c r="U39" i="1"/>
  <c r="R39" i="1"/>
  <c r="N39" i="1"/>
  <c r="J39" i="1"/>
  <c r="G39" i="1"/>
  <c r="D39" i="1"/>
  <c r="AD38" i="1"/>
  <c r="AA38" i="1"/>
  <c r="X38" i="1"/>
  <c r="U38" i="1"/>
  <c r="R38" i="1"/>
  <c r="N38" i="1"/>
  <c r="J38" i="1"/>
  <c r="G38" i="1"/>
  <c r="D38" i="1"/>
  <c r="AD37" i="1"/>
  <c r="AA37" i="1"/>
  <c r="X37" i="1"/>
  <c r="U37" i="1"/>
  <c r="R37" i="1"/>
  <c r="N37" i="1"/>
  <c r="J37" i="1"/>
  <c r="G37" i="1"/>
  <c r="D37" i="1"/>
  <c r="AD36" i="1"/>
  <c r="AA36" i="1"/>
  <c r="X36" i="1"/>
  <c r="U36" i="1"/>
  <c r="R36" i="1"/>
  <c r="N36" i="1"/>
  <c r="J36" i="1"/>
  <c r="G36" i="1"/>
  <c r="D36" i="1"/>
  <c r="AD35" i="1"/>
  <c r="AA35" i="1"/>
  <c r="X35" i="1"/>
  <c r="U35" i="1"/>
  <c r="R35" i="1"/>
  <c r="N35" i="1"/>
  <c r="J35" i="1"/>
  <c r="G35" i="1"/>
  <c r="D35" i="1"/>
  <c r="AD34" i="1"/>
  <c r="AA34" i="1"/>
  <c r="X34" i="1"/>
  <c r="U34" i="1"/>
  <c r="R34" i="1"/>
  <c r="N34" i="1"/>
  <c r="J34" i="1"/>
  <c r="G34" i="1"/>
  <c r="D34" i="1"/>
  <c r="AD33" i="1"/>
  <c r="AA33" i="1"/>
  <c r="X33" i="1"/>
  <c r="U33" i="1"/>
  <c r="R33" i="1"/>
  <c r="N33" i="1"/>
  <c r="J33" i="1"/>
  <c r="G33" i="1"/>
  <c r="D33" i="1"/>
  <c r="AD32" i="1"/>
  <c r="AA32" i="1"/>
  <c r="X32" i="1"/>
  <c r="U32" i="1"/>
  <c r="R32" i="1"/>
  <c r="N32" i="1"/>
  <c r="J32" i="1"/>
  <c r="G32" i="1"/>
  <c r="D32" i="1"/>
  <c r="AD31" i="1"/>
  <c r="AA31" i="1"/>
  <c r="X31" i="1"/>
  <c r="U31" i="1"/>
  <c r="R31" i="1"/>
  <c r="N31" i="1"/>
  <c r="J31" i="1"/>
  <c r="G31" i="1"/>
  <c r="D31" i="1"/>
  <c r="AD30" i="1"/>
  <c r="AA30" i="1"/>
  <c r="X30" i="1"/>
  <c r="U30" i="1"/>
  <c r="R30" i="1"/>
  <c r="N30" i="1"/>
  <c r="J30" i="1"/>
  <c r="G30" i="1"/>
  <c r="D30" i="1"/>
  <c r="AD29" i="1"/>
  <c r="AA29" i="1"/>
  <c r="X29" i="1"/>
  <c r="U29" i="1"/>
  <c r="R29" i="1"/>
  <c r="N29" i="1"/>
  <c r="J29" i="1"/>
  <c r="G29" i="1"/>
  <c r="D29" i="1"/>
  <c r="AD28" i="1"/>
  <c r="AA28" i="1"/>
  <c r="X28" i="1"/>
  <c r="U28" i="1"/>
  <c r="R28" i="1"/>
  <c r="N28" i="1"/>
  <c r="J28" i="1"/>
  <c r="G28" i="1"/>
  <c r="D28" i="1"/>
  <c r="AD27" i="1"/>
  <c r="AA27" i="1"/>
  <c r="X27" i="1"/>
  <c r="U27" i="1"/>
  <c r="R27" i="1"/>
  <c r="N27" i="1"/>
  <c r="J27" i="1"/>
  <c r="G27" i="1"/>
  <c r="D27" i="1"/>
  <c r="AD26" i="1"/>
  <c r="AA26" i="1"/>
  <c r="X26" i="1"/>
  <c r="U26" i="1"/>
  <c r="R26" i="1"/>
  <c r="N26" i="1"/>
  <c r="J26" i="1"/>
  <c r="G26" i="1"/>
  <c r="D26" i="1"/>
  <c r="AD25" i="1"/>
  <c r="AA25" i="1"/>
  <c r="X25" i="1"/>
  <c r="U25" i="1"/>
  <c r="R25" i="1"/>
  <c r="N25" i="1"/>
  <c r="J25" i="1"/>
  <c r="G25" i="1"/>
  <c r="D25" i="1"/>
  <c r="AD24" i="1"/>
  <c r="AA24" i="1"/>
  <c r="X24" i="1"/>
  <c r="U24" i="1"/>
  <c r="R24" i="1"/>
  <c r="N24" i="1"/>
  <c r="J24" i="1"/>
  <c r="G24" i="1"/>
  <c r="D24" i="1"/>
  <c r="AD23" i="1"/>
  <c r="AA23" i="1"/>
  <c r="X23" i="1"/>
  <c r="U23" i="1"/>
  <c r="R23" i="1"/>
  <c r="N23" i="1"/>
  <c r="J23" i="1"/>
  <c r="G23" i="1"/>
  <c r="D23" i="1"/>
  <c r="AD22" i="1"/>
  <c r="AA22" i="1"/>
  <c r="X22" i="1"/>
  <c r="U22" i="1"/>
  <c r="R22" i="1"/>
  <c r="N22" i="1"/>
  <c r="J22" i="1"/>
  <c r="G22" i="1"/>
  <c r="D22" i="1"/>
  <c r="AD21" i="1"/>
  <c r="AA21" i="1"/>
  <c r="X21" i="1"/>
  <c r="U21" i="1"/>
  <c r="R21" i="1"/>
  <c r="N21" i="1"/>
  <c r="J21" i="1"/>
  <c r="G21" i="1"/>
  <c r="D21" i="1"/>
  <c r="AD20" i="1"/>
  <c r="AA20" i="1"/>
  <c r="X20" i="1"/>
  <c r="U20" i="1"/>
  <c r="R20" i="1"/>
  <c r="N20" i="1"/>
  <c r="J20" i="1"/>
  <c r="G20" i="1"/>
  <c r="D20" i="1"/>
  <c r="AD19" i="1"/>
  <c r="AA19" i="1"/>
  <c r="X19" i="1"/>
  <c r="U19" i="1"/>
  <c r="R19" i="1"/>
  <c r="N19" i="1"/>
  <c r="J19" i="1"/>
  <c r="G19" i="1"/>
  <c r="D19" i="1"/>
  <c r="AD18" i="1"/>
  <c r="AA18" i="1"/>
  <c r="X18" i="1"/>
  <c r="U18" i="1"/>
  <c r="R18" i="1"/>
  <c r="N18" i="1"/>
  <c r="J18" i="1"/>
  <c r="G18" i="1"/>
  <c r="D18" i="1"/>
  <c r="AD17" i="1"/>
  <c r="AA17" i="1"/>
  <c r="X17" i="1"/>
  <c r="U17" i="1"/>
  <c r="R17" i="1"/>
  <c r="N17" i="1"/>
  <c r="J17" i="1"/>
  <c r="G17" i="1"/>
  <c r="D17" i="1"/>
  <c r="AD16" i="1"/>
  <c r="AA16" i="1"/>
  <c r="X16" i="1"/>
  <c r="U16" i="1"/>
  <c r="R16" i="1"/>
  <c r="N16" i="1"/>
  <c r="J16" i="1"/>
  <c r="G16" i="1"/>
  <c r="D16" i="1"/>
  <c r="AD15" i="1"/>
  <c r="AA15" i="1"/>
  <c r="X15" i="1"/>
  <c r="U15" i="1"/>
  <c r="R15" i="1"/>
  <c r="N15" i="1"/>
  <c r="J15" i="1"/>
  <c r="G15" i="1"/>
  <c r="D15" i="1"/>
  <c r="AD14" i="1"/>
  <c r="AA14" i="1"/>
  <c r="X14" i="1"/>
  <c r="U14" i="1"/>
  <c r="R14" i="1"/>
  <c r="N14" i="1"/>
  <c r="J14" i="1"/>
  <c r="G14" i="1"/>
  <c r="D14" i="1"/>
  <c r="AD13" i="1"/>
  <c r="AA13" i="1"/>
  <c r="X13" i="1"/>
  <c r="U13" i="1"/>
  <c r="R13" i="1"/>
  <c r="N13" i="1"/>
  <c r="J13" i="1"/>
  <c r="G13" i="1"/>
  <c r="D13" i="1"/>
  <c r="AD12" i="1"/>
  <c r="AA12" i="1"/>
  <c r="X12" i="1"/>
  <c r="U12" i="1"/>
  <c r="R12" i="1"/>
  <c r="N12" i="1"/>
  <c r="J12" i="1"/>
  <c r="G12" i="1"/>
  <c r="D12" i="1"/>
  <c r="AD11" i="1"/>
  <c r="AA11" i="1"/>
  <c r="X11" i="1"/>
  <c r="U11" i="1"/>
  <c r="R11" i="1"/>
  <c r="N11" i="1"/>
  <c r="J11" i="1"/>
  <c r="G11" i="1"/>
  <c r="D11" i="1"/>
  <c r="AD10" i="1"/>
  <c r="AA10" i="1"/>
  <c r="X10" i="1"/>
  <c r="U10" i="1"/>
  <c r="R10" i="1"/>
  <c r="N10" i="1"/>
  <c r="J10" i="1"/>
  <c r="G10" i="1"/>
  <c r="D10" i="1"/>
  <c r="AD9" i="1"/>
  <c r="AA9" i="1"/>
  <c r="X9" i="1"/>
  <c r="U9" i="1"/>
  <c r="R9" i="1"/>
  <c r="N9" i="1"/>
  <c r="J9" i="1"/>
  <c r="G9" i="1"/>
  <c r="D9" i="1"/>
  <c r="AD8" i="1"/>
  <c r="AA8" i="1"/>
  <c r="X8" i="1"/>
  <c r="U8" i="1"/>
  <c r="R8" i="1"/>
  <c r="N8" i="1"/>
  <c r="J8" i="1"/>
  <c r="G8" i="1"/>
  <c r="D8" i="1"/>
  <c r="AD7" i="1"/>
  <c r="AA7" i="1"/>
  <c r="X7" i="1"/>
  <c r="U7" i="1"/>
  <c r="R7" i="1"/>
  <c r="N7" i="1"/>
  <c r="G7" i="1"/>
  <c r="D7" i="1"/>
  <c r="AD6" i="1"/>
  <c r="AA6" i="1"/>
  <c r="X6" i="1"/>
  <c r="U6" i="1"/>
  <c r="R6" i="1"/>
  <c r="N6" i="1"/>
  <c r="J6" i="1"/>
  <c r="G6" i="1"/>
  <c r="D6" i="1"/>
  <c r="AD5" i="1"/>
  <c r="AA5" i="1"/>
  <c r="X5" i="1"/>
  <c r="U5" i="1"/>
  <c r="R5" i="1"/>
  <c r="N5" i="1"/>
  <c r="G5" i="1"/>
  <c r="D5" i="1"/>
  <c r="AD4" i="1"/>
  <c r="AA4" i="1"/>
  <c r="X4" i="1"/>
  <c r="U4" i="1"/>
  <c r="R4" i="1"/>
  <c r="N4" i="1"/>
  <c r="G4" i="1"/>
  <c r="D4" i="1"/>
  <c r="AD3" i="1"/>
  <c r="AA3" i="1"/>
  <c r="X3" i="1"/>
  <c r="U3" i="1"/>
  <c r="R3" i="1"/>
  <c r="N3" i="1"/>
  <c r="G3" i="1"/>
  <c r="D3" i="1"/>
  <c r="AH1584" i="1" l="1"/>
  <c r="AH1559" i="1"/>
  <c r="K1557" i="1"/>
  <c r="AH1554" i="1"/>
  <c r="K1544" i="1"/>
  <c r="AH1527" i="1"/>
  <c r="AH1522" i="1"/>
  <c r="AI900" i="1"/>
  <c r="O1021" i="1"/>
  <c r="O1169" i="1"/>
  <c r="O1180" i="1"/>
  <c r="AI810" i="1"/>
  <c r="AI812" i="1"/>
  <c r="AI852" i="1"/>
  <c r="O1074" i="1"/>
  <c r="O1098" i="1"/>
  <c r="AI894" i="1"/>
  <c r="O1116" i="1"/>
  <c r="O1196" i="1"/>
  <c r="O1243" i="1"/>
  <c r="K1311" i="1"/>
  <c r="K1313" i="1"/>
  <c r="AH1370" i="1"/>
  <c r="AH1392" i="1"/>
  <c r="AH1532" i="1"/>
  <c r="AH1538" i="1"/>
  <c r="AH1543" i="1"/>
  <c r="K1570" i="1"/>
  <c r="K1575" i="1"/>
  <c r="O1216" i="1"/>
  <c r="O1223" i="1"/>
  <c r="K1351" i="1"/>
  <c r="AH1363" i="1"/>
  <c r="AH1368" i="1"/>
  <c r="K1376" i="1"/>
  <c r="AH1396" i="1"/>
  <c r="AH1457" i="1"/>
  <c r="K1527" i="1"/>
  <c r="K1528" i="1"/>
  <c r="K1516" i="1"/>
  <c r="K1514" i="1"/>
  <c r="AI9" i="1"/>
  <c r="AI13" i="1"/>
  <c r="AI17" i="1"/>
  <c r="AI21" i="1"/>
  <c r="AI25" i="1"/>
  <c r="AI29" i="1"/>
  <c r="AI33" i="1"/>
  <c r="AI37" i="1"/>
  <c r="AI41" i="1"/>
  <c r="AI45" i="1"/>
  <c r="AI49" i="1"/>
  <c r="AI53" i="1"/>
  <c r="AI57" i="1"/>
  <c r="AI61" i="1"/>
  <c r="AI65" i="1"/>
  <c r="AI69" i="1"/>
  <c r="AI73" i="1"/>
  <c r="AI102" i="1"/>
  <c r="AI106" i="1"/>
  <c r="AI110" i="1"/>
  <c r="AI114" i="1"/>
  <c r="AI117" i="1"/>
  <c r="AI118" i="1"/>
  <c r="AI122" i="1"/>
  <c r="AI124" i="1"/>
  <c r="AI129" i="1"/>
  <c r="AI133" i="1"/>
  <c r="AI137" i="1"/>
  <c r="AI141" i="1"/>
  <c r="AI145" i="1"/>
  <c r="AI149" i="1"/>
  <c r="AI153" i="1"/>
  <c r="AI157" i="1"/>
  <c r="AI161" i="1"/>
  <c r="AI165" i="1"/>
  <c r="AI169" i="1"/>
  <c r="AI173" i="1"/>
  <c r="AI177" i="1"/>
  <c r="AI181" i="1"/>
  <c r="AI185" i="1"/>
  <c r="AI189" i="1"/>
  <c r="AI193" i="1"/>
  <c r="AI197" i="1"/>
  <c r="AI201" i="1"/>
  <c r="AI205" i="1"/>
  <c r="AI209" i="1"/>
  <c r="AI213" i="1"/>
  <c r="AI217" i="1"/>
  <c r="AI221" i="1"/>
  <c r="AI225" i="1"/>
  <c r="AI229" i="1"/>
  <c r="AI233" i="1"/>
  <c r="AI237" i="1"/>
  <c r="AI241" i="1"/>
  <c r="AI245" i="1"/>
  <c r="AI249" i="1"/>
  <c r="AI253" i="1"/>
  <c r="AI257" i="1"/>
  <c r="AI261" i="1"/>
  <c r="AI265" i="1"/>
  <c r="AI269" i="1"/>
  <c r="AI273" i="1"/>
  <c r="AI277" i="1"/>
  <c r="AI281" i="1"/>
  <c r="AI285" i="1"/>
  <c r="AI289" i="1"/>
  <c r="AI293" i="1"/>
  <c r="AI297" i="1"/>
  <c r="AI301" i="1"/>
  <c r="AI305" i="1"/>
  <c r="AI309" i="1"/>
  <c r="AI310" i="1"/>
  <c r="AI314" i="1"/>
  <c r="AI318" i="1"/>
  <c r="AI322" i="1"/>
  <c r="AI325" i="1"/>
  <c r="AI329" i="1"/>
  <c r="AI333" i="1"/>
  <c r="AI337" i="1"/>
  <c r="AI341" i="1"/>
  <c r="AI345" i="1"/>
  <c r="AI349" i="1"/>
  <c r="AI353" i="1"/>
  <c r="AI357" i="1"/>
  <c r="AI361" i="1"/>
  <c r="AI365" i="1"/>
  <c r="AI369" i="1"/>
  <c r="AI373" i="1"/>
  <c r="AI377" i="1"/>
  <c r="AI381" i="1"/>
  <c r="AI385" i="1"/>
  <c r="AI389" i="1"/>
  <c r="AI391" i="1"/>
  <c r="AI394" i="1"/>
  <c r="AI398" i="1"/>
  <c r="AI402" i="1"/>
  <c r="AI406" i="1"/>
  <c r="AI410" i="1"/>
  <c r="AI414" i="1"/>
  <c r="AI418" i="1"/>
  <c r="AI422" i="1"/>
  <c r="AI426" i="1"/>
  <c r="AI430" i="1"/>
  <c r="AI434" i="1"/>
  <c r="AI438" i="1"/>
  <c r="AI442" i="1"/>
  <c r="AI446" i="1"/>
  <c r="AI450" i="1"/>
  <c r="AI454" i="1"/>
  <c r="AI458" i="1"/>
  <c r="AI462" i="1"/>
  <c r="AI466" i="1"/>
  <c r="AI470" i="1"/>
  <c r="AI474" i="1"/>
  <c r="AI478" i="1"/>
  <c r="AI482" i="1"/>
  <c r="AI486" i="1"/>
  <c r="AI490" i="1"/>
  <c r="AI494" i="1"/>
  <c r="AI498" i="1"/>
  <c r="AI502" i="1"/>
  <c r="AI506" i="1"/>
  <c r="AI510" i="1"/>
  <c r="AI514" i="1"/>
  <c r="AI518" i="1"/>
  <c r="AI522" i="1"/>
  <c r="AI526" i="1"/>
  <c r="AI530" i="1"/>
  <c r="AI534" i="1"/>
  <c r="AI538" i="1"/>
  <c r="AI542" i="1"/>
  <c r="AI546" i="1"/>
  <c r="AI550" i="1"/>
  <c r="AI554" i="1"/>
  <c r="AI558" i="1"/>
  <c r="AI562" i="1"/>
  <c r="AI566" i="1"/>
  <c r="AI570" i="1"/>
  <c r="AI574" i="1"/>
  <c r="AI578" i="1"/>
  <c r="AI582" i="1"/>
  <c r="AI586" i="1"/>
  <c r="AI590" i="1"/>
  <c r="AI594" i="1"/>
  <c r="AI598" i="1"/>
  <c r="AI602" i="1"/>
  <c r="AI606" i="1"/>
  <c r="AI610" i="1"/>
  <c r="AI614" i="1"/>
  <c r="AI618" i="1"/>
  <c r="AI622" i="1"/>
  <c r="AI626" i="1"/>
  <c r="AI630" i="1"/>
  <c r="AI634" i="1"/>
  <c r="AI638" i="1"/>
  <c r="AI642" i="1"/>
  <c r="AI646" i="1"/>
  <c r="AI650" i="1"/>
  <c r="AI657" i="1"/>
  <c r="AI661" i="1"/>
  <c r="AI665" i="1"/>
  <c r="AI669" i="1"/>
  <c r="AI673" i="1"/>
  <c r="AI677" i="1"/>
  <c r="AI681" i="1"/>
  <c r="AI685" i="1"/>
  <c r="AI689" i="1"/>
  <c r="AI693" i="1"/>
  <c r="AI697" i="1"/>
  <c r="AI701" i="1"/>
  <c r="AI705" i="1"/>
  <c r="AI709" i="1"/>
  <c r="AI713" i="1"/>
  <c r="AI717" i="1"/>
  <c r="AI721" i="1"/>
  <c r="AI725" i="1"/>
  <c r="AI729" i="1"/>
  <c r="AI733" i="1"/>
  <c r="AI737" i="1"/>
  <c r="AI741" i="1"/>
  <c r="AI745" i="1"/>
  <c r="AI749" i="1"/>
  <c r="AI753" i="1"/>
  <c r="AI757" i="1"/>
  <c r="AI761" i="1"/>
  <c r="AI765" i="1"/>
  <c r="AI769" i="1"/>
  <c r="AI773" i="1"/>
  <c r="AI775" i="1"/>
  <c r="AI779" i="1"/>
  <c r="AI783" i="1"/>
  <c r="AI787" i="1"/>
  <c r="AI791" i="1"/>
  <c r="AI795" i="1"/>
  <c r="AI799" i="1"/>
  <c r="AI803" i="1"/>
  <c r="AI807" i="1"/>
  <c r="AI813" i="1"/>
  <c r="O1082" i="1"/>
  <c r="O1086" i="1"/>
  <c r="O1186" i="1"/>
  <c r="AI100" i="1"/>
  <c r="AI830" i="1"/>
  <c r="AI991" i="1"/>
  <c r="O1060" i="1"/>
  <c r="O1071" i="1"/>
  <c r="O1079" i="1"/>
  <c r="O1095" i="1"/>
  <c r="AI892" i="1"/>
  <c r="O1198" i="1"/>
  <c r="K1293" i="1"/>
  <c r="O1332" i="1"/>
  <c r="O1334" i="1"/>
  <c r="K1347" i="1"/>
  <c r="K1353" i="1"/>
  <c r="AI907" i="1"/>
  <c r="AI937" i="1"/>
  <c r="AI998" i="1"/>
  <c r="AI1017" i="1"/>
  <c r="O1033" i="1"/>
  <c r="O1049" i="1"/>
  <c r="O1063" i="1"/>
  <c r="O1089" i="1"/>
  <c r="O1107" i="1"/>
  <c r="O1182" i="1"/>
  <c r="O1206" i="1"/>
  <c r="AI870" i="1"/>
  <c r="AI875" i="1"/>
  <c r="AI891" i="1"/>
  <c r="AI904" i="1"/>
  <c r="AI935" i="1"/>
  <c r="AI946" i="1"/>
  <c r="AI1016" i="1"/>
  <c r="O1177" i="1"/>
  <c r="O1190" i="1"/>
  <c r="O1252" i="1"/>
  <c r="O1157" i="1"/>
  <c r="O1165" i="1"/>
  <c r="O1224" i="1"/>
  <c r="O1244" i="1"/>
  <c r="K1269" i="1"/>
  <c r="O1178" i="1"/>
  <c r="O1185" i="1"/>
  <c r="O1194" i="1"/>
  <c r="O1214" i="1"/>
  <c r="K1282" i="1"/>
  <c r="O1288" i="1"/>
  <c r="K1308" i="1"/>
  <c r="O1319" i="1"/>
  <c r="AI1319" i="1" s="1"/>
  <c r="O1342" i="1"/>
  <c r="O1305" i="1"/>
  <c r="K1307" i="1"/>
  <c r="K1314" i="1"/>
  <c r="AH1371" i="1"/>
  <c r="AH1520" i="1"/>
  <c r="O1525" i="1"/>
  <c r="K1350" i="1"/>
  <c r="K1352" i="1"/>
  <c r="O1541" i="1"/>
  <c r="K1255" i="1"/>
  <c r="K1257" i="1"/>
  <c r="K1336" i="1"/>
  <c r="O1537" i="1"/>
  <c r="AI1537" i="1" s="1"/>
  <c r="K1364" i="1"/>
  <c r="K1365" i="1"/>
  <c r="AH1376" i="1"/>
  <c r="K1380" i="1"/>
  <c r="AH1381" i="1"/>
  <c r="AH1388" i="1"/>
  <c r="AH1506" i="1"/>
  <c r="AH1513" i="1"/>
  <c r="AH1514" i="1"/>
  <c r="K1518" i="1"/>
  <c r="AH1546" i="1"/>
  <c r="AH1569" i="1"/>
  <c r="AH1573" i="1"/>
  <c r="AH1590" i="1"/>
  <c r="O1354" i="1"/>
  <c r="K1368" i="1"/>
  <c r="AH1373" i="1"/>
  <c r="K1375" i="1"/>
  <c r="K1385" i="1"/>
  <c r="K1391" i="1"/>
  <c r="AH1400" i="1"/>
  <c r="AH1491" i="1"/>
  <c r="AH1517" i="1"/>
  <c r="O1524" i="1"/>
  <c r="K1532" i="1"/>
  <c r="O1540" i="1"/>
  <c r="AH1558" i="1"/>
  <c r="K1573" i="1"/>
  <c r="AH1581" i="1"/>
  <c r="AH1594" i="1"/>
  <c r="AH1386" i="1"/>
  <c r="K1390" i="1"/>
  <c r="K1397" i="1"/>
  <c r="AH1518" i="1"/>
  <c r="K1520" i="1"/>
  <c r="O1562" i="1"/>
  <c r="K1512" i="1"/>
  <c r="K1510" i="1"/>
  <c r="K1508" i="1"/>
  <c r="K1506" i="1"/>
  <c r="AH1505" i="1"/>
  <c r="K1504" i="1"/>
  <c r="K1502" i="1"/>
  <c r="AH1501" i="1"/>
  <c r="K1500" i="1"/>
  <c r="AH1496" i="1"/>
  <c r="AH1498" i="1"/>
  <c r="AH1493" i="1"/>
  <c r="AH1492" i="1"/>
  <c r="AI3" i="1"/>
  <c r="AI4" i="1"/>
  <c r="AI5" i="1"/>
  <c r="AI8" i="1"/>
  <c r="AI12" i="1"/>
  <c r="AI16" i="1"/>
  <c r="AI20" i="1"/>
  <c r="AI24" i="1"/>
  <c r="AI28" i="1"/>
  <c r="AI32" i="1"/>
  <c r="AI36" i="1"/>
  <c r="AI40" i="1"/>
  <c r="AI44" i="1"/>
  <c r="AI48" i="1"/>
  <c r="AI52" i="1"/>
  <c r="AI56" i="1"/>
  <c r="AI60" i="1"/>
  <c r="AI64" i="1"/>
  <c r="AI68" i="1"/>
  <c r="AI72" i="1"/>
  <c r="AI74" i="1"/>
  <c r="AI76" i="1"/>
  <c r="AI78" i="1"/>
  <c r="AI80" i="1"/>
  <c r="AI82" i="1"/>
  <c r="AI84" i="1"/>
  <c r="AI86" i="1"/>
  <c r="AI88" i="1"/>
  <c r="AI90" i="1"/>
  <c r="AI92" i="1"/>
  <c r="AI94" i="1"/>
  <c r="AI96" i="1"/>
  <c r="AI98" i="1"/>
  <c r="AI101" i="1"/>
  <c r="AI107" i="1"/>
  <c r="AI111" i="1"/>
  <c r="AI115" i="1"/>
  <c r="AI121" i="1"/>
  <c r="AI125" i="1"/>
  <c r="AI128" i="1"/>
  <c r="AI132" i="1"/>
  <c r="AI136" i="1"/>
  <c r="AI140" i="1"/>
  <c r="AI144" i="1"/>
  <c r="AI148" i="1"/>
  <c r="AI152" i="1"/>
  <c r="AI156" i="1"/>
  <c r="AI160" i="1"/>
  <c r="AI164" i="1"/>
  <c r="AI168" i="1"/>
  <c r="AI172" i="1"/>
  <c r="AI176" i="1"/>
  <c r="AI180" i="1"/>
  <c r="AI184" i="1"/>
  <c r="AI188" i="1"/>
  <c r="AI192" i="1"/>
  <c r="AI196" i="1"/>
  <c r="AI200" i="1"/>
  <c r="AI204" i="1"/>
  <c r="AI208" i="1"/>
  <c r="AI212" i="1"/>
  <c r="AI216" i="1"/>
  <c r="AI220" i="1"/>
  <c r="AI224" i="1"/>
  <c r="AI228" i="1"/>
  <c r="AI232" i="1"/>
  <c r="AI236" i="1"/>
  <c r="AI240" i="1"/>
  <c r="AI244" i="1"/>
  <c r="AI248" i="1"/>
  <c r="AI252" i="1"/>
  <c r="AI256" i="1"/>
  <c r="AI260" i="1"/>
  <c r="AI264" i="1"/>
  <c r="AI268" i="1"/>
  <c r="AI272" i="1"/>
  <c r="AI276" i="1"/>
  <c r="AI280" i="1"/>
  <c r="AI284" i="1"/>
  <c r="AI288" i="1"/>
  <c r="AI292" i="1"/>
  <c r="AI296" i="1"/>
  <c r="AI300" i="1"/>
  <c r="AI304" i="1"/>
  <c r="AI308" i="1"/>
  <c r="AI313" i="1"/>
  <c r="AI317" i="1"/>
  <c r="AI321" i="1"/>
  <c r="AI328" i="1"/>
  <c r="AI332" i="1"/>
  <c r="AI336" i="1"/>
  <c r="AI340" i="1"/>
  <c r="AI344" i="1"/>
  <c r="AI348" i="1"/>
  <c r="AI352" i="1"/>
  <c r="AI356" i="1"/>
  <c r="AI360" i="1"/>
  <c r="AI364" i="1"/>
  <c r="AI368" i="1"/>
  <c r="AI372" i="1"/>
  <c r="AI376" i="1"/>
  <c r="AI380" i="1"/>
  <c r="AI384" i="1"/>
  <c r="AI388" i="1"/>
  <c r="AI393" i="1"/>
  <c r="AI397" i="1"/>
  <c r="AI401" i="1"/>
  <c r="AI405" i="1"/>
  <c r="AI409" i="1"/>
  <c r="AI413" i="1"/>
  <c r="AI417" i="1"/>
  <c r="AI421" i="1"/>
  <c r="AI425" i="1"/>
  <c r="AI429" i="1"/>
  <c r="AI433" i="1"/>
  <c r="AI437" i="1"/>
  <c r="AI441" i="1"/>
  <c r="AI445" i="1"/>
  <c r="AI449" i="1"/>
  <c r="AI453" i="1"/>
  <c r="AI457" i="1"/>
  <c r="AI461" i="1"/>
  <c r="AI465" i="1"/>
  <c r="AI469" i="1"/>
  <c r="AI473" i="1"/>
  <c r="AI477" i="1"/>
  <c r="AI481" i="1"/>
  <c r="AI485" i="1"/>
  <c r="AI489" i="1"/>
  <c r="AI493" i="1"/>
  <c r="AI497" i="1"/>
  <c r="AI501" i="1"/>
  <c r="AI505" i="1"/>
  <c r="AI509" i="1"/>
  <c r="AI513" i="1"/>
  <c r="AI517" i="1"/>
  <c r="AI521" i="1"/>
  <c r="AI525" i="1"/>
  <c r="AI529" i="1"/>
  <c r="AI533" i="1"/>
  <c r="AI537" i="1"/>
  <c r="AI541" i="1"/>
  <c r="AI545" i="1"/>
  <c r="AI549" i="1"/>
  <c r="AI553" i="1"/>
  <c r="AI557" i="1"/>
  <c r="AI561" i="1"/>
  <c r="AI565" i="1"/>
  <c r="AI569" i="1"/>
  <c r="AI573" i="1"/>
  <c r="AI577" i="1"/>
  <c r="AI581" i="1"/>
  <c r="AI585" i="1"/>
  <c r="AI589" i="1"/>
  <c r="AI593" i="1"/>
  <c r="AI597" i="1"/>
  <c r="AI601" i="1"/>
  <c r="AI605" i="1"/>
  <c r="AI609" i="1"/>
  <c r="AI613" i="1"/>
  <c r="AI617" i="1"/>
  <c r="AI621" i="1"/>
  <c r="AI625" i="1"/>
  <c r="AI629" i="1"/>
  <c r="AI633" i="1"/>
  <c r="AI637" i="1"/>
  <c r="AI641" i="1"/>
  <c r="AI645" i="1"/>
  <c r="AI649" i="1"/>
  <c r="AI656" i="1"/>
  <c r="AI660" i="1"/>
  <c r="AI664" i="1"/>
  <c r="AI668" i="1"/>
  <c r="AI672" i="1"/>
  <c r="AI676" i="1"/>
  <c r="AI680" i="1"/>
  <c r="AI684" i="1"/>
  <c r="AI688" i="1"/>
  <c r="AI692" i="1"/>
  <c r="AI696" i="1"/>
  <c r="AI700" i="1"/>
  <c r="AI704" i="1"/>
  <c r="AI708" i="1"/>
  <c r="AI712" i="1"/>
  <c r="AI716" i="1"/>
  <c r="AI720" i="1"/>
  <c r="AI724" i="1"/>
  <c r="AI728" i="1"/>
  <c r="AI732" i="1"/>
  <c r="AI736" i="1"/>
  <c r="AI740" i="1"/>
  <c r="AI744" i="1"/>
  <c r="AI748" i="1"/>
  <c r="AI752" i="1"/>
  <c r="AI756" i="1"/>
  <c r="AI760" i="1"/>
  <c r="AI764" i="1"/>
  <c r="AI770" i="1"/>
  <c r="AI774" i="1"/>
  <c r="AI778" i="1"/>
  <c r="AI782" i="1"/>
  <c r="AI786" i="1"/>
  <c r="AI790" i="1"/>
  <c r="AI794" i="1"/>
  <c r="AI798" i="1"/>
  <c r="AI806" i="1"/>
  <c r="AI811" i="1"/>
  <c r="AI814" i="1"/>
  <c r="AI816" i="1"/>
  <c r="AI822" i="1"/>
  <c r="AI858" i="1"/>
  <c r="AI7" i="1"/>
  <c r="AI11" i="1"/>
  <c r="AI19" i="1"/>
  <c r="AI23" i="1"/>
  <c r="AI27" i="1"/>
  <c r="AI31" i="1"/>
  <c r="AI35" i="1"/>
  <c r="AI39" i="1"/>
  <c r="AI43" i="1"/>
  <c r="AI51" i="1"/>
  <c r="AI59" i="1"/>
  <c r="AI67" i="1"/>
  <c r="AI71" i="1"/>
  <c r="AI77" i="1"/>
  <c r="AI79" i="1"/>
  <c r="AI81" i="1"/>
  <c r="AI83" i="1"/>
  <c r="AI85" i="1"/>
  <c r="AI87" i="1"/>
  <c r="AI89" i="1"/>
  <c r="AI91" i="1"/>
  <c r="AI93" i="1"/>
  <c r="AI95" i="1"/>
  <c r="AI97" i="1"/>
  <c r="AI104" i="1"/>
  <c r="AI108" i="1"/>
  <c r="AI112" i="1"/>
  <c r="AI116" i="1"/>
  <c r="AI120" i="1"/>
  <c r="AI127" i="1"/>
  <c r="AI131" i="1"/>
  <c r="AI135" i="1"/>
  <c r="AI139" i="1"/>
  <c r="AI143" i="1"/>
  <c r="AI147" i="1"/>
  <c r="AI151" i="1"/>
  <c r="AI155" i="1"/>
  <c r="AI159" i="1"/>
  <c r="AI163" i="1"/>
  <c r="AI167" i="1"/>
  <c r="AI171" i="1"/>
  <c r="AI175" i="1"/>
  <c r="AI179" i="1"/>
  <c r="AI183" i="1"/>
  <c r="AI187" i="1"/>
  <c r="AI191" i="1"/>
  <c r="AI195" i="1"/>
  <c r="AI199" i="1"/>
  <c r="AI203" i="1"/>
  <c r="AI207" i="1"/>
  <c r="AI211" i="1"/>
  <c r="AI215" i="1"/>
  <c r="AI219" i="1"/>
  <c r="AI223" i="1"/>
  <c r="AI227" i="1"/>
  <c r="AI231" i="1"/>
  <c r="AI235" i="1"/>
  <c r="AI239" i="1"/>
  <c r="AI243" i="1"/>
  <c r="AI247" i="1"/>
  <c r="AI251" i="1"/>
  <c r="AI255" i="1"/>
  <c r="AI259" i="1"/>
  <c r="AI263" i="1"/>
  <c r="AI267" i="1"/>
  <c r="AI271" i="1"/>
  <c r="AI275" i="1"/>
  <c r="AI279" i="1"/>
  <c r="AI283" i="1"/>
  <c r="AI287" i="1"/>
  <c r="AI291" i="1"/>
  <c r="AI295" i="1"/>
  <c r="AI299" i="1"/>
  <c r="AI303" i="1"/>
  <c r="AI307" i="1"/>
  <c r="AI312" i="1"/>
  <c r="AI316" i="1"/>
  <c r="AI320" i="1"/>
  <c r="AI324" i="1"/>
  <c r="AI327" i="1"/>
  <c r="AI331" i="1"/>
  <c r="AI335" i="1"/>
  <c r="AI339" i="1"/>
  <c r="AI343" i="1"/>
  <c r="AI347" i="1"/>
  <c r="AI351" i="1"/>
  <c r="AI355" i="1"/>
  <c r="AI359" i="1"/>
  <c r="AI363" i="1"/>
  <c r="AI367" i="1"/>
  <c r="AI371" i="1"/>
  <c r="AI375" i="1"/>
  <c r="AI379" i="1"/>
  <c r="AI383" i="1"/>
  <c r="AI387" i="1"/>
  <c r="AI392" i="1"/>
  <c r="AI396" i="1"/>
  <c r="AI400" i="1"/>
  <c r="AI404" i="1"/>
  <c r="AI408" i="1"/>
  <c r="AI412" i="1"/>
  <c r="AI416" i="1"/>
  <c r="AI420" i="1"/>
  <c r="AI424" i="1"/>
  <c r="AI428" i="1"/>
  <c r="AI432" i="1"/>
  <c r="AI436" i="1"/>
  <c r="AI440" i="1"/>
  <c r="AI444" i="1"/>
  <c r="AI448" i="1"/>
  <c r="AI452" i="1"/>
  <c r="AI456" i="1"/>
  <c r="AI460" i="1"/>
  <c r="AI464" i="1"/>
  <c r="AI468" i="1"/>
  <c r="AI472" i="1"/>
  <c r="AI476" i="1"/>
  <c r="AI480" i="1"/>
  <c r="AI484" i="1"/>
  <c r="AI488" i="1"/>
  <c r="AI492" i="1"/>
  <c r="AI496" i="1"/>
  <c r="AI500" i="1"/>
  <c r="AI504" i="1"/>
  <c r="AI508" i="1"/>
  <c r="AI512" i="1"/>
  <c r="AI516" i="1"/>
  <c r="AI520" i="1"/>
  <c r="AI524" i="1"/>
  <c r="AI528" i="1"/>
  <c r="AI532" i="1"/>
  <c r="AI536" i="1"/>
  <c r="AI540" i="1"/>
  <c r="AI544" i="1"/>
  <c r="AI548" i="1"/>
  <c r="AI552" i="1"/>
  <c r="AI556" i="1"/>
  <c r="AI560" i="1"/>
  <c r="AI564" i="1"/>
  <c r="AI568" i="1"/>
  <c r="AI572" i="1"/>
  <c r="AI576" i="1"/>
  <c r="AI580" i="1"/>
  <c r="AI584" i="1"/>
  <c r="AI588" i="1"/>
  <c r="AI592" i="1"/>
  <c r="AI596" i="1"/>
  <c r="AI600" i="1"/>
  <c r="AI604" i="1"/>
  <c r="AI608" i="1"/>
  <c r="AI612" i="1"/>
  <c r="AI616" i="1"/>
  <c r="AI620" i="1"/>
  <c r="AI624" i="1"/>
  <c r="AI628" i="1"/>
  <c r="AI632" i="1"/>
  <c r="AI636" i="1"/>
  <c r="AI640" i="1"/>
  <c r="AI644" i="1"/>
  <c r="AI648" i="1"/>
  <c r="AI652" i="1"/>
  <c r="AI653" i="1"/>
  <c r="AI655" i="1"/>
  <c r="AI659" i="1"/>
  <c r="AI663" i="1"/>
  <c r="AI667" i="1"/>
  <c r="AI671" i="1"/>
  <c r="AI675" i="1"/>
  <c r="AI679" i="1"/>
  <c r="AI683" i="1"/>
  <c r="AI687" i="1"/>
  <c r="AI691" i="1"/>
  <c r="AI695" i="1"/>
  <c r="AI699" i="1"/>
  <c r="AI703" i="1"/>
  <c r="AI707" i="1"/>
  <c r="AI711" i="1"/>
  <c r="AI715" i="1"/>
  <c r="AI719" i="1"/>
  <c r="AI723" i="1"/>
  <c r="AI727" i="1"/>
  <c r="AI731" i="1"/>
  <c r="AI735" i="1"/>
  <c r="AI739" i="1"/>
  <c r="AI743" i="1"/>
  <c r="AI747" i="1"/>
  <c r="AI751" i="1"/>
  <c r="AI755" i="1"/>
  <c r="AI759" i="1"/>
  <c r="AI763" i="1"/>
  <c r="AI767" i="1"/>
  <c r="AI771" i="1"/>
  <c r="AI777" i="1"/>
  <c r="AI781" i="1"/>
  <c r="AI785" i="1"/>
  <c r="AI789" i="1"/>
  <c r="AI793" i="1"/>
  <c r="AI797" i="1"/>
  <c r="AI801" i="1"/>
  <c r="AI805" i="1"/>
  <c r="AI823" i="1"/>
  <c r="AI855" i="1"/>
  <c r="AI6" i="1"/>
  <c r="AI15" i="1"/>
  <c r="AI47" i="1"/>
  <c r="AI55" i="1"/>
  <c r="AI63" i="1"/>
  <c r="AI75" i="1"/>
  <c r="AI10" i="1"/>
  <c r="AI14" i="1"/>
  <c r="AI18" i="1"/>
  <c r="AI22" i="1"/>
  <c r="AI26" i="1"/>
  <c r="AI30" i="1"/>
  <c r="AI34" i="1"/>
  <c r="AI38" i="1"/>
  <c r="AI42" i="1"/>
  <c r="AI46" i="1"/>
  <c r="AI50" i="1"/>
  <c r="AI54" i="1"/>
  <c r="AI58" i="1"/>
  <c r="AI62" i="1"/>
  <c r="AI66" i="1"/>
  <c r="AI70" i="1"/>
  <c r="AI99" i="1"/>
  <c r="AI103" i="1"/>
  <c r="AI105" i="1"/>
  <c r="AI109" i="1"/>
  <c r="AI113" i="1"/>
  <c r="AI119" i="1"/>
  <c r="AI123" i="1"/>
  <c r="AI126" i="1"/>
  <c r="AI130" i="1"/>
  <c r="AI134" i="1"/>
  <c r="AI138" i="1"/>
  <c r="AI142" i="1"/>
  <c r="AI146" i="1"/>
  <c r="AI150" i="1"/>
  <c r="AI154" i="1"/>
  <c r="AI158" i="1"/>
  <c r="AI162" i="1"/>
  <c r="AI166" i="1"/>
  <c r="AI170" i="1"/>
  <c r="AI174" i="1"/>
  <c r="AI178" i="1"/>
  <c r="AI182" i="1"/>
  <c r="AI186" i="1"/>
  <c r="AI190" i="1"/>
  <c r="AI194" i="1"/>
  <c r="AI198" i="1"/>
  <c r="AI202" i="1"/>
  <c r="AI206" i="1"/>
  <c r="AI210" i="1"/>
  <c r="AI214" i="1"/>
  <c r="AI218" i="1"/>
  <c r="AI222" i="1"/>
  <c r="AI226" i="1"/>
  <c r="AI230" i="1"/>
  <c r="AI234" i="1"/>
  <c r="AI238" i="1"/>
  <c r="AI242" i="1"/>
  <c r="AI246" i="1"/>
  <c r="AI250" i="1"/>
  <c r="AI254" i="1"/>
  <c r="AI258" i="1"/>
  <c r="AI262" i="1"/>
  <c r="AI266" i="1"/>
  <c r="AI270" i="1"/>
  <c r="AI274" i="1"/>
  <c r="AI278" i="1"/>
  <c r="AI282" i="1"/>
  <c r="AI286" i="1"/>
  <c r="AI290" i="1"/>
  <c r="AI294" i="1"/>
  <c r="AI298" i="1"/>
  <c r="AI302" i="1"/>
  <c r="AI306" i="1"/>
  <c r="AI311" i="1"/>
  <c r="AI315" i="1"/>
  <c r="AI319" i="1"/>
  <c r="AI323" i="1"/>
  <c r="AI326" i="1"/>
  <c r="AI330" i="1"/>
  <c r="AI334" i="1"/>
  <c r="AI338" i="1"/>
  <c r="AI342" i="1"/>
  <c r="AI346" i="1"/>
  <c r="AI350" i="1"/>
  <c r="AI354" i="1"/>
  <c r="AI358" i="1"/>
  <c r="AI362" i="1"/>
  <c r="AI366" i="1"/>
  <c r="AI370" i="1"/>
  <c r="AI374" i="1"/>
  <c r="AI378" i="1"/>
  <c r="AI382" i="1"/>
  <c r="AI386" i="1"/>
  <c r="AI390" i="1"/>
  <c r="AI395" i="1"/>
  <c r="AI399" i="1"/>
  <c r="AI403" i="1"/>
  <c r="AI407" i="1"/>
  <c r="AI411" i="1"/>
  <c r="AI415" i="1"/>
  <c r="AI419" i="1"/>
  <c r="AI423" i="1"/>
  <c r="AI427" i="1"/>
  <c r="AI431" i="1"/>
  <c r="AI435" i="1"/>
  <c r="AI439" i="1"/>
  <c r="AI443" i="1"/>
  <c r="AI447" i="1"/>
  <c r="AI451" i="1"/>
  <c r="AI455" i="1"/>
  <c r="AI459" i="1"/>
  <c r="AI463" i="1"/>
  <c r="AI467" i="1"/>
  <c r="AI471" i="1"/>
  <c r="AI475" i="1"/>
  <c r="AI479" i="1"/>
  <c r="AI483" i="1"/>
  <c r="AI487" i="1"/>
  <c r="AI491" i="1"/>
  <c r="AI495" i="1"/>
  <c r="AI499" i="1"/>
  <c r="AI503" i="1"/>
  <c r="AI507" i="1"/>
  <c r="AI511" i="1"/>
  <c r="AI515" i="1"/>
  <c r="AI519" i="1"/>
  <c r="AI523" i="1"/>
  <c r="AI527" i="1"/>
  <c r="AI531" i="1"/>
  <c r="AI535" i="1"/>
  <c r="AI539" i="1"/>
  <c r="AI543" i="1"/>
  <c r="AI547" i="1"/>
  <c r="AI551" i="1"/>
  <c r="AI555" i="1"/>
  <c r="AI559" i="1"/>
  <c r="AI563" i="1"/>
  <c r="AI567" i="1"/>
  <c r="AI571" i="1"/>
  <c r="AI575" i="1"/>
  <c r="AI579" i="1"/>
  <c r="AI583" i="1"/>
  <c r="AI587" i="1"/>
  <c r="AI591" i="1"/>
  <c r="AI595" i="1"/>
  <c r="AI599" i="1"/>
  <c r="AI603" i="1"/>
  <c r="AI607" i="1"/>
  <c r="AI611" i="1"/>
  <c r="AI615" i="1"/>
  <c r="AI619" i="1"/>
  <c r="AI623" i="1"/>
  <c r="AI627" i="1"/>
  <c r="AI631" i="1"/>
  <c r="AI635" i="1"/>
  <c r="AI639" i="1"/>
  <c r="AI643" i="1"/>
  <c r="AI647" i="1"/>
  <c r="AI651" i="1"/>
  <c r="AI654" i="1"/>
  <c r="AI658" i="1"/>
  <c r="AI662" i="1"/>
  <c r="AI666" i="1"/>
  <c r="AI670" i="1"/>
  <c r="AI674" i="1"/>
  <c r="AI678" i="1"/>
  <c r="AI682" i="1"/>
  <c r="AI686" i="1"/>
  <c r="AI690" i="1"/>
  <c r="AI694" i="1"/>
  <c r="AI698" i="1"/>
  <c r="AI702" i="1"/>
  <c r="AI706" i="1"/>
  <c r="AI710" i="1"/>
  <c r="AI714" i="1"/>
  <c r="AI718" i="1"/>
  <c r="AI722" i="1"/>
  <c r="AI726" i="1"/>
  <c r="AI730" i="1"/>
  <c r="AI734" i="1"/>
  <c r="AI738" i="1"/>
  <c r="AI742" i="1"/>
  <c r="AI746" i="1"/>
  <c r="AI750" i="1"/>
  <c r="AI754" i="1"/>
  <c r="AI758" i="1"/>
  <c r="AI762" i="1"/>
  <c r="AI766" i="1"/>
  <c r="AI768" i="1"/>
  <c r="AI772" i="1"/>
  <c r="AI776" i="1"/>
  <c r="AI780" i="1"/>
  <c r="AI784" i="1"/>
  <c r="AI788" i="1"/>
  <c r="AI792" i="1"/>
  <c r="AI796" i="1"/>
  <c r="AI808" i="1"/>
  <c r="AI831" i="1"/>
  <c r="AI840" i="1"/>
  <c r="AI848" i="1"/>
  <c r="AI862" i="1"/>
  <c r="AI863" i="1"/>
  <c r="AI824" i="1"/>
  <c r="AI832" i="1"/>
  <c r="AI839" i="1"/>
  <c r="AI847" i="1"/>
  <c r="AI884" i="1"/>
  <c r="AI888" i="1"/>
  <c r="AI938" i="1"/>
  <c r="AI944" i="1"/>
  <c r="AI948" i="1"/>
  <c r="AI952" i="1"/>
  <c r="AI954" i="1"/>
  <c r="AI960" i="1"/>
  <c r="AI978" i="1"/>
  <c r="AI985" i="1"/>
  <c r="O1020" i="1"/>
  <c r="O1024" i="1"/>
  <c r="AI871" i="1"/>
  <c r="AI877" i="1"/>
  <c r="AI879" i="1"/>
  <c r="AI889" i="1"/>
  <c r="AI989" i="1"/>
  <c r="AI835" i="1"/>
  <c r="AI843" i="1"/>
  <c r="AI851" i="1"/>
  <c r="AI906" i="1"/>
  <c r="AI1000" i="1"/>
  <c r="AI1021" i="1"/>
  <c r="AI866" i="1"/>
  <c r="AI873" i="1"/>
  <c r="AI874" i="1"/>
  <c r="AI897" i="1"/>
  <c r="AI940" i="1"/>
  <c r="AI956" i="1"/>
  <c r="AI958" i="1"/>
  <c r="AI964" i="1"/>
  <c r="AI972" i="1"/>
  <c r="AI980" i="1"/>
  <c r="AI1001" i="1"/>
  <c r="AI1020" i="1"/>
  <c r="AI982" i="1"/>
  <c r="AI984" i="1"/>
  <c r="O1061" i="1"/>
  <c r="AI1061" i="1" s="1"/>
  <c r="O1069" i="1"/>
  <c r="O1072" i="1"/>
  <c r="AI1072" i="1" s="1"/>
  <c r="O1080" i="1"/>
  <c r="O1087" i="1"/>
  <c r="AI1087" i="1" s="1"/>
  <c r="O1090" i="1"/>
  <c r="AI1090" i="1" s="1"/>
  <c r="O1096" i="1"/>
  <c r="O1105" i="1"/>
  <c r="O1124" i="1"/>
  <c r="AI1124" i="1" s="1"/>
  <c r="O1192" i="1"/>
  <c r="O1208" i="1"/>
  <c r="O1212" i="1"/>
  <c r="O1054" i="1"/>
  <c r="O1056" i="1"/>
  <c r="AI1060" i="1"/>
  <c r="O1064" i="1"/>
  <c r="AI1064" i="1" s="1"/>
  <c r="AI1068" i="1"/>
  <c r="AI1071" i="1"/>
  <c r="O1075" i="1"/>
  <c r="AI1079" i="1"/>
  <c r="O1084" i="1"/>
  <c r="AI1084" i="1" s="1"/>
  <c r="AI1086" i="1"/>
  <c r="AI1095" i="1"/>
  <c r="O1099" i="1"/>
  <c r="AI995" i="1"/>
  <c r="AI1015" i="1"/>
  <c r="O1032" i="1"/>
  <c r="AI1033" i="1"/>
  <c r="O1184" i="1"/>
  <c r="O1200" i="1"/>
  <c r="AI1075" i="1"/>
  <c r="AI1080" i="1"/>
  <c r="AI1082" i="1"/>
  <c r="AI1096" i="1"/>
  <c r="O1104" i="1"/>
  <c r="AI1104" i="1" s="1"/>
  <c r="AI1105" i="1"/>
  <c r="O1138" i="1"/>
  <c r="O1188" i="1"/>
  <c r="O1204" i="1"/>
  <c r="O1108" i="1"/>
  <c r="O1117" i="1"/>
  <c r="O1140" i="1"/>
  <c r="O1179" i="1"/>
  <c r="AI1179" i="1" s="1"/>
  <c r="AI1185" i="1"/>
  <c r="O1187" i="1"/>
  <c r="AI1187" i="1" s="1"/>
  <c r="O1195" i="1"/>
  <c r="AI1195" i="1" s="1"/>
  <c r="O1218" i="1"/>
  <c r="AI1223" i="1"/>
  <c r="O1235" i="1"/>
  <c r="AI1235" i="1" s="1"/>
  <c r="O1239" i="1"/>
  <c r="AI1243" i="1"/>
  <c r="O1153" i="1"/>
  <c r="O1173" i="1"/>
  <c r="O1193" i="1"/>
  <c r="AI1193" i="1" s="1"/>
  <c r="AI1108" i="1"/>
  <c r="AI1117" i="1"/>
  <c r="O1183" i="1"/>
  <c r="AI1183" i="1" s="1"/>
  <c r="O1191" i="1"/>
  <c r="AI1191" i="1" s="1"/>
  <c r="O1227" i="1"/>
  <c r="AI1227" i="1" s="1"/>
  <c r="O1237" i="1"/>
  <c r="AI1237" i="1" s="1"/>
  <c r="O1247" i="1"/>
  <c r="AI1247" i="1" s="1"/>
  <c r="O1114" i="1"/>
  <c r="AI1114" i="1" s="1"/>
  <c r="O1123" i="1"/>
  <c r="O1145" i="1"/>
  <c r="O1161" i="1"/>
  <c r="O1181" i="1"/>
  <c r="AI1181" i="1" s="1"/>
  <c r="O1189" i="1"/>
  <c r="AI1189" i="1" s="1"/>
  <c r="O1202" i="1"/>
  <c r="O1210" i="1"/>
  <c r="O1221" i="1"/>
  <c r="O1231" i="1"/>
  <c r="AI1239" i="1"/>
  <c r="O1251" i="1"/>
  <c r="AI1224" i="1"/>
  <c r="K1261" i="1"/>
  <c r="K1263" i="1"/>
  <c r="K1265" i="1"/>
  <c r="K1267" i="1"/>
  <c r="K1277" i="1"/>
  <c r="K1279" i="1"/>
  <c r="K1312" i="1"/>
  <c r="K1315" i="1"/>
  <c r="K1317" i="1"/>
  <c r="O1327" i="1"/>
  <c r="O1331" i="1"/>
  <c r="O1335" i="1"/>
  <c r="K1341" i="1"/>
  <c r="AI1342" i="1"/>
  <c r="O1360" i="1"/>
  <c r="O1362" i="1"/>
  <c r="K1383" i="1"/>
  <c r="AI1251" i="1"/>
  <c r="O1259" i="1"/>
  <c r="K1270" i="1"/>
  <c r="K1272" i="1"/>
  <c r="K1273" i="1"/>
  <c r="K1275" i="1"/>
  <c r="K1281" i="1"/>
  <c r="O1285" i="1"/>
  <c r="K1289" i="1"/>
  <c r="O1226" i="1"/>
  <c r="K1260" i="1"/>
  <c r="K1262" i="1"/>
  <c r="K1264" i="1"/>
  <c r="K1266" i="1"/>
  <c r="K1278" i="1"/>
  <c r="K1284" i="1"/>
  <c r="K1288" i="1"/>
  <c r="K1291" i="1"/>
  <c r="K1294" i="1"/>
  <c r="K1309" i="1"/>
  <c r="K1321" i="1"/>
  <c r="O1324" i="1"/>
  <c r="O1333" i="1"/>
  <c r="K1342" i="1"/>
  <c r="O1353" i="1"/>
  <c r="AI1353" i="1" s="1"/>
  <c r="K1256" i="1"/>
  <c r="K1283" i="1"/>
  <c r="AI1288" i="1"/>
  <c r="O1297" i="1"/>
  <c r="AI1297" i="1" s="1"/>
  <c r="K1339" i="1"/>
  <c r="AI1360" i="1"/>
  <c r="K1367" i="1"/>
  <c r="K1373" i="1"/>
  <c r="K1377" i="1"/>
  <c r="AH1377" i="1"/>
  <c r="AH1382" i="1"/>
  <c r="AH1385" i="1"/>
  <c r="K1392" i="1"/>
  <c r="K1303" i="1"/>
  <c r="K1310" i="1"/>
  <c r="K1318" i="1"/>
  <c r="O1361" i="1"/>
  <c r="K1363" i="1"/>
  <c r="O1365" i="1"/>
  <c r="K1369" i="1"/>
  <c r="AH1372" i="1"/>
  <c r="AH1374" i="1"/>
  <c r="AH1379" i="1"/>
  <c r="K1382" i="1"/>
  <c r="AH1384" i="1"/>
  <c r="AH1387" i="1"/>
  <c r="K1388" i="1"/>
  <c r="AH1394" i="1"/>
  <c r="K1396" i="1"/>
  <c r="AH1510" i="1"/>
  <c r="K1298" i="1"/>
  <c r="K1299" i="1"/>
  <c r="K1302" i="1"/>
  <c r="O1304" i="1"/>
  <c r="AI1304" i="1" s="1"/>
  <c r="K1306" i="1"/>
  <c r="O1321" i="1"/>
  <c r="AI1321" i="1" s="1"/>
  <c r="K1325" i="1"/>
  <c r="AI1327" i="1"/>
  <c r="K1338" i="1"/>
  <c r="O1340" i="1"/>
  <c r="O1344" i="1"/>
  <c r="K1345" i="1"/>
  <c r="O1349" i="1"/>
  <c r="AH1369" i="1"/>
  <c r="K1370" i="1"/>
  <c r="K1372" i="1"/>
  <c r="K1374" i="1"/>
  <c r="O1375" i="1"/>
  <c r="AI1375" i="1" s="1"/>
  <c r="AH1375" i="1"/>
  <c r="AH1378" i="1"/>
  <c r="K1384" i="1"/>
  <c r="K1393" i="1"/>
  <c r="AH1393" i="1"/>
  <c r="K1399" i="1"/>
  <c r="K1400" i="1"/>
  <c r="O1355" i="1"/>
  <c r="AI1355" i="1" s="1"/>
  <c r="AI1361" i="1"/>
  <c r="O1373" i="1"/>
  <c r="AH1383" i="1"/>
  <c r="K1386" i="1"/>
  <c r="K1523" i="1"/>
  <c r="O1494" i="1"/>
  <c r="AI1494" i="1" s="1"/>
  <c r="K1495" i="1"/>
  <c r="K1496" i="1"/>
  <c r="K1497" i="1"/>
  <c r="AH1497" i="1"/>
  <c r="K1498" i="1"/>
  <c r="AH1499" i="1"/>
  <c r="AH1503" i="1"/>
  <c r="AH1507" i="1"/>
  <c r="AH1511" i="1"/>
  <c r="AH1515" i="1"/>
  <c r="AH1519" i="1"/>
  <c r="AH1534" i="1"/>
  <c r="K1536" i="1"/>
  <c r="AH1536" i="1"/>
  <c r="K1539" i="1"/>
  <c r="AH1544" i="1"/>
  <c r="K1547" i="1"/>
  <c r="K1551" i="1"/>
  <c r="O1552" i="1"/>
  <c r="AI1552" i="1" s="1"/>
  <c r="AH1556" i="1"/>
  <c r="AH1564" i="1"/>
  <c r="O1570" i="1"/>
  <c r="AI1570" i="1" s="1"/>
  <c r="AH1574" i="1"/>
  <c r="AH1579" i="1"/>
  <c r="K1586" i="1"/>
  <c r="K1492" i="1"/>
  <c r="O1501" i="1"/>
  <c r="AI1501" i="1" s="1"/>
  <c r="O1505" i="1"/>
  <c r="AI1505" i="1" s="1"/>
  <c r="O1509" i="1"/>
  <c r="O1513" i="1"/>
  <c r="AI1513" i="1" s="1"/>
  <c r="O1517" i="1"/>
  <c r="AI1517" i="1" s="1"/>
  <c r="O1521" i="1"/>
  <c r="K1524" i="1"/>
  <c r="AH1524" i="1"/>
  <c r="AH1528" i="1"/>
  <c r="O1530" i="1"/>
  <c r="AI1530" i="1" s="1"/>
  <c r="K1540" i="1"/>
  <c r="AH1540" i="1"/>
  <c r="K1543" i="1"/>
  <c r="AH1523" i="1"/>
  <c r="O1526" i="1"/>
  <c r="AI1526" i="1" s="1"/>
  <c r="AH1572" i="1"/>
  <c r="K1534" i="1"/>
  <c r="AH1535" i="1"/>
  <c r="AH1552" i="1"/>
  <c r="K1553" i="1"/>
  <c r="AH1557" i="1"/>
  <c r="K1559" i="1"/>
  <c r="AH1565" i="1"/>
  <c r="K1574" i="1"/>
  <c r="O1580" i="1"/>
  <c r="AI1580" i="1" s="1"/>
  <c r="AH1580" i="1"/>
  <c r="K1582" i="1"/>
  <c r="AH1587" i="1"/>
  <c r="K1591" i="1"/>
  <c r="K1548" i="1"/>
  <c r="K1554" i="1"/>
  <c r="AH1560" i="1"/>
  <c r="K1561" i="1"/>
  <c r="AH1562" i="1"/>
  <c r="K1567" i="1"/>
  <c r="AH1568" i="1"/>
  <c r="O1571" i="1"/>
  <c r="AI1571" i="1" s="1"/>
  <c r="AH1575" i="1"/>
  <c r="K1576" i="1"/>
  <c r="AH1577" i="1"/>
  <c r="AH1578" i="1"/>
  <c r="O1581" i="1"/>
  <c r="AI1581" i="1" s="1"/>
  <c r="AH1583" i="1"/>
  <c r="K1584" i="1"/>
  <c r="K1585" i="1"/>
  <c r="O1588" i="1"/>
  <c r="AI1588" i="1" s="1"/>
  <c r="AH1588" i="1"/>
  <c r="K1589" i="1"/>
  <c r="AH1591" i="1"/>
  <c r="K1592" i="1"/>
  <c r="O1594" i="1"/>
  <c r="AH1529" i="1"/>
  <c r="AH1531" i="1"/>
  <c r="AH1539" i="1"/>
  <c r="O1542" i="1"/>
  <c r="AI1542" i="1" s="1"/>
  <c r="AH1548" i="1"/>
  <c r="K1555" i="1"/>
  <c r="AH1561" i="1"/>
  <c r="K1563" i="1"/>
  <c r="AH1567" i="1"/>
  <c r="K1568" i="1"/>
  <c r="K1569" i="1"/>
  <c r="AH1571" i="1"/>
  <c r="K1572" i="1"/>
  <c r="AH1576" i="1"/>
  <c r="K1577" i="1"/>
  <c r="K1578" i="1"/>
  <c r="AH1585" i="1"/>
  <c r="K1491" i="1"/>
  <c r="AH1489" i="1"/>
  <c r="AH1490" i="1"/>
  <c r="O1490" i="1"/>
  <c r="AI1490" i="1" s="1"/>
  <c r="K1488" i="1"/>
  <c r="AH1487" i="1"/>
  <c r="AH1486" i="1"/>
  <c r="AH1488" i="1"/>
  <c r="O1486" i="1"/>
  <c r="AI1486" i="1" s="1"/>
  <c r="K1487" i="1"/>
  <c r="AH1485" i="1"/>
  <c r="K1485" i="1"/>
  <c r="AH1484" i="1"/>
  <c r="K1484" i="1"/>
  <c r="AH1482" i="1"/>
  <c r="AH1483" i="1"/>
  <c r="O1482" i="1"/>
  <c r="AI1482" i="1" s="1"/>
  <c r="K1483" i="1"/>
  <c r="AH1480" i="1"/>
  <c r="AH1481" i="1"/>
  <c r="K1481" i="1"/>
  <c r="K1480" i="1"/>
  <c r="AH1479" i="1"/>
  <c r="K1479" i="1"/>
  <c r="K1478" i="1"/>
  <c r="AI819" i="1"/>
  <c r="AI820" i="1"/>
  <c r="AI827" i="1"/>
  <c r="AI828" i="1"/>
  <c r="AI859" i="1"/>
  <c r="AI854" i="1"/>
  <c r="AI867" i="1"/>
  <c r="AI817" i="1"/>
  <c r="AI818" i="1"/>
  <c r="AI826" i="1"/>
  <c r="AI800" i="1"/>
  <c r="AI815" i="1"/>
  <c r="AI825" i="1"/>
  <c r="AI895" i="1"/>
  <c r="AI908" i="1"/>
  <c r="AI911" i="1"/>
  <c r="AI916" i="1"/>
  <c r="AI918" i="1"/>
  <c r="AI936" i="1"/>
  <c r="AI943" i="1"/>
  <c r="AI951" i="1"/>
  <c r="AI963" i="1"/>
  <c r="AI994" i="1"/>
  <c r="AI1049" i="1"/>
  <c r="AI833" i="1"/>
  <c r="AI837" i="1"/>
  <c r="AI841" i="1"/>
  <c r="AI845" i="1"/>
  <c r="AI849" i="1"/>
  <c r="AI853" i="1"/>
  <c r="AI876" i="1"/>
  <c r="AI890" i="1"/>
  <c r="AI905" i="1"/>
  <c r="AI910" i="1"/>
  <c r="AI920" i="1"/>
  <c r="AI922" i="1"/>
  <c r="AI928" i="1"/>
  <c r="AI931" i="1"/>
  <c r="AI947" i="1"/>
  <c r="AI959" i="1"/>
  <c r="AI966" i="1"/>
  <c r="AI971" i="1"/>
  <c r="AI1003" i="1"/>
  <c r="AI804" i="1"/>
  <c r="AI821" i="1"/>
  <c r="AI829" i="1"/>
  <c r="AI834" i="1"/>
  <c r="AI838" i="1"/>
  <c r="AI842" i="1"/>
  <c r="AI846" i="1"/>
  <c r="AI850" i="1"/>
  <c r="AI856" i="1"/>
  <c r="AI860" i="1"/>
  <c r="AI864" i="1"/>
  <c r="AI868" i="1"/>
  <c r="AI872" i="1"/>
  <c r="AI878" i="1"/>
  <c r="AI883" i="1"/>
  <c r="AI902" i="1"/>
  <c r="AI924" i="1"/>
  <c r="AI926" i="1"/>
  <c r="AI929" i="1"/>
  <c r="AI930" i="1"/>
  <c r="AI932" i="1"/>
  <c r="AI933" i="1"/>
  <c r="AI939" i="1"/>
  <c r="AI967" i="1"/>
  <c r="AI968" i="1"/>
  <c r="AI974" i="1"/>
  <c r="AI979" i="1"/>
  <c r="AI987" i="1"/>
  <c r="AI990" i="1"/>
  <c r="AI802" i="1"/>
  <c r="AI809" i="1"/>
  <c r="AI857" i="1"/>
  <c r="AI861" i="1"/>
  <c r="AI865" i="1"/>
  <c r="AI869" i="1"/>
  <c r="AI881" i="1"/>
  <c r="AI882" i="1"/>
  <c r="AI885" i="1"/>
  <c r="AI887" i="1"/>
  <c r="AI898" i="1"/>
  <c r="AI901" i="1"/>
  <c r="AI912" i="1"/>
  <c r="AI914" i="1"/>
  <c r="AI942" i="1"/>
  <c r="AI950" i="1"/>
  <c r="AI955" i="1"/>
  <c r="AI975" i="1"/>
  <c r="AI976" i="1"/>
  <c r="AI983" i="1"/>
  <c r="AI993" i="1"/>
  <c r="AI996" i="1"/>
  <c r="AI997" i="1"/>
  <c r="AI1024" i="1"/>
  <c r="AI880" i="1"/>
  <c r="AI899" i="1"/>
  <c r="AI909" i="1"/>
  <c r="AI915" i="1"/>
  <c r="AI919" i="1"/>
  <c r="AI923" i="1"/>
  <c r="AI927" i="1"/>
  <c r="AI941" i="1"/>
  <c r="AI949" i="1"/>
  <c r="AI957" i="1"/>
  <c r="AI965" i="1"/>
  <c r="AI973" i="1"/>
  <c r="AI981" i="1"/>
  <c r="AI992" i="1"/>
  <c r="AI1002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O1126" i="1"/>
  <c r="AI886" i="1"/>
  <c r="AI896" i="1"/>
  <c r="AI986" i="1"/>
  <c r="O1023" i="1"/>
  <c r="AI1023" i="1" s="1"/>
  <c r="AI1054" i="1"/>
  <c r="AI893" i="1"/>
  <c r="AI903" i="1"/>
  <c r="AI913" i="1"/>
  <c r="AI917" i="1"/>
  <c r="AI921" i="1"/>
  <c r="AI925" i="1"/>
  <c r="AI934" i="1"/>
  <c r="AI945" i="1"/>
  <c r="AI953" i="1"/>
  <c r="AI961" i="1"/>
  <c r="AI969" i="1"/>
  <c r="AI977" i="1"/>
  <c r="AI988" i="1"/>
  <c r="AI999" i="1"/>
  <c r="O1019" i="1"/>
  <c r="AI1019" i="1" s="1"/>
  <c r="O1025" i="1"/>
  <c r="AI1025" i="1" s="1"/>
  <c r="O1027" i="1"/>
  <c r="AI1027" i="1" s="1"/>
  <c r="O1029" i="1"/>
  <c r="AI1029" i="1" s="1"/>
  <c r="O1031" i="1"/>
  <c r="AI1031" i="1" s="1"/>
  <c r="AI1032" i="1"/>
  <c r="O1035" i="1"/>
  <c r="AI1035" i="1" s="1"/>
  <c r="O1037" i="1"/>
  <c r="AI1037" i="1" s="1"/>
  <c r="O1050" i="1"/>
  <c r="AI1050" i="1" s="1"/>
  <c r="O1039" i="1"/>
  <c r="AI1039" i="1" s="1"/>
  <c r="O1041" i="1"/>
  <c r="AI1041" i="1" s="1"/>
  <c r="O1043" i="1"/>
  <c r="AI1043" i="1" s="1"/>
  <c r="O1045" i="1"/>
  <c r="AI1045" i="1" s="1"/>
  <c r="O1047" i="1"/>
  <c r="AI1047" i="1" s="1"/>
  <c r="O1051" i="1"/>
  <c r="AI1051" i="1" s="1"/>
  <c r="O1053" i="1"/>
  <c r="AI1053" i="1" s="1"/>
  <c r="O1057" i="1"/>
  <c r="AI1057" i="1" s="1"/>
  <c r="O1059" i="1"/>
  <c r="AI1059" i="1" s="1"/>
  <c r="O1067" i="1"/>
  <c r="AI1067" i="1" s="1"/>
  <c r="O1070" i="1"/>
  <c r="AI1070" i="1" s="1"/>
  <c r="O1078" i="1"/>
  <c r="AI1078" i="1" s="1"/>
  <c r="O1091" i="1"/>
  <c r="AI1091" i="1" s="1"/>
  <c r="O1094" i="1"/>
  <c r="AI1094" i="1" s="1"/>
  <c r="O1100" i="1"/>
  <c r="AI1100" i="1" s="1"/>
  <c r="O1103" i="1"/>
  <c r="AI1103" i="1" s="1"/>
  <c r="O1111" i="1"/>
  <c r="AI1111" i="1" s="1"/>
  <c r="O1120" i="1"/>
  <c r="AI1120" i="1" s="1"/>
  <c r="O1130" i="1"/>
  <c r="AI1130" i="1" s="1"/>
  <c r="O1018" i="1"/>
  <c r="AI1018" i="1" s="1"/>
  <c r="O1022" i="1"/>
  <c r="AI1022" i="1" s="1"/>
  <c r="O1026" i="1"/>
  <c r="AI1026" i="1" s="1"/>
  <c r="O1028" i="1"/>
  <c r="AI1028" i="1" s="1"/>
  <c r="O1030" i="1"/>
  <c r="AI1030" i="1" s="1"/>
  <c r="O1034" i="1"/>
  <c r="AI1034" i="1" s="1"/>
  <c r="O1036" i="1"/>
  <c r="AI1036" i="1" s="1"/>
  <c r="O1038" i="1"/>
  <c r="AI1038" i="1" s="1"/>
  <c r="O1040" i="1"/>
  <c r="AI1040" i="1" s="1"/>
  <c r="O1042" i="1"/>
  <c r="AI1042" i="1" s="1"/>
  <c r="O1044" i="1"/>
  <c r="AI1044" i="1" s="1"/>
  <c r="O1046" i="1"/>
  <c r="AI1046" i="1" s="1"/>
  <c r="O1048" i="1"/>
  <c r="AI1048" i="1" s="1"/>
  <c r="AI1056" i="1"/>
  <c r="AI1063" i="1"/>
  <c r="O1065" i="1"/>
  <c r="AI1065" i="1" s="1"/>
  <c r="AI1069" i="1"/>
  <c r="AI1074" i="1"/>
  <c r="O1076" i="1"/>
  <c r="AI1076" i="1" s="1"/>
  <c r="AI1089" i="1"/>
  <c r="O1092" i="1"/>
  <c r="AI1092" i="1" s="1"/>
  <c r="AI1098" i="1"/>
  <c r="AI1099" i="1"/>
  <c r="O1101" i="1"/>
  <c r="AI1101" i="1" s="1"/>
  <c r="AI1107" i="1"/>
  <c r="O1109" i="1"/>
  <c r="AI1109" i="1" s="1"/>
  <c r="O1112" i="1"/>
  <c r="AI1112" i="1" s="1"/>
  <c r="AI1113" i="1"/>
  <c r="AI1116" i="1"/>
  <c r="O1118" i="1"/>
  <c r="AI1118" i="1" s="1"/>
  <c r="AI1123" i="1"/>
  <c r="O1134" i="1"/>
  <c r="O1121" i="1"/>
  <c r="AI1121" i="1" s="1"/>
  <c r="AI1126" i="1"/>
  <c r="O1128" i="1"/>
  <c r="AI1128" i="1" s="1"/>
  <c r="O1132" i="1"/>
  <c r="AI1132" i="1" s="1"/>
  <c r="O1136" i="1"/>
  <c r="AI1136" i="1" s="1"/>
  <c r="O1141" i="1"/>
  <c r="AI1141" i="1" s="1"/>
  <c r="O1148" i="1"/>
  <c r="AI1148" i="1" s="1"/>
  <c r="O1154" i="1"/>
  <c r="O1160" i="1"/>
  <c r="AI1161" i="1"/>
  <c r="O1168" i="1"/>
  <c r="AI1168" i="1" s="1"/>
  <c r="AI1169" i="1"/>
  <c r="O1176" i="1"/>
  <c r="O1052" i="1"/>
  <c r="AI1052" i="1" s="1"/>
  <c r="O1055" i="1"/>
  <c r="AI1055" i="1" s="1"/>
  <c r="O1058" i="1"/>
  <c r="AI1058" i="1" s="1"/>
  <c r="O1062" i="1"/>
  <c r="AI1062" i="1" s="1"/>
  <c r="O1066" i="1"/>
  <c r="AI1066" i="1" s="1"/>
  <c r="O1073" i="1"/>
  <c r="AI1073" i="1" s="1"/>
  <c r="O1077" i="1"/>
  <c r="AI1077" i="1" s="1"/>
  <c r="O1081" i="1"/>
  <c r="AI1081" i="1" s="1"/>
  <c r="O1083" i="1"/>
  <c r="AI1083" i="1" s="1"/>
  <c r="O1085" i="1"/>
  <c r="AI1085" i="1" s="1"/>
  <c r="O1088" i="1"/>
  <c r="AI1088" i="1" s="1"/>
  <c r="O1093" i="1"/>
  <c r="AI1093" i="1" s="1"/>
  <c r="O1097" i="1"/>
  <c r="AI1097" i="1" s="1"/>
  <c r="O1102" i="1"/>
  <c r="AI1102" i="1" s="1"/>
  <c r="O1106" i="1"/>
  <c r="AI1106" i="1" s="1"/>
  <c r="O1110" i="1"/>
  <c r="AI1110" i="1" s="1"/>
  <c r="O1115" i="1"/>
  <c r="AI1115" i="1" s="1"/>
  <c r="O1119" i="1"/>
  <c r="AI1119" i="1" s="1"/>
  <c r="O1125" i="1"/>
  <c r="AI1125" i="1" s="1"/>
  <c r="O1137" i="1"/>
  <c r="AI1137" i="1" s="1"/>
  <c r="AI1138" i="1"/>
  <c r="O1146" i="1"/>
  <c r="AI1146" i="1" s="1"/>
  <c r="O1149" i="1"/>
  <c r="AI1149" i="1" s="1"/>
  <c r="O1122" i="1"/>
  <c r="AI1122" i="1" s="1"/>
  <c r="O1129" i="1"/>
  <c r="AI1129" i="1" s="1"/>
  <c r="O1131" i="1"/>
  <c r="AI1131" i="1" s="1"/>
  <c r="O1133" i="1"/>
  <c r="AI1133" i="1" s="1"/>
  <c r="AI1134" i="1"/>
  <c r="O1135" i="1"/>
  <c r="AI1135" i="1" s="1"/>
  <c r="AI1140" i="1"/>
  <c r="O1142" i="1"/>
  <c r="AI1142" i="1" s="1"/>
  <c r="O1144" i="1"/>
  <c r="AI1144" i="1" s="1"/>
  <c r="AI1145" i="1"/>
  <c r="O1147" i="1"/>
  <c r="AI1147" i="1" s="1"/>
  <c r="O1150" i="1"/>
  <c r="AI1150" i="1" s="1"/>
  <c r="AI1153" i="1"/>
  <c r="O1156" i="1"/>
  <c r="AI1156" i="1" s="1"/>
  <c r="AI1157" i="1"/>
  <c r="O1164" i="1"/>
  <c r="AI1164" i="1" s="1"/>
  <c r="AI1165" i="1"/>
  <c r="O1172" i="1"/>
  <c r="AI1172" i="1" s="1"/>
  <c r="AI1173" i="1"/>
  <c r="AI1177" i="1"/>
  <c r="O1127" i="1"/>
  <c r="AI1127" i="1" s="1"/>
  <c r="AI1154" i="1"/>
  <c r="AI1160" i="1"/>
  <c r="AI1176" i="1"/>
  <c r="O1151" i="1"/>
  <c r="AI1151" i="1" s="1"/>
  <c r="O1155" i="1"/>
  <c r="AI1155" i="1" s="1"/>
  <c r="O1158" i="1"/>
  <c r="AI1158" i="1" s="1"/>
  <c r="O1162" i="1"/>
  <c r="AI1162" i="1" s="1"/>
  <c r="O1166" i="1"/>
  <c r="AI1166" i="1" s="1"/>
  <c r="O1170" i="1"/>
  <c r="AI1170" i="1" s="1"/>
  <c r="O1174" i="1"/>
  <c r="AI1174" i="1" s="1"/>
  <c r="O1222" i="1"/>
  <c r="AI1222" i="1" s="1"/>
  <c r="O1242" i="1"/>
  <c r="AI1242" i="1" s="1"/>
  <c r="O1250" i="1"/>
  <c r="O1255" i="1"/>
  <c r="AI1255" i="1" s="1"/>
  <c r="O1258" i="1"/>
  <c r="AI1258" i="1" s="1"/>
  <c r="O1268" i="1"/>
  <c r="AI1268" i="1" s="1"/>
  <c r="O1271" i="1"/>
  <c r="AI1271" i="1" s="1"/>
  <c r="O1274" i="1"/>
  <c r="AI1274" i="1" s="1"/>
  <c r="K1276" i="1"/>
  <c r="K1286" i="1"/>
  <c r="K1287" i="1"/>
  <c r="K1290" i="1"/>
  <c r="O1295" i="1"/>
  <c r="AI1295" i="1" s="1"/>
  <c r="K1296" i="1"/>
  <c r="K1300" i="1"/>
  <c r="O1197" i="1"/>
  <c r="AI1197" i="1" s="1"/>
  <c r="O1199" i="1"/>
  <c r="AI1199" i="1" s="1"/>
  <c r="O1201" i="1"/>
  <c r="AI1201" i="1" s="1"/>
  <c r="O1203" i="1"/>
  <c r="AI1203" i="1" s="1"/>
  <c r="O1205" i="1"/>
  <c r="AI1205" i="1" s="1"/>
  <c r="O1207" i="1"/>
  <c r="AI1207" i="1" s="1"/>
  <c r="O1209" i="1"/>
  <c r="AI1209" i="1" s="1"/>
  <c r="O1211" i="1"/>
  <c r="AI1211" i="1" s="1"/>
  <c r="O1213" i="1"/>
  <c r="AI1213" i="1" s="1"/>
  <c r="O1215" i="1"/>
  <c r="AI1215" i="1" s="1"/>
  <c r="O1217" i="1"/>
  <c r="AI1217" i="1" s="1"/>
  <c r="O1219" i="1"/>
  <c r="AI1219" i="1" s="1"/>
  <c r="AI1221" i="1"/>
  <c r="O1232" i="1"/>
  <c r="AI1232" i="1" s="1"/>
  <c r="O1234" i="1"/>
  <c r="AI1234" i="1" s="1"/>
  <c r="O1240" i="1"/>
  <c r="AI1240" i="1" s="1"/>
  <c r="O1248" i="1"/>
  <c r="AI1248" i="1" s="1"/>
  <c r="O1257" i="1"/>
  <c r="K1259" i="1"/>
  <c r="K1285" i="1"/>
  <c r="O1287" i="1"/>
  <c r="AI1287" i="1" s="1"/>
  <c r="AI1178" i="1"/>
  <c r="AI1180" i="1"/>
  <c r="AI1182" i="1"/>
  <c r="AI1184" i="1"/>
  <c r="AI1186" i="1"/>
  <c r="AI1188" i="1"/>
  <c r="AI1190" i="1"/>
  <c r="AI1192" i="1"/>
  <c r="AI1194" i="1"/>
  <c r="AI1196" i="1"/>
  <c r="AI1198" i="1"/>
  <c r="AI1200" i="1"/>
  <c r="AI1202" i="1"/>
  <c r="AI1204" i="1"/>
  <c r="AI1206" i="1"/>
  <c r="AI1208" i="1"/>
  <c r="AI1210" i="1"/>
  <c r="AI1212" i="1"/>
  <c r="AI1214" i="1"/>
  <c r="AI1216" i="1"/>
  <c r="AI1218" i="1"/>
  <c r="AI1226" i="1"/>
  <c r="O1228" i="1"/>
  <c r="AI1228" i="1" s="1"/>
  <c r="O1230" i="1"/>
  <c r="AI1230" i="1" s="1"/>
  <c r="AI1231" i="1"/>
  <c r="AI1244" i="1"/>
  <c r="O1246" i="1"/>
  <c r="AI1246" i="1" s="1"/>
  <c r="AI1252" i="1"/>
  <c r="O1254" i="1"/>
  <c r="AI1254" i="1" s="1"/>
  <c r="AI1257" i="1"/>
  <c r="K1258" i="1"/>
  <c r="K1268" i="1"/>
  <c r="K1271" i="1"/>
  <c r="K1274" i="1"/>
  <c r="O1276" i="1"/>
  <c r="O1286" i="1"/>
  <c r="AI1286" i="1" s="1"/>
  <c r="O1290" i="1"/>
  <c r="AI1290" i="1" s="1"/>
  <c r="K1295" i="1"/>
  <c r="O1296" i="1"/>
  <c r="AI1296" i="1" s="1"/>
  <c r="O1300" i="1"/>
  <c r="AI1300" i="1" s="1"/>
  <c r="O1139" i="1"/>
  <c r="AI1139" i="1" s="1"/>
  <c r="O1143" i="1"/>
  <c r="AI1143" i="1" s="1"/>
  <c r="O1152" i="1"/>
  <c r="AI1152" i="1" s="1"/>
  <c r="O1159" i="1"/>
  <c r="AI1159" i="1" s="1"/>
  <c r="O1163" i="1"/>
  <c r="AI1163" i="1" s="1"/>
  <c r="O1167" i="1"/>
  <c r="AI1167" i="1" s="1"/>
  <c r="O1171" i="1"/>
  <c r="AI1171" i="1" s="1"/>
  <c r="O1175" i="1"/>
  <c r="AI1175" i="1" s="1"/>
  <c r="AI1250" i="1"/>
  <c r="AI1259" i="1"/>
  <c r="AI1276" i="1"/>
  <c r="AI1285" i="1"/>
  <c r="O1220" i="1"/>
  <c r="AI1220" i="1" s="1"/>
  <c r="O1307" i="1"/>
  <c r="O1309" i="1"/>
  <c r="AI1309" i="1" s="1"/>
  <c r="O1311" i="1"/>
  <c r="O1313" i="1"/>
  <c r="AI1313" i="1" s="1"/>
  <c r="O1315" i="1"/>
  <c r="AI1315" i="1" s="1"/>
  <c r="O1317" i="1"/>
  <c r="O1320" i="1"/>
  <c r="AI1320" i="1" s="1"/>
  <c r="K1320" i="1"/>
  <c r="O1322" i="1"/>
  <c r="AI1322" i="1" s="1"/>
  <c r="K1322" i="1"/>
  <c r="O1328" i="1"/>
  <c r="AI1328" i="1" s="1"/>
  <c r="K1328" i="1"/>
  <c r="AI1331" i="1"/>
  <c r="AI1332" i="1"/>
  <c r="AI1333" i="1"/>
  <c r="AI1334" i="1"/>
  <c r="K1337" i="1"/>
  <c r="AI1344" i="1"/>
  <c r="K1346" i="1"/>
  <c r="O1348" i="1"/>
  <c r="AI1348" i="1" s="1"/>
  <c r="O1225" i="1"/>
  <c r="AI1225" i="1" s="1"/>
  <c r="O1229" i="1"/>
  <c r="AI1229" i="1" s="1"/>
  <c r="O1233" i="1"/>
  <c r="AI1233" i="1" s="1"/>
  <c r="O1236" i="1"/>
  <c r="AI1236" i="1" s="1"/>
  <c r="O1238" i="1"/>
  <c r="AI1238" i="1" s="1"/>
  <c r="O1241" i="1"/>
  <c r="AI1241" i="1" s="1"/>
  <c r="O1245" i="1"/>
  <c r="AI1245" i="1" s="1"/>
  <c r="O1249" i="1"/>
  <c r="AI1249" i="1" s="1"/>
  <c r="O1253" i="1"/>
  <c r="AI1253" i="1" s="1"/>
  <c r="O1256" i="1"/>
  <c r="AI1256" i="1" s="1"/>
  <c r="O1269" i="1"/>
  <c r="AI1269" i="1" s="1"/>
  <c r="O1270" i="1"/>
  <c r="AI1270" i="1" s="1"/>
  <c r="O1272" i="1"/>
  <c r="AI1272" i="1" s="1"/>
  <c r="O1275" i="1"/>
  <c r="AI1275" i="1" s="1"/>
  <c r="O1280" i="1"/>
  <c r="AI1280" i="1" s="1"/>
  <c r="O1281" i="1"/>
  <c r="AI1281" i="1" s="1"/>
  <c r="O1282" i="1"/>
  <c r="AI1282" i="1" s="1"/>
  <c r="O1283" i="1"/>
  <c r="AI1283" i="1" s="1"/>
  <c r="O1284" i="1"/>
  <c r="AI1284" i="1" s="1"/>
  <c r="O1291" i="1"/>
  <c r="AI1291" i="1" s="1"/>
  <c r="O1293" i="1"/>
  <c r="AI1293" i="1" s="1"/>
  <c r="O1294" i="1"/>
  <c r="AI1294" i="1" s="1"/>
  <c r="O1299" i="1"/>
  <c r="AI1299" i="1" s="1"/>
  <c r="O1302" i="1"/>
  <c r="AI1302" i="1" s="1"/>
  <c r="O1303" i="1"/>
  <c r="AI1303" i="1" s="1"/>
  <c r="O1306" i="1"/>
  <c r="AI1306" i="1" s="1"/>
  <c r="O1316" i="1"/>
  <c r="AI1316" i="1" s="1"/>
  <c r="K1316" i="1"/>
  <c r="O1323" i="1"/>
  <c r="AI1323" i="1" s="1"/>
  <c r="K1323" i="1"/>
  <c r="O1325" i="1"/>
  <c r="AI1325" i="1" s="1"/>
  <c r="O1329" i="1"/>
  <c r="AI1329" i="1" s="1"/>
  <c r="K1329" i="1"/>
  <c r="O1338" i="1"/>
  <c r="AI1338" i="1" s="1"/>
  <c r="K1340" i="1"/>
  <c r="O1343" i="1"/>
  <c r="AI1343" i="1" s="1"/>
  <c r="K1344" i="1"/>
  <c r="K1349" i="1"/>
  <c r="AI1354" i="1"/>
  <c r="K1280" i="1"/>
  <c r="K1304" i="1"/>
  <c r="K1305" i="1"/>
  <c r="AI1305" i="1"/>
  <c r="O1308" i="1"/>
  <c r="AI1308" i="1" s="1"/>
  <c r="O1310" i="1"/>
  <c r="AI1310" i="1" s="1"/>
  <c r="O1312" i="1"/>
  <c r="AI1312" i="1" s="1"/>
  <c r="O1314" i="1"/>
  <c r="AI1314" i="1" s="1"/>
  <c r="O1318" i="1"/>
  <c r="AI1318" i="1" s="1"/>
  <c r="K1324" i="1"/>
  <c r="AI1324" i="1"/>
  <c r="O1326" i="1"/>
  <c r="AI1326" i="1" s="1"/>
  <c r="K1326" i="1"/>
  <c r="O1330" i="1"/>
  <c r="AI1330" i="1" s="1"/>
  <c r="K1330" i="1"/>
  <c r="O1336" i="1"/>
  <c r="AI1336" i="1" s="1"/>
  <c r="O1337" i="1"/>
  <c r="AI1337" i="1" s="1"/>
  <c r="O1346" i="1"/>
  <c r="AI1346" i="1" s="1"/>
  <c r="K1348" i="1"/>
  <c r="K1354" i="1"/>
  <c r="O1260" i="1"/>
  <c r="AI1260" i="1" s="1"/>
  <c r="O1261" i="1"/>
  <c r="AI1261" i="1" s="1"/>
  <c r="O1262" i="1"/>
  <c r="AI1262" i="1" s="1"/>
  <c r="O1263" i="1"/>
  <c r="AI1263" i="1" s="1"/>
  <c r="O1264" i="1"/>
  <c r="AI1264" i="1" s="1"/>
  <c r="O1265" i="1"/>
  <c r="AI1265" i="1" s="1"/>
  <c r="O1266" i="1"/>
  <c r="AI1266" i="1" s="1"/>
  <c r="O1267" i="1"/>
  <c r="AI1267" i="1" s="1"/>
  <c r="O1273" i="1"/>
  <c r="AI1273" i="1" s="1"/>
  <c r="O1277" i="1"/>
  <c r="AI1277" i="1" s="1"/>
  <c r="O1278" i="1"/>
  <c r="AI1278" i="1" s="1"/>
  <c r="O1279" i="1"/>
  <c r="AI1279" i="1" s="1"/>
  <c r="O1289" i="1"/>
  <c r="AI1289" i="1" s="1"/>
  <c r="O1292" i="1"/>
  <c r="AI1292" i="1" s="1"/>
  <c r="O1298" i="1"/>
  <c r="AI1298" i="1" s="1"/>
  <c r="O1301" i="1"/>
  <c r="AI1301" i="1" s="1"/>
  <c r="AI1307" i="1"/>
  <c r="AI1311" i="1"/>
  <c r="AI1317" i="1"/>
  <c r="K1319" i="1"/>
  <c r="K1327" i="1"/>
  <c r="K1331" i="1"/>
  <c r="K1332" i="1"/>
  <c r="K1333" i="1"/>
  <c r="K1334" i="1"/>
  <c r="K1335" i="1"/>
  <c r="AI1335" i="1"/>
  <c r="AI1340" i="1"/>
  <c r="AI1349" i="1"/>
  <c r="O1356" i="1"/>
  <c r="AI1356" i="1" s="1"/>
  <c r="K1356" i="1"/>
  <c r="AI1362" i="1"/>
  <c r="K1366" i="1"/>
  <c r="K1371" i="1"/>
  <c r="K1379" i="1"/>
  <c r="O1380" i="1"/>
  <c r="AI1380" i="1" s="1"/>
  <c r="AH1389" i="1"/>
  <c r="AH1390" i="1"/>
  <c r="AH1391" i="1"/>
  <c r="K1395" i="1"/>
  <c r="AH1395" i="1"/>
  <c r="O1339" i="1"/>
  <c r="AI1339" i="1" s="1"/>
  <c r="O1347" i="1"/>
  <c r="AI1347" i="1" s="1"/>
  <c r="O1357" i="1"/>
  <c r="AI1357" i="1" s="1"/>
  <c r="K1357" i="1"/>
  <c r="O1358" i="1"/>
  <c r="AI1358" i="1" s="1"/>
  <c r="K1358" i="1"/>
  <c r="O1371" i="1"/>
  <c r="AI1371" i="1" s="1"/>
  <c r="AI1373" i="1"/>
  <c r="K1378" i="1"/>
  <c r="O1379" i="1"/>
  <c r="AI1379" i="1" s="1"/>
  <c r="O1398" i="1"/>
  <c r="O1359" i="1"/>
  <c r="AI1359" i="1" s="1"/>
  <c r="K1359" i="1"/>
  <c r="AI1365" i="1"/>
  <c r="O1366" i="1"/>
  <c r="O1369" i="1"/>
  <c r="AI1369" i="1" s="1"/>
  <c r="O1370" i="1"/>
  <c r="AI1370" i="1" s="1"/>
  <c r="O1374" i="1"/>
  <c r="AI1374" i="1" s="1"/>
  <c r="O1378" i="1"/>
  <c r="AI1378" i="1" s="1"/>
  <c r="K1381" i="1"/>
  <c r="K1387" i="1"/>
  <c r="K1394" i="1"/>
  <c r="AH1397" i="1"/>
  <c r="AH1475" i="1"/>
  <c r="O1479" i="1"/>
  <c r="AI1479" i="1" s="1"/>
  <c r="O1341" i="1"/>
  <c r="AI1341" i="1" s="1"/>
  <c r="O1345" i="1"/>
  <c r="AI1345" i="1" s="1"/>
  <c r="O1350" i="1"/>
  <c r="AI1350" i="1" s="1"/>
  <c r="O1351" i="1"/>
  <c r="AI1351" i="1" s="1"/>
  <c r="O1352" i="1"/>
  <c r="AI1352" i="1" s="1"/>
  <c r="K1355" i="1"/>
  <c r="K1360" i="1"/>
  <c r="K1361" i="1"/>
  <c r="K1362" i="1"/>
  <c r="O1363" i="1"/>
  <c r="AI1363" i="1" s="1"/>
  <c r="O1364" i="1"/>
  <c r="AI1364" i="1" s="1"/>
  <c r="AI1366" i="1"/>
  <c r="O1367" i="1"/>
  <c r="AI1367" i="1" s="1"/>
  <c r="K1389" i="1"/>
  <c r="O1396" i="1"/>
  <c r="K1398" i="1"/>
  <c r="O1372" i="1"/>
  <c r="AI1372" i="1" s="1"/>
  <c r="O1377" i="1"/>
  <c r="AI1377" i="1" s="1"/>
  <c r="O1382" i="1"/>
  <c r="O1388" i="1"/>
  <c r="O1390" i="1"/>
  <c r="AI1390" i="1" s="1"/>
  <c r="O1391" i="1"/>
  <c r="AI1391" i="1" s="1"/>
  <c r="O1392" i="1"/>
  <c r="AH1398" i="1"/>
  <c r="AH1455" i="1"/>
  <c r="O1480" i="1"/>
  <c r="AI1480" i="1" s="1"/>
  <c r="O1485" i="1"/>
  <c r="AI1485" i="1" s="1"/>
  <c r="O1495" i="1"/>
  <c r="AI1495" i="1" s="1"/>
  <c r="AH1401" i="1"/>
  <c r="O1475" i="1"/>
  <c r="AI1475" i="1" s="1"/>
  <c r="AH1477" i="1"/>
  <c r="O1481" i="1"/>
  <c r="AI1481" i="1" s="1"/>
  <c r="K1482" i="1"/>
  <c r="O1483" i="1"/>
  <c r="AI1483" i="1" s="1"/>
  <c r="O1484" i="1"/>
  <c r="AI1484" i="1" s="1"/>
  <c r="K1486" i="1"/>
  <c r="O1487" i="1"/>
  <c r="AI1487" i="1" s="1"/>
  <c r="O1489" i="1"/>
  <c r="AI1489" i="1" s="1"/>
  <c r="K1490" i="1"/>
  <c r="O1491" i="1"/>
  <c r="AI1491" i="1" s="1"/>
  <c r="O1493" i="1"/>
  <c r="AI1493" i="1" s="1"/>
  <c r="K1494" i="1"/>
  <c r="O1376" i="1"/>
  <c r="AI1376" i="1" s="1"/>
  <c r="O1387" i="1"/>
  <c r="O1389" i="1"/>
  <c r="O1394" i="1"/>
  <c r="O1399" i="1"/>
  <c r="AH1399" i="1"/>
  <c r="O1407" i="1"/>
  <c r="O1408" i="1"/>
  <c r="O1368" i="1"/>
  <c r="AI1368" i="1" s="1"/>
  <c r="O1381" i="1"/>
  <c r="AI1381" i="1" s="1"/>
  <c r="O1397" i="1"/>
  <c r="O1400" i="1"/>
  <c r="K1401" i="1"/>
  <c r="O1455" i="1"/>
  <c r="O1456" i="1"/>
  <c r="O1488" i="1"/>
  <c r="AI1488" i="1" s="1"/>
  <c r="K1489" i="1"/>
  <c r="O1492" i="1"/>
  <c r="AI1492" i="1" s="1"/>
  <c r="K1493" i="1"/>
  <c r="AH1494" i="1"/>
  <c r="AH1495" i="1"/>
  <c r="O1498" i="1"/>
  <c r="AI1498" i="1" s="1"/>
  <c r="K1521" i="1"/>
  <c r="AI1521" i="1"/>
  <c r="K1537" i="1"/>
  <c r="K1501" i="1"/>
  <c r="O1502" i="1"/>
  <c r="AI1502" i="1" s="1"/>
  <c r="K1505" i="1"/>
  <c r="O1506" i="1"/>
  <c r="AI1506" i="1" s="1"/>
  <c r="K1509" i="1"/>
  <c r="AI1509" i="1"/>
  <c r="O1510" i="1"/>
  <c r="AI1510" i="1" s="1"/>
  <c r="K1513" i="1"/>
  <c r="O1514" i="1"/>
  <c r="AI1514" i="1" s="1"/>
  <c r="K1517" i="1"/>
  <c r="O1518" i="1"/>
  <c r="AI1518" i="1" s="1"/>
  <c r="K1522" i="1"/>
  <c r="K1525" i="1"/>
  <c r="AI1525" i="1"/>
  <c r="O1528" i="1"/>
  <c r="AI1528" i="1" s="1"/>
  <c r="AH1533" i="1"/>
  <c r="K1538" i="1"/>
  <c r="K1541" i="1"/>
  <c r="AI1541" i="1"/>
  <c r="O1544" i="1"/>
  <c r="AI1544" i="1" s="1"/>
  <c r="AH1549" i="1"/>
  <c r="K1550" i="1"/>
  <c r="AH1500" i="1"/>
  <c r="AH1504" i="1"/>
  <c r="AH1508" i="1"/>
  <c r="AH1512" i="1"/>
  <c r="AH1516" i="1"/>
  <c r="AH1521" i="1"/>
  <c r="K1526" i="1"/>
  <c r="AH1526" i="1"/>
  <c r="O1529" i="1"/>
  <c r="AI1529" i="1" s="1"/>
  <c r="K1529" i="1"/>
  <c r="K1531" i="1"/>
  <c r="O1532" i="1"/>
  <c r="AI1532" i="1" s="1"/>
  <c r="O1534" i="1"/>
  <c r="AI1534" i="1" s="1"/>
  <c r="AH1537" i="1"/>
  <c r="K1542" i="1"/>
  <c r="AH1542" i="1"/>
  <c r="AH1550" i="1"/>
  <c r="O1496" i="1"/>
  <c r="AI1496" i="1" s="1"/>
  <c r="O1497" i="1"/>
  <c r="AI1497" i="1" s="1"/>
  <c r="O1499" i="1"/>
  <c r="AI1499" i="1" s="1"/>
  <c r="K1499" i="1"/>
  <c r="O1500" i="1"/>
  <c r="AI1500" i="1" s="1"/>
  <c r="O1503" i="1"/>
  <c r="AI1503" i="1" s="1"/>
  <c r="K1503" i="1"/>
  <c r="O1504" i="1"/>
  <c r="AI1504" i="1" s="1"/>
  <c r="O1507" i="1"/>
  <c r="AI1507" i="1" s="1"/>
  <c r="K1507" i="1"/>
  <c r="O1508" i="1"/>
  <c r="AI1508" i="1" s="1"/>
  <c r="O1511" i="1"/>
  <c r="AI1511" i="1" s="1"/>
  <c r="K1511" i="1"/>
  <c r="O1512" i="1"/>
  <c r="AI1512" i="1" s="1"/>
  <c r="O1515" i="1"/>
  <c r="AI1515" i="1" s="1"/>
  <c r="K1515" i="1"/>
  <c r="O1516" i="1"/>
  <c r="AI1516" i="1" s="1"/>
  <c r="O1519" i="1"/>
  <c r="AI1519" i="1" s="1"/>
  <c r="K1519" i="1"/>
  <c r="O1520" i="1"/>
  <c r="AI1520" i="1" s="1"/>
  <c r="O1522" i="1"/>
  <c r="AI1522" i="1" s="1"/>
  <c r="AI1524" i="1"/>
  <c r="AH1525" i="1"/>
  <c r="K1530" i="1"/>
  <c r="AH1530" i="1"/>
  <c r="O1533" i="1"/>
  <c r="AI1533" i="1" s="1"/>
  <c r="K1533" i="1"/>
  <c r="K1535" i="1"/>
  <c r="O1536" i="1"/>
  <c r="AI1536" i="1" s="1"/>
  <c r="O1538" i="1"/>
  <c r="AI1538" i="1" s="1"/>
  <c r="AI1540" i="1"/>
  <c r="AH1541" i="1"/>
  <c r="AH1545" i="1"/>
  <c r="K1546" i="1"/>
  <c r="O1548" i="1"/>
  <c r="AI1548" i="1" s="1"/>
  <c r="K1545" i="1"/>
  <c r="O1546" i="1"/>
  <c r="AI1546" i="1" s="1"/>
  <c r="O1547" i="1"/>
  <c r="AI1547" i="1" s="1"/>
  <c r="K1549" i="1"/>
  <c r="O1550" i="1"/>
  <c r="AI1550" i="1" s="1"/>
  <c r="O1551" i="1"/>
  <c r="AI1551" i="1" s="1"/>
  <c r="O1553" i="1"/>
  <c r="AI1553" i="1" s="1"/>
  <c r="AH1553" i="1"/>
  <c r="O1557" i="1"/>
  <c r="AI1557" i="1" s="1"/>
  <c r="K1558" i="1"/>
  <c r="K1560" i="1"/>
  <c r="AI1562" i="1"/>
  <c r="O1565" i="1"/>
  <c r="AI1565" i="1" s="1"/>
  <c r="K1566" i="1"/>
  <c r="O1523" i="1"/>
  <c r="AI1523" i="1" s="1"/>
  <c r="O1527" i="1"/>
  <c r="AI1527" i="1" s="1"/>
  <c r="O1531" i="1"/>
  <c r="AI1531" i="1" s="1"/>
  <c r="O1535" i="1"/>
  <c r="AI1535" i="1" s="1"/>
  <c r="O1539" i="1"/>
  <c r="AI1539" i="1" s="1"/>
  <c r="O1543" i="1"/>
  <c r="AI1543" i="1" s="1"/>
  <c r="O1545" i="1"/>
  <c r="AI1545" i="1" s="1"/>
  <c r="AH1547" i="1"/>
  <c r="O1549" i="1"/>
  <c r="AI1549" i="1" s="1"/>
  <c r="AH1551" i="1"/>
  <c r="AH1555" i="1"/>
  <c r="O1558" i="1"/>
  <c r="AI1558" i="1" s="1"/>
  <c r="AH1563" i="1"/>
  <c r="O1566" i="1"/>
  <c r="AI1566" i="1" s="1"/>
  <c r="K1552" i="1"/>
  <c r="O1554" i="1"/>
  <c r="AI1554" i="1" s="1"/>
  <c r="K1556" i="1"/>
  <c r="O1561" i="1"/>
  <c r="AI1561" i="1" s="1"/>
  <c r="K1562" i="1"/>
  <c r="K1564" i="1"/>
  <c r="O1567" i="1"/>
  <c r="AI1567" i="1" s="1"/>
  <c r="O1577" i="1"/>
  <c r="AI1577" i="1" s="1"/>
  <c r="K1580" i="1"/>
  <c r="AH1582" i="1"/>
  <c r="K1587" i="1"/>
  <c r="K1590" i="1"/>
  <c r="K1594" i="1"/>
  <c r="AI1594" i="1"/>
  <c r="O1555" i="1"/>
  <c r="AI1555" i="1" s="1"/>
  <c r="O1559" i="1"/>
  <c r="AI1559" i="1" s="1"/>
  <c r="O1563" i="1"/>
  <c r="AI1563" i="1" s="1"/>
  <c r="AH1566" i="1"/>
  <c r="K1571" i="1"/>
  <c r="K1581" i="1"/>
  <c r="K1583" i="1"/>
  <c r="K1588" i="1"/>
  <c r="O1593" i="1"/>
  <c r="AI1593" i="1" s="1"/>
  <c r="AH1593" i="1"/>
  <c r="O1556" i="1"/>
  <c r="AI1556" i="1" s="1"/>
  <c r="O1560" i="1"/>
  <c r="AI1560" i="1" s="1"/>
  <c r="O1564" i="1"/>
  <c r="AI1564" i="1" s="1"/>
  <c r="O1568" i="1"/>
  <c r="AI1568" i="1" s="1"/>
  <c r="O1572" i="1"/>
  <c r="AI1572" i="1" s="1"/>
  <c r="O1576" i="1"/>
  <c r="AI1576" i="1" s="1"/>
  <c r="K1579" i="1"/>
  <c r="O1584" i="1"/>
  <c r="AI1584" i="1" s="1"/>
  <c r="AH1586" i="1"/>
  <c r="O1589" i="1"/>
  <c r="AI1589" i="1" s="1"/>
  <c r="AH1589" i="1"/>
  <c r="O1591" i="1"/>
  <c r="AI1591" i="1" s="1"/>
  <c r="O1592" i="1"/>
  <c r="AI1592" i="1" s="1"/>
  <c r="K1593" i="1"/>
  <c r="O1575" i="1"/>
  <c r="AI1575" i="1" s="1"/>
  <c r="O1579" i="1"/>
  <c r="AI1579" i="1" s="1"/>
  <c r="O1583" i="1"/>
  <c r="AI1583" i="1" s="1"/>
  <c r="O1587" i="1"/>
  <c r="AI1587" i="1" s="1"/>
  <c r="O1569" i="1"/>
  <c r="AI1569" i="1" s="1"/>
  <c r="O1573" i="1"/>
  <c r="AI1573" i="1" s="1"/>
  <c r="O1585" i="1"/>
  <c r="AI1585" i="1" s="1"/>
  <c r="O1574" i="1"/>
  <c r="AI1574" i="1" s="1"/>
  <c r="O1578" i="1"/>
  <c r="AI1578" i="1" s="1"/>
  <c r="O1582" i="1"/>
  <c r="AI1582" i="1" s="1"/>
  <c r="O1586" i="1"/>
  <c r="AI1586" i="1" s="1"/>
  <c r="O1590" i="1"/>
  <c r="AI1590" i="1" s="1"/>
  <c r="O1478" i="1"/>
  <c r="AI1478" i="1" s="1"/>
  <c r="AH1478" i="1"/>
  <c r="O1477" i="1"/>
  <c r="AI1477" i="1" s="1"/>
  <c r="K1477" i="1"/>
  <c r="AH1474" i="1"/>
  <c r="O1474" i="1"/>
  <c r="AI1474" i="1" s="1"/>
  <c r="K1474" i="1"/>
  <c r="O1476" i="1"/>
  <c r="AI1476" i="1" s="1"/>
  <c r="K1476" i="1"/>
  <c r="K1475" i="1"/>
  <c r="AH1473" i="1"/>
  <c r="AH1472" i="1"/>
  <c r="O1473" i="1"/>
  <c r="AI1473" i="1" s="1"/>
  <c r="K1473" i="1"/>
  <c r="K1472" i="1"/>
  <c r="O1472" i="1"/>
  <c r="AI1472" i="1" s="1"/>
  <c r="AH1471" i="1"/>
  <c r="AH1470" i="1"/>
  <c r="O1471" i="1"/>
  <c r="AI1471" i="1" s="1"/>
  <c r="K1470" i="1"/>
  <c r="K1471" i="1"/>
  <c r="AH1468" i="1"/>
  <c r="AH1469" i="1"/>
  <c r="O1470" i="1"/>
  <c r="AI1470" i="1" s="1"/>
  <c r="O1469" i="1"/>
  <c r="AI1469" i="1" s="1"/>
  <c r="K1469" i="1"/>
  <c r="O1468" i="1"/>
  <c r="AI1468" i="1" s="1"/>
  <c r="K1468" i="1"/>
  <c r="K1467" i="1"/>
  <c r="O1467" i="1"/>
  <c r="AI1467" i="1" s="1"/>
  <c r="K1466" i="1"/>
  <c r="O1466" i="1"/>
  <c r="AI1466" i="1" s="1"/>
  <c r="K1465" i="1"/>
  <c r="O1465" i="1"/>
  <c r="AI1465" i="1" s="1"/>
  <c r="K1464" i="1"/>
  <c r="O1464" i="1"/>
  <c r="AI1464" i="1" s="1"/>
  <c r="O1463" i="1"/>
  <c r="AI1463" i="1" s="1"/>
  <c r="K1463" i="1"/>
  <c r="O1462" i="1"/>
  <c r="AI1462" i="1" s="1"/>
  <c r="K1462" i="1"/>
  <c r="O1461" i="1"/>
  <c r="AI1461" i="1" s="1"/>
  <c r="K1461" i="1"/>
  <c r="O1460" i="1"/>
  <c r="AI1460" i="1" s="1"/>
  <c r="K1460" i="1"/>
  <c r="O1459" i="1"/>
  <c r="AI1459" i="1" s="1"/>
  <c r="K1459" i="1"/>
  <c r="O1458" i="1"/>
  <c r="AI1458" i="1" s="1"/>
  <c r="O1457" i="1"/>
  <c r="AI1457" i="1" s="1"/>
  <c r="K1458" i="1"/>
  <c r="AH1465" i="1"/>
  <c r="AH1466" i="1"/>
  <c r="AH1467" i="1"/>
  <c r="K1456" i="1"/>
  <c r="K1455" i="1"/>
  <c r="K1457" i="1"/>
  <c r="AI1455" i="1"/>
  <c r="AI1456" i="1"/>
  <c r="AH1456" i="1"/>
  <c r="AH1454" i="1"/>
  <c r="O1454" i="1"/>
  <c r="AI1454" i="1" s="1"/>
  <c r="AH1451" i="1"/>
  <c r="AH1452" i="1"/>
  <c r="AH1453" i="1"/>
  <c r="K1454" i="1"/>
  <c r="O1453" i="1"/>
  <c r="AI1453" i="1" s="1"/>
  <c r="K1453" i="1"/>
  <c r="O1452" i="1"/>
  <c r="AI1452" i="1" s="1"/>
  <c r="K1452" i="1"/>
  <c r="O1451" i="1"/>
  <c r="AI1451" i="1" s="1"/>
  <c r="K1451" i="1"/>
  <c r="AH1450" i="1"/>
  <c r="AH1449" i="1"/>
  <c r="K1449" i="1"/>
  <c r="O1449" i="1"/>
  <c r="AI1449" i="1" s="1"/>
  <c r="O1450" i="1"/>
  <c r="AI1450" i="1" s="1"/>
  <c r="K1450" i="1"/>
  <c r="AH1448" i="1"/>
  <c r="O1448" i="1"/>
  <c r="AI1448" i="1" s="1"/>
  <c r="K1448" i="1"/>
  <c r="O1447" i="1"/>
  <c r="AI1447" i="1" s="1"/>
  <c r="K1447" i="1"/>
  <c r="O1446" i="1"/>
  <c r="AI1446" i="1" s="1"/>
  <c r="K1446" i="1"/>
  <c r="AH1402" i="1"/>
  <c r="AH1445" i="1"/>
  <c r="O1445" i="1"/>
  <c r="AI1445" i="1" s="1"/>
  <c r="K1445" i="1"/>
  <c r="AH1444" i="1"/>
  <c r="O1444" i="1"/>
  <c r="AI1444" i="1" s="1"/>
  <c r="K1444" i="1"/>
  <c r="AH1443" i="1"/>
  <c r="K1443" i="1"/>
  <c r="O1443" i="1"/>
  <c r="AI1443" i="1" s="1"/>
  <c r="K1442" i="1"/>
  <c r="O1442" i="1"/>
  <c r="AI1442" i="1" s="1"/>
  <c r="AH1442" i="1"/>
  <c r="AH1440" i="1"/>
  <c r="AH1441" i="1"/>
  <c r="O1441" i="1"/>
  <c r="AI1441" i="1" s="1"/>
  <c r="K1441" i="1"/>
  <c r="O1440" i="1"/>
  <c r="AI1440" i="1" s="1"/>
  <c r="K1440" i="1"/>
  <c r="AH1438" i="1"/>
  <c r="AH1439" i="1"/>
  <c r="O1439" i="1"/>
  <c r="AI1439" i="1" s="1"/>
  <c r="K1439" i="1"/>
  <c r="K1438" i="1"/>
  <c r="O1438" i="1"/>
  <c r="AI1438" i="1" s="1"/>
  <c r="O1401" i="1"/>
  <c r="AI1401" i="1" s="1"/>
  <c r="K1402" i="1"/>
  <c r="AH1437" i="1"/>
  <c r="K1437" i="1"/>
  <c r="O1437" i="1"/>
  <c r="AI1437" i="1" s="1"/>
  <c r="K1436" i="1"/>
  <c r="AH1435" i="1"/>
  <c r="AH1433" i="1"/>
  <c r="AH1436" i="1"/>
  <c r="AH1434" i="1"/>
  <c r="O1436" i="1"/>
  <c r="AI1436" i="1" s="1"/>
  <c r="K1435" i="1"/>
  <c r="O1435" i="1"/>
  <c r="AI1435" i="1" s="1"/>
  <c r="K1433" i="1"/>
  <c r="O1434" i="1"/>
  <c r="AI1434" i="1" s="1"/>
  <c r="K1434" i="1"/>
  <c r="O1433" i="1"/>
  <c r="AI1433" i="1" s="1"/>
  <c r="AH1432" i="1"/>
  <c r="O1432" i="1"/>
  <c r="AI1432" i="1" s="1"/>
  <c r="K1432" i="1"/>
  <c r="O1431" i="1"/>
  <c r="AI1431" i="1" s="1"/>
  <c r="AH1431" i="1"/>
  <c r="K1431" i="1"/>
  <c r="AH1430" i="1"/>
  <c r="K1430" i="1"/>
  <c r="O1430" i="1"/>
  <c r="AI1430" i="1" s="1"/>
  <c r="AH1429" i="1"/>
  <c r="O1429" i="1"/>
  <c r="AI1429" i="1" s="1"/>
  <c r="K1429" i="1"/>
  <c r="AH1428" i="1"/>
  <c r="O1428" i="1"/>
  <c r="AI1428" i="1" s="1"/>
  <c r="K1428" i="1"/>
  <c r="AH1427" i="1"/>
  <c r="K1427" i="1"/>
  <c r="O1427" i="1"/>
  <c r="AI1427" i="1" s="1"/>
  <c r="AH1426" i="1"/>
  <c r="O1426" i="1"/>
  <c r="AI1426" i="1" s="1"/>
  <c r="K1426" i="1"/>
  <c r="AH1425" i="1"/>
  <c r="AH1424" i="1"/>
  <c r="O1425" i="1"/>
  <c r="AI1425" i="1" s="1"/>
  <c r="K1425" i="1"/>
  <c r="O1424" i="1"/>
  <c r="AI1424" i="1" s="1"/>
  <c r="K1424" i="1"/>
  <c r="AH1422" i="1"/>
  <c r="AH1423" i="1"/>
  <c r="O1423" i="1"/>
  <c r="AI1423" i="1" s="1"/>
  <c r="K1423" i="1"/>
  <c r="O1422" i="1"/>
  <c r="AI1422" i="1" s="1"/>
  <c r="K1422" i="1"/>
  <c r="AH1421" i="1"/>
  <c r="O1421" i="1"/>
  <c r="AI1421" i="1" s="1"/>
  <c r="K1421" i="1"/>
  <c r="AH1420" i="1"/>
  <c r="AH1419" i="1"/>
  <c r="O1420" i="1"/>
  <c r="AI1420" i="1" s="1"/>
  <c r="K1420" i="1"/>
  <c r="AH1418" i="1"/>
  <c r="O1419" i="1"/>
  <c r="AI1419" i="1" s="1"/>
  <c r="K1419" i="1"/>
  <c r="AH1417" i="1"/>
  <c r="O1418" i="1"/>
  <c r="AI1418" i="1" s="1"/>
  <c r="K1418" i="1"/>
  <c r="O1417" i="1"/>
  <c r="AI1417" i="1" s="1"/>
  <c r="K1417" i="1"/>
  <c r="AH1416" i="1"/>
  <c r="AH1415" i="1"/>
  <c r="O1416" i="1"/>
  <c r="AI1416" i="1" s="1"/>
  <c r="O1415" i="1"/>
  <c r="AI1415" i="1" s="1"/>
  <c r="K1416" i="1"/>
  <c r="K1415" i="1"/>
  <c r="AH1414" i="1"/>
  <c r="AH1413" i="1"/>
  <c r="O1414" i="1"/>
  <c r="AI1414" i="1" s="1"/>
  <c r="K1414" i="1"/>
  <c r="O1413" i="1"/>
  <c r="AI1413" i="1" s="1"/>
  <c r="K1413" i="1"/>
  <c r="K1412" i="1"/>
  <c r="O1412" i="1"/>
  <c r="AI1412" i="1" s="1"/>
  <c r="AH1411" i="1"/>
  <c r="AH1412" i="1"/>
  <c r="O1411" i="1"/>
  <c r="AI1411" i="1" s="1"/>
  <c r="K1411" i="1"/>
  <c r="O1409" i="1"/>
  <c r="AI1409" i="1" s="1"/>
  <c r="AH1410" i="1"/>
  <c r="O1410" i="1"/>
  <c r="AI1410" i="1" s="1"/>
  <c r="K1410" i="1"/>
  <c r="AH1409" i="1"/>
  <c r="AH1408" i="1"/>
  <c r="K1409" i="1"/>
  <c r="K1408" i="1"/>
  <c r="AI1408" i="1"/>
  <c r="AH1406" i="1"/>
  <c r="AH1407" i="1"/>
  <c r="K1406" i="1"/>
  <c r="AI1407" i="1"/>
  <c r="K1407" i="1"/>
  <c r="O1406" i="1"/>
  <c r="AI1406" i="1" s="1"/>
  <c r="AH1405" i="1"/>
  <c r="K1405" i="1"/>
  <c r="O1405" i="1"/>
  <c r="AI1405" i="1" s="1"/>
  <c r="K1404" i="1"/>
  <c r="O1404" i="1"/>
  <c r="AI1404" i="1" s="1"/>
  <c r="AH1404" i="1"/>
  <c r="AH1403" i="1"/>
  <c r="K1403" i="1"/>
  <c r="O1402" i="1"/>
  <c r="AI1402" i="1" s="1"/>
  <c r="O1403" i="1"/>
  <c r="AI1403" i="1" s="1"/>
  <c r="AI1397" i="1"/>
  <c r="AI1399" i="1"/>
  <c r="AI1396" i="1"/>
  <c r="AI1400" i="1"/>
  <c r="AI1398" i="1"/>
  <c r="AI1389" i="1"/>
  <c r="AI1388" i="1"/>
  <c r="AI1387" i="1"/>
  <c r="O1386" i="1"/>
  <c r="AI1386" i="1" s="1"/>
  <c r="O1385" i="1"/>
  <c r="AI1385" i="1" s="1"/>
  <c r="O1384" i="1"/>
  <c r="AI1384" i="1" s="1"/>
  <c r="O1383" i="1"/>
  <c r="AI1383" i="1" s="1"/>
  <c r="AI1382" i="1"/>
  <c r="O1395" i="1"/>
  <c r="AI1395" i="1" s="1"/>
  <c r="AI1394" i="1"/>
  <c r="O1393" i="1"/>
  <c r="AI1393" i="1" s="1"/>
  <c r="AI1392" i="1"/>
  <c r="D981" i="27"/>
  <c r="B981" i="27"/>
  <c r="D980" i="27"/>
  <c r="AD391" i="1" l="1"/>
</calcChain>
</file>

<file path=xl/sharedStrings.xml><?xml version="1.0" encoding="utf-8"?>
<sst xmlns="http://schemas.openxmlformats.org/spreadsheetml/2006/main" count="3908" uniqueCount="2013">
  <si>
    <t>DTI INLET</t>
  </si>
  <si>
    <t>NEW LINE</t>
  </si>
  <si>
    <t>CONSOLATA</t>
  </si>
  <si>
    <t>CBD</t>
  </si>
  <si>
    <t>CCCR</t>
  </si>
  <si>
    <t>KIHOTO</t>
  </si>
  <si>
    <t>KAG</t>
  </si>
  <si>
    <t>KABATI</t>
  </si>
  <si>
    <t>LOWER SITE</t>
  </si>
  <si>
    <t>UPPER SITE</t>
  </si>
  <si>
    <t>SITE</t>
  </si>
  <si>
    <t>PRISONS STAFF</t>
  </si>
  <si>
    <t>KEROCHE</t>
  </si>
  <si>
    <t>AIC CBD SUPPLY</t>
  </si>
  <si>
    <t>TOTAL REGIONAL SUPPLY</t>
  </si>
  <si>
    <t xml:space="preserve">20/7/21  </t>
  </si>
  <si>
    <t>Repaire of 4'' burs' pvc raising main at aic booster</t>
  </si>
  <si>
    <t>4hrs interuption</t>
  </si>
  <si>
    <t>26/7/2021 repaire of 2'' pvc burst at site and services at aipck route</t>
  </si>
  <si>
    <t xml:space="preserve">27/7/2021 repaire of 75mm hdpe pipe cccr zone near society sopermarket </t>
  </si>
  <si>
    <t>30/7/2021 repaire of 32mm hdpe burst at kihoto</t>
  </si>
  <si>
    <t xml:space="preserve">      </t>
  </si>
  <si>
    <t>31/7/2021-7/8/2021</t>
  </si>
  <si>
    <t>1 CBD ZONE</t>
  </si>
  <si>
    <t>90mm police line pvc</t>
  </si>
  <si>
    <t>50mm pvc 3N</t>
  </si>
  <si>
    <t>63mm HDPE</t>
  </si>
  <si>
    <t>2 CCCR ZONE</t>
  </si>
  <si>
    <t>PE</t>
  </si>
  <si>
    <t>63MM PVC</t>
  </si>
  <si>
    <t>C 2NO</t>
  </si>
  <si>
    <t>4 KABATI ZONE</t>
  </si>
  <si>
    <t>3 SITE ZONE</t>
  </si>
  <si>
    <t>63mm pvc at ymca</t>
  </si>
  <si>
    <t>WEEKLY    REPORT ON NUMBER OF BURST AND LEAKS</t>
  </si>
  <si>
    <t>PLANS FOR THE WEEK</t>
  </si>
  <si>
    <t>CBD/CCCR ZONE</t>
  </si>
  <si>
    <t>New connection installation and meter replacement</t>
  </si>
  <si>
    <t>A/C-10507970</t>
  </si>
  <si>
    <t>Marking of accounts</t>
  </si>
  <si>
    <t>monitoring of large consumption customer GDC and railway DMAS</t>
  </si>
  <si>
    <t>KABATI/ SITE ZONE</t>
  </si>
  <si>
    <t>New connection installation</t>
  </si>
  <si>
    <t>a/c 10408018</t>
  </si>
  <si>
    <t xml:space="preserve">                  2 meters replacement invisible at lower site</t>
  </si>
  <si>
    <t xml:space="preserve">                  3 repaire of 4'' raising main at site</t>
  </si>
  <si>
    <t xml:space="preserve">                   4 replacement of faulty valves at kabati water kiosk</t>
  </si>
  <si>
    <t xml:space="preserve">                   5 marking of accounts</t>
  </si>
  <si>
    <t xml:space="preserve"> 7/8/2021     to 14/8/2021</t>
  </si>
  <si>
    <t>WEEKLY REPORT 7/8/2021-14/8/2021</t>
  </si>
  <si>
    <t xml:space="preserve">                   1  LEAKS AND BURST</t>
  </si>
  <si>
    <t>LEAKS AND BURST</t>
  </si>
  <si>
    <t>CCCR ZONE</t>
  </si>
  <si>
    <t>REPAIRED</t>
  </si>
  <si>
    <t>75mm HDPE</t>
  </si>
  <si>
    <t>CBD ZONE</t>
  </si>
  <si>
    <t>50MM PVC</t>
  </si>
  <si>
    <t>KABATI ZONE</t>
  </si>
  <si>
    <t>110MM PVC</t>
  </si>
  <si>
    <t>C PRICESS ROUTE</t>
  </si>
  <si>
    <t xml:space="preserve"> C  AIC</t>
  </si>
  <si>
    <t>C YMCA</t>
  </si>
  <si>
    <t>PE HOPEWELL</t>
  </si>
  <si>
    <t>PE CCCR</t>
  </si>
  <si>
    <t>NAIVAS NDOGO</t>
  </si>
  <si>
    <t>WORK DONE</t>
  </si>
  <si>
    <t>2 replacement of customers meter 1NO</t>
  </si>
  <si>
    <t>3 Marking of customers accounts 56NO</t>
  </si>
  <si>
    <t>4 Replacement of waterkiosk valves at cccr</t>
  </si>
  <si>
    <t>5 Disconnection a customer from main hopewell</t>
  </si>
  <si>
    <t>1 marking of accounts</t>
  </si>
  <si>
    <t>1 Installation of</t>
  </si>
  <si>
    <t xml:space="preserve"> 1 Installation of new connection 1NO</t>
  </si>
  <si>
    <t>of new connection 1NO</t>
  </si>
  <si>
    <t>2 Marking of accounts 20NO</t>
  </si>
  <si>
    <t>3 Customer meter relocation and raising</t>
  </si>
  <si>
    <t>4 replacements of customers gate valves 6 NO</t>
  </si>
  <si>
    <t xml:space="preserve">1 Marking </t>
  </si>
  <si>
    <t>of accounts 12 NO</t>
  </si>
  <si>
    <t>2 New accounts installation</t>
  </si>
  <si>
    <t>3 Repaire and replacements of valves water kiosk</t>
  </si>
  <si>
    <t>1 NO</t>
  </si>
  <si>
    <t>2 Monitoring of customers accounts GDC and railway DMA</t>
  </si>
  <si>
    <t>32MM pvc lancaster</t>
  </si>
  <si>
    <t>PLAN WORK</t>
  </si>
  <si>
    <t>1 Installation of pending new connection-cbd 3</t>
  </si>
  <si>
    <t>cccr  3</t>
  </si>
  <si>
    <t xml:space="preserve"> cbd 3</t>
  </si>
  <si>
    <t>site 7</t>
  </si>
  <si>
    <t>kabati 3</t>
  </si>
  <si>
    <t>2 marking of accounts</t>
  </si>
  <si>
    <t>3 repaire of 4'' leakege aic booster</t>
  </si>
  <si>
    <t>4 monitoring of large cosumption customers</t>
  </si>
  <si>
    <t>5 sealing of customers meters and meter checking</t>
  </si>
  <si>
    <t>6 replacements of leaking valves water kiosks</t>
  </si>
  <si>
    <t>WEEKLY REPORT 14/8/2021 TO 21/8/2021</t>
  </si>
  <si>
    <t>LEAKS AND BURST REPAIRED</t>
  </si>
  <si>
    <t>110 pvc pipe raising main 2NO</t>
  </si>
  <si>
    <t>63mm pvc submain upper site</t>
  </si>
  <si>
    <t>32mm pvc pipe upper site</t>
  </si>
  <si>
    <t>90mm pvc pipe KAG</t>
  </si>
  <si>
    <t>32 mm pvc pipe KAG</t>
  </si>
  <si>
    <t>2''AP line</t>
  </si>
  <si>
    <t>50mm karagita stage</t>
  </si>
  <si>
    <t>2NO</t>
  </si>
  <si>
    <t>50MM Naivas kubwa 2NO</t>
  </si>
  <si>
    <t>50MM HDPE county council estate</t>
  </si>
  <si>
    <t>50mm HDPE hopewell</t>
  </si>
  <si>
    <t>75mm DEP primary sch</t>
  </si>
  <si>
    <t>32mm HDPE Kihoto</t>
  </si>
  <si>
    <t>PLANED WORK DONE</t>
  </si>
  <si>
    <t>New connection installed</t>
  </si>
  <si>
    <t xml:space="preserve">CBD 1 </t>
  </si>
  <si>
    <t>CCCR 1</t>
  </si>
  <si>
    <t>SITE 9</t>
  </si>
  <si>
    <t>KABATI 0</t>
  </si>
  <si>
    <t>Marking of accounts cbd/ccr</t>
  </si>
  <si>
    <t>site/kabati</t>
  </si>
  <si>
    <t>Raing of meter an relocation cbd/ccr</t>
  </si>
  <si>
    <t xml:space="preserve">                site/kabati</t>
  </si>
  <si>
    <t xml:space="preserve">                 4  meters replacement</t>
  </si>
  <si>
    <t>3no</t>
  </si>
  <si>
    <t>a/c</t>
  </si>
  <si>
    <t>PLANS FOR WEEK</t>
  </si>
  <si>
    <t>Marking of accounts ongoing  cbd /cccr/site/kabati</t>
  </si>
  <si>
    <t>meters  invisible servicing for monthly meter reading site/kabati</t>
  </si>
  <si>
    <t xml:space="preserve">                  3 installation of pending new connection</t>
  </si>
  <si>
    <t xml:space="preserve">                  4 cleaning of chambers</t>
  </si>
  <si>
    <t xml:space="preserve">                  5 replacements of faulty and invisible meters</t>
  </si>
  <si>
    <t>THE WEEK</t>
  </si>
  <si>
    <t>MAJOR INTERRUPTION</t>
  </si>
  <si>
    <t>During the week we had only two cases of water supply interruption</t>
  </si>
  <si>
    <t xml:space="preserve">                1 lower site due to burst of raising main</t>
  </si>
  <si>
    <t xml:space="preserve">          </t>
  </si>
  <si>
    <t>two times in a week</t>
  </si>
  <si>
    <t>DATE</t>
  </si>
  <si>
    <t>INITIAL</t>
  </si>
  <si>
    <t>CURRENT</t>
  </si>
  <si>
    <t>VOL</t>
  </si>
  <si>
    <t>PLANED WORK DONED</t>
  </si>
  <si>
    <t>Marking of accounts CBD 15</t>
  </si>
  <si>
    <t>NRW activities      1</t>
  </si>
  <si>
    <t>cheking of customers meters</t>
  </si>
  <si>
    <t>CCCR/PRISON 41</t>
  </si>
  <si>
    <t>monitoring of large consumption customers</t>
  </si>
  <si>
    <t>kabati 10</t>
  </si>
  <si>
    <t>preventive measures ie back filling of exposed pipes at site</t>
  </si>
  <si>
    <t>site 14</t>
  </si>
  <si>
    <t xml:space="preserve">                  3 servicing of master meters all Dms in the region</t>
  </si>
  <si>
    <t>meter servicing for monthly meter reading site 41</t>
  </si>
  <si>
    <t>site and kabati 41</t>
  </si>
  <si>
    <t>installing of pending new connection</t>
  </si>
  <si>
    <t>new connection installation CBD/ CCCR 3NO</t>
  </si>
  <si>
    <t>marking of the remaining accounts</t>
  </si>
  <si>
    <t>KABATI/SITE 2NO</t>
  </si>
  <si>
    <t>cleaning of chambers</t>
  </si>
  <si>
    <t>MAJOR INTERRUMPTION</t>
  </si>
  <si>
    <t>We had one interrumption of water supply to CBD and CCCR due to burst of 8''pvc pipe mainline at diplomat buiding</t>
  </si>
  <si>
    <t>omat bulding</t>
  </si>
  <si>
    <t xml:space="preserve">ing        </t>
  </si>
  <si>
    <t>reported on 27/8/2021</t>
  </si>
  <si>
    <t>WEEKLY REPORT FROM 21/8/2021-28/8/2021</t>
  </si>
  <si>
    <t>aic supply resumed at 1.pm</t>
  </si>
  <si>
    <t>WEEKLY REPORT FROM 28/8/2021 TO 4/8/2021</t>
  </si>
  <si>
    <t>Number of leaks and burst repaired</t>
  </si>
  <si>
    <t xml:space="preserve">            CBD</t>
  </si>
  <si>
    <t>8'' Burst at diplomat</t>
  </si>
  <si>
    <t>50mm pvc behind siliver hotel</t>
  </si>
  <si>
    <t>50mm hdpe at industrial area</t>
  </si>
  <si>
    <t>63mm hdpe at prison</t>
  </si>
  <si>
    <t>90mm Gi pipe at KAG</t>
  </si>
  <si>
    <t>63mm pvc pipe at ymca</t>
  </si>
  <si>
    <t>63mmpvc pipe at lower site and upper site 2no</t>
  </si>
  <si>
    <t>32mm pvc pipe upper site at muslim cemetery</t>
  </si>
  <si>
    <t>Plan work done</t>
  </si>
  <si>
    <t>new connection installed</t>
  </si>
  <si>
    <t>cbd 1no</t>
  </si>
  <si>
    <t>cccr 2no</t>
  </si>
  <si>
    <t>site 2no</t>
  </si>
  <si>
    <t>Planed work done</t>
  </si>
  <si>
    <t>cheking and monitoring customers meters at large consumption customers</t>
  </si>
  <si>
    <t>Backfilling of exposed pipes at site</t>
  </si>
  <si>
    <t>servicing of Dma master meter</t>
  </si>
  <si>
    <t xml:space="preserve">                    3 plan of the week</t>
  </si>
  <si>
    <t xml:space="preserve">                1 Replacement of reguler invisible servicible custumers meters site/kabati</t>
  </si>
  <si>
    <t>marking of accounts ongoing excisice</t>
  </si>
  <si>
    <t>checking and monitoring customers at lower site and railway Dms</t>
  </si>
  <si>
    <t>installation of pending new connection at site</t>
  </si>
  <si>
    <t>WEEKLY REPORT FROM 4/9/2021 TO 11/9/2021</t>
  </si>
  <si>
    <t>LEAK AND BURST REPAIRED</t>
  </si>
  <si>
    <t xml:space="preserve">32mm pvc </t>
  </si>
  <si>
    <t>63mm pvc</t>
  </si>
  <si>
    <t>2 no ymca</t>
  </si>
  <si>
    <t>m akaburi</t>
  </si>
  <si>
    <t>90mm pvc at site market</t>
  </si>
  <si>
    <t>63mm pvc at madoggy route</t>
  </si>
  <si>
    <t>WORK DONE DURING THE WEEK</t>
  </si>
  <si>
    <t>NEW CONNECTION INSTALLATION</t>
  </si>
  <si>
    <t xml:space="preserve">CCCR  </t>
  </si>
  <si>
    <t>3NO</t>
  </si>
  <si>
    <t>1NO</t>
  </si>
  <si>
    <t>METERS REPLACEMENT</t>
  </si>
  <si>
    <t>Meter relocations and raising</t>
  </si>
  <si>
    <t>site 1no</t>
  </si>
  <si>
    <t>kabati 2no</t>
  </si>
  <si>
    <t>32mm ppr hopewell</t>
  </si>
  <si>
    <t>63mm hdpe industrial area</t>
  </si>
  <si>
    <t>40mm hdpe pipe DEB</t>
  </si>
  <si>
    <t>32 HDPE kihoto</t>
  </si>
  <si>
    <t>marking of accounts</t>
  </si>
  <si>
    <t>Line relocation bahind katiba house 50mm</t>
  </si>
  <si>
    <t>WEEKLY  PLAN AND ACTIVITIES</t>
  </si>
  <si>
    <t>checking conp connection</t>
  </si>
  <si>
    <t>Establishment of active and dormant accounts</t>
  </si>
  <si>
    <t>To disconnect and close old distrbution line along police line,olive,D C office</t>
  </si>
  <si>
    <t>sealing of meters at railway and Gdc Dms</t>
  </si>
  <si>
    <t>customer relocation at hopewell rouderabout to new line panda</t>
  </si>
  <si>
    <t>meter replacement invisible at site</t>
  </si>
  <si>
    <t>WEEKLY REPORT</t>
  </si>
  <si>
    <t>11/9/2021  TO  18/9/2021</t>
  </si>
  <si>
    <t>63mm pvc at site maket</t>
  </si>
  <si>
    <t>110mm pvc at diplomat juction</t>
  </si>
  <si>
    <t xml:space="preserve"> 3 times</t>
  </si>
  <si>
    <t>meters servicing and unblocking</t>
  </si>
  <si>
    <t>disconnect of old distrbution line along police was done and completed</t>
  </si>
  <si>
    <t>110mm HDPE at hopewell karati pumping station</t>
  </si>
  <si>
    <t>ACTIVITIES DONE DURING THE WEEK</t>
  </si>
  <si>
    <t>New connection installed cccr 3no,site 3no</t>
  </si>
  <si>
    <t>unsealed meters at railway and Gdc Dms sealed were 15 accounts</t>
  </si>
  <si>
    <t>32mm ndove spring</t>
  </si>
  <si>
    <t>relocation of manera primary school to new line was done</t>
  </si>
  <si>
    <t>WEEKLY PLANS</t>
  </si>
  <si>
    <t>Replacement  of invisble meters when approved</t>
  </si>
  <si>
    <t>site zone</t>
  </si>
  <si>
    <t>Continue with door to door survey and checking of meters</t>
  </si>
  <si>
    <t>Installion of pending new connection 2no site</t>
  </si>
  <si>
    <t>Anaysis of NRW at Gdc and railyway Dms</t>
  </si>
  <si>
    <t>Attending to customer complaint no water cases at cbd</t>
  </si>
  <si>
    <t xml:space="preserve">WEEKLY REPORT </t>
  </si>
  <si>
    <t>18/9/2021-25/9/2021</t>
  </si>
  <si>
    <t>63mm pvc pipe at upper site 2no</t>
  </si>
  <si>
    <t>32mm pvc pipe at muslim cemetery</t>
  </si>
  <si>
    <t>90 mm pvc pipe near SDAchurch</t>
  </si>
  <si>
    <t>63mm pvc pipe at mboma</t>
  </si>
  <si>
    <t>25mm pvc pipe at KAG</t>
  </si>
  <si>
    <t>Repair leakage before meter account 4391,2695</t>
  </si>
  <si>
    <t>ACTIVITIES</t>
  </si>
  <si>
    <t>DONE DURING THE WEEK</t>
  </si>
  <si>
    <t>Carrying out water balance at Gdc and 3N readingcustomers meter</t>
  </si>
  <si>
    <t>re connecting olive resort from the main line</t>
  </si>
  <si>
    <t>checking of customers meters diplomat route</t>
  </si>
  <si>
    <t>master meter servicing not regestering consolata route</t>
  </si>
  <si>
    <t>63MM HDPE</t>
  </si>
  <si>
    <t>new connection installation 3no</t>
  </si>
  <si>
    <t>meter replacement 1no</t>
  </si>
  <si>
    <t>meter sevicing not regestering 3no</t>
  </si>
  <si>
    <t>New connection installation 2no</t>
  </si>
  <si>
    <t>Door to door survey regarding leakages/water loss</t>
  </si>
  <si>
    <t>meter servicing not visible for meter reading</t>
  </si>
  <si>
    <t>Marking of accounts 8no</t>
  </si>
  <si>
    <t>Relocation and extension of 32mm pipe at united route</t>
  </si>
  <si>
    <t>Customers meter raising 4no</t>
  </si>
  <si>
    <t>meterers servicing not visible for meter reading</t>
  </si>
  <si>
    <t>WEEKLY PLAN</t>
  </si>
  <si>
    <t>Attending to pending customer complain raised in CRM</t>
  </si>
  <si>
    <t>Door to door surveyinspecting customers meter</t>
  </si>
  <si>
    <t>Attending to pending new connection intallation</t>
  </si>
  <si>
    <t>Dms are KAG,3N,RAILWAY,AIC SITE</t>
  </si>
  <si>
    <t>Repaire of leakege at hopewell</t>
  </si>
  <si>
    <t>NRW analyis cbd ongoing</t>
  </si>
  <si>
    <t>6no</t>
  </si>
  <si>
    <t>Cleaning of chambers</t>
  </si>
  <si>
    <t>NB We had no major interuption during the week also no staff issue</t>
  </si>
  <si>
    <t xml:space="preserve">              WEEKLY REPORT 25/9/2021 TO 2/10/2021</t>
  </si>
  <si>
    <t>11Omm pvc at diplomat</t>
  </si>
  <si>
    <t>63mm pvc near DEP primary</t>
  </si>
  <si>
    <t>50mm hopewell</t>
  </si>
  <si>
    <t>110mm kcc</t>
  </si>
  <si>
    <t>32mm hdpe kihoto</t>
  </si>
  <si>
    <t>63mm pvc at boma</t>
  </si>
  <si>
    <t>63mm pvc pipe near heshima</t>
  </si>
  <si>
    <t>punda</t>
  </si>
  <si>
    <t>customer meter servicing 10 no</t>
  </si>
  <si>
    <t>marking of accounts Gdc route 11no</t>
  </si>
  <si>
    <t xml:space="preserve"> attending of customers complain no water 3no</t>
  </si>
  <si>
    <t>installation of new connection 3no</t>
  </si>
  <si>
    <t>installation new connection 2no</t>
  </si>
  <si>
    <t>Recconection of customers to new line at united route</t>
  </si>
  <si>
    <t>Replacement  of worn out 2"gatevalve near muslim cemetery</t>
  </si>
  <si>
    <t>Back filling of exposed pipe</t>
  </si>
  <si>
    <t>servicing  of invisible meters</t>
  </si>
  <si>
    <t>servicing of makaburine Dma master meter</t>
  </si>
  <si>
    <t>Marking of new account</t>
  </si>
  <si>
    <t>Door to door survey checking customer meters and meter leakeges</t>
  </si>
  <si>
    <t>PLANS OF THE WEEK</t>
  </si>
  <si>
    <t>Repaire of leakege at Gdc hdpe pipe</t>
  </si>
  <si>
    <t>repair of 50mm pvc pipe opposite jonka</t>
  </si>
  <si>
    <t>Raising of customer meter</t>
  </si>
  <si>
    <t>Marking of pending accounts</t>
  </si>
  <si>
    <t>carrying out water balance Dma consolata</t>
  </si>
  <si>
    <t>CBD /CCCR</t>
  </si>
  <si>
    <t>KABATI/SITE</t>
  </si>
  <si>
    <t>Installing non return valve at maruri kiosk to avoid over flow</t>
  </si>
  <si>
    <t>Installing pending new connection at site 4no</t>
  </si>
  <si>
    <t>Relocating 1 customer to the new line at united route</t>
  </si>
  <si>
    <t>Replacement of invisible meters</t>
  </si>
  <si>
    <t>installation of new connection</t>
  </si>
  <si>
    <t>Unblocking and servicing customers at kihoto 4no</t>
  </si>
  <si>
    <t>2no</t>
  </si>
  <si>
    <t>We had no major interruption also no staff issue</t>
  </si>
  <si>
    <t>WEEKLY REPORT FROM  2/10/2021-9/10/2021</t>
  </si>
  <si>
    <t>CBD/CCCR</t>
  </si>
  <si>
    <t>4'' Dipliomat</t>
  </si>
  <si>
    <t>8'' Ap line</t>
  </si>
  <si>
    <t>50mm kaniu buling</t>
  </si>
  <si>
    <t>63mm hopewell</t>
  </si>
  <si>
    <t>50mm site market</t>
  </si>
  <si>
    <t xml:space="preserve"> 63mm muslim cemetery</t>
  </si>
  <si>
    <t>50mm boma</t>
  </si>
  <si>
    <t>New connection installation 2no cccr</t>
  </si>
  <si>
    <t>meter servicing an unblocking cccr water a/c 10605228</t>
  </si>
  <si>
    <t>replacement of customers leaking valves 3no</t>
  </si>
  <si>
    <t>replacement of customers worn out meter liners 2no ccr</t>
  </si>
  <si>
    <t>Meter servicing and replacement gate valve</t>
  </si>
  <si>
    <t>repaire of leaking meters 4no kabati</t>
  </si>
  <si>
    <t>marking of new connection accounts 11no</t>
  </si>
  <si>
    <t>new connection installation</t>
  </si>
  <si>
    <t>4no site</t>
  </si>
  <si>
    <t>Installation of pending new connection 5no cccr</t>
  </si>
  <si>
    <t>repaire of pending leakege hopewell</t>
  </si>
  <si>
    <t>replacement of worn out customer meter gatevalve cccr</t>
  </si>
  <si>
    <t>master meter testing and step test 8'' police line</t>
  </si>
  <si>
    <t xml:space="preserve">marking of accounts </t>
  </si>
  <si>
    <t>installation of 2'' gatevalve at boma</t>
  </si>
  <si>
    <t>and cccr</t>
  </si>
  <si>
    <t>repaire of water kiosk leakege and replacement valves kabati</t>
  </si>
  <si>
    <t>WEEKLY REPORT FROM 9/10/2021 TO 16/10/2021</t>
  </si>
  <si>
    <t>25mm pvc pipe 3no cbd</t>
  </si>
  <si>
    <t>63mm Hdpe pipe cccr</t>
  </si>
  <si>
    <t>50mm pvc pipe lower site</t>
  </si>
  <si>
    <t>63mm pvc pipe Kabati KAG route 3NO</t>
  </si>
  <si>
    <t>New connection installation CBD 3NO,CCCR 5NO</t>
  </si>
  <si>
    <t>Reconnecting customer from main a/c 10104751</t>
  </si>
  <si>
    <t>Relocating 25mm 32mm ppr central primary</t>
  </si>
  <si>
    <t>servicing of customers meter CBD 2NO and cccr 3no</t>
  </si>
  <si>
    <t>Unblocking of customer service staff complex</t>
  </si>
  <si>
    <t>KABATI /SITE ZONE</t>
  </si>
  <si>
    <t>Door to door survey inspection of customers meter at boma and pcea route</t>
  </si>
  <si>
    <t>repaire of meter leakeges 4no</t>
  </si>
  <si>
    <t>Marking of unmarked accounts kabati 3no, site 7no</t>
  </si>
  <si>
    <t>Attending to complaints on crm</t>
  </si>
  <si>
    <t>new connection installed 1no site</t>
  </si>
  <si>
    <t>PLAN OF THE NEXT WEEK</t>
  </si>
  <si>
    <t>Inspection of cut off accounts naivass kubwa route</t>
  </si>
  <si>
    <t>Excavation and repaire of 10''pvc pipe at police line junction</t>
  </si>
  <si>
    <t>Installation of pending new connection 2 in cccr 1 in kabati</t>
  </si>
  <si>
    <t>Attending to customers complaints of no water and leakeges site and kabati</t>
  </si>
  <si>
    <t>WEEKLY REPORT FROM 16/10/2021 TO 23/10/2021</t>
  </si>
  <si>
    <t>CBD/ CCCR</t>
  </si>
  <si>
    <t>8'' pvc pipe central pimary</t>
  </si>
  <si>
    <t>50mm pvc near siliva hotel</t>
  </si>
  <si>
    <t>63mm pvc at boma 2times</t>
  </si>
  <si>
    <t>32mm pvc upper site</t>
  </si>
  <si>
    <t>63mm pvc 2no lower site</t>
  </si>
  <si>
    <t>ACTIVITIES DONE</t>
  </si>
  <si>
    <t>110mm asubestor pipe at nuclear stage</t>
  </si>
  <si>
    <t>KABATI/SITE ZONE</t>
  </si>
  <si>
    <t>Marking of 9 accounts site</t>
  </si>
  <si>
    <t>Servicing of meters 6 accounts site</t>
  </si>
  <si>
    <t>Rising of customers meters 4 accounts site</t>
  </si>
  <si>
    <t>repaire of leakeges water kiosk kabati 2no</t>
  </si>
  <si>
    <t>replacement of worn out customers meter gatevalves 2no</t>
  </si>
  <si>
    <t>NB No activities done in cbd/cccr due to major burst during the week</t>
  </si>
  <si>
    <t>PLAN FOR NEXT WEEK</t>
  </si>
  <si>
    <t>Installation of 8'' control slauce valve cbd</t>
  </si>
  <si>
    <t>Installation of pending new connection</t>
  </si>
  <si>
    <t>Repaire of pending leakeges at kabati</t>
  </si>
  <si>
    <t>Repaire of 10'' pvc pipe police line juction</t>
  </si>
  <si>
    <t>STAFF ISSUE</t>
  </si>
  <si>
    <t>Suleiman mwangi on annual leave</t>
  </si>
  <si>
    <t>NB We had one major interrruption supply of water in cbd due to burst and was repaired hours taken 24hrs</t>
  </si>
  <si>
    <t>WEEKLY REPORT FROM 23/10/2021 TO 30/10/2021</t>
  </si>
  <si>
    <t>Weekly supply volume per cbd dma</t>
  </si>
  <si>
    <t>consolata</t>
  </si>
  <si>
    <t>444m3</t>
  </si>
  <si>
    <t>Gdc</t>
  </si>
  <si>
    <t>381m3</t>
  </si>
  <si>
    <t>3N</t>
  </si>
  <si>
    <t>772M3</t>
  </si>
  <si>
    <t>Railway</t>
  </si>
  <si>
    <t>756m3</t>
  </si>
  <si>
    <t>town</t>
  </si>
  <si>
    <t>3584m3</t>
  </si>
  <si>
    <t>CCCR DMA</t>
  </si>
  <si>
    <t>3013M3</t>
  </si>
  <si>
    <t>361M3</t>
  </si>
  <si>
    <t>Number of burst repaired</t>
  </si>
  <si>
    <t>50mm pvc pipe town dma</t>
  </si>
  <si>
    <t>25mm pvc pipe railway dma</t>
  </si>
  <si>
    <t>CCCR /KIHOTO DMA</t>
  </si>
  <si>
    <t>cccr</t>
  </si>
  <si>
    <t>63mm HDPE cccr</t>
  </si>
  <si>
    <t>40mm hdpe kihoto</t>
  </si>
  <si>
    <t>New connection installed 4no cbd, cccr 3no</t>
  </si>
  <si>
    <t>Checking cut off accounts in cbd railway dma 12no</t>
  </si>
  <si>
    <t>Meters servicing 1no</t>
  </si>
  <si>
    <t>cbd and cccr 1no</t>
  </si>
  <si>
    <t>Backfilling of 10'' burst at central primary and 110mm at diplomat</t>
  </si>
  <si>
    <t>Cleaning of dms meters and chambers</t>
  </si>
  <si>
    <t>PLANS FOR THE NEXT WEEK</t>
  </si>
  <si>
    <t>Repaire of 10'' leakege at police juction</t>
  </si>
  <si>
    <t>To installed 8'' slauce valve at aic junction</t>
  </si>
  <si>
    <t>junction</t>
  </si>
  <si>
    <t>Attending customers raised in erp task</t>
  </si>
  <si>
    <t>Installation of pending new conection 3no</t>
  </si>
  <si>
    <t>SITE AND KABATI ZONE</t>
  </si>
  <si>
    <t>SITE DMA SUPPLY VOLUME DMA</t>
  </si>
  <si>
    <t>Lower site</t>
  </si>
  <si>
    <t>upper site</t>
  </si>
  <si>
    <t>1296m3</t>
  </si>
  <si>
    <t>1601m3</t>
  </si>
  <si>
    <t>KABATI DMAS</t>
  </si>
  <si>
    <t>Makamburi</t>
  </si>
  <si>
    <t>1545m3</t>
  </si>
  <si>
    <t>2076M3</t>
  </si>
  <si>
    <t>TOTAL VOLUME</t>
  </si>
  <si>
    <t>3621M3</t>
  </si>
  <si>
    <t>2897M3</t>
  </si>
  <si>
    <t>Number of burst and leaks repaired</t>
  </si>
  <si>
    <t>63mm pvc pipe boma kag dma</t>
  </si>
  <si>
    <t>10'' dti main line near kag dma meter</t>
  </si>
  <si>
    <t>63mm pvc pipe ymca kag dma</t>
  </si>
  <si>
    <t>32mm pvc pipe chief office makamburi dma</t>
  </si>
  <si>
    <t>90mm pvc pipe makutana butchery lower site</t>
  </si>
  <si>
    <t>63mm pvc united church upper site</t>
  </si>
  <si>
    <t>25mm pvc pipe priccess route upper site</t>
  </si>
  <si>
    <t>TOTAL BURST REPAIRED</t>
  </si>
  <si>
    <t>SITE /SERVICE</t>
  </si>
  <si>
    <t>4NO</t>
  </si>
  <si>
    <t>Meter raising and servicing 5 accounts site</t>
  </si>
  <si>
    <t>Marking of accounts 7no site</t>
  </si>
  <si>
    <t>Repaire of meter leakeges 3no kabati</t>
  </si>
  <si>
    <t>Attending to customer complain 5no kabati</t>
  </si>
  <si>
    <t>Repaire of 4'' leakege raising main at aic booster</t>
  </si>
  <si>
    <t>Raising and relocating of 2 customers meter site</t>
  </si>
  <si>
    <t>Replacement of leaking customer gatevalves meter 2no kabati</t>
  </si>
  <si>
    <t>Attending to task raised in ERP</t>
  </si>
  <si>
    <t>NB we had no major interruption during the week</t>
  </si>
  <si>
    <t>5937M3</t>
  </si>
  <si>
    <t>WEEKLY REPORT FROM 30/10/2021 TO 6/10/2021</t>
  </si>
  <si>
    <t>WEELY SUPPLY VOLUME CBD DMAS</t>
  </si>
  <si>
    <t>GDC</t>
  </si>
  <si>
    <t>474M3</t>
  </si>
  <si>
    <t>201M3</t>
  </si>
  <si>
    <t xml:space="preserve">     3N</t>
  </si>
  <si>
    <t>RAILWAY</t>
  </si>
  <si>
    <t>684M3</t>
  </si>
  <si>
    <t>591M3</t>
  </si>
  <si>
    <t>TOWN</t>
  </si>
  <si>
    <t>PRISON STAFF</t>
  </si>
  <si>
    <t>TOTAL</t>
  </si>
  <si>
    <t>2912M3</t>
  </si>
  <si>
    <t>367M3</t>
  </si>
  <si>
    <t>145M3</t>
  </si>
  <si>
    <t>3653M3</t>
  </si>
  <si>
    <t>5676M3</t>
  </si>
  <si>
    <t>NUMBER OF LEAKS AND BURST REPAIRED</t>
  </si>
  <si>
    <t>CBD 10'' police line</t>
  </si>
  <si>
    <t>New connection installation 3no cccr</t>
  </si>
  <si>
    <t>Servicing of meter not registering 7 no cccr</t>
  </si>
  <si>
    <t>PLANS FOR CBD/CCCR</t>
  </si>
  <si>
    <t>Confirmation status of customers connection from main GDC route</t>
  </si>
  <si>
    <t>Repaire</t>
  </si>
  <si>
    <t>of leakeges at railway</t>
  </si>
  <si>
    <t>Repaire of leakage friends house</t>
  </si>
  <si>
    <t>KABATI/CCCR ZONE</t>
  </si>
  <si>
    <t>SUPPLY VOLUME PER DMA</t>
  </si>
  <si>
    <t>1398m3</t>
  </si>
  <si>
    <t>total</t>
  </si>
  <si>
    <t>2958m3</t>
  </si>
  <si>
    <t>makaburi</t>
  </si>
  <si>
    <t>2163m3</t>
  </si>
  <si>
    <t>1844M3</t>
  </si>
  <si>
    <t>Total</t>
  </si>
  <si>
    <t>4007m3</t>
  </si>
  <si>
    <t>4'' Raising main aic booster</t>
  </si>
  <si>
    <t>2'' burst at lower site</t>
  </si>
  <si>
    <t>2'' burst at boma kag dma</t>
  </si>
  <si>
    <t>Raising of customers meter 5no site&amp;service</t>
  </si>
  <si>
    <t>Meter servicing 5no site</t>
  </si>
  <si>
    <t>Marking of accounts 4no</t>
  </si>
  <si>
    <t>Unblocking of customer service line at kabati boma</t>
  </si>
  <si>
    <t>New connection installation 1no kabati</t>
  </si>
  <si>
    <t>PLANS FOR SITE/KABATI</t>
  </si>
  <si>
    <t>Installation of pending new connetion 2no kabati</t>
  </si>
  <si>
    <t>Repaire f 4'' leakege at lower site</t>
  </si>
  <si>
    <t>Attending to customer pending customer complaint</t>
  </si>
  <si>
    <t>WEEKLY REPORT FROM 6/11/2021 TO 13/11/2021</t>
  </si>
  <si>
    <t>CBD/CCCR SUPLY VOLUME</t>
  </si>
  <si>
    <t>CONSOLATA/3N</t>
  </si>
  <si>
    <t>NUMBER OF BURST AND LEAKS REPAIRED</t>
  </si>
  <si>
    <t>cbd 90mm friends house railway dma</t>
  </si>
  <si>
    <t>Replacement of customer meter 1no cccr</t>
  </si>
  <si>
    <t xml:space="preserve">New connection installation 2no </t>
  </si>
  <si>
    <t>unbocking police line meter and service line</t>
  </si>
  <si>
    <t>marking of accounts cbd 5no</t>
  </si>
  <si>
    <t>meter relocation and sealing Gdc 1no</t>
  </si>
  <si>
    <t>PLANS</t>
  </si>
  <si>
    <t>Puging of 8''cbd near cccr meter</t>
  </si>
  <si>
    <t>Installatio of new cnnection railway station</t>
  </si>
  <si>
    <t>Repaire of pending leakage at railway</t>
  </si>
  <si>
    <t>KABATI SUPPLY VOLUME</t>
  </si>
  <si>
    <t>MAKAMBURI DMA</t>
  </si>
  <si>
    <t>KAG DMA</t>
  </si>
  <si>
    <t>SITE AND SERVICE SUPPLY</t>
  </si>
  <si>
    <t>110mm leak lower site</t>
  </si>
  <si>
    <t>555M3</t>
  </si>
  <si>
    <t>820M3</t>
  </si>
  <si>
    <t>279M3</t>
  </si>
  <si>
    <t>345M3</t>
  </si>
  <si>
    <t>4796M3</t>
  </si>
  <si>
    <t>162M3</t>
  </si>
  <si>
    <t>2878M3</t>
  </si>
  <si>
    <t>413M3</t>
  </si>
  <si>
    <t>1615M3</t>
  </si>
  <si>
    <t>1643M3</t>
  </si>
  <si>
    <t>1196M3</t>
  </si>
  <si>
    <t>Raising meters site 4no</t>
  </si>
  <si>
    <t>Meter servicing site 2no</t>
  </si>
  <si>
    <t>new connection istallation 2no kabati</t>
  </si>
  <si>
    <t>unbocking and flushing of 50mm submain kabati</t>
  </si>
  <si>
    <t>Unblocking customers service line at boma</t>
  </si>
  <si>
    <t>To carry out water balance kag route</t>
  </si>
  <si>
    <t>installation of new water connection pending 3no site</t>
  </si>
  <si>
    <t>meters replacements 2no site and 2no kabati</t>
  </si>
  <si>
    <t>Staff issues</t>
  </si>
  <si>
    <t>paul njuguna on annual leave</t>
  </si>
  <si>
    <t>1617m3</t>
  </si>
  <si>
    <t>3232m3</t>
  </si>
  <si>
    <t>2839m3</t>
  </si>
  <si>
    <t>WEEKLY REPORT FROM 13/11/2021 TO 20/11/2021</t>
  </si>
  <si>
    <t>CBD /CCCR SUPPLY VOLUME</t>
  </si>
  <si>
    <t>SITE/KABATI ZONE SUPPLY VOLUME</t>
  </si>
  <si>
    <t>SITE&amp;SERVICE</t>
  </si>
  <si>
    <t>MAKAMBURI</t>
  </si>
  <si>
    <t>NUMBER OF BURST REPORTED AND REPAIRED</t>
  </si>
  <si>
    <t>4320M3</t>
  </si>
  <si>
    <t>1791M3</t>
  </si>
  <si>
    <t>2529M3</t>
  </si>
  <si>
    <t>1660M3</t>
  </si>
  <si>
    <t>1410M3</t>
  </si>
  <si>
    <t>3070M3</t>
  </si>
  <si>
    <t>site 50mm pvc at upper sitr</t>
  </si>
  <si>
    <t>site</t>
  </si>
  <si>
    <t>kabati 63mm at boma 2no</t>
  </si>
  <si>
    <t>32mm pvc submain</t>
  </si>
  <si>
    <t>at pcea</t>
  </si>
  <si>
    <t>280m3</t>
  </si>
  <si>
    <t>520m3</t>
  </si>
  <si>
    <t>702m3</t>
  </si>
  <si>
    <t>755m3</t>
  </si>
  <si>
    <t>3873m3</t>
  </si>
  <si>
    <t>6130m3</t>
  </si>
  <si>
    <t>2800m3</t>
  </si>
  <si>
    <t>466m3</t>
  </si>
  <si>
    <t>Installation of new connection</t>
  </si>
  <si>
    <t>cbd 2no, site 4no,kabati 2no</t>
  </si>
  <si>
    <t>back fiiling at friends house cbd</t>
  </si>
  <si>
    <t>Sealing of customers meter 3N route and Ack route 30 customers</t>
  </si>
  <si>
    <t>cleaning of master meter chembers kabati</t>
  </si>
  <si>
    <t>Attending to custumer complain no water a/c 10203978 kabati</t>
  </si>
  <si>
    <t>cbd 50mm at olive resort</t>
  </si>
  <si>
    <t>Meter raising at site 5 no</t>
  </si>
  <si>
    <t>Installation of pending meters seperation 3no kabati,site 2no</t>
  </si>
  <si>
    <t>meters replacements kabati/site</t>
  </si>
  <si>
    <t>meters sealing railway and naivas kubwa route</t>
  </si>
  <si>
    <t xml:space="preserve">repaire of leaking 110mm pvc raising main at lower site </t>
  </si>
  <si>
    <t>master meter replacement 6'' at milimani cbd</t>
  </si>
  <si>
    <t>WEEKLY REPORT 20/11/2021 TO 27/11/2021</t>
  </si>
  <si>
    <t>CBD/CCCR SUPPLIED VOLUME</t>
  </si>
  <si>
    <t>PRISON M</t>
  </si>
  <si>
    <t>PRISON S</t>
  </si>
  <si>
    <t>SITE/KABATI ZONE</t>
  </si>
  <si>
    <t>449M3</t>
  </si>
  <si>
    <t>1379M3</t>
  </si>
  <si>
    <t>186M3</t>
  </si>
  <si>
    <t>455M3</t>
  </si>
  <si>
    <t>2507M3</t>
  </si>
  <si>
    <t>NUMBER OF BURST REPAIRED</t>
  </si>
  <si>
    <t>395M3</t>
  </si>
  <si>
    <t>540M3</t>
  </si>
  <si>
    <t>1046M3</t>
  </si>
  <si>
    <t>6338M3</t>
  </si>
  <si>
    <t>2092M3</t>
  </si>
  <si>
    <t>2119M3</t>
  </si>
  <si>
    <t>4211M3</t>
  </si>
  <si>
    <t>1422M3</t>
  </si>
  <si>
    <t>1194M3</t>
  </si>
  <si>
    <t>2616M3</t>
  </si>
  <si>
    <t>Lower site 110mm raising main</t>
  </si>
  <si>
    <t>kabati pvc 32mm makamburi</t>
  </si>
  <si>
    <t>63 mm pvc heshimu punda upper site 2no</t>
  </si>
  <si>
    <t>63MM PVC cbd</t>
  </si>
  <si>
    <t>marking of accounts cbd 20 no</t>
  </si>
  <si>
    <t>unblocking of customers meters ,testing and sealing 10 no</t>
  </si>
  <si>
    <t>new connection installation site 1no,kabati 4no</t>
  </si>
  <si>
    <t>relocation of 1'' submain at upper site</t>
  </si>
  <si>
    <t>patrol of the railway line</t>
  </si>
  <si>
    <t>monotoring the 30 meters sealed in 3n dma</t>
  </si>
  <si>
    <t>kag dma analysis of customers consumption</t>
  </si>
  <si>
    <t>conduct flow measurement at kag route</t>
  </si>
  <si>
    <t>meter testing and sealing of large consumers at 3n</t>
  </si>
  <si>
    <t>installation of pending new connection cbd 1,kabati 3no</t>
  </si>
  <si>
    <t>marking of 10 accounts in kabati</t>
  </si>
  <si>
    <t>replcacment of 6'' milimani master meter</t>
  </si>
  <si>
    <t>NB we had one major interruption of water supply at lower site due to burst at aic booster</t>
  </si>
  <si>
    <t>WEEKLY REPORT 27/11/2021 TO 4/12/2021</t>
  </si>
  <si>
    <t>CBD/CCCR SUPPLY VOLUME</t>
  </si>
  <si>
    <t>MAKABURI</t>
  </si>
  <si>
    <t>CBD/CCCR NB no major burst</t>
  </si>
  <si>
    <t>32mm pvc ymca kabati</t>
  </si>
  <si>
    <t>63mm pvc dove spring kabati</t>
  </si>
  <si>
    <t>63mm pvc mama africa route site/service</t>
  </si>
  <si>
    <t>New connection installation CBD 1NO,KBT 4NO</t>
  </si>
  <si>
    <t>Meter sealing 3n dma 30 accounts</t>
  </si>
  <si>
    <t>Atending to customer complain no water upper cbd</t>
  </si>
  <si>
    <t>meter servicing and unblocking cbd 4 accounts</t>
  </si>
  <si>
    <t>cleaning and washing of kcc water kiosk</t>
  </si>
  <si>
    <t>meter replacement 2no in kabati</t>
  </si>
  <si>
    <t>recconnecting of customers service line at mama africa 5accounts</t>
  </si>
  <si>
    <t>1227M3</t>
  </si>
  <si>
    <t>2437M3</t>
  </si>
  <si>
    <t>119M3</t>
  </si>
  <si>
    <t>448M3</t>
  </si>
  <si>
    <t>1822M3</t>
  </si>
  <si>
    <t>1901M3</t>
  </si>
  <si>
    <t>1224M3</t>
  </si>
  <si>
    <t>1578M3</t>
  </si>
  <si>
    <t>2802M3</t>
  </si>
  <si>
    <t>3723M3</t>
  </si>
  <si>
    <t>274M3</t>
  </si>
  <si>
    <t>1238M3</t>
  </si>
  <si>
    <t>918M3</t>
  </si>
  <si>
    <t>2788M3</t>
  </si>
  <si>
    <t>5666M3</t>
  </si>
  <si>
    <t>conduct flow measurement kag</t>
  </si>
  <si>
    <t>meter testing and sealing large consumers 3n route</t>
  </si>
  <si>
    <t>installation of new water connection kabati 4no</t>
  </si>
  <si>
    <t>meters replacements in site and kabati 5no</t>
  </si>
  <si>
    <t>repaire all leakages at railway</t>
  </si>
  <si>
    <t>checking and monitoring of accounts at railway dmas</t>
  </si>
  <si>
    <t>WEEKLY REPORT 4/12/2021 TO  11/12/2021</t>
  </si>
  <si>
    <t>SUPPLY VOLUME</t>
  </si>
  <si>
    <t>CONSLATA  TOWN</t>
  </si>
  <si>
    <t>PRISON M PRISON STAFF</t>
  </si>
  <si>
    <t>SITE/ KABATI</t>
  </si>
  <si>
    <t>SITE ZONE</t>
  </si>
  <si>
    <t>NUMBER OF BURST</t>
  </si>
  <si>
    <t>1724M3</t>
  </si>
  <si>
    <t>894M3</t>
  </si>
  <si>
    <t>1570M3</t>
  </si>
  <si>
    <t>1926M3</t>
  </si>
  <si>
    <t>3496M3</t>
  </si>
  <si>
    <t>2628M3</t>
  </si>
  <si>
    <t>123M3</t>
  </si>
  <si>
    <t>2310M3</t>
  </si>
  <si>
    <t>510M3</t>
  </si>
  <si>
    <t>445M3</t>
  </si>
  <si>
    <t>1775M3</t>
  </si>
  <si>
    <t>no reported burst cbd/ccr</t>
  </si>
  <si>
    <t>50mm pvc lower site</t>
  </si>
  <si>
    <t>Sealing of customers meter railway</t>
  </si>
  <si>
    <t>extention of new line manera</t>
  </si>
  <si>
    <t>installation of new connection kabati 4no, kihoto 1no</t>
  </si>
  <si>
    <t>checking and monotoring of customers meter at railway</t>
  </si>
  <si>
    <t>raising of customers meter 8no site</t>
  </si>
  <si>
    <t>PANS</t>
  </si>
  <si>
    <t>Installation of pending new connection 3 in kabati and 2 site</t>
  </si>
  <si>
    <t>772m3</t>
  </si>
  <si>
    <t>255m3</t>
  </si>
  <si>
    <t>706m3</t>
  </si>
  <si>
    <t>To look on to and solve complain cf no water at upper cbd</t>
  </si>
  <si>
    <t>To replace stolen master meter mariku</t>
  </si>
  <si>
    <t>Repaire of leakages at heshimu punda</t>
  </si>
  <si>
    <t>4084m3</t>
  </si>
  <si>
    <t>6327m3</t>
  </si>
  <si>
    <t>WEEKLY REPORT 11/12/2021 TO 17/12/2021</t>
  </si>
  <si>
    <t>SUPPLY VOLUME CBD /CCCR</t>
  </si>
  <si>
    <t>CONSOLA</t>
  </si>
  <si>
    <t>265M3</t>
  </si>
  <si>
    <t>390M3</t>
  </si>
  <si>
    <t>1044M3</t>
  </si>
  <si>
    <t>404M3</t>
  </si>
  <si>
    <t>3836M3</t>
  </si>
  <si>
    <t>5939M3</t>
  </si>
  <si>
    <t>2789M3</t>
  </si>
  <si>
    <t>402M3</t>
  </si>
  <si>
    <t>2664M3</t>
  </si>
  <si>
    <t>124M3</t>
  </si>
  <si>
    <t>319M3</t>
  </si>
  <si>
    <t>SITE/KABATI VOLUME</t>
  </si>
  <si>
    <t>LOWER SITE 1825M3</t>
  </si>
  <si>
    <t>MAKABURI 1653M3</t>
  </si>
  <si>
    <t xml:space="preserve">KAG </t>
  </si>
  <si>
    <t>2116M3</t>
  </si>
  <si>
    <t>3769M3</t>
  </si>
  <si>
    <t>UPPER SITE   483M3</t>
  </si>
  <si>
    <t>2308M3</t>
  </si>
  <si>
    <t>NUMBER OF BURST REPORTED</t>
  </si>
  <si>
    <t>90mm kag kabati</t>
  </si>
  <si>
    <t>63mm kag kabati</t>
  </si>
  <si>
    <t>New connection installation cccr 3no,1no site</t>
  </si>
  <si>
    <t>customers meter servicing 3no site</t>
  </si>
  <si>
    <t>repaire and replacing of worn out gate valves at kabati 4no</t>
  </si>
  <si>
    <t>Exposing lines at kihoto pipe line</t>
  </si>
  <si>
    <t>flow mearesurement at kag kabati</t>
  </si>
  <si>
    <t>inspection of meters large consumers at kag route boma</t>
  </si>
  <si>
    <t>servicing of invisible meters site for monthly meter reading</t>
  </si>
  <si>
    <t>WEEKLY REPORT FROM 17/12/2021 TO 24/12/2021</t>
  </si>
  <si>
    <t>1100M3</t>
  </si>
  <si>
    <t>870M3</t>
  </si>
  <si>
    <t>350M3</t>
  </si>
  <si>
    <t>442M3</t>
  </si>
  <si>
    <t>3398M3</t>
  </si>
  <si>
    <t>6160M3</t>
  </si>
  <si>
    <t>2217M3</t>
  </si>
  <si>
    <t>400M3</t>
  </si>
  <si>
    <t>141M3</t>
  </si>
  <si>
    <t>2536M3</t>
  </si>
  <si>
    <t>1343M3</t>
  </si>
  <si>
    <t>11Omm pvc burst raising main site</t>
  </si>
  <si>
    <t>32mm pvc dove spring kabati</t>
  </si>
  <si>
    <t>Installation 2'' master meter railway</t>
  </si>
  <si>
    <t>installation of new water connection kabati 1no</t>
  </si>
  <si>
    <t>meter servicing not visible at site 12no</t>
  </si>
  <si>
    <t>WEEKLY REPORT FROM 24/12/21 TO 31/12/2021</t>
  </si>
  <si>
    <t>CONSOLAT   3N</t>
  </si>
  <si>
    <t>527M3</t>
  </si>
  <si>
    <t>553M3</t>
  </si>
  <si>
    <t>PRISON M PRISON, S</t>
  </si>
  <si>
    <t>2073M3</t>
  </si>
  <si>
    <t>146M3</t>
  </si>
  <si>
    <t>2787M3</t>
  </si>
  <si>
    <t>252M3</t>
  </si>
  <si>
    <t>4066M3</t>
  </si>
  <si>
    <t>5793M3</t>
  </si>
  <si>
    <t>381M3</t>
  </si>
  <si>
    <t>2502M3</t>
  </si>
  <si>
    <t>MAKAMBURI 1513M3</t>
  </si>
  <si>
    <t>3292M3</t>
  </si>
  <si>
    <t>1779M3</t>
  </si>
  <si>
    <t>LOWER SITE 1936M3</t>
  </si>
  <si>
    <t xml:space="preserve">        601M3</t>
  </si>
  <si>
    <t>2537M3</t>
  </si>
  <si>
    <t>KABATI/SITE ZONE VOLUME</t>
  </si>
  <si>
    <t>MAKAMBURI 1566M3</t>
  </si>
  <si>
    <t>1543M3</t>
  </si>
  <si>
    <t>3109M3</t>
  </si>
  <si>
    <t>LOWER SITE 1823M3</t>
  </si>
  <si>
    <t>UPPER SITE 309M3</t>
  </si>
  <si>
    <t>2132M3</t>
  </si>
  <si>
    <t>TOTAL REGION SUPPLY VOLUME</t>
  </si>
  <si>
    <t>18038M3</t>
  </si>
  <si>
    <t>19511M3</t>
  </si>
  <si>
    <t>90mm pvc Gdc</t>
  </si>
  <si>
    <t>63mm pvc staff complex</t>
  </si>
  <si>
    <t>63 mm hdpe industrial cccr</t>
  </si>
  <si>
    <t>63 pvc ymca kabati</t>
  </si>
  <si>
    <t>ACTIVITIE DONE</t>
  </si>
  <si>
    <t>Unblocking blocked customers meters at boma 14 acounts</t>
  </si>
  <si>
    <t>Unblocking customers service line at main line 3 no</t>
  </si>
  <si>
    <t>attending customers complain of no water at cbd 4no</t>
  </si>
  <si>
    <t>CONSOLATA  3N</t>
  </si>
  <si>
    <r>
      <t xml:space="preserve"> </t>
    </r>
    <r>
      <rPr>
        <b/>
        <sz val="11"/>
        <color rgb="FF0070C0"/>
        <rFont val="Calibri"/>
        <family val="2"/>
        <scheme val="minor"/>
      </rPr>
      <t>T OTAL REGION SUPPLY VOLU</t>
    </r>
    <r>
      <rPr>
        <sz val="11"/>
        <color rgb="FF0070C0"/>
        <rFont val="Calibri"/>
        <family val="2"/>
        <scheme val="minor"/>
      </rPr>
      <t>ME</t>
    </r>
  </si>
  <si>
    <t>NB meter need replacement is under registering</t>
  </si>
  <si>
    <t>new connection istallation 4no kabati</t>
  </si>
  <si>
    <t>WEEKLY REPORT FROM 31/12/2022 TO 7/01/2022</t>
  </si>
  <si>
    <t>CONSOLAT 3N</t>
  </si>
  <si>
    <t>438M3</t>
  </si>
  <si>
    <t>561M3</t>
  </si>
  <si>
    <t>2359M3</t>
  </si>
  <si>
    <t>660M3</t>
  </si>
  <si>
    <t>419M3</t>
  </si>
  <si>
    <t>82M3</t>
  </si>
  <si>
    <t>1141M3</t>
  </si>
  <si>
    <t>181M3</t>
  </si>
  <si>
    <t>2663M3</t>
  </si>
  <si>
    <t>LOWER SITE 1901</t>
  </si>
  <si>
    <t>UPPER SITE 383M3</t>
  </si>
  <si>
    <t>MAKABURI 1518M3</t>
  </si>
  <si>
    <t>2225M3</t>
  </si>
  <si>
    <t>2284M3</t>
  </si>
  <si>
    <t>3262M3</t>
  </si>
  <si>
    <t>5003M3</t>
  </si>
  <si>
    <t>TOTAL DTI REGION SUPPLY</t>
  </si>
  <si>
    <t>17793M3</t>
  </si>
  <si>
    <t>NUMBER OF BURST&amp;LEAKS</t>
  </si>
  <si>
    <t>nomajor  burst reported</t>
  </si>
  <si>
    <t>SITE/KABATI</t>
  </si>
  <si>
    <t>110 mm raising main aic</t>
  </si>
  <si>
    <t>63mm pvc kabati</t>
  </si>
  <si>
    <t>32mm pvc kabati pcea</t>
  </si>
  <si>
    <t>Ublocking customer meters kabati 8no</t>
  </si>
  <si>
    <t>meter installation new connection kabati 8no site 6no</t>
  </si>
  <si>
    <t>servicing of master meters cbd ie 3N,railway,cccr</t>
  </si>
  <si>
    <t xml:space="preserve">PRISON M PRISON STAFF </t>
  </si>
  <si>
    <t>WE</t>
  </si>
  <si>
    <t>3783M4</t>
  </si>
  <si>
    <t>WEEKLY REPORT FROM 08/01/2022 TO 14/01/2022</t>
  </si>
  <si>
    <t>460M3</t>
  </si>
  <si>
    <t>519M3</t>
  </si>
  <si>
    <t xml:space="preserve">CONSOLATA </t>
  </si>
  <si>
    <t>793M3</t>
  </si>
  <si>
    <t>1099M3</t>
  </si>
  <si>
    <t>2970M3</t>
  </si>
  <si>
    <t>5841M3</t>
  </si>
  <si>
    <t>2299M3</t>
  </si>
  <si>
    <t>444M3</t>
  </si>
  <si>
    <t>163M3</t>
  </si>
  <si>
    <t>614M3</t>
  </si>
  <si>
    <t>LOWER SITE 1836M3</t>
  </si>
  <si>
    <t>UPPER SITE 218M3</t>
  </si>
  <si>
    <t>2154M3</t>
  </si>
  <si>
    <t>MAKABURI 1868M3</t>
  </si>
  <si>
    <t>1907M3</t>
  </si>
  <si>
    <t>3775M4</t>
  </si>
  <si>
    <t>17446M3</t>
  </si>
  <si>
    <t>2134M3</t>
  </si>
  <si>
    <t>Repaired 2" pvc pipe at railways route</t>
  </si>
  <si>
    <t>repaired 3" leaking saddle at GDC.</t>
  </si>
  <si>
    <t>WEEK ACTIVITIES</t>
  </si>
  <si>
    <t xml:space="preserve">Excavation at kihoto pipeline </t>
  </si>
  <si>
    <t>Unblocking at cccr ebenezer line</t>
  </si>
  <si>
    <t>Kiosk repair at cccr (14 and 13)</t>
  </si>
  <si>
    <t xml:space="preserve"> P.TANK BH</t>
  </si>
  <si>
    <t>WEEKLY REPORT FROM15 /01/2022 TO 21/01/2022</t>
  </si>
  <si>
    <t>P.STAFF</t>
  </si>
  <si>
    <t>P MAIN</t>
  </si>
  <si>
    <t>L. SITE</t>
  </si>
  <si>
    <t>19516M3</t>
  </si>
  <si>
    <t>Repair 63mm hadpe pipe cccr</t>
  </si>
  <si>
    <t>Repair 50mm hadpe pipe cccr</t>
  </si>
  <si>
    <t>kiosk 14 repair</t>
  </si>
  <si>
    <t>Tank installation at kiosk 14</t>
  </si>
  <si>
    <t>water balance railways</t>
  </si>
  <si>
    <t>Repair 63mmpvc pipe at railways</t>
  </si>
  <si>
    <t xml:space="preserve">Excation at kihoto </t>
  </si>
  <si>
    <t>Repair 25mm leakig ppr pipe GDC</t>
  </si>
  <si>
    <t>Repair 63mm pvc pipe at consolata</t>
  </si>
  <si>
    <t>Repair 25mm leakig ppr pipe upper mugwan</t>
  </si>
  <si>
    <t>2 new connection cccr</t>
  </si>
  <si>
    <t xml:space="preserve"> 1 connection cbd</t>
  </si>
  <si>
    <t>Repair 50mm pvc pipe railways</t>
  </si>
  <si>
    <t>Servicing of customer meters cccr (12)</t>
  </si>
  <si>
    <t>Excavation at railways to install master meter</t>
  </si>
  <si>
    <r>
      <t xml:space="preserve">TOTAL DTI REGION SUPPLY  </t>
    </r>
    <r>
      <rPr>
        <b/>
        <i/>
        <u/>
        <sz val="14"/>
        <color theme="1"/>
        <rFont val="Calibri"/>
        <family val="2"/>
        <scheme val="minor"/>
      </rPr>
      <t>18471</t>
    </r>
  </si>
  <si>
    <t>2 New connection</t>
  </si>
  <si>
    <t>63mm leakage</t>
  </si>
  <si>
    <t>32mm leakage</t>
  </si>
  <si>
    <t>checking line installation at manera</t>
  </si>
  <si>
    <t>Reapair leaking coupling at hopewell</t>
  </si>
  <si>
    <t>Repair leaking saddle at ebenezer</t>
  </si>
  <si>
    <t>Repair 63mm pvc at railways</t>
  </si>
  <si>
    <t>Repair 32mm pvc raiways</t>
  </si>
  <si>
    <t>Master Meter instalation railways</t>
  </si>
  <si>
    <t>Attending customer complains</t>
  </si>
  <si>
    <t>Repair 63MM  pvc at GDC</t>
  </si>
  <si>
    <t>Repair 25mm ppr pipe poiceline</t>
  </si>
  <si>
    <t xml:space="preserve">Water balance at railway </t>
  </si>
  <si>
    <t>SITE AND SERVICE</t>
  </si>
  <si>
    <t>Servicing of customer meters</t>
  </si>
  <si>
    <t>Master meter servicing upper site</t>
  </si>
  <si>
    <t>KABTATI</t>
  </si>
  <si>
    <t>2 Connections installation</t>
  </si>
  <si>
    <t>unbloking lines at boma</t>
  </si>
  <si>
    <t>WEEKLY REPORT SUMMARY FROM 25/3/2022 TO  31/3/2022</t>
  </si>
  <si>
    <t>DTI REGION</t>
  </si>
  <si>
    <t>CBD DMAS</t>
  </si>
  <si>
    <t>Three N</t>
  </si>
  <si>
    <t>Town</t>
  </si>
  <si>
    <t>2374m3</t>
  </si>
  <si>
    <t>1075m3</t>
  </si>
  <si>
    <t>468m3</t>
  </si>
  <si>
    <t>675m3</t>
  </si>
  <si>
    <t>3305m3</t>
  </si>
  <si>
    <t xml:space="preserve">Total </t>
  </si>
  <si>
    <t>5991m3</t>
  </si>
  <si>
    <t>2995M3</t>
  </si>
  <si>
    <t>153M3</t>
  </si>
  <si>
    <t>LOWER</t>
  </si>
  <si>
    <t>UPPER</t>
  </si>
  <si>
    <t>1522M3</t>
  </si>
  <si>
    <t>666M3</t>
  </si>
  <si>
    <t>2188m3</t>
  </si>
  <si>
    <t>Makamburi 1354m3</t>
  </si>
  <si>
    <t>kag</t>
  </si>
  <si>
    <t>due to meter damanged</t>
  </si>
  <si>
    <t>1354m3</t>
  </si>
  <si>
    <t>Dti regional water supply 14736m3</t>
  </si>
  <si>
    <t>PRISON</t>
  </si>
  <si>
    <t>874M3</t>
  </si>
  <si>
    <t>1181M3</t>
  </si>
  <si>
    <t>0M3</t>
  </si>
  <si>
    <t>SUPPLY SUMMARY</t>
  </si>
  <si>
    <t>90mm 2no Gdc</t>
  </si>
  <si>
    <t>63mm consolata</t>
  </si>
  <si>
    <t>110 leaking sandle clump mariku</t>
  </si>
  <si>
    <t>40mm hdpe Ap line</t>
  </si>
  <si>
    <t>75mm Hdpe kihoto</t>
  </si>
  <si>
    <t>32mm Hdpekihoto</t>
  </si>
  <si>
    <t>63mm hdpe manera</t>
  </si>
  <si>
    <t>63mm pvc lower site</t>
  </si>
  <si>
    <t>50mm pvc upper kabati</t>
  </si>
  <si>
    <t>63mm pvc ymca</t>
  </si>
  <si>
    <t>32mm pvc boma</t>
  </si>
  <si>
    <t>63mm at mosdue</t>
  </si>
  <si>
    <t>manera 16 no</t>
  </si>
  <si>
    <t>marking of customers account manera</t>
  </si>
  <si>
    <t>CBD/ CCCR ZONE</t>
  </si>
  <si>
    <t>Installation nrw master meter at railway 3''</t>
  </si>
  <si>
    <t>Testing of customer meter upper railway and carry water balance</t>
  </si>
  <si>
    <t>Servicing of customer meters 4no</t>
  </si>
  <si>
    <t>Servcing of invisible meters at site 13no</t>
  </si>
  <si>
    <t>marking of customers meter 6no site</t>
  </si>
  <si>
    <t>meter relocation and rising 1no site</t>
  </si>
  <si>
    <t>master meter servicing upper site</t>
  </si>
  <si>
    <t xml:space="preserve">Ball valve installation </t>
  </si>
  <si>
    <t>customers meter servicing 4no</t>
  </si>
  <si>
    <t>marking of accounts 8 no</t>
  </si>
  <si>
    <t>customers gatevalve replacement</t>
  </si>
  <si>
    <t>WEEKLY REPORT FROM 1/4/2022 T0 7/4/2022</t>
  </si>
  <si>
    <t>DTI REGION SUPPLY SUMMARY</t>
  </si>
  <si>
    <t>THREE N</t>
  </si>
  <si>
    <t>RAILYWAY</t>
  </si>
  <si>
    <t>375M3</t>
  </si>
  <si>
    <t>529M3</t>
  </si>
  <si>
    <t>821M3</t>
  </si>
  <si>
    <t>999M3</t>
  </si>
  <si>
    <t>3216M3</t>
  </si>
  <si>
    <t>5940M3</t>
  </si>
  <si>
    <t>2724M3</t>
  </si>
  <si>
    <t>228M3</t>
  </si>
  <si>
    <t>1279M3</t>
  </si>
  <si>
    <t>635M3</t>
  </si>
  <si>
    <t>SITE&amp;SERVICE DMAS</t>
  </si>
  <si>
    <t>956M3</t>
  </si>
  <si>
    <t>1357M3</t>
  </si>
  <si>
    <t>2313M3</t>
  </si>
  <si>
    <t>MAKABURI 1404M3</t>
  </si>
  <si>
    <t>00M3</t>
  </si>
  <si>
    <t>1414M3</t>
  </si>
  <si>
    <t>8''pvc at catholic</t>
  </si>
  <si>
    <t>3'' pvc at Gdc</t>
  </si>
  <si>
    <t>50mm pvc railway</t>
  </si>
  <si>
    <t>32mm hdpe at manera</t>
  </si>
  <si>
    <t>2'' pvc upper site</t>
  </si>
  <si>
    <t>4'' pvc raising main lower site</t>
  </si>
  <si>
    <t>Servicing of invisible meters cccr a/c 2466,1585,6079,</t>
  </si>
  <si>
    <t>marking of accounts hope well</t>
  </si>
  <si>
    <t>installation 6'' master meter cbd</t>
  </si>
  <si>
    <t>water balance naivas kubwa kaniu route</t>
  </si>
  <si>
    <t>raising of customers meter 4no site</t>
  </si>
  <si>
    <t>meters servicing and replacement of valve</t>
  </si>
  <si>
    <t>meter replacement</t>
  </si>
  <si>
    <t>new connection installation 3no at kabati</t>
  </si>
  <si>
    <t>reconnection of customers service line damaged by road contractor boma kabati</t>
  </si>
  <si>
    <t>Regional supply 14533m3</t>
  </si>
  <si>
    <t>WEEKLY REPORT FROM 8/4/2022 TO  14/4/2022</t>
  </si>
  <si>
    <t>DTI REGION SUPPLY VOLUME SUMMARY</t>
  </si>
  <si>
    <t>CONSOLATA 265M3</t>
  </si>
  <si>
    <t>502M3</t>
  </si>
  <si>
    <t>778M3</t>
  </si>
  <si>
    <t>3190M3</t>
  </si>
  <si>
    <t>5863M3</t>
  </si>
  <si>
    <t>1035M3</t>
  </si>
  <si>
    <t>1479M3</t>
  </si>
  <si>
    <t>2977M3</t>
  </si>
  <si>
    <t>307M3</t>
  </si>
  <si>
    <t>1828M3</t>
  </si>
  <si>
    <t>2007M3</t>
  </si>
  <si>
    <t>2514M3</t>
  </si>
  <si>
    <t>REGIONAL TOTAL SUPPLY VOLUME 18649M3</t>
  </si>
  <si>
    <t>32 mm pvc near Ap</t>
  </si>
  <si>
    <t>90mm pvc makaburi</t>
  </si>
  <si>
    <t>ACTIVITIES WERE DONE</t>
  </si>
  <si>
    <t>kihoto 3no</t>
  </si>
  <si>
    <t>cccr 1no</t>
  </si>
  <si>
    <t>meters servicing but not registering need replacement 4no</t>
  </si>
  <si>
    <t>carrying water balance at polyclinic and naiva kubwa</t>
  </si>
  <si>
    <t>Replacement of customers gatevalve 5no</t>
  </si>
  <si>
    <t>meters servicing 8no</t>
  </si>
  <si>
    <t>marking of 3 accounts</t>
  </si>
  <si>
    <t>Installation  isolation gatevalve</t>
  </si>
  <si>
    <t>meters servicing 6no</t>
  </si>
  <si>
    <t>repaire of leakages before meter 4no</t>
  </si>
  <si>
    <t>replacement of customers gatevalve 4no</t>
  </si>
  <si>
    <t>WEEKLY REPORT FROM 15/4/2022 TO 22/4/2022</t>
  </si>
  <si>
    <t>DTI REGION SUPPLY VOLUME</t>
  </si>
  <si>
    <t>CONSOLATA 528M3</t>
  </si>
  <si>
    <t xml:space="preserve">RAILWAY </t>
  </si>
  <si>
    <t>436M3</t>
  </si>
  <si>
    <t>829M3</t>
  </si>
  <si>
    <t>5804M3</t>
  </si>
  <si>
    <t>1240M3</t>
  </si>
  <si>
    <t>4011M3</t>
  </si>
  <si>
    <t>3057M3</t>
  </si>
  <si>
    <t>224M3</t>
  </si>
  <si>
    <t>1526M3</t>
  </si>
  <si>
    <t>PRISON M 1626M3</t>
  </si>
  <si>
    <t>PROSOM S 133M3</t>
  </si>
  <si>
    <t>1356M3</t>
  </si>
  <si>
    <t>1485M3</t>
  </si>
  <si>
    <t>2841M3</t>
  </si>
  <si>
    <t>MAKABURI 1484M3</t>
  </si>
  <si>
    <t>196M3</t>
  </si>
  <si>
    <t>1680M3</t>
  </si>
  <si>
    <t>TOTAL REGION SUPPLY</t>
  </si>
  <si>
    <t>16891M3</t>
  </si>
  <si>
    <t>8'' pvc near level five hospital</t>
  </si>
  <si>
    <t>2'' pvc near PAG church</t>
  </si>
  <si>
    <t>New connection installed cccr 2no,kihoto 1no</t>
  </si>
  <si>
    <t>NRW ACTIVITIES</t>
  </si>
  <si>
    <t>water balance at naivas kubwa and polyclinic route</t>
  </si>
  <si>
    <t>step test at railway line</t>
  </si>
  <si>
    <t>master meter replacement at bancie</t>
  </si>
  <si>
    <t>nrw along the 8'' line water balance</t>
  </si>
  <si>
    <t>meters servicing invisible meters to enable clear meter reading excisise 20 no</t>
  </si>
  <si>
    <t>repaire of  leaking saddle connector 63mm near jamhuri church</t>
  </si>
  <si>
    <t>repaire of 25mm customer lines ppr lower site</t>
  </si>
  <si>
    <t>customers gatevalve replacements 3no</t>
  </si>
  <si>
    <t>attending meters leakages 4no</t>
  </si>
  <si>
    <t>meters servicing at makaburi dma invisible 8 no</t>
  </si>
  <si>
    <t>master meter replacement KAG</t>
  </si>
  <si>
    <t>Servicing of slauce valve need replacement</t>
  </si>
  <si>
    <t>customers gatevalve repalacement 3no</t>
  </si>
  <si>
    <t>water balance and to do step test at railway</t>
  </si>
  <si>
    <t>banda extension</t>
  </si>
  <si>
    <t>connecting 1metre sub main at pipe line kihoto</t>
  </si>
  <si>
    <t>invible and faulty meter replcement</t>
  </si>
  <si>
    <t>WEEKLY REPORT FROM 22/4/2021 TO 28/4/2022</t>
  </si>
  <si>
    <t>CBD 6050M3</t>
  </si>
  <si>
    <t>CCCR 3069M3</t>
  </si>
  <si>
    <t>KIHOTO 203M3</t>
  </si>
  <si>
    <t>4005M3</t>
  </si>
  <si>
    <t>3119M3</t>
  </si>
  <si>
    <t>1445M3</t>
  </si>
  <si>
    <t>1441M3</t>
  </si>
  <si>
    <t xml:space="preserve">PRISON  </t>
  </si>
  <si>
    <t>PRISON S 130M3</t>
  </si>
  <si>
    <t>BURST AND LEAKS</t>
  </si>
  <si>
    <t>63mm pvc 2no consolata</t>
  </si>
  <si>
    <t>63mm pvc Ap</t>
  </si>
  <si>
    <t>50 mm pvc consolata</t>
  </si>
  <si>
    <t>63mm hdpe 2no rumax</t>
  </si>
  <si>
    <t xml:space="preserve">50mm industrial </t>
  </si>
  <si>
    <t>75 mm railway</t>
  </si>
  <si>
    <t>63mm 4no kag</t>
  </si>
  <si>
    <t>63mm mosque</t>
  </si>
  <si>
    <t>32mm mercy friend 3no</t>
  </si>
  <si>
    <t>25mm pvc customers service line 3no kag</t>
  </si>
  <si>
    <t>63mm pvc full gospel</t>
  </si>
  <si>
    <t>63mm muslim cemetery</t>
  </si>
  <si>
    <t>63mm pvc mukuru</t>
  </si>
  <si>
    <t>Water balance at railway its daily activities</t>
  </si>
  <si>
    <t>meters servicing for meter reading cccr ,site,kabati</t>
  </si>
  <si>
    <t>WEEKLY REPORT FROM 29/5/2022 TO 6/5/2022</t>
  </si>
  <si>
    <t>1346m3</t>
  </si>
  <si>
    <t>149m3</t>
  </si>
  <si>
    <t>987m3</t>
  </si>
  <si>
    <t>2552m3</t>
  </si>
  <si>
    <t>makaburi 1659m3</t>
  </si>
  <si>
    <t>4010M3</t>
  </si>
  <si>
    <t>4862m3</t>
  </si>
  <si>
    <t>2976m3</t>
  </si>
  <si>
    <t>182m3</t>
  </si>
  <si>
    <t>3052M3</t>
  </si>
  <si>
    <t>1393M3</t>
  </si>
  <si>
    <t>1659M3</t>
  </si>
  <si>
    <t>Total region supply 17564m3</t>
  </si>
  <si>
    <t>Total region supply 19437m3</t>
  </si>
  <si>
    <t>63mm hdpe cccr</t>
  </si>
  <si>
    <t>63mm rumax75mm hdpe dubai market</t>
  </si>
  <si>
    <t>50mm sanivation railway</t>
  </si>
  <si>
    <t>63mm boma</t>
  </si>
  <si>
    <t xml:space="preserve">63mm kag </t>
  </si>
  <si>
    <t>63mm makaburi</t>
  </si>
  <si>
    <t>repaire and relooping of 63 mm pvc to 50mm hdpe dove spring</t>
  </si>
  <si>
    <t>repaire of 25mm boma 2no</t>
  </si>
  <si>
    <t>Reconnection of accounts 102082,10202602,replacing worn out saddle clump</t>
  </si>
  <si>
    <t>replacing o f leaking customers gatevalve 2 in site 3 in kabati</t>
  </si>
  <si>
    <t>repaire of meter leakages 3no kabati and 4 no site</t>
  </si>
  <si>
    <t>WEEKLY REPORT 6/5/2022 TO 12/5/2022</t>
  </si>
  <si>
    <t>WATER SUPPLIED VOLUME</t>
  </si>
  <si>
    <t>4650M3</t>
  </si>
  <si>
    <t>2793M3</t>
  </si>
  <si>
    <t>174M3</t>
  </si>
  <si>
    <t>1545M3</t>
  </si>
  <si>
    <t>681M3</t>
  </si>
  <si>
    <t>320M3</t>
  </si>
  <si>
    <t>1438M3</t>
  </si>
  <si>
    <t>1230M3</t>
  </si>
  <si>
    <t>2768M3</t>
  </si>
  <si>
    <t>MAKABURI 1674M3</t>
  </si>
  <si>
    <t>2085M3</t>
  </si>
  <si>
    <t>3759M3</t>
  </si>
  <si>
    <t>16690M3</t>
  </si>
  <si>
    <t>90mm Gi pipe kag</t>
  </si>
  <si>
    <t>32mm pvc near ymca</t>
  </si>
  <si>
    <t>63mm at keroche</t>
  </si>
  <si>
    <t>63mm pvc mama africa route</t>
  </si>
  <si>
    <t>50mm Gathetha route</t>
  </si>
  <si>
    <t>kabati</t>
  </si>
  <si>
    <t xml:space="preserve">      1no</t>
  </si>
  <si>
    <t>Boma extension compeleted</t>
  </si>
  <si>
    <t>Boma extension customer relocation 4 no</t>
  </si>
  <si>
    <t>Leaking customers gatevalve replacement 2no kabati and site 1no</t>
  </si>
  <si>
    <t>New connection installation cccr 1no ,kihoto 1no</t>
  </si>
  <si>
    <t>water balance at railway daily</t>
  </si>
  <si>
    <t>banda extension compeleted</t>
  </si>
  <si>
    <t>50mm pvc at naivas and cccr</t>
  </si>
  <si>
    <t>WEEKLY REPORT FROM 13/5/2022 TO 20/5/2022</t>
  </si>
  <si>
    <t>5024M3</t>
  </si>
  <si>
    <t>2840M3</t>
  </si>
  <si>
    <t>247M3</t>
  </si>
  <si>
    <t>1187M3</t>
  </si>
  <si>
    <t xml:space="preserve">UPPER </t>
  </si>
  <si>
    <t>1463M3</t>
  </si>
  <si>
    <t>1116M3</t>
  </si>
  <si>
    <t>MAKABURI 1476M3</t>
  </si>
  <si>
    <t>4243M3</t>
  </si>
  <si>
    <t>2579M3</t>
  </si>
  <si>
    <t>VOLUME</t>
  </si>
  <si>
    <t>16305M3</t>
  </si>
  <si>
    <t>110mm asebestor nuclear stage</t>
  </si>
  <si>
    <t>90mm Gdc</t>
  </si>
  <si>
    <t>63mm Gi 3n</t>
  </si>
  <si>
    <t>63 hdpe cccr</t>
  </si>
  <si>
    <t>63mm pvc upper site mama africa route</t>
  </si>
  <si>
    <t>63mm pvc kabati near kabati mosque</t>
  </si>
  <si>
    <t>32mm pvc exdoes route kabati</t>
  </si>
  <si>
    <t>Reconnecting customer at consolata</t>
  </si>
  <si>
    <t>repaires of customers service lines at naivas kubwa</t>
  </si>
  <si>
    <t>at site 8no</t>
  </si>
  <si>
    <t>meter servicing for meter reading</t>
  </si>
  <si>
    <t>marking of accounts 3no</t>
  </si>
  <si>
    <t>Relocation of customers to the new line at boma 18 no</t>
  </si>
  <si>
    <t>installation of new cnnection at kag</t>
  </si>
  <si>
    <t>meter servicing 4no</t>
  </si>
  <si>
    <t>repaire of customers service line leakages</t>
  </si>
  <si>
    <t>new connection installation 1 in kihoto and 1 at Ack cbd</t>
  </si>
  <si>
    <t>Nrw at railway water balance</t>
  </si>
  <si>
    <t>WEEKLY REPORT FROM 20/5/2022 TO 27/5/2022</t>
  </si>
  <si>
    <t>4762M3</t>
  </si>
  <si>
    <t>2838M3</t>
  </si>
  <si>
    <t>191M3</t>
  </si>
  <si>
    <t>900M3</t>
  </si>
  <si>
    <t>79M3</t>
  </si>
  <si>
    <t>2553M3</t>
  </si>
  <si>
    <t>MAKABURI 1466</t>
  </si>
  <si>
    <t>3366M3</t>
  </si>
  <si>
    <t>REGIONAL SUPPLY VOLUME 16542M3</t>
  </si>
  <si>
    <t>2'' pvc lower site</t>
  </si>
  <si>
    <t>90mm pvc kabati kag</t>
  </si>
  <si>
    <t>90mm pvc makaburi gold fish</t>
  </si>
  <si>
    <t>NB CBD, CCCR we had no burst</t>
  </si>
  <si>
    <t>customers meter replacement 15 no</t>
  </si>
  <si>
    <t>marking of accounts 8no</t>
  </si>
  <si>
    <t>Valves replacement water kiosk kabati</t>
  </si>
  <si>
    <t>meter servicing not invisible 8 n0</t>
  </si>
  <si>
    <t>disconnection of customers leaking accounts from main</t>
  </si>
  <si>
    <t>markinn of accounts 16 no</t>
  </si>
  <si>
    <t>WEEKLY REPORT FROM 27/5/2022 TO 3/6/2022</t>
  </si>
  <si>
    <t>5413M3</t>
  </si>
  <si>
    <t>2886M3</t>
  </si>
  <si>
    <t>253M3</t>
  </si>
  <si>
    <t>50M3</t>
  </si>
  <si>
    <t>1276M3</t>
  </si>
  <si>
    <t>1284M3</t>
  </si>
  <si>
    <t>2560M3</t>
  </si>
  <si>
    <t>MAKABURI 1632M3</t>
  </si>
  <si>
    <t>1802M3</t>
  </si>
  <si>
    <t>3424M3</t>
  </si>
  <si>
    <t>14566M3</t>
  </si>
  <si>
    <t>63mm pvc upper site</t>
  </si>
  <si>
    <t>Connecting line at kihoto pipe line</t>
  </si>
  <si>
    <t>installation of sub meter Gdc 50mm and 90mm</t>
  </si>
  <si>
    <t>customer meter relocation at Gdc 4no</t>
  </si>
  <si>
    <t>water balance in GDC DMA</t>
  </si>
  <si>
    <t>Meter installation manera 7no</t>
  </si>
  <si>
    <t>marking of accounts cbd 15 no</t>
  </si>
  <si>
    <t>Marking of accounts 9 in site and 18 at kabati</t>
  </si>
  <si>
    <t>meter replacement 4 no site</t>
  </si>
  <si>
    <t>replacement of customers gatevalve</t>
  </si>
  <si>
    <t>rehabilitation of leaking saddle clump 90mm makaburi kabati</t>
  </si>
  <si>
    <t>repaire of leaking 25mm ppr pipe at makaburi kabati</t>
  </si>
  <si>
    <t>customer service line replacement from pvc to ppr pipe at ymca kabati</t>
  </si>
  <si>
    <t>new connection installation at site 1no</t>
  </si>
  <si>
    <t>Regional volume was affected by power failure at Dti production site also aic booster</t>
  </si>
  <si>
    <t>0m3</t>
  </si>
  <si>
    <t>WEEKLY REPORT FROM 3/6/2022 TO 10 /6/2022</t>
  </si>
  <si>
    <t>248M3</t>
  </si>
  <si>
    <t>3404M3</t>
  </si>
  <si>
    <t>5375M3</t>
  </si>
  <si>
    <t>STIE&amp;SERVICE</t>
  </si>
  <si>
    <t>1490M3</t>
  </si>
  <si>
    <t>MAKABURI 1686M3</t>
  </si>
  <si>
    <t>2122M3</t>
  </si>
  <si>
    <t>3808M3</t>
  </si>
  <si>
    <t>399M3</t>
  </si>
  <si>
    <t>1889M3</t>
  </si>
  <si>
    <t>NB  site master meter stucked for 2days also under registered its frequently serviced</t>
  </si>
  <si>
    <t>(upper site)</t>
  </si>
  <si>
    <t>REGIONAL WATER SUPPLY VLUME 14905M3</t>
  </si>
  <si>
    <t>Repaire of 63mm burst hdpe cccr industria area 3hrs 9/6/2022</t>
  </si>
  <si>
    <t xml:space="preserve">repaire of 63mm burst hdpe manera 4hrs </t>
  </si>
  <si>
    <t xml:space="preserve">repaire of 75 kihoto 5hrs </t>
  </si>
  <si>
    <t>repaire of 32 kihoto 2hrs</t>
  </si>
  <si>
    <t>NEW CONNECTION</t>
  </si>
  <si>
    <t>Installation of new connection 2hrs</t>
  </si>
  <si>
    <t>kihoto</t>
  </si>
  <si>
    <t>3no at manera 5hrs</t>
  </si>
  <si>
    <t>new connection installation cccr 2no cccr 4hrs</t>
  </si>
  <si>
    <t>meter replacement ac/no 10607352 prison staff 2hrs</t>
  </si>
  <si>
    <t>marking of accounts at hopewell 15no 6hrs</t>
  </si>
  <si>
    <t>refilling water  kihoto tank 2rs</t>
  </si>
  <si>
    <t>reading customers meter at railway dma 3hrs</t>
  </si>
  <si>
    <t>PLUMBER IN CHARGE  VICTOR OCHIENG</t>
  </si>
  <si>
    <t>CBD ZONE PLUMBER IN CHARGE FELIX OTIENO</t>
  </si>
  <si>
    <t>repaire of 50mm hdpe pipe at GDC 2hrs</t>
  </si>
  <si>
    <t>repaire of customers service line25mm ppr pipes 3no 3hrs</t>
  </si>
  <si>
    <t>Attending to customers of no water and meter servicing 1hr</t>
  </si>
  <si>
    <t>checking and servicing of dti main line air valve</t>
  </si>
  <si>
    <t>2hrs</t>
  </si>
  <si>
    <t>unblocking customer service line naivas ndogo route 3hrs</t>
  </si>
  <si>
    <t>line patrolling and checking of customers line at GDC 4hrs</t>
  </si>
  <si>
    <t>patrolling of Ap, warma and ack route 3hrs</t>
  </si>
  <si>
    <t>meter seperation new connection 3hrs</t>
  </si>
  <si>
    <t>installation of 50mm master meter Gdc</t>
  </si>
  <si>
    <t>4hrs</t>
  </si>
  <si>
    <t>customers meter replacement 3/4 gate valve at main 2hrs</t>
  </si>
  <si>
    <t>replacement of leaking saddle clump at consolata route 4hrs</t>
  </si>
  <si>
    <t>normal daily routine work ie daily master meter dma</t>
  </si>
  <si>
    <t>daily master meter reading 2hrs</t>
  </si>
  <si>
    <t>SITE AND SERVICES</t>
  </si>
  <si>
    <t>PUMBER IN CHARGE GICHAGA</t>
  </si>
  <si>
    <t xml:space="preserve">LEAKS </t>
  </si>
  <si>
    <t>repaire of 2'' pvc pipe upper site 3hrs</t>
  </si>
  <si>
    <t>marking of accounts 8no 4hrs</t>
  </si>
  <si>
    <t>new connection installation 4no 8 hrs</t>
  </si>
  <si>
    <t>upper site master meter servicing 4 times 6hrs</t>
  </si>
  <si>
    <t>meter replacement 1no 1hr</t>
  </si>
  <si>
    <t>replacement of customers leaking gate valves 4no</t>
  </si>
  <si>
    <t>attendig to customers complain leaking meters 4no 5hrs</t>
  </si>
  <si>
    <t>6 hrs</t>
  </si>
  <si>
    <t>Daily patrolling of routes to check leakages and water pressure</t>
  </si>
  <si>
    <t>Daily master meters reading 1hr</t>
  </si>
  <si>
    <t>KABATI PLUMBER IN CHARGE</t>
  </si>
  <si>
    <t xml:space="preserve">                                                                    </t>
  </si>
  <si>
    <t>NGOIGO</t>
  </si>
  <si>
    <t>63mm pvc pipe dove spring 4rs</t>
  </si>
  <si>
    <t>New connection installation 1no 3hrs</t>
  </si>
  <si>
    <t>meters replacement  4no 5hrs</t>
  </si>
  <si>
    <t>repacement of customers leaking gatevalves 4no 6hrs</t>
  </si>
  <si>
    <t>disconneting of leaking pvc pipes customers service line from main 2no 4hrs</t>
  </si>
  <si>
    <t>attending to customers compain of no water and asigned task 4o hrs</t>
  </si>
  <si>
    <t>unblocking of customer service line and meter servicing 4hrs</t>
  </si>
  <si>
    <t>water kiosk solar battery charging 2times at 2hrs total 4hrs</t>
  </si>
  <si>
    <t>daily master meter reading</t>
  </si>
  <si>
    <t>7224M3</t>
  </si>
  <si>
    <t>3251M3</t>
  </si>
  <si>
    <t>296M3</t>
  </si>
  <si>
    <t>188M3</t>
  </si>
  <si>
    <t>PROSON M</t>
  </si>
  <si>
    <t>476M3</t>
  </si>
  <si>
    <t>L0WER</t>
  </si>
  <si>
    <t>1946M3</t>
  </si>
  <si>
    <t>MAKABURI 1825M3</t>
  </si>
  <si>
    <t>2594M3</t>
  </si>
  <si>
    <t>4419M3</t>
  </si>
  <si>
    <t>ACTVITIES</t>
  </si>
  <si>
    <t>Cleaning of invisible meters monthly routine work to enable meter reading 32 hrs</t>
  </si>
  <si>
    <t>34 no</t>
  </si>
  <si>
    <t>servicing of upper site master meter frequently stucked daily basis</t>
  </si>
  <si>
    <t>7hrs</t>
  </si>
  <si>
    <t>marking of accounts 9no 8hrs</t>
  </si>
  <si>
    <t>new connection 1 no united route 3hrs</t>
  </si>
  <si>
    <t>WEEKLY REPORT FROM 10/6/6/2022 TO 17/6/2022</t>
  </si>
  <si>
    <t>replacement of customer service line from pvc to ppr 2no 8hrs</t>
  </si>
  <si>
    <t>marking of accounts that were raised in the meter reading report 12no 8hrs</t>
  </si>
  <si>
    <t>servicing of stucked meter 3no and routine monitoring</t>
  </si>
  <si>
    <t>backfilling of exposed main pipe 2'' ymca</t>
  </si>
  <si>
    <t>TOTAL REGIONAL SUPPLY 17324M3</t>
  </si>
  <si>
    <t>Unblocking of customer service line excavation and backfilling 2no ymca and boma</t>
  </si>
  <si>
    <t>WEEKLY REPORT FROM 17/6/2022 TO 24/6/2022</t>
  </si>
  <si>
    <t>3509M3</t>
  </si>
  <si>
    <t>6224M3</t>
  </si>
  <si>
    <t>256M3</t>
  </si>
  <si>
    <t>321M3</t>
  </si>
  <si>
    <t>1493M3</t>
  </si>
  <si>
    <t>1449M3</t>
  </si>
  <si>
    <t>2942M3</t>
  </si>
  <si>
    <t>MAKABURI 2055</t>
  </si>
  <si>
    <t>4720M3</t>
  </si>
  <si>
    <t>2665M3</t>
  </si>
  <si>
    <t>REGIONAL SUPPLY VOLUME 17972M3</t>
  </si>
  <si>
    <t>GICHAGA</t>
  </si>
  <si>
    <t>63MM hdpe upper site before master mukuru</t>
  </si>
  <si>
    <t>6hrs</t>
  </si>
  <si>
    <t>63mm pvc pipe upper site near goodnaighbour</t>
  </si>
  <si>
    <t>OTHER ACTIVITIES</t>
  </si>
  <si>
    <t>Replacement of 2'' gatevalve at upper site master meter</t>
  </si>
  <si>
    <t>Replacement of customers leaking gatevalve 4no</t>
  </si>
  <si>
    <t>servicing of invisible customers meter</t>
  </si>
  <si>
    <t>repairing of leaking customers service line 3/4 ppr pipes 3no</t>
  </si>
  <si>
    <t>reconnecting customer from main at lower site</t>
  </si>
  <si>
    <t>marking of 4 reamains account</t>
  </si>
  <si>
    <t>KABATI ZONE NGOIGO</t>
  </si>
  <si>
    <t>repaire of leaking 50mm hdpe at boma</t>
  </si>
  <si>
    <t>repaire of 63mm pvc near dove spring</t>
  </si>
  <si>
    <t>repaire of 32mm ppr at makaburi</t>
  </si>
  <si>
    <t>repaire of 63mm pvc at ymca</t>
  </si>
  <si>
    <t>OTHERS ACTIVITIES</t>
  </si>
  <si>
    <t>New connection installatio 2no</t>
  </si>
  <si>
    <t>replacement of customers leaking gatevalve 2no</t>
  </si>
  <si>
    <t>repaire of customers service line pvc at ymca</t>
  </si>
  <si>
    <t>attending to meters leakages 4no</t>
  </si>
  <si>
    <t>WEEKLY REPORT FROM 24/6/2022 TO 1/7/2022</t>
  </si>
  <si>
    <t>808M3</t>
  </si>
  <si>
    <t>182M3</t>
  </si>
  <si>
    <t>3249M3</t>
  </si>
  <si>
    <t>5100M3</t>
  </si>
  <si>
    <t>1384M3</t>
  </si>
  <si>
    <t>1330M3</t>
  </si>
  <si>
    <t>2714M3</t>
  </si>
  <si>
    <t>MAKABURI 1682M3</t>
  </si>
  <si>
    <t>2160M3</t>
  </si>
  <si>
    <t>3842M3</t>
  </si>
  <si>
    <t xml:space="preserve">TOTAL REGION SUPPLY </t>
  </si>
  <si>
    <t>16215M3</t>
  </si>
  <si>
    <t>63mm pvc 2no upper site</t>
  </si>
  <si>
    <t>63mm pvc 1 at lower site</t>
  </si>
  <si>
    <t>repaire of customer service line leakages 25mm ppr 4no</t>
  </si>
  <si>
    <t>meter servicing and replacement of gatevalves 3no</t>
  </si>
  <si>
    <t>Bckfilling of exposed pipe</t>
  </si>
  <si>
    <t>patrolling of line routine work</t>
  </si>
  <si>
    <t>Daily master meter reading</t>
  </si>
  <si>
    <t>marking of faded accounts 3no</t>
  </si>
  <si>
    <t>WEEKLY REPORT FROM 1/7/2022 TO 7/7/2022</t>
  </si>
  <si>
    <t>PISON M</t>
  </si>
  <si>
    <t>4856M3</t>
  </si>
  <si>
    <t>3355M3</t>
  </si>
  <si>
    <t>364M3</t>
  </si>
  <si>
    <t>2500M3</t>
  </si>
  <si>
    <t>291M3</t>
  </si>
  <si>
    <t xml:space="preserve">SITE </t>
  </si>
  <si>
    <t>1472M3</t>
  </si>
  <si>
    <t>1339M3</t>
  </si>
  <si>
    <t>2811M3</t>
  </si>
  <si>
    <t>MAKABURI 1683M3</t>
  </si>
  <si>
    <t>2272M3</t>
  </si>
  <si>
    <t>4135M3</t>
  </si>
  <si>
    <t>TOTOL REGION SUPPLY</t>
  </si>
  <si>
    <t>21129M3</t>
  </si>
  <si>
    <t>63mm pvc full gospel church lower site</t>
  </si>
  <si>
    <t>63mm pvc  upper site united route</t>
  </si>
  <si>
    <t>meter service invisible 2no</t>
  </si>
  <si>
    <t>meter raising and replacement gate valve</t>
  </si>
  <si>
    <t>4no</t>
  </si>
  <si>
    <t>daily routine work</t>
  </si>
  <si>
    <t>63 mm pvc ymca vandalised by kplc</t>
  </si>
  <si>
    <t>attending to meter leakages 5no</t>
  </si>
  <si>
    <t>1no</t>
  </si>
  <si>
    <t>replacement of leaking valve at water kiosk</t>
  </si>
  <si>
    <t>meter reloction</t>
  </si>
  <si>
    <t>WEEKLY REPORT FROM 8/7/2022 TO 15/7/2022</t>
  </si>
  <si>
    <t>4771M3</t>
  </si>
  <si>
    <t>3807M3</t>
  </si>
  <si>
    <t>370M3</t>
  </si>
  <si>
    <t>2751M3</t>
  </si>
  <si>
    <t>231M3</t>
  </si>
  <si>
    <t>1385M3</t>
  </si>
  <si>
    <t>1520M3</t>
  </si>
  <si>
    <t>2905M3</t>
  </si>
  <si>
    <t>2377M3</t>
  </si>
  <si>
    <t>MAKABURI 1865M3</t>
  </si>
  <si>
    <t>4242M3</t>
  </si>
  <si>
    <t>19077M3</t>
  </si>
  <si>
    <t>25mm ppr lower site</t>
  </si>
  <si>
    <t>mark of account 2no</t>
  </si>
  <si>
    <t>patrolling of lines</t>
  </si>
  <si>
    <t>meter servicing for 4 customers and gatevalve replacement</t>
  </si>
  <si>
    <t>attending to customers complain 3no</t>
  </si>
  <si>
    <t>25mm ppr 3unit</t>
  </si>
  <si>
    <t>new connection installation 2no</t>
  </si>
  <si>
    <t>customer reconnection at pcea</t>
  </si>
  <si>
    <t>unblocking of customer service line at boma</t>
  </si>
  <si>
    <t>WEEKLY REPORT 15/7/2022 TO 22/7/2022</t>
  </si>
  <si>
    <t>3626M3</t>
  </si>
  <si>
    <t>3560M3</t>
  </si>
  <si>
    <t>396M3</t>
  </si>
  <si>
    <t>233M3</t>
  </si>
  <si>
    <t>1427M3</t>
  </si>
  <si>
    <t>1327M3</t>
  </si>
  <si>
    <t>2754M3</t>
  </si>
  <si>
    <t>MAKABURI 1842M3</t>
  </si>
  <si>
    <t>3720M3</t>
  </si>
  <si>
    <t>4212M3</t>
  </si>
  <si>
    <t>REGIONAL SUPPLY VOLUME 17549M3</t>
  </si>
  <si>
    <t>LEAKS AND BUSRST</t>
  </si>
  <si>
    <t>BURST</t>
  </si>
  <si>
    <t>No leaks and burst</t>
  </si>
  <si>
    <t>servicing invisible meter for clear meter reading</t>
  </si>
  <si>
    <t>unblocking customer line</t>
  </si>
  <si>
    <t>mark of accounts 3no</t>
  </si>
  <si>
    <t>line patro on daily basis</t>
  </si>
  <si>
    <t>50 mm pvc at kabati primary</t>
  </si>
  <si>
    <t>unblocking customer line at pcea</t>
  </si>
  <si>
    <t>meter replacement 2n0</t>
  </si>
  <si>
    <t>line patrol</t>
  </si>
  <si>
    <t>daily meter reading</t>
  </si>
  <si>
    <t>servicing of invisbie meter</t>
  </si>
  <si>
    <t>WEEKLY REPORT FROM 4/8/2022  TO11/8/2022</t>
  </si>
  <si>
    <t>PRISONM</t>
  </si>
  <si>
    <t>MKBR</t>
  </si>
  <si>
    <t>8'' PVC pipe opposite law court</t>
  </si>
  <si>
    <t>63  mm pvc cccr</t>
  </si>
  <si>
    <t>50mm pvc naiva ndogo</t>
  </si>
  <si>
    <t>other activities</t>
  </si>
  <si>
    <t>meter servicing kihoto</t>
  </si>
  <si>
    <t>installation of new connection banda</t>
  </si>
  <si>
    <t>SITE KABATI</t>
  </si>
  <si>
    <t>New connection instsllation  2no</t>
  </si>
  <si>
    <t>gate valve replacement for customers</t>
  </si>
  <si>
    <t>Total region supply</t>
  </si>
  <si>
    <t>19693m3</t>
  </si>
  <si>
    <t>WEEKLY REPORT FROM 12/8/2022   TO 19 /8/2022</t>
  </si>
  <si>
    <t xml:space="preserve">SUPPLY VOLUME </t>
  </si>
  <si>
    <t>PIRISON M</t>
  </si>
  <si>
    <t>PRISON  S</t>
  </si>
  <si>
    <t>TOTAL REGION SUPPLY 17541</t>
  </si>
  <si>
    <t>WEEKLY REPORT FROM 20/8/2022 TO 26/8/2022</t>
  </si>
  <si>
    <t>MKB</t>
  </si>
  <si>
    <t>WEEKLY ACTIVITIES</t>
  </si>
  <si>
    <t>Installation of sub Dma meters</t>
  </si>
  <si>
    <t>muranga</t>
  </si>
  <si>
    <t>central primary</t>
  </si>
  <si>
    <t>jasho</t>
  </si>
  <si>
    <t>repair of 50mm at gdc hdpe</t>
  </si>
  <si>
    <t>replacement of line from friends house to railyway Dma</t>
  </si>
  <si>
    <t>Leaks and burst</t>
  </si>
  <si>
    <t>63mm pvc 3no-makamburi</t>
  </si>
  <si>
    <t>dma</t>
  </si>
  <si>
    <t>63mm pvc upper site 2no</t>
  </si>
  <si>
    <t>customers meter servicing site and kabati</t>
  </si>
  <si>
    <t>WEEKLY REPORT 26/8/2022  TO 2/9/2022</t>
  </si>
  <si>
    <t>WEEKLY REPORT FROM 3/9/2022 TO 9/9/2022</t>
  </si>
  <si>
    <t>SUPPLY VOUME</t>
  </si>
  <si>
    <t>KABARI</t>
  </si>
  <si>
    <t>WEEKLY REPORT FROM 15/10/2022  TO 21/10/22</t>
  </si>
  <si>
    <t>Meter not registerin for 2days</t>
  </si>
  <si>
    <t>WEEKLY REPORT FROM 20/7/2022 TO 27/10/2022</t>
  </si>
  <si>
    <t>WEEKLY REPORT FROM 28/10/2022 TO 3//11/2022</t>
  </si>
  <si>
    <t>TOTAI REGION SUPPLY</t>
  </si>
  <si>
    <t>6'' HDPE</t>
  </si>
  <si>
    <t>32MM</t>
  </si>
  <si>
    <t>50mm</t>
  </si>
  <si>
    <t>manera 6no</t>
  </si>
  <si>
    <t>cbd 2no</t>
  </si>
  <si>
    <t>line replacement of dibilated line 63mm in prison 200m</t>
  </si>
  <si>
    <t>replacement of 2 faulty meter</t>
  </si>
  <si>
    <t>meter relocation at park view</t>
  </si>
  <si>
    <t>water balance at lower and upper milimani</t>
  </si>
  <si>
    <t>KABATI AND SITE</t>
  </si>
  <si>
    <t>LEAKS/BURST</t>
  </si>
  <si>
    <t>90mm leaking saddle kabati</t>
  </si>
  <si>
    <t>63 mm pvc makaburi</t>
  </si>
  <si>
    <t>meter serviced cbd 6no cccr 4no</t>
  </si>
  <si>
    <t>63 mm pvc united site</t>
  </si>
  <si>
    <t xml:space="preserve">KABATI   </t>
  </si>
  <si>
    <t>0NO</t>
  </si>
  <si>
    <t>repaire ofwater kiosk leaking tank</t>
  </si>
  <si>
    <t>unblocking of customer service line boma nyagus</t>
  </si>
  <si>
    <t>WEEKLY REPORT FROM 3/11/2022 TO 10/112022</t>
  </si>
  <si>
    <t>50mm pvc site near makutano route</t>
  </si>
  <si>
    <t>63mm pvc full gospel route</t>
  </si>
  <si>
    <t>3/4 pvc customers service line</t>
  </si>
  <si>
    <t>zone</t>
  </si>
  <si>
    <t>63mm pvc goidfish</t>
  </si>
  <si>
    <t>50mm pvc near keroche</t>
  </si>
  <si>
    <t>32 pvc near tunza school</t>
  </si>
  <si>
    <t>service of customers meters site 12no</t>
  </si>
  <si>
    <t>50mm hdpe railway</t>
  </si>
  <si>
    <t>32mm ppr sanivation railway</t>
  </si>
  <si>
    <t>40mm pvc railway</t>
  </si>
  <si>
    <t>40mm kihoto 2no</t>
  </si>
  <si>
    <t>New connetion</t>
  </si>
  <si>
    <t xml:space="preserve">cccr </t>
  </si>
  <si>
    <t>installation</t>
  </si>
  <si>
    <t>water gauge kihoto</t>
  </si>
  <si>
    <t>water balance railway</t>
  </si>
  <si>
    <t>WEEKLY REPORT FROM 10/11/22 TO 17/11/2022</t>
  </si>
  <si>
    <t>160mm hdpe saddle clump</t>
  </si>
  <si>
    <t>3/4'' Gi pipe 3N opposite kanini</t>
  </si>
  <si>
    <t>40mm kihoto</t>
  </si>
  <si>
    <t>63mm manera</t>
  </si>
  <si>
    <t>110mm hdpe hopewell</t>
  </si>
  <si>
    <t>0 NO</t>
  </si>
  <si>
    <t>METER REPLACEMENT</t>
  </si>
  <si>
    <t>Hopewell</t>
  </si>
  <si>
    <t>METER SERVICING</t>
  </si>
  <si>
    <t>Disconnection customer from main cccr rumax of meter theft</t>
  </si>
  <si>
    <t>63mm pvc 4 places</t>
  </si>
  <si>
    <t>kag route</t>
  </si>
  <si>
    <t>exodous route</t>
  </si>
  <si>
    <t>50mm pvc site</t>
  </si>
  <si>
    <t>METER SERVICING AND LEAKING REPAIRE</t>
  </si>
  <si>
    <t xml:space="preserve">kabati </t>
  </si>
  <si>
    <t>FROM 25/12/2022 TO 2/12/2022</t>
  </si>
  <si>
    <t>LEAKS  AND BURST</t>
  </si>
  <si>
    <t>8'' burst</t>
  </si>
  <si>
    <t>cbd</t>
  </si>
  <si>
    <t>25mm ppr</t>
  </si>
  <si>
    <t>63mm hdpe prison staff</t>
  </si>
  <si>
    <t>unblocking customers service line rumax ccr</t>
  </si>
  <si>
    <t>meter relocation next hobra cccr</t>
  </si>
  <si>
    <t>25mm pp KFA cbd</t>
  </si>
  <si>
    <t>63pvc cccr</t>
  </si>
  <si>
    <t>New connection</t>
  </si>
  <si>
    <t>1no kabati</t>
  </si>
  <si>
    <t>unblocking customer service line kabati ymca route</t>
  </si>
  <si>
    <t>meter servicing</t>
  </si>
  <si>
    <t>meter servicing water kiosk 12 cccr</t>
  </si>
  <si>
    <t>WEEKLY REPORT FROM 3/12/2022 TO 8/12/2022</t>
  </si>
  <si>
    <t>32mm pvc</t>
  </si>
  <si>
    <t>cbd jikonis</t>
  </si>
  <si>
    <t>110mm pvc transport main site</t>
  </si>
  <si>
    <t>Installation of 8'' sluice valve cbd</t>
  </si>
  <si>
    <t>1 hopewell</t>
  </si>
  <si>
    <t>repaire of customers leakages cbd</t>
  </si>
  <si>
    <t>meter replacement cbd 2no</t>
  </si>
  <si>
    <t>meter servicing kiosk 12 cccr</t>
  </si>
  <si>
    <t>SITE AND KABATI</t>
  </si>
  <si>
    <t xml:space="preserve">Unblocking customer service line 2no kabati </t>
  </si>
  <si>
    <t>meter replacement and customer reconnection kabati</t>
  </si>
  <si>
    <t>meter servicing 4no site</t>
  </si>
  <si>
    <t>new connection installation 2no kabati</t>
  </si>
  <si>
    <t>NB Kiosk 12 meter frequently stucked need replacement of 2'' meter</t>
  </si>
  <si>
    <t>WEEKLY REPORT FROM 16/12/2022 TO 23/12/2022</t>
  </si>
  <si>
    <t>40mm hdpe repaired at cccr</t>
  </si>
  <si>
    <t xml:space="preserve">50mm pvc at 3N line </t>
  </si>
  <si>
    <t>railways and cccr bulk meter serviced</t>
  </si>
  <si>
    <t>40mm hdpe repaire at kihoto 2no</t>
  </si>
  <si>
    <t>90mm GI pipe repaired at railways</t>
  </si>
  <si>
    <t>63mm hdpe repaired at ccr</t>
  </si>
  <si>
    <t>customer meter servicing 2no</t>
  </si>
  <si>
    <t>servicing customer meter kabati 8no site 3no</t>
  </si>
  <si>
    <t>clossing of Ac/no 10405383</t>
  </si>
  <si>
    <t>repair of 50mm at ymca</t>
  </si>
  <si>
    <t>repair of 63mm pvc at Goldfish</t>
  </si>
  <si>
    <t>raising of customer meter at makutano and changing gate vale</t>
  </si>
  <si>
    <t xml:space="preserve">repair of customer line at site </t>
  </si>
  <si>
    <t>NO</t>
  </si>
  <si>
    <t>STATUS</t>
  </si>
  <si>
    <t>Done</t>
  </si>
  <si>
    <t>WEEKLY REPORT FROM 24/12/2022 TO 29/12/2022</t>
  </si>
  <si>
    <t>160mm hdpe repaired at kihoto</t>
  </si>
  <si>
    <t>32mm hdpe repaired at kihoto</t>
  </si>
  <si>
    <t>40mm hdpe repair at kihoto</t>
  </si>
  <si>
    <t>plugged 32mm GI pipe at 3N</t>
  </si>
  <si>
    <t>new connection 1no</t>
  </si>
  <si>
    <t>repaire of customer line cccr 1no</t>
  </si>
  <si>
    <t>repair of 25mm customer line at kabati</t>
  </si>
  <si>
    <t>servicing customer meter at site 2no</t>
  </si>
  <si>
    <t>handling no water complaints</t>
  </si>
  <si>
    <t>25mm customer line site 1no</t>
  </si>
  <si>
    <t>WEEKLY REPORT FROM 25/12/2022 TO 31/12/2022</t>
  </si>
  <si>
    <t>32MM hdpe repaired at CCCR</t>
  </si>
  <si>
    <t>CCCR 2no</t>
  </si>
  <si>
    <t>repair 63mm ymca</t>
  </si>
  <si>
    <t>repair 63mm goldfish</t>
  </si>
  <si>
    <t>meter servicing aic</t>
  </si>
  <si>
    <t>gatevalve replacement acc 3133</t>
  </si>
  <si>
    <t>meter servicing elegant &amp; 25mm ppr repair</t>
  </si>
  <si>
    <t>WEEKLY REPORT FROM 1/01/2023 TO 7/01/2023</t>
  </si>
  <si>
    <t>repair of 25 mm ppr at cbd 3no</t>
  </si>
  <si>
    <t>110mm hdpe repair at ccr</t>
  </si>
  <si>
    <t>50mm pvc repair cbd(naivas kubwa)</t>
  </si>
  <si>
    <t>servicing of customer meters at cccr 3no</t>
  </si>
  <si>
    <t>installation of new connection 2no</t>
  </si>
  <si>
    <t>repair of 50mm pvc kabati</t>
  </si>
  <si>
    <t>63mm pvc repair at site</t>
  </si>
  <si>
    <t>replacement of customer gate vavle 3no</t>
  </si>
  <si>
    <t>32mm pvc repair kabati</t>
  </si>
  <si>
    <t>110mm hdpe repair at cccr</t>
  </si>
  <si>
    <t>insttalation of new connection 2no</t>
  </si>
  <si>
    <t>repair of 25mm ppr at cccr 2no cbd 3no</t>
  </si>
  <si>
    <t>75mm pvc repair at railways</t>
  </si>
  <si>
    <t xml:space="preserve">servicing of customer meter cbd 4no </t>
  </si>
  <si>
    <t>new connection at kabati 1no</t>
  </si>
  <si>
    <t>servicing customer meter site 4no kabati 2no</t>
  </si>
  <si>
    <t>50mm pvc repair at site</t>
  </si>
  <si>
    <t>repair of 63 mm pvc at kabati (kag)</t>
  </si>
  <si>
    <t>32mm pvc repair at kabati</t>
  </si>
  <si>
    <t>WEEKLY REPORT FROM 12/01/2023 TO 19/01/2023</t>
  </si>
  <si>
    <t>PRISON MAIN</t>
  </si>
  <si>
    <t>220 mm pvc</t>
  </si>
  <si>
    <t>50 mm pvc naivas kubwa</t>
  </si>
  <si>
    <t>50 mm hdpe Gdc</t>
  </si>
  <si>
    <t>25mm pvc 3no site</t>
  </si>
  <si>
    <t xml:space="preserve">63 mm pvc </t>
  </si>
  <si>
    <t xml:space="preserve">90mm pvc </t>
  </si>
  <si>
    <t>kabati kag</t>
  </si>
  <si>
    <t>WEEKLY REPORT FROM 20/01/2022 TO 26/01/2022</t>
  </si>
  <si>
    <t>WEEKLY REPORT FROM 2/02/2022 TO 9/02 /2022</t>
  </si>
  <si>
    <t>63mm repair hdpe at rumax cccr</t>
  </si>
  <si>
    <t>63mm repair prison staff line</t>
  </si>
  <si>
    <t>25mm ppr Gdc</t>
  </si>
  <si>
    <t>25mm ppr customer service line cccr</t>
  </si>
  <si>
    <t>relocation of customers ot new line misort 4no</t>
  </si>
  <si>
    <t xml:space="preserve">new connectin installation </t>
  </si>
  <si>
    <t xml:space="preserve">CCCR </t>
  </si>
  <si>
    <t>Meter servicing</t>
  </si>
  <si>
    <t>kcc</t>
  </si>
  <si>
    <t>5no</t>
  </si>
  <si>
    <t>Meter replacement cbd</t>
  </si>
  <si>
    <t>Repair of 110mm transport main aic site</t>
  </si>
  <si>
    <t>63 mm pvc united route upper site</t>
  </si>
  <si>
    <t>90mm pvc kag kabati</t>
  </si>
  <si>
    <t>32mm pvc pcea kabati</t>
  </si>
  <si>
    <t>25 mm ppr ymca</t>
  </si>
  <si>
    <t>32mm pvc tunza school</t>
  </si>
  <si>
    <t>replacement of customers gatevalve 4no kabati</t>
  </si>
  <si>
    <t xml:space="preserve">mater servicing </t>
  </si>
  <si>
    <t>invisible</t>
  </si>
  <si>
    <t>leaking</t>
  </si>
  <si>
    <t>not rigestering</t>
  </si>
  <si>
    <t>1 no</t>
  </si>
  <si>
    <t>2no kabati</t>
  </si>
  <si>
    <t>WEEKLY REPORT FROM 10/02/2023 TO 17/02/2023</t>
  </si>
  <si>
    <t>TOTAL SUPPLY</t>
  </si>
  <si>
    <t>50mm hdpe cccr</t>
  </si>
  <si>
    <t>manera</t>
  </si>
  <si>
    <t xml:space="preserve">cbd </t>
  </si>
  <si>
    <t>Relocating cbd customers to new line 7no</t>
  </si>
  <si>
    <t>meter servicing and leakages repaire</t>
  </si>
  <si>
    <t>leaks and burst</t>
  </si>
  <si>
    <t>32mm pvc kabati kag route</t>
  </si>
  <si>
    <t>new connection installed 1no kabati</t>
  </si>
  <si>
    <t>replacement of customers gatevalve 2 site</t>
  </si>
  <si>
    <t>3kabati</t>
  </si>
  <si>
    <t>marking of accounts 4no kabati</t>
  </si>
  <si>
    <t>2 site</t>
  </si>
  <si>
    <t>servicing of invisible meter</t>
  </si>
  <si>
    <t>site 4</t>
  </si>
  <si>
    <t>kabati 9</t>
  </si>
  <si>
    <t>servicing meter not registering</t>
  </si>
  <si>
    <t>kabati 5no</t>
  </si>
  <si>
    <t>WEEKLY REPORT FROM 18/02/2023 TO 23 /02/2023</t>
  </si>
  <si>
    <t>LEAKS ANDS BURST</t>
  </si>
  <si>
    <t>8'' PVC</t>
  </si>
  <si>
    <t>8'' pvc</t>
  </si>
  <si>
    <t>catholic</t>
  </si>
  <si>
    <t>50 mm pvc</t>
  </si>
  <si>
    <t>looping of pipe 50mm cccr</t>
  </si>
  <si>
    <t>Meter servicing and unblocking kcc</t>
  </si>
  <si>
    <t>50mm pvc</t>
  </si>
  <si>
    <t>kabati ymca</t>
  </si>
  <si>
    <t>un blocking customer line kabati</t>
  </si>
  <si>
    <t>new connection installation 1o kabati</t>
  </si>
  <si>
    <t xml:space="preserve">meter relocation kabati </t>
  </si>
  <si>
    <t>gatevalve replacement 2no site</t>
  </si>
  <si>
    <t>meter servicing 2no site</t>
  </si>
  <si>
    <t>WEEKLY REPORT FROM 3/03/2023 TO 9/3/2023</t>
  </si>
  <si>
    <t>WEEKLY SUPPLY VOLUME  10/3/2023 TO 16/3/2023</t>
  </si>
  <si>
    <t>railyway</t>
  </si>
  <si>
    <t>25mm pp staff complex</t>
  </si>
  <si>
    <t>36mm hdpe prison staff line</t>
  </si>
  <si>
    <t>90 hdpe</t>
  </si>
  <si>
    <t>Disconnection of customer from main meter stolen</t>
  </si>
  <si>
    <t>Customers reconnection to the new line</t>
  </si>
  <si>
    <t>lacanster</t>
  </si>
  <si>
    <t>Nssf</t>
  </si>
  <si>
    <t>Pipe relocation replacing pvc to hdpe site kamonde route</t>
  </si>
  <si>
    <t>repaire of 63mm pvc makaburi kabati</t>
  </si>
  <si>
    <t>meter replacement and reconnection from main</t>
  </si>
  <si>
    <t>WEEKLY REPORT FROM 17/03/2023 TO 23/03/2023</t>
  </si>
  <si>
    <t>REGION TOTAL SUPPLY</t>
  </si>
  <si>
    <t xml:space="preserve"> WORK DONE</t>
  </si>
  <si>
    <t>25mm ppr leakages 3no</t>
  </si>
  <si>
    <t>karagita route</t>
  </si>
  <si>
    <t>3N route</t>
  </si>
  <si>
    <t>railway</t>
  </si>
  <si>
    <t>63mm prison staff line</t>
  </si>
  <si>
    <t>50mm hape cccr</t>
  </si>
  <si>
    <t>New connection istallation</t>
  </si>
  <si>
    <t>hopewell</t>
  </si>
  <si>
    <t>Replacement of customers leaking valve</t>
  </si>
  <si>
    <t>cccr 2</t>
  </si>
  <si>
    <t>cbd 2</t>
  </si>
  <si>
    <t>Back filling at diplomat and central primary</t>
  </si>
  <si>
    <t>90 mm pvc</t>
  </si>
  <si>
    <t>disconnection of customers from main of stolen meters</t>
  </si>
  <si>
    <t>site 3no</t>
  </si>
  <si>
    <t>new connection installation 1no kabati</t>
  </si>
  <si>
    <t>meter servicing invisible meters site and kabati to enable clear meter reading</t>
  </si>
  <si>
    <t>disconnection of customers from main of meter tempering</t>
  </si>
  <si>
    <t>kabati 2</t>
  </si>
  <si>
    <t>site 3</t>
  </si>
  <si>
    <t>WEEKLY REPORT FROM 24/3/20223 TO 31/03/ 2023</t>
  </si>
  <si>
    <t>8''pvc</t>
  </si>
  <si>
    <t>32mm hdpe</t>
  </si>
  <si>
    <t>63mm</t>
  </si>
  <si>
    <t>Reconnection of customer minidtry of birth</t>
  </si>
  <si>
    <t>back filling of exposed pvc main cbd</t>
  </si>
  <si>
    <t>new connection installation cccr 1no</t>
  </si>
  <si>
    <t>manera 2no</t>
  </si>
  <si>
    <t>attending meter leakages 5no</t>
  </si>
  <si>
    <t>63mm leaking pvc site</t>
  </si>
  <si>
    <t>25mm ppr upper site</t>
  </si>
  <si>
    <t xml:space="preserve">Customers meter servicing </t>
  </si>
  <si>
    <t>replacement of customer service line from pvc to ppr upper site</t>
  </si>
  <si>
    <t xml:space="preserve">repacement of leaking cutomer gate valve </t>
  </si>
  <si>
    <t>kabati 3no</t>
  </si>
  <si>
    <t>kabati 1</t>
  </si>
  <si>
    <t>site 1</t>
  </si>
  <si>
    <t>disconection accounts of stollen meters</t>
  </si>
  <si>
    <t>site no</t>
  </si>
  <si>
    <t>TOTAL REGION</t>
  </si>
  <si>
    <t>SUPPLY</t>
  </si>
  <si>
    <t>31/3/2023 TO 6/04/2023</t>
  </si>
  <si>
    <t>LEAK&amp;BURST</t>
  </si>
  <si>
    <t>160mm hdpe</t>
  </si>
  <si>
    <t>90mm pvc</t>
  </si>
  <si>
    <t>lower site</t>
  </si>
  <si>
    <t>Reconnection posta</t>
  </si>
  <si>
    <t>cbd 3</t>
  </si>
  <si>
    <t>replacement of leaking customer gatevalve 2 hopewell</t>
  </si>
  <si>
    <t>2 cccr</t>
  </si>
  <si>
    <t>new connection installation 1cccr</t>
  </si>
  <si>
    <t>mater replacement 2no cbd</t>
  </si>
  <si>
    <t>2"pvc</t>
  </si>
  <si>
    <t>Replacement of customers gate valve</t>
  </si>
  <si>
    <t>meters replacement stolens meters</t>
  </si>
  <si>
    <t>meter servicings</t>
  </si>
  <si>
    <t>WEEKLY REPORT 7/04/2023 T0 13/4/2023</t>
  </si>
  <si>
    <t>cbd railyway</t>
  </si>
  <si>
    <t>32mm pvc kabati makaburi</t>
  </si>
  <si>
    <t>WEEKLY REPORT FROM 14/04/2023 TO 20/4/2023</t>
  </si>
  <si>
    <t>WEEKLY REPORT 21/4/2023 TO 28/4/2023</t>
  </si>
  <si>
    <t>WEEKLY REPORT 28/4/2023 TO 3/5/2023</t>
  </si>
  <si>
    <t>TOTAL REGION SUPPLY 16698</t>
  </si>
  <si>
    <t>WEEKLY REPORT 5/5/2023 TO 11/5/2023</t>
  </si>
  <si>
    <t>75mm hdpe</t>
  </si>
  <si>
    <t>karagita</t>
  </si>
  <si>
    <t>pefa</t>
  </si>
  <si>
    <t>ymca</t>
  </si>
  <si>
    <t>WEEKLY REPORT 12/5/23 TO 18/5/2023</t>
  </si>
  <si>
    <t>LEAKS AND BUSRT</t>
  </si>
  <si>
    <t>40mm hdpe</t>
  </si>
  <si>
    <t>KABATI/ SITE</t>
  </si>
  <si>
    <t>90mm hdpe</t>
  </si>
  <si>
    <t>25mm pvc</t>
  </si>
  <si>
    <t>WEEKLY REPORT 19/5/23 TO 25/5/2023</t>
  </si>
  <si>
    <t>PRISONSTAFF</t>
  </si>
  <si>
    <t>O</t>
  </si>
  <si>
    <t>kabati makaburi</t>
  </si>
  <si>
    <t>8''</t>
  </si>
  <si>
    <t>90mm</t>
  </si>
  <si>
    <t>gdc</t>
  </si>
  <si>
    <t>naivas kubwa</t>
  </si>
  <si>
    <t>T0 31/52023</t>
  </si>
  <si>
    <t>central</t>
  </si>
  <si>
    <t>110mm</t>
  </si>
  <si>
    <t>63hdpe</t>
  </si>
  <si>
    <t>rumax</t>
  </si>
  <si>
    <t>sokoni</t>
  </si>
  <si>
    <t>63 mm pvc</t>
  </si>
  <si>
    <t>keroche</t>
  </si>
  <si>
    <t>pcea</t>
  </si>
  <si>
    <t>WEEKLY REPORT 1/6/23 TO 7/6/23</t>
  </si>
  <si>
    <t>63 pvc</t>
  </si>
  <si>
    <t>deb</t>
  </si>
  <si>
    <t>industrial area</t>
  </si>
  <si>
    <t>90 pvc</t>
  </si>
  <si>
    <t>32pvc</t>
  </si>
  <si>
    <t xml:space="preserve">50 mm pvc </t>
  </si>
  <si>
    <t>WEEKLY REPORT 9/6/23 TO 15/6/2023</t>
  </si>
  <si>
    <t>75mm pvc</t>
  </si>
  <si>
    <t>90 HDPE</t>
  </si>
  <si>
    <t>mukorino</t>
  </si>
  <si>
    <t>75mm</t>
  </si>
  <si>
    <t>40 mm</t>
  </si>
  <si>
    <t>upper</t>
  </si>
  <si>
    <t>WEEKLY REPORT 16/6/2023 TO 22/6/2023</t>
  </si>
  <si>
    <t>NO BURST</t>
  </si>
  <si>
    <t>WEEKLY REPORT 23/6/23 TO 29/6/2023</t>
  </si>
  <si>
    <t>AP</t>
  </si>
  <si>
    <t xml:space="preserve">63mm pvc </t>
  </si>
  <si>
    <t>50mm hdpe</t>
  </si>
  <si>
    <t>society</t>
  </si>
  <si>
    <t>110mm hdpe</t>
  </si>
  <si>
    <t>63 mm pcv</t>
  </si>
  <si>
    <t>63mm hdpe</t>
  </si>
  <si>
    <t>prison</t>
  </si>
  <si>
    <t>WEEKLY REPORT 30/5/2023 TO 6/7/2023</t>
  </si>
  <si>
    <t>TOTAL REGION SUPPLY 16717M3</t>
  </si>
  <si>
    <t>6'' vadalized master meter</t>
  </si>
  <si>
    <t>3'' stolen mater meter</t>
  </si>
  <si>
    <t>50mmhdpe</t>
  </si>
  <si>
    <t>Ap</t>
  </si>
  <si>
    <t>exdoes</t>
  </si>
  <si>
    <t>32mm</t>
  </si>
  <si>
    <t>makamburi</t>
  </si>
  <si>
    <t>kamonde</t>
  </si>
  <si>
    <t>32 mm pvc</t>
  </si>
  <si>
    <t>kag 2no</t>
  </si>
  <si>
    <t>HOPEWELL</t>
  </si>
  <si>
    <t>METER REPLCEMENT</t>
  </si>
  <si>
    <t xml:space="preserve">                  MARKING</t>
  </si>
  <si>
    <t>ACCOUNTS</t>
  </si>
  <si>
    <t>WEEKLY REPORT FROM7/7/2023 TO 13/7/2023</t>
  </si>
  <si>
    <t>25mm hdpe</t>
  </si>
  <si>
    <t>ROUTE</t>
  </si>
  <si>
    <t>route</t>
  </si>
  <si>
    <t>full cospel</t>
  </si>
  <si>
    <t>disconection of site market</t>
  </si>
  <si>
    <t>replacement of customer gate valve 2no</t>
  </si>
  <si>
    <t>unblocking customer service line</t>
  </si>
  <si>
    <t>MARKING OF ACCOUNTS</t>
  </si>
  <si>
    <t>MANERA</t>
  </si>
  <si>
    <t>WEEKLY REPORT FROM 14/72023 TO 20/7/2023</t>
  </si>
  <si>
    <t>8'' pvc main</t>
  </si>
  <si>
    <t>misort</t>
  </si>
  <si>
    <t>naivas</t>
  </si>
  <si>
    <t>prison staff</t>
  </si>
  <si>
    <t>TYPE</t>
  </si>
  <si>
    <t>burst</t>
  </si>
  <si>
    <t>63mm pvc united</t>
  </si>
  <si>
    <t>50mm pvc ipcka</t>
  </si>
  <si>
    <t>MARKING OF ACCOUNT</t>
  </si>
  <si>
    <t>jamuhuri pag</t>
  </si>
  <si>
    <t>installation of upper site meter</t>
  </si>
  <si>
    <t>WEEKLY REPORT FROM 21/7/7/2023 T027/7/2023</t>
  </si>
  <si>
    <t>50MM</t>
  </si>
  <si>
    <t>Jasho</t>
  </si>
  <si>
    <t>63mm hdpe 2no Ap</t>
  </si>
  <si>
    <t>WEEKLY REPORT FROM 28/7/2023 TO 3/7/2023</t>
  </si>
  <si>
    <t>REGIONAL VOLUME</t>
  </si>
  <si>
    <t>'</t>
  </si>
  <si>
    <t>ap</t>
  </si>
  <si>
    <t>united</t>
  </si>
  <si>
    <t>WEEKLY REPORT 3/8/2023 TO 10/8/2023</t>
  </si>
  <si>
    <t>NB cccr DMA master meter not working</t>
  </si>
  <si>
    <t>WEEKLY REPORT 11/8/2023 TO 17/8/2023</t>
  </si>
  <si>
    <t>NB cccr dma meter has a problem its frequently stucked also recently replaced upper site master meter vadalized</t>
  </si>
  <si>
    <t>AP line</t>
  </si>
  <si>
    <t>prison staff line</t>
  </si>
  <si>
    <t>110 Hdpe</t>
  </si>
  <si>
    <t>NEW CON</t>
  </si>
  <si>
    <t>MARKING OF ACCONTS</t>
  </si>
  <si>
    <t>2'' PVC</t>
  </si>
  <si>
    <t>2'' pvc</t>
  </si>
  <si>
    <t>1'' pvc</t>
  </si>
  <si>
    <t>No burst reported</t>
  </si>
  <si>
    <t>WEEKLY REPORT FROM 18/8/23 TO 24/8/23</t>
  </si>
  <si>
    <t>2'' Pvc</t>
  </si>
  <si>
    <t>4'' pvc raising main</t>
  </si>
  <si>
    <t>2'' pvc kag</t>
  </si>
  <si>
    <t>ZONES</t>
  </si>
  <si>
    <t>WEEKLY REPORT FROM 25/8/2023 TO 31/8/2023</t>
  </si>
  <si>
    <t>3'' PVC</t>
  </si>
  <si>
    <t>railway 2no</t>
  </si>
  <si>
    <t>110 mm hdpe</t>
  </si>
  <si>
    <t>2''pvc</t>
  </si>
  <si>
    <t>8/9/2023 TO 14/9/2023</t>
  </si>
  <si>
    <t>25 mm PPR Leakage</t>
  </si>
  <si>
    <t>63mm HDPE Burst</t>
  </si>
  <si>
    <t>50mm HDPE  plugged Police line</t>
  </si>
  <si>
    <t>ZONE</t>
  </si>
  <si>
    <t>TARGET</t>
  </si>
  <si>
    <t>DEFICIT</t>
  </si>
  <si>
    <t>DAYS</t>
  </si>
  <si>
    <t>PRISONS  STAFF</t>
  </si>
  <si>
    <t>WEEKLY  ACTIVITIES</t>
  </si>
  <si>
    <t>DATES</t>
  </si>
  <si>
    <t>FROM</t>
  </si>
  <si>
    <t>TO</t>
  </si>
  <si>
    <t>Installation of 75mm sub DMA meter at railways</t>
  </si>
  <si>
    <t xml:space="preserve">2 meters replacement at karate and CCCR </t>
  </si>
  <si>
    <t>8M 63MM HDPE Pipe installation at KAG to connect upper Kabati from GUEST INN</t>
  </si>
  <si>
    <t>a)</t>
  </si>
  <si>
    <t>b)</t>
  </si>
  <si>
    <t>C)</t>
  </si>
  <si>
    <t>d)</t>
  </si>
  <si>
    <t>e)</t>
  </si>
  <si>
    <t>f)</t>
  </si>
  <si>
    <t>A)</t>
  </si>
  <si>
    <t>B)</t>
  </si>
  <si>
    <t>At kabati repair back 63mm HDPE line to support supply from Guest Inn</t>
  </si>
  <si>
    <t>Repair of a 110mm pvc pipe at site</t>
  </si>
  <si>
    <t>Repair of a 63mm pvc pipe at kabati</t>
  </si>
  <si>
    <t>Repair of a 63mm hdpe pipe at prisons</t>
  </si>
  <si>
    <t>Repair of a 63mm pvc pipe at cccr</t>
  </si>
  <si>
    <t>Repair of a 32mm pvc at kabati</t>
  </si>
  <si>
    <t xml:space="preserve">Meter replacement at site </t>
  </si>
  <si>
    <t>D)</t>
  </si>
  <si>
    <t>E)</t>
  </si>
  <si>
    <t>F)</t>
  </si>
  <si>
    <t>G)</t>
  </si>
  <si>
    <t>H)</t>
  </si>
  <si>
    <t>Repair of 75mm pvc at railways</t>
  </si>
  <si>
    <t>A</t>
  </si>
  <si>
    <t>B</t>
  </si>
  <si>
    <t>Repair of a burst, 63mm hdpe three n line</t>
  </si>
  <si>
    <t>Patrol along he dti line to evaluate the cost of backfilling the expose dti line</t>
  </si>
  <si>
    <t xml:space="preserve">C </t>
  </si>
  <si>
    <t>Servicing the policeline water works to consolata meter</t>
  </si>
  <si>
    <t xml:space="preserve">D </t>
  </si>
  <si>
    <t>E</t>
  </si>
  <si>
    <t>Repair of a leaking customer line</t>
  </si>
  <si>
    <t>F</t>
  </si>
  <si>
    <t xml:space="preserve">Repair of a 1inch pvc pipe at railways </t>
  </si>
  <si>
    <t>G</t>
  </si>
  <si>
    <t>Backfilling exposed pipes at kabati and site</t>
  </si>
  <si>
    <t>H</t>
  </si>
  <si>
    <t>Excavation and opening gatevalves for water supply to kabati from guest inn</t>
  </si>
  <si>
    <t>Reconnecting a customer at consolata</t>
  </si>
  <si>
    <t>I</t>
  </si>
  <si>
    <t>Disconnection of a customer line due to meter theft</t>
  </si>
  <si>
    <t>Repair of 4inch line to kcc</t>
  </si>
  <si>
    <t>Repair of a leaking customer line at hopewell</t>
  </si>
  <si>
    <t>Repair of a 63mm hdpe line at prison</t>
  </si>
  <si>
    <t xml:space="preserve">New customer connection at railways </t>
  </si>
  <si>
    <t>installation of 50mm meter at kabati</t>
  </si>
  <si>
    <t>Repair of a 1inch pvc pipe at kabati</t>
  </si>
  <si>
    <t>Excavation and repair of a 63mm pvc at site</t>
  </si>
  <si>
    <t>customer relocation at site</t>
  </si>
  <si>
    <t>Repair of 3inch line to railways</t>
  </si>
  <si>
    <t>Repair of a leaking service line at railwys</t>
  </si>
  <si>
    <t>repair of a customer line at cccr</t>
  </si>
  <si>
    <t>Anchoring the 75mm an 110mm gi pipe to kcc</t>
  </si>
  <si>
    <t>J</t>
  </si>
  <si>
    <t>Meter replacements</t>
  </si>
  <si>
    <t>Repair of 4inch rising main to site</t>
  </si>
  <si>
    <t>Repair of 1inch line to railways</t>
  </si>
  <si>
    <t>Repair of a 2inch leaking at kabati</t>
  </si>
  <si>
    <t>Repair of a 63mm hdpe line at manera</t>
  </si>
  <si>
    <t>repair of the 8inch pipe along district line</t>
  </si>
  <si>
    <t>Excavation and repair of a 50mm pvc at site</t>
  </si>
  <si>
    <t>installation of nrw meter at kabati</t>
  </si>
  <si>
    <t>Excavation and repair of 225mm pvc pipe along district line</t>
  </si>
  <si>
    <t>Meter replacement at ministry of planning</t>
  </si>
  <si>
    <t>Connecting new customer at kihoto and CBD</t>
  </si>
  <si>
    <t>Repair of leaking customer service line at biashara plaza</t>
  </si>
  <si>
    <t>a</t>
  </si>
  <si>
    <t>b</t>
  </si>
  <si>
    <t>c</t>
  </si>
  <si>
    <t>d</t>
  </si>
  <si>
    <t>e</t>
  </si>
  <si>
    <t>f</t>
  </si>
  <si>
    <t>g</t>
  </si>
  <si>
    <t>h</t>
  </si>
  <si>
    <t>Checking of 50mm hdpe pipe at kcc</t>
  </si>
  <si>
    <t>Unblocking of milimani water meter</t>
  </si>
  <si>
    <t>Carrying out water surveys at ccr and cbd</t>
  </si>
  <si>
    <t>Backfilling of a excavated 225mm pvc pipe along district line</t>
  </si>
  <si>
    <t>i</t>
  </si>
  <si>
    <t>Patrolling at railway route and repair of leaks at the meters</t>
  </si>
  <si>
    <t>Customer meter service at hopewell route</t>
  </si>
  <si>
    <t>k</t>
  </si>
  <si>
    <t>16/08/2024-23/08/2024</t>
  </si>
  <si>
    <t>Servicing of customers meter at hopewell</t>
  </si>
  <si>
    <t>Unblocking  of main line at cccr 40mm hdpe</t>
  </si>
  <si>
    <t>unblocking  of customer service line  at cccr</t>
  </si>
  <si>
    <t>Excavation for repair of 63mm hdpe pipe</t>
  </si>
  <si>
    <t xml:space="preserve">Meter relocation at cccr </t>
  </si>
  <si>
    <t>Marking of customer accounts at cbd and cccr</t>
  </si>
  <si>
    <t>Repair of 63mm pvc pipe at railway route</t>
  </si>
  <si>
    <t>14/09/2024-20/09/2024</t>
  </si>
  <si>
    <t>j</t>
  </si>
  <si>
    <t>Door to door check of customer accounts at ccr and manera</t>
  </si>
  <si>
    <t>L/V TO CONSOLATA</t>
  </si>
  <si>
    <t>TOTAL CONSOLATA</t>
  </si>
  <si>
    <t>PRODUCTION</t>
  </si>
  <si>
    <t>GRAND TOTAL</t>
  </si>
  <si>
    <t>FINAL</t>
  </si>
  <si>
    <t>POLYCLINIC</t>
  </si>
  <si>
    <t>NAIVAS</t>
  </si>
  <si>
    <t>JUNCTION</t>
  </si>
  <si>
    <t>MINISTRY</t>
  </si>
  <si>
    <t>AP LINE</t>
  </si>
  <si>
    <t>MILIMANI</t>
  </si>
  <si>
    <t>ACK CHURCH</t>
  </si>
  <si>
    <t xml:space="preserve">                              RAILWAY</t>
  </si>
  <si>
    <t>serviced ccr meter</t>
  </si>
  <si>
    <t>ccr metert serviced</t>
  </si>
  <si>
    <t>CCR NEW METER</t>
  </si>
  <si>
    <t>H/W METER REP</t>
  </si>
  <si>
    <t>H/W service</t>
  </si>
  <si>
    <t>CCCR meter faulty</t>
  </si>
  <si>
    <t>PRISON BURST CLOSED</t>
  </si>
  <si>
    <t>RAILWAY METER VANDALISED</t>
  </si>
  <si>
    <t>burst prison</t>
  </si>
  <si>
    <t>burst dti Naiposha</t>
  </si>
  <si>
    <t>h/w meter faulty</t>
  </si>
  <si>
    <t>NEW LINE Naivas</t>
  </si>
  <si>
    <t>3 N NEW METER</t>
  </si>
  <si>
    <t>burst market</t>
  </si>
  <si>
    <t>railway closed</t>
  </si>
  <si>
    <t>NSSF</t>
  </si>
  <si>
    <t>TEMPLE</t>
  </si>
  <si>
    <t>new meter temple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</si>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</sst>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FF0000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1" tint="4.9989318521683403E-2"/>
      <name val="Bookman Old Style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Bookman Old Style"/>
      <family val="1"/>
    </font>
    <font>
      <b/>
      <i/>
      <u/>
      <sz val="14"/>
      <color rgb="FF00B0F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 tint="4.9989318521683403E-2"/>
      <name val="Bookman Old Style"/>
      <family val="1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8" fillId="0" borderId="0"/>
    <xf numFmtId="0" fontId="8" fillId="0" borderId="0"/>
  </cellStyleXfs>
  <cellXfs count="163">
    <xf numFmtId="0" fontId="0" fillId="0" borderId="0" xfId="0"/>
    <xf numFmtId="0" fontId="91" fillId="0" borderId="0" xfId="0" applyFont="1"/>
    <xf numFmtId="0" fontId="88" fillId="0" borderId="0" xfId="0" applyFont="1"/>
    <xf numFmtId="0" fontId="90" fillId="0" borderId="0" xfId="0" applyFont="1"/>
    <xf numFmtId="0" fontId="87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0" fillId="0" borderId="1" xfId="0" applyBorder="1"/>
    <xf numFmtId="0" fontId="96" fillId="0" borderId="1" xfId="0" applyFont="1" applyBorder="1"/>
    <xf numFmtId="0" fontId="98" fillId="2" borderId="1" xfId="0" applyFont="1" applyFill="1" applyBorder="1" applyAlignment="1">
      <alignment horizontal="center"/>
    </xf>
    <xf numFmtId="0" fontId="99" fillId="2" borderId="1" xfId="0" applyFont="1" applyFill="1" applyBorder="1"/>
    <xf numFmtId="14" fontId="95" fillId="2" borderId="1" xfId="0" applyNumberFormat="1" applyFont="1" applyFill="1" applyBorder="1"/>
    <xf numFmtId="0" fontId="100" fillId="3" borderId="1" xfId="0" applyFont="1" applyFill="1" applyBorder="1"/>
    <xf numFmtId="14" fontId="0" fillId="0" borderId="0" xfId="0" applyNumberFormat="1"/>
    <xf numFmtId="0" fontId="85" fillId="0" borderId="0" xfId="0" applyFont="1"/>
    <xf numFmtId="0" fontId="101" fillId="0" borderId="0" xfId="0" applyFont="1"/>
    <xf numFmtId="0" fontId="84" fillId="0" borderId="0" xfId="0" applyFont="1"/>
    <xf numFmtId="0" fontId="83" fillId="0" borderId="0" xfId="0" applyFont="1"/>
    <xf numFmtId="0" fontId="102" fillId="0" borderId="0" xfId="0" applyFont="1"/>
    <xf numFmtId="0" fontId="8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81" fillId="0" borderId="0" xfId="0" applyFont="1"/>
    <xf numFmtId="0" fontId="80" fillId="0" borderId="0" xfId="0" applyFont="1"/>
    <xf numFmtId="0" fontId="79" fillId="0" borderId="0" xfId="0" applyFont="1"/>
    <xf numFmtId="0" fontId="78" fillId="0" borderId="0" xfId="0" applyFont="1"/>
    <xf numFmtId="0" fontId="77" fillId="0" borderId="0" xfId="0" applyFont="1"/>
    <xf numFmtId="0" fontId="76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75" fillId="0" borderId="0" xfId="0" applyFont="1"/>
    <xf numFmtId="0" fontId="74" fillId="0" borderId="0" xfId="0" applyFont="1"/>
    <xf numFmtId="0" fontId="73" fillId="0" borderId="0" xfId="0" applyFont="1"/>
    <xf numFmtId="0" fontId="72" fillId="0" borderId="0" xfId="0" applyFont="1"/>
    <xf numFmtId="0" fontId="71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67" fillId="0" borderId="0" xfId="0" applyFont="1"/>
    <xf numFmtId="0" fontId="66" fillId="0" borderId="0" xfId="0" applyFont="1"/>
    <xf numFmtId="0" fontId="109" fillId="0" borderId="0" xfId="0" applyFont="1"/>
    <xf numFmtId="0" fontId="110" fillId="0" borderId="0" xfId="0" applyFont="1"/>
    <xf numFmtId="0" fontId="97" fillId="4" borderId="1" xfId="0" applyFont="1" applyFill="1" applyBorder="1"/>
    <xf numFmtId="0" fontId="111" fillId="4" borderId="1" xfId="0" applyFont="1" applyFill="1" applyBorder="1"/>
    <xf numFmtId="0" fontId="65" fillId="0" borderId="0" xfId="0" applyFont="1"/>
    <xf numFmtId="0" fontId="65" fillId="0" borderId="1" xfId="0" applyFont="1" applyBorder="1"/>
    <xf numFmtId="0" fontId="105" fillId="0" borderId="1" xfId="0" applyFont="1" applyBorder="1"/>
    <xf numFmtId="0" fontId="102" fillId="0" borderId="1" xfId="0" applyFont="1" applyBorder="1"/>
    <xf numFmtId="0" fontId="112" fillId="0" borderId="0" xfId="0" applyFont="1"/>
    <xf numFmtId="0" fontId="113" fillId="0" borderId="0" xfId="0" applyFont="1"/>
    <xf numFmtId="0" fontId="64" fillId="0" borderId="0" xfId="0" applyFont="1"/>
    <xf numFmtId="0" fontId="0" fillId="0" borderId="1" xfId="0" applyFill="1" applyBorder="1"/>
    <xf numFmtId="0" fontId="63" fillId="0" borderId="0" xfId="0" applyFont="1"/>
    <xf numFmtId="0" fontId="0" fillId="0" borderId="1" xfId="0" applyFont="1" applyFill="1" applyBorder="1"/>
    <xf numFmtId="0" fontId="62" fillId="0" borderId="0" xfId="0" applyFont="1"/>
    <xf numFmtId="0" fontId="61" fillId="0" borderId="0" xfId="0" applyFont="1"/>
    <xf numFmtId="0" fontId="60" fillId="0" borderId="0" xfId="0" applyFont="1"/>
    <xf numFmtId="0" fontId="59" fillId="0" borderId="0" xfId="0" applyFont="1"/>
    <xf numFmtId="0" fontId="114" fillId="0" borderId="0" xfId="0" applyFont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100" fillId="0" borderId="1" xfId="0" applyFont="1" applyBorder="1"/>
    <xf numFmtId="0" fontId="54" fillId="0" borderId="0" xfId="0" applyFont="1"/>
    <xf numFmtId="0" fontId="111" fillId="0" borderId="1" xfId="0" applyFont="1" applyBorder="1"/>
    <xf numFmtId="0" fontId="0" fillId="4" borderId="1" xfId="0" applyFont="1" applyFill="1" applyBorder="1"/>
    <xf numFmtId="0" fontId="96" fillId="4" borderId="1" xfId="0" applyFont="1" applyFill="1" applyBorder="1"/>
    <xf numFmtId="0" fontId="0" fillId="0" borderId="1" xfId="0" applyFont="1" applyBorder="1"/>
    <xf numFmtId="0" fontId="53" fillId="0" borderId="0" xfId="0" applyFont="1"/>
    <xf numFmtId="0" fontId="52" fillId="0" borderId="0" xfId="0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0" fillId="4" borderId="1" xfId="0" applyFill="1" applyBorder="1"/>
    <xf numFmtId="0" fontId="48" fillId="0" borderId="1" xfId="1" applyBorder="1"/>
    <xf numFmtId="0" fontId="96" fillId="4" borderId="1" xfId="1" applyFont="1" applyFill="1" applyBorder="1"/>
    <xf numFmtId="0" fontId="111" fillId="4" borderId="1" xfId="1" applyFont="1" applyFill="1" applyBorder="1"/>
    <xf numFmtId="0" fontId="47" fillId="0" borderId="0" xfId="0" applyFont="1"/>
    <xf numFmtId="0" fontId="94" fillId="0" borderId="1" xfId="0" applyFont="1" applyBorder="1"/>
    <xf numFmtId="0" fontId="46" fillId="0" borderId="0" xfId="0" applyFont="1"/>
    <xf numFmtId="0" fontId="45" fillId="0" borderId="0" xfId="0" applyFont="1"/>
    <xf numFmtId="0" fontId="99" fillId="2" borderId="1" xfId="0" applyFont="1" applyFill="1" applyBorder="1" applyAlignment="1">
      <alignment horizontal="center"/>
    </xf>
    <xf numFmtId="0" fontId="86" fillId="0" borderId="1" xfId="0" applyFont="1" applyBorder="1"/>
    <xf numFmtId="0" fontId="89" fillId="0" borderId="1" xfId="0" applyFont="1" applyBorder="1"/>
    <xf numFmtId="14" fontId="0" fillId="0" borderId="1" xfId="0" applyNumberFormat="1" applyBorder="1"/>
    <xf numFmtId="0" fontId="44" fillId="0" borderId="0" xfId="0" applyFont="1"/>
    <xf numFmtId="0" fontId="43" fillId="0" borderId="0" xfId="0" applyFont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1" xfId="0" applyFont="1" applyBorder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115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1" fillId="0" borderId="0" xfId="0" quotePrefix="1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14" fontId="102" fillId="0" borderId="0" xfId="0" applyNumberFormat="1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16" fillId="0" borderId="2" xfId="0" applyFont="1" applyBorder="1" applyAlignment="1"/>
    <xf numFmtId="0" fontId="117" fillId="0" borderId="2" xfId="0" applyFont="1" applyBorder="1" applyAlignment="1"/>
    <xf numFmtId="0" fontId="118" fillId="0" borderId="2" xfId="0" applyFont="1" applyBorder="1" applyAlignme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9" fillId="2" borderId="1" xfId="0" applyFont="1" applyFill="1" applyBorder="1" applyAlignment="1">
      <alignment horizontal="center"/>
    </xf>
    <xf numFmtId="0" fontId="102" fillId="2" borderId="5" xfId="0" applyFont="1" applyFill="1" applyBorder="1" applyAlignment="1">
      <alignment horizontal="center" wrapText="1"/>
    </xf>
    <xf numFmtId="0" fontId="99" fillId="2" borderId="1" xfId="0" applyFont="1" applyFill="1" applyBorder="1" applyAlignment="1">
      <alignment horizontal="center" wrapText="1"/>
    </xf>
    <xf numFmtId="0" fontId="96" fillId="3" borderId="1" xfId="0" applyFont="1" applyFill="1" applyBorder="1"/>
    <xf numFmtId="0" fontId="9" fillId="3" borderId="1" xfId="0" applyFont="1" applyFill="1" applyBorder="1"/>
    <xf numFmtId="0" fontId="100" fillId="0" borderId="1" xfId="0" applyFont="1" applyFill="1" applyBorder="1"/>
    <xf numFmtId="0" fontId="119" fillId="3" borderId="1" xfId="0" applyFont="1" applyFill="1" applyBorder="1"/>
    <xf numFmtId="0" fontId="96" fillId="2" borderId="1" xfId="0" applyFont="1" applyFill="1" applyBorder="1" applyAlignment="1">
      <alignment wrapText="1"/>
    </xf>
    <xf numFmtId="0" fontId="99" fillId="0" borderId="1" xfId="0" applyFont="1" applyFill="1" applyBorder="1"/>
    <xf numFmtId="0" fontId="102" fillId="0" borderId="1" xfId="0" applyFont="1" applyFill="1" applyBorder="1"/>
    <xf numFmtId="0" fontId="99" fillId="5" borderId="1" xfId="0" applyFont="1" applyFill="1" applyBorder="1" applyAlignment="1">
      <alignment horizontal="center"/>
    </xf>
    <xf numFmtId="0" fontId="8" fillId="0" borderId="1" xfId="2" applyBorder="1"/>
    <xf numFmtId="0" fontId="8" fillId="6" borderId="1" xfId="2" applyFill="1" applyBorder="1"/>
    <xf numFmtId="0" fontId="8" fillId="2" borderId="1" xfId="2" applyFill="1" applyBorder="1"/>
    <xf numFmtId="14" fontId="8" fillId="2" borderId="1" xfId="2" applyNumberFormat="1" applyFill="1" applyBorder="1"/>
    <xf numFmtId="0" fontId="102" fillId="2" borderId="1" xfId="2" applyFont="1" applyFill="1" applyBorder="1"/>
    <xf numFmtId="0" fontId="102" fillId="6" borderId="1" xfId="2" applyFont="1" applyFill="1" applyBorder="1"/>
    <xf numFmtId="0" fontId="89" fillId="0" borderId="1" xfId="2" applyFont="1" applyBorder="1" applyAlignment="1">
      <alignment horizontal="center"/>
    </xf>
    <xf numFmtId="0" fontId="7" fillId="0" borderId="1" xfId="2" applyFont="1" applyBorder="1"/>
    <xf numFmtId="0" fontId="6" fillId="0" borderId="1" xfId="2" applyFont="1" applyBorder="1"/>
    <xf numFmtId="0" fontId="5" fillId="0" borderId="1" xfId="2" applyFont="1" applyBorder="1"/>
    <xf numFmtId="0" fontId="4" fillId="0" borderId="1" xfId="2" applyFont="1" applyBorder="1"/>
    <xf numFmtId="0" fontId="3" fillId="0" borderId="1" xfId="2" applyFont="1" applyBorder="1"/>
    <xf numFmtId="0" fontId="2" fillId="0" borderId="1" xfId="2" applyFont="1" applyBorder="1"/>
    <xf numFmtId="0" fontId="1" fillId="0" borderId="1" xfId="2" applyFont="1" applyBorder="1"/>
    <xf numFmtId="0" fontId="99" fillId="2" borderId="3" xfId="0" applyFont="1" applyFill="1" applyBorder="1" applyAlignment="1">
      <alignment horizontal="center"/>
    </xf>
    <xf numFmtId="0" fontId="102" fillId="2" borderId="4" xfId="0" applyFont="1" applyFill="1" applyBorder="1" applyAlignment="1">
      <alignment horizontal="center"/>
    </xf>
    <xf numFmtId="0" fontId="102" fillId="2" borderId="5" xfId="0" applyFont="1" applyFill="1" applyBorder="1" applyAlignment="1">
      <alignment horizontal="center"/>
    </xf>
    <xf numFmtId="0" fontId="99" fillId="2" borderId="1" xfId="0" applyFont="1" applyFill="1" applyBorder="1" applyAlignment="1">
      <alignment horizontal="center"/>
    </xf>
    <xf numFmtId="0" fontId="120" fillId="2" borderId="1" xfId="2" applyFont="1" applyFill="1" applyBorder="1" applyAlignment="1">
      <alignment horizontal="center"/>
    </xf>
    <xf numFmtId="0" fontId="120" fillId="2" borderId="3" xfId="2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94"/>
  <sheetViews>
    <sheetView tabSelected="1" zoomScale="106" zoomScaleNormal="106" workbookViewId="0">
      <pane xSplit="1" ySplit="2" topLeftCell="P1558" activePane="bottomRight" state="frozen"/>
      <selection pane="topRight" activeCell="B1" sqref="B1"/>
      <selection pane="bottomLeft" activeCell="A4" sqref="A4"/>
      <selection pane="bottomRight" activeCell="X1545" sqref="X1545:X1578"/>
    </sheetView>
  </sheetViews>
  <sheetFormatPr defaultColWidth="9" defaultRowHeight="14.5"/>
  <cols>
    <col min="1" max="1" width="17" style="8" customWidth="1"/>
    <col min="2" max="2" width="9.26953125" style="8" customWidth="1"/>
    <col min="3" max="3" width="10.26953125" style="8" customWidth="1"/>
    <col min="4" max="4" width="10.26953125" style="86" customWidth="1"/>
    <col min="5" max="5" width="8.54296875" style="77" customWidth="1"/>
    <col min="6" max="6" width="10.26953125" style="69" customWidth="1"/>
    <col min="7" max="7" width="12.7265625" style="134" customWidth="1"/>
    <col min="8" max="8" width="8.26953125" style="8" customWidth="1"/>
    <col min="9" max="9" width="11.26953125" style="8" bestFit="1" customWidth="1"/>
    <col min="10" max="10" width="7.7265625" style="8" customWidth="1"/>
    <col min="11" max="11" width="9" style="139" customWidth="1"/>
    <col min="12" max="12" width="9.26953125" style="8" bestFit="1" customWidth="1"/>
    <col min="13" max="13" width="10.26953125" style="8" customWidth="1"/>
    <col min="14" max="14" width="8.453125" style="8" customWidth="1"/>
    <col min="15" max="15" width="9.26953125" style="50" customWidth="1"/>
    <col min="16" max="16" width="9.26953125" style="8" bestFit="1" customWidth="1"/>
    <col min="17" max="17" width="11.26953125" style="8" bestFit="1" customWidth="1"/>
    <col min="18" max="18" width="8.7265625" style="134" bestFit="1" customWidth="1"/>
    <col min="19" max="19" width="9" style="8" bestFit="1" customWidth="1"/>
    <col min="20" max="20" width="11.26953125" style="8" bestFit="1" customWidth="1"/>
    <col min="21" max="21" width="8.26953125" style="134" customWidth="1"/>
    <col min="22" max="22" width="8.7265625" style="8" bestFit="1" customWidth="1"/>
    <col min="23" max="23" width="11.26953125" style="8" bestFit="1" customWidth="1"/>
    <col min="24" max="24" width="8.26953125" style="8" customWidth="1"/>
    <col min="25" max="25" width="9.26953125" style="8" bestFit="1" customWidth="1"/>
    <col min="26" max="26" width="11.1796875" style="8" bestFit="1" customWidth="1"/>
    <col min="27" max="27" width="7.7265625" style="8" customWidth="1"/>
    <col min="28" max="29" width="9.7265625" style="8" customWidth="1"/>
    <col min="30" max="30" width="8" style="8" customWidth="1"/>
    <col min="31" max="31" width="7.7265625" style="54" customWidth="1"/>
    <col min="32" max="32" width="8.7265625" style="54" customWidth="1"/>
    <col min="33" max="33" width="9.7265625" style="54" customWidth="1"/>
    <col min="34" max="34" width="15.54296875" style="50" customWidth="1"/>
    <col min="35" max="35" width="14.54296875" style="50" customWidth="1"/>
    <col min="36" max="16384" width="9" style="8"/>
  </cols>
  <sheetData>
    <row r="1" spans="1:35" s="87" customFormat="1" ht="27" customHeight="1">
      <c r="A1" s="10" t="s">
        <v>135</v>
      </c>
      <c r="B1" s="158" t="s">
        <v>0</v>
      </c>
      <c r="C1" s="158"/>
      <c r="D1" s="158"/>
      <c r="E1" s="11" t="s">
        <v>834</v>
      </c>
      <c r="F1" s="11"/>
      <c r="G1" s="137"/>
      <c r="H1" s="158" t="s">
        <v>13</v>
      </c>
      <c r="I1" s="158"/>
      <c r="J1" s="158"/>
      <c r="K1" s="132" t="s">
        <v>1983</v>
      </c>
      <c r="L1" s="158" t="s">
        <v>1</v>
      </c>
      <c r="M1" s="158"/>
      <c r="N1" s="158"/>
      <c r="O1" s="140" t="s">
        <v>3</v>
      </c>
      <c r="P1" s="158" t="s">
        <v>4</v>
      </c>
      <c r="Q1" s="158"/>
      <c r="R1" s="158"/>
      <c r="S1" s="158" t="s">
        <v>5</v>
      </c>
      <c r="T1" s="158"/>
      <c r="U1" s="158"/>
      <c r="V1" s="158" t="s">
        <v>1816</v>
      </c>
      <c r="W1" s="158"/>
      <c r="X1" s="158"/>
      <c r="Y1" s="158" t="s">
        <v>11</v>
      </c>
      <c r="Z1" s="158"/>
      <c r="AA1" s="158"/>
      <c r="AB1" s="158" t="s">
        <v>2</v>
      </c>
      <c r="AC1" s="158"/>
      <c r="AD1" s="158"/>
      <c r="AE1" s="155" t="s">
        <v>1981</v>
      </c>
      <c r="AF1" s="156"/>
      <c r="AG1" s="157"/>
      <c r="AH1" s="131" t="s">
        <v>1982</v>
      </c>
      <c r="AI1" s="50" t="s">
        <v>1984</v>
      </c>
    </row>
    <row r="2" spans="1:35" s="87" customFormat="1" ht="18.5">
      <c r="A2" s="10"/>
      <c r="B2" s="85" t="s">
        <v>136</v>
      </c>
      <c r="C2" s="85" t="s">
        <v>137</v>
      </c>
      <c r="D2" s="85" t="s">
        <v>138</v>
      </c>
      <c r="E2" s="130" t="s">
        <v>136</v>
      </c>
      <c r="F2" s="130" t="s">
        <v>137</v>
      </c>
      <c r="G2" s="132" t="s">
        <v>138</v>
      </c>
      <c r="H2" s="85" t="s">
        <v>136</v>
      </c>
      <c r="I2" s="85" t="s">
        <v>137</v>
      </c>
      <c r="J2" s="85" t="s">
        <v>138</v>
      </c>
      <c r="K2" s="132" t="s">
        <v>460</v>
      </c>
      <c r="L2" s="130" t="s">
        <v>136</v>
      </c>
      <c r="M2" s="130" t="s">
        <v>137</v>
      </c>
      <c r="N2" s="130" t="s">
        <v>138</v>
      </c>
      <c r="O2" s="140" t="s">
        <v>138</v>
      </c>
      <c r="P2" s="85" t="s">
        <v>136</v>
      </c>
      <c r="Q2" s="130" t="s">
        <v>137</v>
      </c>
      <c r="R2" s="130" t="s">
        <v>138</v>
      </c>
      <c r="S2" s="130" t="s">
        <v>136</v>
      </c>
      <c r="T2" s="130" t="s">
        <v>137</v>
      </c>
      <c r="U2" s="130" t="s">
        <v>138</v>
      </c>
      <c r="V2" s="85" t="s">
        <v>136</v>
      </c>
      <c r="W2" s="85" t="s">
        <v>137</v>
      </c>
      <c r="X2" s="85" t="s">
        <v>138</v>
      </c>
      <c r="Y2" s="85" t="s">
        <v>136</v>
      </c>
      <c r="Z2" s="85" t="s">
        <v>137</v>
      </c>
      <c r="AA2" s="85" t="s">
        <v>138</v>
      </c>
      <c r="AB2" s="130" t="s">
        <v>136</v>
      </c>
      <c r="AC2" s="130" t="s">
        <v>137</v>
      </c>
      <c r="AD2" s="130" t="s">
        <v>138</v>
      </c>
      <c r="AE2" s="130" t="s">
        <v>136</v>
      </c>
      <c r="AF2" s="130" t="s">
        <v>137</v>
      </c>
      <c r="AG2" s="130" t="s">
        <v>138</v>
      </c>
      <c r="AH2" s="130" t="s">
        <v>138</v>
      </c>
      <c r="AI2" s="50" t="s">
        <v>138</v>
      </c>
    </row>
    <row r="3" spans="1:35">
      <c r="A3" s="12">
        <v>44378</v>
      </c>
      <c r="B3" s="9">
        <v>1404138</v>
      </c>
      <c r="C3" s="9">
        <v>1405354</v>
      </c>
      <c r="D3" s="13">
        <f t="shared" ref="D3:D25" si="0">C3-B3</f>
        <v>1216</v>
      </c>
      <c r="E3" s="45"/>
      <c r="F3" s="70"/>
      <c r="G3" s="133">
        <f t="shared" ref="G3:G66" si="1">F3-E3</f>
        <v>0</v>
      </c>
      <c r="H3" s="9">
        <v>122791</v>
      </c>
      <c r="I3" s="9">
        <v>122791</v>
      </c>
      <c r="J3" s="13">
        <v>0</v>
      </c>
      <c r="K3" s="138"/>
      <c r="L3" s="9">
        <v>144544</v>
      </c>
      <c r="M3" s="9">
        <v>145788</v>
      </c>
      <c r="N3" s="13">
        <f t="shared" ref="N3:N65" si="2">M3-L3</f>
        <v>1244</v>
      </c>
      <c r="O3" s="136"/>
      <c r="P3" s="9">
        <v>126680</v>
      </c>
      <c r="Q3" s="9">
        <v>127195</v>
      </c>
      <c r="R3" s="133">
        <f t="shared" ref="R3:R67" si="3">Q3-P3</f>
        <v>515</v>
      </c>
      <c r="S3" s="9">
        <v>161389</v>
      </c>
      <c r="T3" s="9">
        <v>161439</v>
      </c>
      <c r="U3" s="133">
        <f>T3-S3</f>
        <v>50</v>
      </c>
      <c r="V3" s="9">
        <v>185291</v>
      </c>
      <c r="W3" s="9">
        <v>185608</v>
      </c>
      <c r="X3" s="13">
        <f t="shared" ref="X3:X65" si="4">W3-V3</f>
        <v>317</v>
      </c>
      <c r="Y3" s="9">
        <v>6726</v>
      </c>
      <c r="Z3" s="9">
        <v>6752</v>
      </c>
      <c r="AA3" s="13">
        <f t="shared" ref="AA3:AA67" si="5">Z3-Y3</f>
        <v>26</v>
      </c>
      <c r="AB3" s="9">
        <v>166670</v>
      </c>
      <c r="AC3" s="9">
        <v>166734</v>
      </c>
      <c r="AD3" s="13">
        <f t="shared" ref="AD3:AD34" si="6">AC3-AB3</f>
        <v>64</v>
      </c>
      <c r="AE3" s="135"/>
      <c r="AF3" s="135"/>
      <c r="AG3" s="135"/>
      <c r="AH3" s="136"/>
      <c r="AI3" s="50">
        <f t="shared" ref="AI3:AI64" si="7">AA3+U3+R3+O3+X3</f>
        <v>908</v>
      </c>
    </row>
    <row r="4" spans="1:35">
      <c r="A4" s="12">
        <v>44379</v>
      </c>
      <c r="B4" s="9">
        <v>1405354</v>
      </c>
      <c r="C4" s="9">
        <v>1406713</v>
      </c>
      <c r="D4" s="13">
        <f t="shared" si="0"/>
        <v>1359</v>
      </c>
      <c r="E4" s="45"/>
      <c r="F4" s="70"/>
      <c r="G4" s="133">
        <f t="shared" si="1"/>
        <v>0</v>
      </c>
      <c r="H4" s="9">
        <v>122791</v>
      </c>
      <c r="I4" s="9">
        <v>122791</v>
      </c>
      <c r="J4" s="13">
        <v>0</v>
      </c>
      <c r="K4" s="138"/>
      <c r="L4" s="9">
        <v>145788</v>
      </c>
      <c r="M4" s="9">
        <v>147006</v>
      </c>
      <c r="N4" s="13">
        <f t="shared" si="2"/>
        <v>1218</v>
      </c>
      <c r="O4" s="136"/>
      <c r="P4" s="9">
        <v>127195</v>
      </c>
      <c r="Q4" s="9">
        <v>127717</v>
      </c>
      <c r="R4" s="133">
        <f t="shared" si="3"/>
        <v>522</v>
      </c>
      <c r="S4" s="9">
        <v>161439</v>
      </c>
      <c r="T4" s="9">
        <v>161499</v>
      </c>
      <c r="U4" s="133">
        <f t="shared" ref="U4:U17" si="8">T4-S4</f>
        <v>60</v>
      </c>
      <c r="V4" s="9">
        <v>185608</v>
      </c>
      <c r="W4" s="9">
        <v>185846</v>
      </c>
      <c r="X4" s="13">
        <f t="shared" si="4"/>
        <v>238</v>
      </c>
      <c r="Y4" s="9">
        <v>6752</v>
      </c>
      <c r="Z4" s="9">
        <v>6773</v>
      </c>
      <c r="AA4" s="13">
        <f t="shared" si="5"/>
        <v>21</v>
      </c>
      <c r="AB4" s="9">
        <v>166734</v>
      </c>
      <c r="AC4" s="9">
        <v>166807</v>
      </c>
      <c r="AD4" s="13">
        <f t="shared" si="6"/>
        <v>73</v>
      </c>
      <c r="AE4" s="135"/>
      <c r="AF4" s="135"/>
      <c r="AG4" s="135"/>
      <c r="AH4" s="136"/>
      <c r="AI4" s="50">
        <f t="shared" si="7"/>
        <v>841</v>
      </c>
    </row>
    <row r="5" spans="1:35">
      <c r="A5" s="12">
        <v>44380</v>
      </c>
      <c r="B5" s="9">
        <v>1406713</v>
      </c>
      <c r="C5" s="9">
        <v>1408017</v>
      </c>
      <c r="D5" s="13">
        <f t="shared" si="0"/>
        <v>1304</v>
      </c>
      <c r="E5" s="45"/>
      <c r="F5" s="70"/>
      <c r="G5" s="133">
        <f t="shared" si="1"/>
        <v>0</v>
      </c>
      <c r="H5" s="9">
        <v>122791</v>
      </c>
      <c r="I5" s="9">
        <v>122791</v>
      </c>
      <c r="J5" s="13">
        <v>0</v>
      </c>
      <c r="K5" s="138"/>
      <c r="L5" s="9">
        <v>147006</v>
      </c>
      <c r="M5" s="9">
        <v>148017</v>
      </c>
      <c r="N5" s="13">
        <f t="shared" si="2"/>
        <v>1011</v>
      </c>
      <c r="O5" s="136"/>
      <c r="P5" s="9">
        <v>127717</v>
      </c>
      <c r="Q5" s="9">
        <v>128068</v>
      </c>
      <c r="R5" s="133">
        <f t="shared" si="3"/>
        <v>351</v>
      </c>
      <c r="S5" s="9">
        <v>161499</v>
      </c>
      <c r="T5" s="9">
        <v>161546</v>
      </c>
      <c r="U5" s="133">
        <f t="shared" si="8"/>
        <v>47</v>
      </c>
      <c r="V5" s="9">
        <v>185846</v>
      </c>
      <c r="W5" s="9">
        <v>186303</v>
      </c>
      <c r="X5" s="13">
        <f t="shared" si="4"/>
        <v>457</v>
      </c>
      <c r="Y5" s="9">
        <v>6773</v>
      </c>
      <c r="Z5" s="9">
        <v>6799</v>
      </c>
      <c r="AA5" s="13">
        <f t="shared" si="5"/>
        <v>26</v>
      </c>
      <c r="AB5" s="9">
        <v>166807</v>
      </c>
      <c r="AC5" s="9">
        <v>166844</v>
      </c>
      <c r="AD5" s="13">
        <f t="shared" si="6"/>
        <v>37</v>
      </c>
      <c r="AE5" s="135"/>
      <c r="AF5" s="135"/>
      <c r="AG5" s="135"/>
      <c r="AH5" s="136"/>
      <c r="AI5" s="50">
        <f t="shared" si="7"/>
        <v>881</v>
      </c>
    </row>
    <row r="6" spans="1:35">
      <c r="A6" s="12">
        <v>44381</v>
      </c>
      <c r="B6" s="9">
        <v>1408017</v>
      </c>
      <c r="C6" s="9">
        <v>1408950</v>
      </c>
      <c r="D6" s="13">
        <f t="shared" si="0"/>
        <v>933</v>
      </c>
      <c r="E6" s="45"/>
      <c r="F6" s="70"/>
      <c r="G6" s="133">
        <f t="shared" si="1"/>
        <v>0</v>
      </c>
      <c r="H6" s="9">
        <v>122791</v>
      </c>
      <c r="I6" s="9">
        <v>123528</v>
      </c>
      <c r="J6" s="13">
        <f>I6-H6</f>
        <v>737</v>
      </c>
      <c r="K6" s="138"/>
      <c r="L6" s="9">
        <v>148017</v>
      </c>
      <c r="M6" s="9">
        <v>148291</v>
      </c>
      <c r="N6" s="13">
        <f t="shared" si="2"/>
        <v>274</v>
      </c>
      <c r="O6" s="136"/>
      <c r="P6" s="9">
        <v>128068</v>
      </c>
      <c r="Q6" s="9">
        <v>128443</v>
      </c>
      <c r="R6" s="133">
        <f t="shared" si="3"/>
        <v>375</v>
      </c>
      <c r="S6" s="9">
        <v>161546</v>
      </c>
      <c r="T6" s="9">
        <v>161604</v>
      </c>
      <c r="U6" s="133">
        <f t="shared" si="8"/>
        <v>58</v>
      </c>
      <c r="V6" s="9">
        <v>186303</v>
      </c>
      <c r="W6" s="9">
        <v>186571</v>
      </c>
      <c r="X6" s="13">
        <f t="shared" si="4"/>
        <v>268</v>
      </c>
      <c r="Y6" s="9">
        <v>6799</v>
      </c>
      <c r="Z6" s="9">
        <v>6815</v>
      </c>
      <c r="AA6" s="13">
        <f t="shared" si="5"/>
        <v>16</v>
      </c>
      <c r="AB6" s="9">
        <v>166844</v>
      </c>
      <c r="AC6" s="9">
        <v>166902</v>
      </c>
      <c r="AD6" s="13">
        <f t="shared" si="6"/>
        <v>58</v>
      </c>
      <c r="AE6" s="135"/>
      <c r="AF6" s="135"/>
      <c r="AG6" s="135"/>
      <c r="AH6" s="136"/>
      <c r="AI6" s="50">
        <f t="shared" si="7"/>
        <v>717</v>
      </c>
    </row>
    <row r="7" spans="1:35">
      <c r="A7" s="12">
        <v>44382</v>
      </c>
      <c r="B7" s="9">
        <v>1408950</v>
      </c>
      <c r="C7" s="9">
        <v>1409371</v>
      </c>
      <c r="D7" s="13">
        <f t="shared" si="0"/>
        <v>421</v>
      </c>
      <c r="E7" s="45"/>
      <c r="F7" s="70"/>
      <c r="G7" s="133">
        <f t="shared" si="1"/>
        <v>0</v>
      </c>
      <c r="H7" s="9">
        <v>123528</v>
      </c>
      <c r="I7" s="9">
        <v>123528</v>
      </c>
      <c r="J7" s="13">
        <v>0</v>
      </c>
      <c r="K7" s="138"/>
      <c r="L7" s="9">
        <v>148291</v>
      </c>
      <c r="M7" s="9">
        <v>149345</v>
      </c>
      <c r="N7" s="13">
        <f t="shared" si="2"/>
        <v>1054</v>
      </c>
      <c r="O7" s="136"/>
      <c r="P7" s="9">
        <v>128443</v>
      </c>
      <c r="Q7" s="9">
        <v>128847</v>
      </c>
      <c r="R7" s="133">
        <f t="shared" si="3"/>
        <v>404</v>
      </c>
      <c r="S7" s="9">
        <v>161604</v>
      </c>
      <c r="T7" s="9">
        <v>161660</v>
      </c>
      <c r="U7" s="133">
        <f t="shared" si="8"/>
        <v>56</v>
      </c>
      <c r="V7" s="9">
        <v>186571</v>
      </c>
      <c r="W7" s="9">
        <v>186750</v>
      </c>
      <c r="X7" s="13">
        <f t="shared" si="4"/>
        <v>179</v>
      </c>
      <c r="Y7" s="9">
        <v>6815</v>
      </c>
      <c r="Z7" s="9">
        <v>6838</v>
      </c>
      <c r="AA7" s="13">
        <f t="shared" si="5"/>
        <v>23</v>
      </c>
      <c r="AB7" s="9">
        <v>166902</v>
      </c>
      <c r="AC7" s="9">
        <v>166957</v>
      </c>
      <c r="AD7" s="13">
        <f t="shared" si="6"/>
        <v>55</v>
      </c>
      <c r="AE7" s="135"/>
      <c r="AF7" s="135"/>
      <c r="AG7" s="135"/>
      <c r="AH7" s="136"/>
      <c r="AI7" s="50">
        <f t="shared" si="7"/>
        <v>662</v>
      </c>
    </row>
    <row r="8" spans="1:35">
      <c r="A8" s="12">
        <v>44383</v>
      </c>
      <c r="B8" s="9">
        <v>1409371</v>
      </c>
      <c r="C8" s="9">
        <v>1410103</v>
      </c>
      <c r="D8" s="13">
        <f t="shared" si="0"/>
        <v>732</v>
      </c>
      <c r="E8" s="45"/>
      <c r="F8" s="70"/>
      <c r="G8" s="133">
        <f t="shared" si="1"/>
        <v>0</v>
      </c>
      <c r="H8" s="9">
        <v>123528</v>
      </c>
      <c r="I8" s="9">
        <v>124275</v>
      </c>
      <c r="J8" s="13">
        <f t="shared" ref="J8:J81" si="9">I8-H8</f>
        <v>747</v>
      </c>
      <c r="K8" s="138"/>
      <c r="L8" s="9">
        <v>149345</v>
      </c>
      <c r="M8" s="9">
        <v>149538</v>
      </c>
      <c r="N8" s="13">
        <f t="shared" si="2"/>
        <v>193</v>
      </c>
      <c r="O8" s="136"/>
      <c r="P8" s="9">
        <v>128847</v>
      </c>
      <c r="Q8" s="9">
        <v>129221</v>
      </c>
      <c r="R8" s="133">
        <f t="shared" si="3"/>
        <v>374</v>
      </c>
      <c r="S8" s="9">
        <v>161660</v>
      </c>
      <c r="T8" s="9">
        <v>161696</v>
      </c>
      <c r="U8" s="133">
        <f t="shared" si="8"/>
        <v>36</v>
      </c>
      <c r="V8" s="9">
        <v>186750</v>
      </c>
      <c r="W8" s="9">
        <v>187122</v>
      </c>
      <c r="X8" s="13">
        <f t="shared" si="4"/>
        <v>372</v>
      </c>
      <c r="Y8" s="9">
        <v>6838</v>
      </c>
      <c r="Z8" s="9">
        <v>6863</v>
      </c>
      <c r="AA8" s="13">
        <f t="shared" si="5"/>
        <v>25</v>
      </c>
      <c r="AB8" s="9">
        <v>166957</v>
      </c>
      <c r="AC8" s="9">
        <v>167007</v>
      </c>
      <c r="AD8" s="13">
        <f t="shared" si="6"/>
        <v>50</v>
      </c>
      <c r="AE8" s="135"/>
      <c r="AF8" s="135"/>
      <c r="AG8" s="135"/>
      <c r="AH8" s="136"/>
      <c r="AI8" s="50">
        <f t="shared" si="7"/>
        <v>807</v>
      </c>
    </row>
    <row r="9" spans="1:35">
      <c r="A9" s="12">
        <v>44384</v>
      </c>
      <c r="B9" s="9">
        <v>1410103</v>
      </c>
      <c r="C9" s="9">
        <v>1410873</v>
      </c>
      <c r="D9" s="13">
        <f t="shared" si="0"/>
        <v>770</v>
      </c>
      <c r="E9" s="45"/>
      <c r="F9" s="70"/>
      <c r="G9" s="133">
        <f t="shared" si="1"/>
        <v>0</v>
      </c>
      <c r="H9" s="9">
        <v>124275</v>
      </c>
      <c r="I9" s="9">
        <v>124646</v>
      </c>
      <c r="J9" s="13">
        <f t="shared" si="9"/>
        <v>371</v>
      </c>
      <c r="K9" s="138"/>
      <c r="L9" s="9">
        <v>149538</v>
      </c>
      <c r="M9" s="9">
        <v>149875</v>
      </c>
      <c r="N9" s="13">
        <f t="shared" si="2"/>
        <v>337</v>
      </c>
      <c r="O9" s="136"/>
      <c r="P9" s="9">
        <v>129221</v>
      </c>
      <c r="Q9" s="9">
        <v>129438</v>
      </c>
      <c r="R9" s="133">
        <f t="shared" si="3"/>
        <v>217</v>
      </c>
      <c r="S9" s="9">
        <v>161696</v>
      </c>
      <c r="T9" s="9">
        <v>161776</v>
      </c>
      <c r="U9" s="133">
        <f t="shared" si="8"/>
        <v>80</v>
      </c>
      <c r="V9" s="9">
        <v>187122</v>
      </c>
      <c r="W9" s="9">
        <v>187438</v>
      </c>
      <c r="X9" s="13">
        <f t="shared" si="4"/>
        <v>316</v>
      </c>
      <c r="Y9" s="9">
        <v>6863</v>
      </c>
      <c r="Z9" s="9">
        <v>6887</v>
      </c>
      <c r="AA9" s="13">
        <f t="shared" si="5"/>
        <v>24</v>
      </c>
      <c r="AB9" s="9">
        <v>167007</v>
      </c>
      <c r="AC9" s="9">
        <v>167092</v>
      </c>
      <c r="AD9" s="13">
        <f t="shared" si="6"/>
        <v>85</v>
      </c>
      <c r="AE9" s="135"/>
      <c r="AF9" s="135"/>
      <c r="AG9" s="135"/>
      <c r="AH9" s="136"/>
      <c r="AI9" s="50">
        <f t="shared" si="7"/>
        <v>637</v>
      </c>
    </row>
    <row r="10" spans="1:35">
      <c r="A10" s="12">
        <v>44385</v>
      </c>
      <c r="B10" s="9">
        <v>1410873</v>
      </c>
      <c r="C10" s="9">
        <v>1412191</v>
      </c>
      <c r="D10" s="13">
        <f t="shared" si="0"/>
        <v>1318</v>
      </c>
      <c r="E10" s="45"/>
      <c r="F10" s="70"/>
      <c r="G10" s="133">
        <f t="shared" si="1"/>
        <v>0</v>
      </c>
      <c r="H10" s="9">
        <v>124646</v>
      </c>
      <c r="I10" s="9">
        <v>125038</v>
      </c>
      <c r="J10" s="13">
        <f t="shared" si="9"/>
        <v>392</v>
      </c>
      <c r="K10" s="138"/>
      <c r="L10" s="9">
        <v>149875</v>
      </c>
      <c r="M10" s="9">
        <v>150462</v>
      </c>
      <c r="N10" s="13">
        <f t="shared" si="2"/>
        <v>587</v>
      </c>
      <c r="O10" s="136"/>
      <c r="P10" s="9">
        <v>129438</v>
      </c>
      <c r="Q10" s="9">
        <v>129909</v>
      </c>
      <c r="R10" s="133">
        <f t="shared" si="3"/>
        <v>471</v>
      </c>
      <c r="S10" s="9">
        <v>161776</v>
      </c>
      <c r="T10" s="9">
        <v>161835</v>
      </c>
      <c r="U10" s="133">
        <f t="shared" si="8"/>
        <v>59</v>
      </c>
      <c r="V10" s="9">
        <v>187438</v>
      </c>
      <c r="W10" s="9">
        <v>187750</v>
      </c>
      <c r="X10" s="13">
        <f t="shared" si="4"/>
        <v>312</v>
      </c>
      <c r="Y10" s="9">
        <v>6887</v>
      </c>
      <c r="Z10" s="9">
        <v>6911</v>
      </c>
      <c r="AA10" s="13">
        <f t="shared" si="5"/>
        <v>24</v>
      </c>
      <c r="AB10" s="9">
        <v>167092</v>
      </c>
      <c r="AC10" s="9">
        <v>167144</v>
      </c>
      <c r="AD10" s="13">
        <f t="shared" si="6"/>
        <v>52</v>
      </c>
      <c r="AE10" s="135"/>
      <c r="AF10" s="135"/>
      <c r="AG10" s="135"/>
      <c r="AH10" s="136"/>
      <c r="AI10" s="50">
        <f t="shared" si="7"/>
        <v>866</v>
      </c>
    </row>
    <row r="11" spans="1:35">
      <c r="A11" s="12">
        <v>44386</v>
      </c>
      <c r="B11" s="9">
        <v>1412191</v>
      </c>
      <c r="C11" s="9">
        <v>1413652</v>
      </c>
      <c r="D11" s="13">
        <f t="shared" si="0"/>
        <v>1461</v>
      </c>
      <c r="E11" s="45"/>
      <c r="F11" s="70"/>
      <c r="G11" s="133">
        <f t="shared" si="1"/>
        <v>0</v>
      </c>
      <c r="H11" s="9">
        <v>125038</v>
      </c>
      <c r="I11" s="9">
        <v>125038</v>
      </c>
      <c r="J11" s="13">
        <f t="shared" si="9"/>
        <v>0</v>
      </c>
      <c r="K11" s="138"/>
      <c r="L11" s="9">
        <v>150462</v>
      </c>
      <c r="M11" s="9">
        <v>151431</v>
      </c>
      <c r="N11" s="13">
        <f t="shared" si="2"/>
        <v>969</v>
      </c>
      <c r="O11" s="136"/>
      <c r="P11" s="9">
        <v>129909</v>
      </c>
      <c r="Q11" s="9">
        <v>130361</v>
      </c>
      <c r="R11" s="133">
        <f t="shared" si="3"/>
        <v>452</v>
      </c>
      <c r="S11" s="9">
        <v>161835</v>
      </c>
      <c r="T11" s="9">
        <v>161876</v>
      </c>
      <c r="U11" s="133">
        <f t="shared" si="8"/>
        <v>41</v>
      </c>
      <c r="V11" s="9">
        <v>187750</v>
      </c>
      <c r="W11" s="9">
        <v>188091</v>
      </c>
      <c r="X11" s="13">
        <f t="shared" si="4"/>
        <v>341</v>
      </c>
      <c r="Y11" s="9">
        <v>6911</v>
      </c>
      <c r="Z11" s="9">
        <v>6928</v>
      </c>
      <c r="AA11" s="13">
        <f>Z11-Y11</f>
        <v>17</v>
      </c>
      <c r="AB11" s="9">
        <v>167144</v>
      </c>
      <c r="AC11" s="9">
        <v>167210</v>
      </c>
      <c r="AD11" s="13">
        <f t="shared" si="6"/>
        <v>66</v>
      </c>
      <c r="AE11" s="135"/>
      <c r="AF11" s="135"/>
      <c r="AG11" s="135"/>
      <c r="AH11" s="136"/>
      <c r="AI11" s="50">
        <f t="shared" si="7"/>
        <v>851</v>
      </c>
    </row>
    <row r="12" spans="1:35">
      <c r="A12" s="12">
        <v>44387</v>
      </c>
      <c r="B12" s="9">
        <v>1413652</v>
      </c>
      <c r="C12" s="9">
        <v>1414583</v>
      </c>
      <c r="D12" s="13">
        <f t="shared" si="0"/>
        <v>931</v>
      </c>
      <c r="E12" s="45"/>
      <c r="F12" s="70"/>
      <c r="G12" s="133">
        <f t="shared" si="1"/>
        <v>0</v>
      </c>
      <c r="H12" s="9">
        <v>125038</v>
      </c>
      <c r="I12" s="9">
        <v>125038</v>
      </c>
      <c r="J12" s="13">
        <f t="shared" si="9"/>
        <v>0</v>
      </c>
      <c r="K12" s="138"/>
      <c r="L12" s="9">
        <v>151431</v>
      </c>
      <c r="M12" s="9">
        <v>152628</v>
      </c>
      <c r="N12" s="13">
        <f t="shared" si="2"/>
        <v>1197</v>
      </c>
      <c r="O12" s="136"/>
      <c r="P12" s="9">
        <v>130361</v>
      </c>
      <c r="Q12" s="9">
        <v>130796</v>
      </c>
      <c r="R12" s="133">
        <f t="shared" si="3"/>
        <v>435</v>
      </c>
      <c r="S12" s="9">
        <v>161876</v>
      </c>
      <c r="T12" s="9">
        <v>161926</v>
      </c>
      <c r="U12" s="133">
        <f t="shared" si="8"/>
        <v>50</v>
      </c>
      <c r="V12" s="9">
        <v>188091</v>
      </c>
      <c r="W12" s="9">
        <v>188442</v>
      </c>
      <c r="X12" s="13">
        <f t="shared" si="4"/>
        <v>351</v>
      </c>
      <c r="Y12" s="9">
        <v>6928</v>
      </c>
      <c r="Z12" s="9">
        <v>6953</v>
      </c>
      <c r="AA12" s="13">
        <f t="shared" si="5"/>
        <v>25</v>
      </c>
      <c r="AB12" s="9">
        <v>167210</v>
      </c>
      <c r="AC12" s="9">
        <v>167273</v>
      </c>
      <c r="AD12" s="13">
        <f t="shared" si="6"/>
        <v>63</v>
      </c>
      <c r="AE12" s="135"/>
      <c r="AF12" s="135"/>
      <c r="AG12" s="135"/>
      <c r="AH12" s="136"/>
      <c r="AI12" s="50">
        <f t="shared" si="7"/>
        <v>861</v>
      </c>
    </row>
    <row r="13" spans="1:35">
      <c r="A13" s="12">
        <v>44388</v>
      </c>
      <c r="B13" s="9">
        <v>1414583</v>
      </c>
      <c r="C13" s="9">
        <v>1416161</v>
      </c>
      <c r="D13" s="13">
        <f t="shared" si="0"/>
        <v>1578</v>
      </c>
      <c r="E13" s="45"/>
      <c r="F13" s="70"/>
      <c r="G13" s="133">
        <f t="shared" si="1"/>
        <v>0</v>
      </c>
      <c r="H13" s="9">
        <v>125038</v>
      </c>
      <c r="I13" s="9">
        <v>125038</v>
      </c>
      <c r="J13" s="13">
        <f t="shared" si="9"/>
        <v>0</v>
      </c>
      <c r="K13" s="138"/>
      <c r="L13" s="9">
        <v>152628</v>
      </c>
      <c r="M13" s="9">
        <v>153827</v>
      </c>
      <c r="N13" s="13">
        <f t="shared" si="2"/>
        <v>1199</v>
      </c>
      <c r="O13" s="136"/>
      <c r="P13" s="9">
        <v>130796</v>
      </c>
      <c r="Q13" s="9">
        <v>131145</v>
      </c>
      <c r="R13" s="133">
        <f t="shared" si="3"/>
        <v>349</v>
      </c>
      <c r="S13" s="9">
        <v>161926</v>
      </c>
      <c r="T13" s="9">
        <v>161977</v>
      </c>
      <c r="U13" s="133">
        <f t="shared" si="8"/>
        <v>51</v>
      </c>
      <c r="V13" s="9">
        <v>188442</v>
      </c>
      <c r="W13" s="9">
        <v>188730</v>
      </c>
      <c r="X13" s="13">
        <f t="shared" si="4"/>
        <v>288</v>
      </c>
      <c r="Y13" s="9">
        <v>6953</v>
      </c>
      <c r="Z13" s="9">
        <v>6972</v>
      </c>
      <c r="AA13" s="13">
        <f t="shared" si="5"/>
        <v>19</v>
      </c>
      <c r="AB13" s="9">
        <v>167273</v>
      </c>
      <c r="AC13" s="9">
        <v>167344</v>
      </c>
      <c r="AD13" s="13">
        <f t="shared" si="6"/>
        <v>71</v>
      </c>
      <c r="AE13" s="135"/>
      <c r="AF13" s="135"/>
      <c r="AG13" s="135"/>
      <c r="AH13" s="136"/>
      <c r="AI13" s="50">
        <f t="shared" si="7"/>
        <v>707</v>
      </c>
    </row>
    <row r="14" spans="1:35">
      <c r="A14" s="12">
        <v>44389</v>
      </c>
      <c r="B14" s="9">
        <v>1416161</v>
      </c>
      <c r="C14" s="9">
        <v>1417421</v>
      </c>
      <c r="D14" s="13">
        <f t="shared" si="0"/>
        <v>1260</v>
      </c>
      <c r="E14" s="45"/>
      <c r="F14" s="70"/>
      <c r="G14" s="133">
        <f t="shared" si="1"/>
        <v>0</v>
      </c>
      <c r="H14" s="9">
        <v>125038</v>
      </c>
      <c r="I14" s="9">
        <v>125038</v>
      </c>
      <c r="J14" s="13">
        <f t="shared" si="9"/>
        <v>0</v>
      </c>
      <c r="K14" s="138"/>
      <c r="L14" s="9">
        <v>153827</v>
      </c>
      <c r="M14" s="9">
        <v>154613</v>
      </c>
      <c r="N14" s="13">
        <f t="shared" si="2"/>
        <v>786</v>
      </c>
      <c r="O14" s="136"/>
      <c r="P14" s="9">
        <v>131145</v>
      </c>
      <c r="Q14" s="9">
        <v>131485</v>
      </c>
      <c r="R14" s="133">
        <f t="shared" si="3"/>
        <v>340</v>
      </c>
      <c r="S14" s="9">
        <v>161977</v>
      </c>
      <c r="T14" s="9">
        <v>162013</v>
      </c>
      <c r="U14" s="133">
        <f t="shared" si="8"/>
        <v>36</v>
      </c>
      <c r="V14" s="9">
        <v>188730</v>
      </c>
      <c r="W14" s="9">
        <v>189030</v>
      </c>
      <c r="X14" s="13">
        <f t="shared" si="4"/>
        <v>300</v>
      </c>
      <c r="Y14" s="9">
        <v>6972</v>
      </c>
      <c r="Z14" s="9">
        <v>6985</v>
      </c>
      <c r="AA14" s="13">
        <f t="shared" si="5"/>
        <v>13</v>
      </c>
      <c r="AB14" s="9">
        <v>167344</v>
      </c>
      <c r="AC14" s="9">
        <v>167386</v>
      </c>
      <c r="AD14" s="13">
        <f t="shared" si="6"/>
        <v>42</v>
      </c>
      <c r="AE14" s="135"/>
      <c r="AF14" s="135"/>
      <c r="AG14" s="135"/>
      <c r="AH14" s="136"/>
      <c r="AI14" s="50">
        <f t="shared" si="7"/>
        <v>689</v>
      </c>
    </row>
    <row r="15" spans="1:35">
      <c r="A15" s="12">
        <v>44390</v>
      </c>
      <c r="B15" s="9">
        <v>1417421</v>
      </c>
      <c r="C15" s="9">
        <v>1418849</v>
      </c>
      <c r="D15" s="13">
        <f t="shared" si="0"/>
        <v>1428</v>
      </c>
      <c r="E15" s="45"/>
      <c r="F15" s="70"/>
      <c r="G15" s="133">
        <f t="shared" si="1"/>
        <v>0</v>
      </c>
      <c r="H15" s="9">
        <v>125038</v>
      </c>
      <c r="I15" s="9">
        <v>125038</v>
      </c>
      <c r="J15" s="13">
        <f t="shared" si="9"/>
        <v>0</v>
      </c>
      <c r="K15" s="138"/>
      <c r="L15" s="9">
        <v>154613</v>
      </c>
      <c r="M15" s="9">
        <v>155497</v>
      </c>
      <c r="N15" s="13">
        <f t="shared" si="2"/>
        <v>884</v>
      </c>
      <c r="O15" s="136"/>
      <c r="P15" s="9">
        <v>131485</v>
      </c>
      <c r="Q15" s="9">
        <v>131851</v>
      </c>
      <c r="R15" s="133">
        <f t="shared" si="3"/>
        <v>366</v>
      </c>
      <c r="S15" s="9">
        <v>162013</v>
      </c>
      <c r="T15" s="9">
        <v>162050</v>
      </c>
      <c r="U15" s="133">
        <f t="shared" si="8"/>
        <v>37</v>
      </c>
      <c r="V15" s="9">
        <v>189030</v>
      </c>
      <c r="W15" s="9">
        <v>189338</v>
      </c>
      <c r="X15" s="13">
        <f t="shared" si="4"/>
        <v>308</v>
      </c>
      <c r="Y15" s="9">
        <v>6985</v>
      </c>
      <c r="Z15" s="9">
        <v>6999</v>
      </c>
      <c r="AA15" s="13">
        <f t="shared" si="5"/>
        <v>14</v>
      </c>
      <c r="AB15" s="9">
        <v>167386</v>
      </c>
      <c r="AC15" s="9">
        <v>167424</v>
      </c>
      <c r="AD15" s="13">
        <f t="shared" si="6"/>
        <v>38</v>
      </c>
      <c r="AE15" s="135"/>
      <c r="AF15" s="135"/>
      <c r="AG15" s="135"/>
      <c r="AH15" s="136"/>
      <c r="AI15" s="50">
        <f t="shared" si="7"/>
        <v>725</v>
      </c>
    </row>
    <row r="16" spans="1:35">
      <c r="A16" s="12">
        <v>44391</v>
      </c>
      <c r="B16" s="9">
        <v>1418849</v>
      </c>
      <c r="C16" s="9">
        <v>1420089</v>
      </c>
      <c r="D16" s="13">
        <f t="shared" si="0"/>
        <v>1240</v>
      </c>
      <c r="E16" s="45"/>
      <c r="F16" s="70"/>
      <c r="G16" s="133">
        <f t="shared" si="1"/>
        <v>0</v>
      </c>
      <c r="H16" s="9">
        <v>125038</v>
      </c>
      <c r="I16" s="9">
        <v>125038</v>
      </c>
      <c r="J16" s="13">
        <f t="shared" si="9"/>
        <v>0</v>
      </c>
      <c r="K16" s="138"/>
      <c r="L16" s="9">
        <v>155497</v>
      </c>
      <c r="M16" s="9">
        <v>156559</v>
      </c>
      <c r="N16" s="13">
        <f t="shared" si="2"/>
        <v>1062</v>
      </c>
      <c r="O16" s="136"/>
      <c r="P16" s="9">
        <v>131851</v>
      </c>
      <c r="Q16" s="9">
        <v>132137</v>
      </c>
      <c r="R16" s="133">
        <f t="shared" si="3"/>
        <v>286</v>
      </c>
      <c r="S16" s="9">
        <v>162050</v>
      </c>
      <c r="T16" s="9">
        <v>162097</v>
      </c>
      <c r="U16" s="133">
        <f t="shared" si="8"/>
        <v>47</v>
      </c>
      <c r="V16" s="9">
        <v>189338</v>
      </c>
      <c r="W16" s="9">
        <v>189726</v>
      </c>
      <c r="X16" s="13">
        <f t="shared" si="4"/>
        <v>388</v>
      </c>
      <c r="Y16" s="9">
        <v>6999</v>
      </c>
      <c r="Z16" s="9">
        <v>7016</v>
      </c>
      <c r="AA16" s="13">
        <f t="shared" si="5"/>
        <v>17</v>
      </c>
      <c r="AB16" s="9">
        <v>167424</v>
      </c>
      <c r="AC16" s="9">
        <v>167468</v>
      </c>
      <c r="AD16" s="13">
        <f t="shared" si="6"/>
        <v>44</v>
      </c>
      <c r="AE16" s="135"/>
      <c r="AF16" s="135"/>
      <c r="AG16" s="135"/>
      <c r="AH16" s="136"/>
      <c r="AI16" s="50">
        <f t="shared" si="7"/>
        <v>738</v>
      </c>
    </row>
    <row r="17" spans="1:35">
      <c r="A17" s="12">
        <v>44392</v>
      </c>
      <c r="B17" s="9">
        <v>1420089</v>
      </c>
      <c r="C17" s="9">
        <v>1421425</v>
      </c>
      <c r="D17" s="13">
        <f t="shared" si="0"/>
        <v>1336</v>
      </c>
      <c r="E17" s="45"/>
      <c r="F17" s="70"/>
      <c r="G17" s="133">
        <f t="shared" si="1"/>
        <v>0</v>
      </c>
      <c r="H17" s="9">
        <v>125038</v>
      </c>
      <c r="I17" s="9">
        <v>125038</v>
      </c>
      <c r="J17" s="13">
        <f t="shared" si="9"/>
        <v>0</v>
      </c>
      <c r="K17" s="138"/>
      <c r="L17" s="9">
        <v>156559</v>
      </c>
      <c r="M17" s="9">
        <v>157600</v>
      </c>
      <c r="N17" s="13">
        <f t="shared" si="2"/>
        <v>1041</v>
      </c>
      <c r="O17" s="136"/>
      <c r="P17" s="9">
        <v>132137</v>
      </c>
      <c r="Q17" s="9">
        <v>132532</v>
      </c>
      <c r="R17" s="133">
        <f t="shared" si="3"/>
        <v>395</v>
      </c>
      <c r="S17" s="9">
        <v>162097</v>
      </c>
      <c r="T17" s="9">
        <v>162147</v>
      </c>
      <c r="U17" s="133">
        <f t="shared" si="8"/>
        <v>50</v>
      </c>
      <c r="V17" s="9">
        <v>189726</v>
      </c>
      <c r="W17" s="9">
        <v>190020</v>
      </c>
      <c r="X17" s="13">
        <f t="shared" si="4"/>
        <v>294</v>
      </c>
      <c r="Y17" s="9">
        <v>7016</v>
      </c>
      <c r="Z17" s="9">
        <v>7037</v>
      </c>
      <c r="AA17" s="13">
        <f t="shared" si="5"/>
        <v>21</v>
      </c>
      <c r="AB17" s="9">
        <v>167468</v>
      </c>
      <c r="AC17" s="9">
        <v>167514</v>
      </c>
      <c r="AD17" s="13">
        <f t="shared" si="6"/>
        <v>46</v>
      </c>
      <c r="AE17" s="135"/>
      <c r="AF17" s="135"/>
      <c r="AG17" s="135"/>
      <c r="AH17" s="136"/>
      <c r="AI17" s="50">
        <f t="shared" si="7"/>
        <v>760</v>
      </c>
    </row>
    <row r="18" spans="1:35">
      <c r="A18" s="12">
        <v>44393</v>
      </c>
      <c r="B18" s="9">
        <v>1421425</v>
      </c>
      <c r="C18" s="9">
        <v>1421673</v>
      </c>
      <c r="D18" s="13">
        <f t="shared" si="0"/>
        <v>248</v>
      </c>
      <c r="E18" s="45"/>
      <c r="F18" s="70"/>
      <c r="G18" s="133">
        <f t="shared" si="1"/>
        <v>0</v>
      </c>
      <c r="H18" s="9">
        <v>125038</v>
      </c>
      <c r="I18" s="9">
        <v>125038</v>
      </c>
      <c r="J18" s="13">
        <f t="shared" si="9"/>
        <v>0</v>
      </c>
      <c r="K18" s="138"/>
      <c r="L18" s="9">
        <v>157600</v>
      </c>
      <c r="M18" s="9">
        <v>158717</v>
      </c>
      <c r="N18" s="13">
        <f t="shared" si="2"/>
        <v>1117</v>
      </c>
      <c r="O18" s="136"/>
      <c r="P18" s="9">
        <v>132532</v>
      </c>
      <c r="Q18" s="9">
        <v>133007</v>
      </c>
      <c r="R18" s="133">
        <f t="shared" si="3"/>
        <v>475</v>
      </c>
      <c r="S18" s="9">
        <v>162147</v>
      </c>
      <c r="T18" s="9">
        <v>162201</v>
      </c>
      <c r="U18" s="133">
        <f>T18-S18</f>
        <v>54</v>
      </c>
      <c r="V18" s="9">
        <v>190020</v>
      </c>
      <c r="W18" s="9">
        <v>190215</v>
      </c>
      <c r="X18" s="13">
        <f t="shared" si="4"/>
        <v>195</v>
      </c>
      <c r="Y18" s="9">
        <v>7037</v>
      </c>
      <c r="Z18" s="9">
        <v>7054</v>
      </c>
      <c r="AA18" s="13">
        <f t="shared" si="5"/>
        <v>17</v>
      </c>
      <c r="AB18" s="9">
        <v>167514</v>
      </c>
      <c r="AC18" s="9">
        <v>167519</v>
      </c>
      <c r="AD18" s="13">
        <f t="shared" si="6"/>
        <v>5</v>
      </c>
      <c r="AE18" s="135"/>
      <c r="AF18" s="135"/>
      <c r="AG18" s="135"/>
      <c r="AH18" s="136"/>
      <c r="AI18" s="50">
        <f t="shared" si="7"/>
        <v>741</v>
      </c>
    </row>
    <row r="19" spans="1:35">
      <c r="A19" s="12">
        <v>44394</v>
      </c>
      <c r="B19" s="9">
        <v>1421673</v>
      </c>
      <c r="C19" s="9">
        <v>1421684</v>
      </c>
      <c r="D19" s="13">
        <f t="shared" si="0"/>
        <v>11</v>
      </c>
      <c r="E19" s="45"/>
      <c r="F19" s="70"/>
      <c r="G19" s="133">
        <f t="shared" si="1"/>
        <v>0</v>
      </c>
      <c r="H19" s="9">
        <v>125038</v>
      </c>
      <c r="I19" s="9">
        <v>125837</v>
      </c>
      <c r="J19" s="13">
        <f t="shared" si="9"/>
        <v>799</v>
      </c>
      <c r="K19" s="138"/>
      <c r="L19" s="9">
        <v>158717</v>
      </c>
      <c r="M19" s="9">
        <v>158717</v>
      </c>
      <c r="N19" s="13">
        <f t="shared" si="2"/>
        <v>0</v>
      </c>
      <c r="O19" s="136"/>
      <c r="P19" s="9">
        <v>133007</v>
      </c>
      <c r="Q19" s="9">
        <v>133361</v>
      </c>
      <c r="R19" s="133">
        <f t="shared" si="3"/>
        <v>354</v>
      </c>
      <c r="S19" s="9">
        <v>162201</v>
      </c>
      <c r="T19" s="9">
        <v>162201</v>
      </c>
      <c r="U19" s="133">
        <f t="shared" ref="U19:U38" si="10">T19-S19</f>
        <v>0</v>
      </c>
      <c r="V19" s="9">
        <v>190215</v>
      </c>
      <c r="W19" s="9">
        <v>190371</v>
      </c>
      <c r="X19" s="13">
        <f t="shared" si="4"/>
        <v>156</v>
      </c>
      <c r="Y19" s="9">
        <v>7054</v>
      </c>
      <c r="Z19" s="9">
        <v>7069</v>
      </c>
      <c r="AA19" s="13">
        <f t="shared" si="5"/>
        <v>15</v>
      </c>
      <c r="AB19" s="9">
        <v>167519</v>
      </c>
      <c r="AC19" s="9">
        <v>167519</v>
      </c>
      <c r="AD19" s="13">
        <f t="shared" si="6"/>
        <v>0</v>
      </c>
      <c r="AE19" s="135"/>
      <c r="AF19" s="135"/>
      <c r="AG19" s="135"/>
      <c r="AH19" s="136"/>
      <c r="AI19" s="50">
        <f t="shared" si="7"/>
        <v>525</v>
      </c>
    </row>
    <row r="20" spans="1:35">
      <c r="A20" s="12">
        <v>44395</v>
      </c>
      <c r="B20" s="9">
        <v>1421684</v>
      </c>
      <c r="C20" s="9">
        <v>1422197</v>
      </c>
      <c r="D20" s="13">
        <f t="shared" si="0"/>
        <v>513</v>
      </c>
      <c r="E20" s="45"/>
      <c r="F20" s="70"/>
      <c r="G20" s="133">
        <f t="shared" si="1"/>
        <v>0</v>
      </c>
      <c r="H20" s="9">
        <v>125837</v>
      </c>
      <c r="I20" s="9">
        <v>126599</v>
      </c>
      <c r="J20" s="13">
        <f t="shared" si="9"/>
        <v>762</v>
      </c>
      <c r="K20" s="138"/>
      <c r="L20" s="9">
        <v>158717</v>
      </c>
      <c r="M20" s="9">
        <v>158900</v>
      </c>
      <c r="N20" s="13">
        <f t="shared" si="2"/>
        <v>183</v>
      </c>
      <c r="O20" s="136"/>
      <c r="P20" s="9">
        <v>133361</v>
      </c>
      <c r="Q20" s="9">
        <v>133669</v>
      </c>
      <c r="R20" s="133">
        <f t="shared" si="3"/>
        <v>308</v>
      </c>
      <c r="S20" s="9">
        <v>162201</v>
      </c>
      <c r="T20" s="9">
        <v>162218</v>
      </c>
      <c r="U20" s="133">
        <f t="shared" si="10"/>
        <v>17</v>
      </c>
      <c r="V20" s="9">
        <v>190371</v>
      </c>
      <c r="W20" s="9">
        <v>190635</v>
      </c>
      <c r="X20" s="13">
        <f t="shared" si="4"/>
        <v>264</v>
      </c>
      <c r="Y20" s="9">
        <v>7069</v>
      </c>
      <c r="Z20" s="9">
        <v>7087</v>
      </c>
      <c r="AA20" s="13">
        <f t="shared" si="5"/>
        <v>18</v>
      </c>
      <c r="AB20" s="9">
        <v>167519</v>
      </c>
      <c r="AC20" s="9">
        <v>167701</v>
      </c>
      <c r="AD20" s="13">
        <f t="shared" si="6"/>
        <v>182</v>
      </c>
      <c r="AE20" s="135"/>
      <c r="AF20" s="135"/>
      <c r="AG20" s="135"/>
      <c r="AH20" s="136"/>
      <c r="AI20" s="50">
        <f t="shared" si="7"/>
        <v>607</v>
      </c>
    </row>
    <row r="21" spans="1:35">
      <c r="A21" s="12">
        <v>44396</v>
      </c>
      <c r="B21" s="9">
        <v>1422197</v>
      </c>
      <c r="C21" s="9">
        <v>1423112</v>
      </c>
      <c r="D21" s="13">
        <f>C21-B21</f>
        <v>915</v>
      </c>
      <c r="E21" s="45"/>
      <c r="F21" s="70"/>
      <c r="G21" s="133">
        <f t="shared" si="1"/>
        <v>0</v>
      </c>
      <c r="H21" s="9">
        <v>126599</v>
      </c>
      <c r="I21" s="9">
        <v>127269</v>
      </c>
      <c r="J21" s="13">
        <f t="shared" si="9"/>
        <v>670</v>
      </c>
      <c r="K21" s="138"/>
      <c r="L21" s="9">
        <v>158900</v>
      </c>
      <c r="M21" s="9">
        <v>159092</v>
      </c>
      <c r="N21" s="13">
        <f t="shared" si="2"/>
        <v>192</v>
      </c>
      <c r="O21" s="136"/>
      <c r="P21" s="9">
        <v>133669</v>
      </c>
      <c r="Q21" s="9">
        <v>134031</v>
      </c>
      <c r="R21" s="133">
        <f t="shared" si="3"/>
        <v>362</v>
      </c>
      <c r="S21" s="9">
        <v>162218</v>
      </c>
      <c r="T21" s="9">
        <v>162300</v>
      </c>
      <c r="U21" s="133">
        <f t="shared" si="10"/>
        <v>82</v>
      </c>
      <c r="V21" s="9">
        <v>190635</v>
      </c>
      <c r="W21" s="9">
        <v>191070</v>
      </c>
      <c r="X21" s="13">
        <f t="shared" si="4"/>
        <v>435</v>
      </c>
      <c r="Y21" s="9">
        <v>7087</v>
      </c>
      <c r="Z21" s="9">
        <v>7131</v>
      </c>
      <c r="AA21" s="13">
        <f t="shared" si="5"/>
        <v>44</v>
      </c>
      <c r="AB21" s="9">
        <v>167701</v>
      </c>
      <c r="AC21" s="9">
        <v>167752</v>
      </c>
      <c r="AD21" s="13">
        <f t="shared" si="6"/>
        <v>51</v>
      </c>
      <c r="AE21" s="135"/>
      <c r="AF21" s="135"/>
      <c r="AG21" s="135"/>
      <c r="AH21" s="136"/>
      <c r="AI21" s="50">
        <f t="shared" si="7"/>
        <v>923</v>
      </c>
    </row>
    <row r="22" spans="1:35">
      <c r="A22" s="12">
        <v>44397</v>
      </c>
      <c r="B22" s="9">
        <v>1423112</v>
      </c>
      <c r="C22" s="9">
        <v>1423616</v>
      </c>
      <c r="D22" s="13">
        <f t="shared" si="0"/>
        <v>504</v>
      </c>
      <c r="E22" s="45"/>
      <c r="F22" s="70"/>
      <c r="G22" s="133">
        <f t="shared" si="1"/>
        <v>0</v>
      </c>
      <c r="H22" s="9">
        <v>127269</v>
      </c>
      <c r="I22" s="9">
        <v>127269</v>
      </c>
      <c r="J22" s="13">
        <f t="shared" si="9"/>
        <v>0</v>
      </c>
      <c r="K22" s="138"/>
      <c r="L22" s="9">
        <v>159092</v>
      </c>
      <c r="M22" s="9">
        <v>159388</v>
      </c>
      <c r="N22" s="13">
        <f t="shared" si="2"/>
        <v>296</v>
      </c>
      <c r="O22" s="136"/>
      <c r="P22" s="9">
        <v>134031</v>
      </c>
      <c r="Q22" s="9">
        <v>134031</v>
      </c>
      <c r="R22" s="133">
        <f t="shared" si="3"/>
        <v>0</v>
      </c>
      <c r="S22" s="9">
        <v>162300</v>
      </c>
      <c r="T22" s="9">
        <v>162385</v>
      </c>
      <c r="U22" s="133">
        <f t="shared" si="10"/>
        <v>85</v>
      </c>
      <c r="V22" s="9">
        <v>191070</v>
      </c>
      <c r="W22" s="9">
        <v>191299</v>
      </c>
      <c r="X22" s="13">
        <f t="shared" si="4"/>
        <v>229</v>
      </c>
      <c r="Y22" s="9">
        <v>7131</v>
      </c>
      <c r="Z22" s="9">
        <v>7162</v>
      </c>
      <c r="AA22" s="13">
        <f t="shared" si="5"/>
        <v>31</v>
      </c>
      <c r="AB22" s="9">
        <v>167752</v>
      </c>
      <c r="AC22" s="9">
        <v>167798</v>
      </c>
      <c r="AD22" s="13">
        <f t="shared" si="6"/>
        <v>46</v>
      </c>
      <c r="AE22" s="135"/>
      <c r="AF22" s="135"/>
      <c r="AG22" s="135"/>
      <c r="AH22" s="136"/>
      <c r="AI22" s="50">
        <f t="shared" si="7"/>
        <v>345</v>
      </c>
    </row>
    <row r="23" spans="1:35">
      <c r="A23" s="12">
        <v>44398</v>
      </c>
      <c r="B23" s="9">
        <v>1423616</v>
      </c>
      <c r="C23" s="9">
        <v>1423740</v>
      </c>
      <c r="D23" s="13">
        <f t="shared" si="0"/>
        <v>124</v>
      </c>
      <c r="E23" s="45"/>
      <c r="F23" s="70"/>
      <c r="G23" s="133">
        <f t="shared" si="1"/>
        <v>0</v>
      </c>
      <c r="H23" s="9">
        <v>127269</v>
      </c>
      <c r="I23" s="9">
        <v>128161</v>
      </c>
      <c r="J23" s="13">
        <f t="shared" si="9"/>
        <v>892</v>
      </c>
      <c r="K23" s="138"/>
      <c r="L23" s="9">
        <v>159388</v>
      </c>
      <c r="M23" s="9">
        <v>159545</v>
      </c>
      <c r="N23" s="13">
        <f t="shared" si="2"/>
        <v>157</v>
      </c>
      <c r="O23" s="136"/>
      <c r="P23" s="9">
        <v>134031</v>
      </c>
      <c r="Q23" s="9">
        <v>134507</v>
      </c>
      <c r="R23" s="133">
        <f t="shared" si="3"/>
        <v>476</v>
      </c>
      <c r="S23" s="9">
        <v>162385</v>
      </c>
      <c r="T23" s="9">
        <v>162446</v>
      </c>
      <c r="U23" s="133">
        <f t="shared" si="10"/>
        <v>61</v>
      </c>
      <c r="V23" s="9">
        <v>191299</v>
      </c>
      <c r="W23" s="9">
        <v>191461</v>
      </c>
      <c r="X23" s="13">
        <f t="shared" si="4"/>
        <v>162</v>
      </c>
      <c r="Y23" s="9">
        <v>7162</v>
      </c>
      <c r="Z23" s="9">
        <v>7186</v>
      </c>
      <c r="AA23" s="13">
        <f t="shared" si="5"/>
        <v>24</v>
      </c>
      <c r="AB23" s="9">
        <v>167798</v>
      </c>
      <c r="AC23" s="9">
        <v>167868</v>
      </c>
      <c r="AD23" s="13">
        <f t="shared" si="6"/>
        <v>70</v>
      </c>
      <c r="AE23" s="135"/>
      <c r="AF23" s="135"/>
      <c r="AG23" s="135"/>
      <c r="AH23" s="136"/>
      <c r="AI23" s="50">
        <f t="shared" si="7"/>
        <v>723</v>
      </c>
    </row>
    <row r="24" spans="1:35">
      <c r="A24" s="12">
        <v>44399</v>
      </c>
      <c r="B24" s="9">
        <v>1423740</v>
      </c>
      <c r="C24" s="9">
        <v>1423912</v>
      </c>
      <c r="D24" s="13">
        <f t="shared" si="0"/>
        <v>172</v>
      </c>
      <c r="E24" s="45"/>
      <c r="F24" s="70"/>
      <c r="G24" s="133">
        <f t="shared" si="1"/>
        <v>0</v>
      </c>
      <c r="H24" s="9">
        <v>128161</v>
      </c>
      <c r="I24" s="9">
        <v>128922</v>
      </c>
      <c r="J24" s="13">
        <f t="shared" si="9"/>
        <v>761</v>
      </c>
      <c r="K24" s="138"/>
      <c r="L24" s="9">
        <v>159545</v>
      </c>
      <c r="M24" s="9">
        <v>159546</v>
      </c>
      <c r="N24" s="13">
        <f t="shared" si="2"/>
        <v>1</v>
      </c>
      <c r="O24" s="136"/>
      <c r="P24" s="9">
        <v>134507</v>
      </c>
      <c r="Q24" s="9">
        <v>134890</v>
      </c>
      <c r="R24" s="133">
        <f t="shared" si="3"/>
        <v>383</v>
      </c>
      <c r="S24" s="9">
        <v>162446</v>
      </c>
      <c r="T24" s="9">
        <v>162522</v>
      </c>
      <c r="U24" s="133">
        <f t="shared" si="10"/>
        <v>76</v>
      </c>
      <c r="V24" s="9">
        <v>191461</v>
      </c>
      <c r="W24" s="9">
        <v>191664</v>
      </c>
      <c r="X24" s="13">
        <f t="shared" si="4"/>
        <v>203</v>
      </c>
      <c r="Y24" s="9">
        <v>7186</v>
      </c>
      <c r="Z24" s="9">
        <v>7218</v>
      </c>
      <c r="AA24" s="13">
        <f t="shared" si="5"/>
        <v>32</v>
      </c>
      <c r="AB24" s="9">
        <v>167798</v>
      </c>
      <c r="AC24" s="9">
        <v>167934</v>
      </c>
      <c r="AD24" s="13">
        <f t="shared" si="6"/>
        <v>136</v>
      </c>
      <c r="AE24" s="135"/>
      <c r="AF24" s="135"/>
      <c r="AG24" s="135"/>
      <c r="AH24" s="136"/>
      <c r="AI24" s="50">
        <f t="shared" si="7"/>
        <v>694</v>
      </c>
    </row>
    <row r="25" spans="1:35">
      <c r="A25" s="12">
        <v>44400</v>
      </c>
      <c r="B25" s="9">
        <v>1423912</v>
      </c>
      <c r="C25" s="9">
        <v>1424048</v>
      </c>
      <c r="D25" s="13">
        <f t="shared" si="0"/>
        <v>136</v>
      </c>
      <c r="E25" s="45"/>
      <c r="F25" s="70"/>
      <c r="G25" s="133">
        <f t="shared" si="1"/>
        <v>0</v>
      </c>
      <c r="H25" s="9">
        <v>128922</v>
      </c>
      <c r="I25" s="9">
        <v>129688</v>
      </c>
      <c r="J25" s="13">
        <f>I25-H25</f>
        <v>766</v>
      </c>
      <c r="K25" s="138"/>
      <c r="L25" s="9">
        <v>159545</v>
      </c>
      <c r="M25" s="9">
        <v>159540</v>
      </c>
      <c r="N25" s="13">
        <f>M25-L25</f>
        <v>-5</v>
      </c>
      <c r="O25" s="136"/>
      <c r="P25" s="9">
        <v>134890</v>
      </c>
      <c r="Q25" s="9">
        <v>135319</v>
      </c>
      <c r="R25" s="133">
        <f t="shared" si="3"/>
        <v>429</v>
      </c>
      <c r="S25" s="9">
        <v>162522</v>
      </c>
      <c r="T25" s="9">
        <v>162583</v>
      </c>
      <c r="U25" s="133">
        <f t="shared" si="10"/>
        <v>61</v>
      </c>
      <c r="V25" s="9">
        <v>191664</v>
      </c>
      <c r="W25" s="9">
        <v>191865</v>
      </c>
      <c r="X25" s="13">
        <f t="shared" si="4"/>
        <v>201</v>
      </c>
      <c r="Y25" s="9">
        <v>7218</v>
      </c>
      <c r="Z25" s="9">
        <v>7248</v>
      </c>
      <c r="AA25" s="13">
        <f t="shared" si="5"/>
        <v>30</v>
      </c>
      <c r="AB25" s="9">
        <v>167934</v>
      </c>
      <c r="AC25" s="9">
        <v>168001</v>
      </c>
      <c r="AD25" s="13">
        <f t="shared" si="6"/>
        <v>67</v>
      </c>
      <c r="AE25" s="135"/>
      <c r="AF25" s="135"/>
      <c r="AG25" s="135"/>
      <c r="AH25" s="136"/>
      <c r="AI25" s="50">
        <f t="shared" si="7"/>
        <v>721</v>
      </c>
    </row>
    <row r="26" spans="1:35">
      <c r="A26" s="12">
        <v>44401</v>
      </c>
      <c r="B26" s="9">
        <v>1424048</v>
      </c>
      <c r="C26" s="9">
        <v>1424164</v>
      </c>
      <c r="D26" s="13">
        <f>C26-B26</f>
        <v>116</v>
      </c>
      <c r="E26" s="45"/>
      <c r="F26" s="70"/>
      <c r="G26" s="133">
        <f t="shared" si="1"/>
        <v>0</v>
      </c>
      <c r="H26" s="9">
        <v>129688</v>
      </c>
      <c r="I26" s="9">
        <v>130460</v>
      </c>
      <c r="J26" s="13">
        <f t="shared" si="9"/>
        <v>772</v>
      </c>
      <c r="K26" s="138"/>
      <c r="L26" s="9">
        <v>159540</v>
      </c>
      <c r="M26" s="9">
        <v>159540</v>
      </c>
      <c r="N26" s="13">
        <f t="shared" si="2"/>
        <v>0</v>
      </c>
      <c r="O26" s="136"/>
      <c r="P26" s="9">
        <v>135319</v>
      </c>
      <c r="Q26" s="9">
        <v>135723</v>
      </c>
      <c r="R26" s="133">
        <f t="shared" si="3"/>
        <v>404</v>
      </c>
      <c r="S26" s="9">
        <v>162583</v>
      </c>
      <c r="T26" s="9">
        <v>162583</v>
      </c>
      <c r="U26" s="133">
        <f t="shared" si="10"/>
        <v>0</v>
      </c>
      <c r="V26" s="9">
        <v>191865</v>
      </c>
      <c r="W26" s="9">
        <v>191893</v>
      </c>
      <c r="X26" s="13">
        <f t="shared" si="4"/>
        <v>28</v>
      </c>
      <c r="Y26" s="9">
        <v>7248</v>
      </c>
      <c r="Z26" s="9">
        <v>7262</v>
      </c>
      <c r="AA26" s="13">
        <f t="shared" si="5"/>
        <v>14</v>
      </c>
      <c r="AB26" s="9">
        <v>168001</v>
      </c>
      <c r="AC26" s="9">
        <v>168052</v>
      </c>
      <c r="AD26" s="13">
        <f t="shared" si="6"/>
        <v>51</v>
      </c>
      <c r="AE26" s="135"/>
      <c r="AF26" s="135"/>
      <c r="AG26" s="135"/>
      <c r="AH26" s="136"/>
      <c r="AI26" s="50">
        <f t="shared" si="7"/>
        <v>446</v>
      </c>
    </row>
    <row r="27" spans="1:35">
      <c r="A27" s="12">
        <v>44402</v>
      </c>
      <c r="B27" s="9">
        <v>1424164</v>
      </c>
      <c r="C27" s="9">
        <v>1424321</v>
      </c>
      <c r="D27" s="13">
        <f t="shared" ref="D27:D88" si="11">C27-B27</f>
        <v>157</v>
      </c>
      <c r="E27" s="45"/>
      <c r="F27" s="70"/>
      <c r="G27" s="133">
        <f t="shared" si="1"/>
        <v>0</v>
      </c>
      <c r="H27" s="9">
        <v>130460</v>
      </c>
      <c r="I27" s="9">
        <v>131233</v>
      </c>
      <c r="J27" s="13">
        <f t="shared" si="9"/>
        <v>773</v>
      </c>
      <c r="K27" s="138"/>
      <c r="L27" s="9">
        <v>159540</v>
      </c>
      <c r="M27" s="9">
        <v>159540</v>
      </c>
      <c r="N27" s="13">
        <f t="shared" si="2"/>
        <v>0</v>
      </c>
      <c r="O27" s="136"/>
      <c r="P27" s="9">
        <v>135723</v>
      </c>
      <c r="Q27" s="9">
        <v>136088</v>
      </c>
      <c r="R27" s="133">
        <f t="shared" si="3"/>
        <v>365</v>
      </c>
      <c r="S27" s="9">
        <v>162583</v>
      </c>
      <c r="T27" s="9">
        <v>162583</v>
      </c>
      <c r="U27" s="133">
        <f t="shared" si="10"/>
        <v>0</v>
      </c>
      <c r="V27" s="9">
        <v>191893</v>
      </c>
      <c r="W27" s="9">
        <v>192194</v>
      </c>
      <c r="X27" s="13">
        <f t="shared" si="4"/>
        <v>301</v>
      </c>
      <c r="Y27" s="9">
        <v>7262</v>
      </c>
      <c r="Z27" s="9">
        <v>7284</v>
      </c>
      <c r="AA27" s="13">
        <f t="shared" si="5"/>
        <v>22</v>
      </c>
      <c r="AB27" s="9">
        <v>168052</v>
      </c>
      <c r="AC27" s="9">
        <v>168101</v>
      </c>
      <c r="AD27" s="13">
        <f t="shared" si="6"/>
        <v>49</v>
      </c>
      <c r="AE27" s="135"/>
      <c r="AF27" s="135"/>
      <c r="AG27" s="135"/>
      <c r="AH27" s="136"/>
      <c r="AI27" s="50">
        <f t="shared" si="7"/>
        <v>688</v>
      </c>
    </row>
    <row r="28" spans="1:35">
      <c r="A28" s="12">
        <v>44403</v>
      </c>
      <c r="B28" s="9">
        <v>1424321</v>
      </c>
      <c r="C28" s="9">
        <v>1424423</v>
      </c>
      <c r="D28" s="13">
        <f t="shared" si="11"/>
        <v>102</v>
      </c>
      <c r="E28" s="45"/>
      <c r="F28" s="70"/>
      <c r="G28" s="133">
        <f t="shared" si="1"/>
        <v>0</v>
      </c>
      <c r="H28" s="9">
        <v>131233</v>
      </c>
      <c r="I28" s="9">
        <v>132164</v>
      </c>
      <c r="J28" s="13">
        <f t="shared" si="9"/>
        <v>931</v>
      </c>
      <c r="K28" s="138"/>
      <c r="L28" s="9">
        <v>159540</v>
      </c>
      <c r="M28" s="9">
        <v>159540</v>
      </c>
      <c r="N28" s="13">
        <f t="shared" si="2"/>
        <v>0</v>
      </c>
      <c r="O28" s="136"/>
      <c r="P28" s="9">
        <v>136088</v>
      </c>
      <c r="Q28" s="9">
        <v>136447</v>
      </c>
      <c r="R28" s="133">
        <f t="shared" si="3"/>
        <v>359</v>
      </c>
      <c r="S28" s="9">
        <v>162583</v>
      </c>
      <c r="T28" s="9">
        <v>162643</v>
      </c>
      <c r="U28" s="133">
        <f t="shared" si="10"/>
        <v>60</v>
      </c>
      <c r="V28" s="9">
        <v>192194</v>
      </c>
      <c r="W28" s="9">
        <v>192379</v>
      </c>
      <c r="X28" s="13">
        <f t="shared" si="4"/>
        <v>185</v>
      </c>
      <c r="Y28" s="9">
        <v>7284</v>
      </c>
      <c r="Z28" s="9">
        <v>7309</v>
      </c>
      <c r="AA28" s="13">
        <f t="shared" si="5"/>
        <v>25</v>
      </c>
      <c r="AB28" s="9">
        <v>168101</v>
      </c>
      <c r="AC28" s="9">
        <v>168171</v>
      </c>
      <c r="AD28" s="13">
        <f t="shared" si="6"/>
        <v>70</v>
      </c>
      <c r="AE28" s="135"/>
      <c r="AF28" s="135"/>
      <c r="AG28" s="135"/>
      <c r="AH28" s="136"/>
      <c r="AI28" s="50">
        <f t="shared" si="7"/>
        <v>629</v>
      </c>
    </row>
    <row r="29" spans="1:35">
      <c r="A29" s="12">
        <v>44404</v>
      </c>
      <c r="B29" s="9">
        <v>1424423</v>
      </c>
      <c r="C29" s="9">
        <v>1424542</v>
      </c>
      <c r="D29" s="13">
        <f t="shared" si="11"/>
        <v>119</v>
      </c>
      <c r="E29" s="45"/>
      <c r="F29" s="70"/>
      <c r="G29" s="133">
        <f t="shared" si="1"/>
        <v>0</v>
      </c>
      <c r="H29" s="9">
        <v>132164</v>
      </c>
      <c r="I29" s="9">
        <v>132618</v>
      </c>
      <c r="J29" s="13">
        <f t="shared" si="9"/>
        <v>454</v>
      </c>
      <c r="K29" s="138"/>
      <c r="L29" s="9">
        <v>159540</v>
      </c>
      <c r="M29" s="9">
        <v>159540</v>
      </c>
      <c r="N29" s="13">
        <f t="shared" si="2"/>
        <v>0</v>
      </c>
      <c r="O29" s="136"/>
      <c r="P29" s="9">
        <v>136447</v>
      </c>
      <c r="Q29" s="9">
        <v>136769</v>
      </c>
      <c r="R29" s="133">
        <f t="shared" si="3"/>
        <v>322</v>
      </c>
      <c r="S29" s="9">
        <v>162643</v>
      </c>
      <c r="T29" s="9">
        <v>162685</v>
      </c>
      <c r="U29" s="133">
        <f t="shared" si="10"/>
        <v>42</v>
      </c>
      <c r="V29" s="9">
        <v>192379</v>
      </c>
      <c r="W29" s="9">
        <v>192575</v>
      </c>
      <c r="X29" s="13">
        <f t="shared" si="4"/>
        <v>196</v>
      </c>
      <c r="Y29" s="9">
        <v>7309</v>
      </c>
      <c r="Z29" s="9">
        <v>7341</v>
      </c>
      <c r="AA29" s="13">
        <f t="shared" si="5"/>
        <v>32</v>
      </c>
      <c r="AB29" s="9">
        <v>168171</v>
      </c>
      <c r="AC29" s="9">
        <v>168234</v>
      </c>
      <c r="AD29" s="13">
        <f t="shared" si="6"/>
        <v>63</v>
      </c>
      <c r="AE29" s="135"/>
      <c r="AF29" s="135"/>
      <c r="AG29" s="135"/>
      <c r="AH29" s="136"/>
      <c r="AI29" s="50">
        <f t="shared" si="7"/>
        <v>592</v>
      </c>
    </row>
    <row r="30" spans="1:35">
      <c r="A30" s="12">
        <v>44405</v>
      </c>
      <c r="B30" s="9">
        <v>1424542</v>
      </c>
      <c r="C30" s="9">
        <v>1425199</v>
      </c>
      <c r="D30" s="13">
        <f t="shared" si="11"/>
        <v>657</v>
      </c>
      <c r="E30" s="45"/>
      <c r="F30" s="70"/>
      <c r="G30" s="133">
        <f t="shared" si="1"/>
        <v>0</v>
      </c>
      <c r="H30" s="9">
        <v>132618</v>
      </c>
      <c r="I30" s="9">
        <v>133464</v>
      </c>
      <c r="J30" s="13">
        <f t="shared" si="9"/>
        <v>846</v>
      </c>
      <c r="K30" s="138"/>
      <c r="L30" s="9">
        <v>159540</v>
      </c>
      <c r="M30" s="9">
        <v>159540</v>
      </c>
      <c r="N30" s="13">
        <f t="shared" si="2"/>
        <v>0</v>
      </c>
      <c r="O30" s="136"/>
      <c r="P30" s="9">
        <v>136769</v>
      </c>
      <c r="Q30" s="9">
        <v>137197</v>
      </c>
      <c r="R30" s="133">
        <f t="shared" si="3"/>
        <v>428</v>
      </c>
      <c r="S30" s="9">
        <v>162643</v>
      </c>
      <c r="T30" s="9">
        <v>162699</v>
      </c>
      <c r="U30" s="133">
        <f t="shared" si="10"/>
        <v>56</v>
      </c>
      <c r="V30" s="9">
        <v>192575</v>
      </c>
      <c r="W30" s="9">
        <v>192819</v>
      </c>
      <c r="X30" s="13">
        <f t="shared" si="4"/>
        <v>244</v>
      </c>
      <c r="Y30" s="9">
        <v>7341</v>
      </c>
      <c r="Z30" s="9">
        <v>7364</v>
      </c>
      <c r="AA30" s="13">
        <f t="shared" si="5"/>
        <v>23</v>
      </c>
      <c r="AB30" s="9">
        <v>168234</v>
      </c>
      <c r="AC30" s="9">
        <v>168263</v>
      </c>
      <c r="AD30" s="13">
        <f t="shared" si="6"/>
        <v>29</v>
      </c>
      <c r="AE30" s="135"/>
      <c r="AF30" s="135"/>
      <c r="AG30" s="135"/>
      <c r="AH30" s="136"/>
      <c r="AI30" s="50">
        <f t="shared" si="7"/>
        <v>751</v>
      </c>
    </row>
    <row r="31" spans="1:35">
      <c r="A31" s="12">
        <v>44406</v>
      </c>
      <c r="B31" s="9">
        <v>1425199</v>
      </c>
      <c r="C31" s="9">
        <v>1425261</v>
      </c>
      <c r="D31" s="13">
        <f t="shared" si="11"/>
        <v>62</v>
      </c>
      <c r="E31" s="45"/>
      <c r="F31" s="70"/>
      <c r="G31" s="133">
        <f t="shared" si="1"/>
        <v>0</v>
      </c>
      <c r="H31" s="9">
        <v>133464</v>
      </c>
      <c r="I31" s="9">
        <v>134034</v>
      </c>
      <c r="J31" s="13">
        <f t="shared" si="9"/>
        <v>570</v>
      </c>
      <c r="K31" s="138"/>
      <c r="L31" s="9">
        <v>159540</v>
      </c>
      <c r="M31" s="9">
        <v>159876</v>
      </c>
      <c r="N31" s="13">
        <f t="shared" si="2"/>
        <v>336</v>
      </c>
      <c r="O31" s="136"/>
      <c r="P31" s="9">
        <v>137197</v>
      </c>
      <c r="Q31" s="9">
        <v>137488</v>
      </c>
      <c r="R31" s="133">
        <f t="shared" si="3"/>
        <v>291</v>
      </c>
      <c r="S31" s="9">
        <v>162699</v>
      </c>
      <c r="T31" s="9">
        <v>162721</v>
      </c>
      <c r="U31" s="133">
        <f t="shared" si="10"/>
        <v>22</v>
      </c>
      <c r="V31" s="9">
        <v>192819</v>
      </c>
      <c r="W31" s="9">
        <v>193008</v>
      </c>
      <c r="X31" s="13">
        <f t="shared" si="4"/>
        <v>189</v>
      </c>
      <c r="Y31" s="9">
        <v>7364</v>
      </c>
      <c r="Z31" s="9">
        <v>7382</v>
      </c>
      <c r="AA31" s="13">
        <f t="shared" si="5"/>
        <v>18</v>
      </c>
      <c r="AB31" s="9">
        <v>168263</v>
      </c>
      <c r="AC31" s="9">
        <v>168318</v>
      </c>
      <c r="AD31" s="13">
        <f t="shared" si="6"/>
        <v>55</v>
      </c>
      <c r="AE31" s="135"/>
      <c r="AF31" s="135"/>
      <c r="AG31" s="135"/>
      <c r="AH31" s="136"/>
      <c r="AI31" s="50">
        <f t="shared" si="7"/>
        <v>520</v>
      </c>
    </row>
    <row r="32" spans="1:35">
      <c r="A32" s="12">
        <v>44407</v>
      </c>
      <c r="B32" s="9">
        <v>1425261</v>
      </c>
      <c r="C32" s="9">
        <v>1425378</v>
      </c>
      <c r="D32" s="13">
        <f t="shared" si="11"/>
        <v>117</v>
      </c>
      <c r="E32" s="45"/>
      <c r="F32" s="70"/>
      <c r="G32" s="133">
        <f t="shared" si="1"/>
        <v>0</v>
      </c>
      <c r="H32" s="9">
        <v>134034</v>
      </c>
      <c r="I32" s="9">
        <v>134777</v>
      </c>
      <c r="J32" s="13">
        <f t="shared" si="9"/>
        <v>743</v>
      </c>
      <c r="K32" s="138"/>
      <c r="L32" s="9">
        <v>159876</v>
      </c>
      <c r="M32" s="9">
        <v>159876</v>
      </c>
      <c r="N32" s="13">
        <f t="shared" si="2"/>
        <v>0</v>
      </c>
      <c r="O32" s="136"/>
      <c r="P32" s="9">
        <v>137488</v>
      </c>
      <c r="Q32" s="9">
        <v>137939</v>
      </c>
      <c r="R32" s="133">
        <f t="shared" si="3"/>
        <v>451</v>
      </c>
      <c r="S32" s="9">
        <v>162721</v>
      </c>
      <c r="T32" s="9">
        <v>162721</v>
      </c>
      <c r="U32" s="133">
        <f t="shared" si="10"/>
        <v>0</v>
      </c>
      <c r="V32" s="9">
        <v>193008</v>
      </c>
      <c r="W32" s="9">
        <v>193137</v>
      </c>
      <c r="X32" s="13">
        <f t="shared" si="4"/>
        <v>129</v>
      </c>
      <c r="Y32" s="9">
        <v>7382</v>
      </c>
      <c r="Z32" s="9">
        <v>7422</v>
      </c>
      <c r="AA32" s="13">
        <f t="shared" si="5"/>
        <v>40</v>
      </c>
      <c r="AB32" s="9">
        <v>168318</v>
      </c>
      <c r="AC32" s="9">
        <v>168422</v>
      </c>
      <c r="AD32" s="13">
        <f t="shared" si="6"/>
        <v>104</v>
      </c>
      <c r="AE32" s="135"/>
      <c r="AF32" s="135"/>
      <c r="AG32" s="135"/>
      <c r="AH32" s="136"/>
      <c r="AI32" s="50">
        <f t="shared" si="7"/>
        <v>620</v>
      </c>
    </row>
    <row r="33" spans="1:35">
      <c r="A33" s="12">
        <v>44408</v>
      </c>
      <c r="B33" s="9">
        <v>1425378</v>
      </c>
      <c r="C33" s="9">
        <v>1425452</v>
      </c>
      <c r="D33" s="13">
        <f t="shared" si="11"/>
        <v>74</v>
      </c>
      <c r="E33" s="45"/>
      <c r="F33" s="70"/>
      <c r="G33" s="133">
        <f t="shared" si="1"/>
        <v>0</v>
      </c>
      <c r="H33" s="9">
        <v>134777</v>
      </c>
      <c r="I33" s="9">
        <v>135536</v>
      </c>
      <c r="J33" s="13">
        <f t="shared" si="9"/>
        <v>759</v>
      </c>
      <c r="K33" s="138"/>
      <c r="L33" s="9">
        <v>159876</v>
      </c>
      <c r="M33" s="9">
        <v>159876</v>
      </c>
      <c r="N33" s="13">
        <f t="shared" si="2"/>
        <v>0</v>
      </c>
      <c r="O33" s="136"/>
      <c r="P33" s="9">
        <v>137939</v>
      </c>
      <c r="Q33" s="9">
        <v>138114</v>
      </c>
      <c r="R33" s="133">
        <f t="shared" si="3"/>
        <v>175</v>
      </c>
      <c r="S33" s="9">
        <v>162721</v>
      </c>
      <c r="T33" s="9">
        <v>162944</v>
      </c>
      <c r="U33" s="133">
        <f t="shared" si="10"/>
        <v>223</v>
      </c>
      <c r="V33" s="9">
        <v>193137</v>
      </c>
      <c r="W33" s="9">
        <v>193328</v>
      </c>
      <c r="X33" s="13">
        <f t="shared" si="4"/>
        <v>191</v>
      </c>
      <c r="Y33" s="9">
        <v>7422</v>
      </c>
      <c r="Z33" s="9">
        <v>7425</v>
      </c>
      <c r="AA33" s="13">
        <f t="shared" si="5"/>
        <v>3</v>
      </c>
      <c r="AB33" s="9">
        <v>168422</v>
      </c>
      <c r="AC33" s="9">
        <v>168473</v>
      </c>
      <c r="AD33" s="13">
        <f t="shared" si="6"/>
        <v>51</v>
      </c>
      <c r="AE33" s="135"/>
      <c r="AF33" s="135"/>
      <c r="AG33" s="135"/>
      <c r="AH33" s="136"/>
      <c r="AI33" s="50">
        <f t="shared" si="7"/>
        <v>592</v>
      </c>
    </row>
    <row r="34" spans="1:35">
      <c r="A34" s="12">
        <v>44409</v>
      </c>
      <c r="B34" s="9">
        <v>1425452</v>
      </c>
      <c r="C34" s="9">
        <v>1425550</v>
      </c>
      <c r="D34" s="13">
        <f t="shared" si="11"/>
        <v>98</v>
      </c>
      <c r="E34" s="45"/>
      <c r="F34" s="70"/>
      <c r="G34" s="133">
        <f t="shared" si="1"/>
        <v>0</v>
      </c>
      <c r="H34" s="9">
        <v>135536</v>
      </c>
      <c r="I34" s="9">
        <v>136341</v>
      </c>
      <c r="J34" s="13">
        <f t="shared" si="9"/>
        <v>805</v>
      </c>
      <c r="K34" s="138"/>
      <c r="L34" s="9">
        <v>159876</v>
      </c>
      <c r="M34" s="9">
        <v>159874</v>
      </c>
      <c r="N34" s="13">
        <f t="shared" si="2"/>
        <v>-2</v>
      </c>
      <c r="O34" s="136"/>
      <c r="P34" s="9">
        <v>138114</v>
      </c>
      <c r="Q34" s="9">
        <v>138537</v>
      </c>
      <c r="R34" s="133">
        <f t="shared" si="3"/>
        <v>423</v>
      </c>
      <c r="S34" s="9">
        <v>162903</v>
      </c>
      <c r="T34" s="9">
        <v>162944</v>
      </c>
      <c r="U34" s="133">
        <f t="shared" si="10"/>
        <v>41</v>
      </c>
      <c r="V34" s="9">
        <v>193328</v>
      </c>
      <c r="W34" s="9">
        <v>193450</v>
      </c>
      <c r="X34" s="13">
        <f t="shared" si="4"/>
        <v>122</v>
      </c>
      <c r="Y34" s="9">
        <v>7425</v>
      </c>
      <c r="Z34" s="9">
        <v>7442</v>
      </c>
      <c r="AA34" s="13">
        <f t="shared" si="5"/>
        <v>17</v>
      </c>
      <c r="AB34" s="9">
        <v>168473</v>
      </c>
      <c r="AC34" s="9">
        <v>168514</v>
      </c>
      <c r="AD34" s="13">
        <f t="shared" si="6"/>
        <v>41</v>
      </c>
      <c r="AE34" s="135"/>
      <c r="AF34" s="135"/>
      <c r="AG34" s="135"/>
      <c r="AH34" s="136"/>
      <c r="AI34" s="50">
        <f t="shared" si="7"/>
        <v>603</v>
      </c>
    </row>
    <row r="35" spans="1:35">
      <c r="A35" s="12">
        <v>44410</v>
      </c>
      <c r="B35" s="9">
        <v>1425550</v>
      </c>
      <c r="C35" s="9">
        <v>1426057</v>
      </c>
      <c r="D35" s="13">
        <f t="shared" si="11"/>
        <v>507</v>
      </c>
      <c r="E35" s="45"/>
      <c r="F35" s="70"/>
      <c r="G35" s="133">
        <f t="shared" si="1"/>
        <v>0</v>
      </c>
      <c r="H35" s="9">
        <v>136341</v>
      </c>
      <c r="I35" s="9">
        <v>137005</v>
      </c>
      <c r="J35" s="13">
        <f t="shared" si="9"/>
        <v>664</v>
      </c>
      <c r="K35" s="138"/>
      <c r="L35" s="9">
        <v>159874</v>
      </c>
      <c r="M35" s="9">
        <v>159874</v>
      </c>
      <c r="N35" s="13">
        <f t="shared" si="2"/>
        <v>0</v>
      </c>
      <c r="O35" s="136"/>
      <c r="P35" s="9">
        <v>138537</v>
      </c>
      <c r="Q35" s="9">
        <v>138820</v>
      </c>
      <c r="R35" s="133">
        <f t="shared" si="3"/>
        <v>283</v>
      </c>
      <c r="S35" s="9">
        <v>162944</v>
      </c>
      <c r="T35" s="9">
        <v>163061</v>
      </c>
      <c r="U35" s="133">
        <f t="shared" si="10"/>
        <v>117</v>
      </c>
      <c r="V35" s="9">
        <v>193450</v>
      </c>
      <c r="W35" s="9">
        <v>193799</v>
      </c>
      <c r="X35" s="13">
        <f t="shared" si="4"/>
        <v>349</v>
      </c>
      <c r="Y35" s="9">
        <v>7425</v>
      </c>
      <c r="Z35" s="9">
        <v>7468</v>
      </c>
      <c r="AA35" s="13">
        <f t="shared" si="5"/>
        <v>43</v>
      </c>
      <c r="AB35" s="9">
        <v>168514</v>
      </c>
      <c r="AC35" s="9">
        <v>168568</v>
      </c>
      <c r="AD35" s="13">
        <f t="shared" ref="AD35:AD66" si="12">AC35-AB35</f>
        <v>54</v>
      </c>
      <c r="AE35" s="135"/>
      <c r="AF35" s="135"/>
      <c r="AG35" s="135"/>
      <c r="AH35" s="136"/>
      <c r="AI35" s="50">
        <f t="shared" si="7"/>
        <v>792</v>
      </c>
    </row>
    <row r="36" spans="1:35">
      <c r="A36" s="12">
        <v>44411</v>
      </c>
      <c r="B36" s="9">
        <v>1426057</v>
      </c>
      <c r="C36" s="9">
        <v>1427217</v>
      </c>
      <c r="D36" s="13">
        <f t="shared" si="11"/>
        <v>1160</v>
      </c>
      <c r="E36" s="45"/>
      <c r="F36" s="70"/>
      <c r="G36" s="133">
        <f t="shared" si="1"/>
        <v>0</v>
      </c>
      <c r="H36" s="9">
        <v>137005</v>
      </c>
      <c r="I36" s="9">
        <v>137005</v>
      </c>
      <c r="J36" s="13">
        <f t="shared" si="9"/>
        <v>0</v>
      </c>
      <c r="K36" s="138"/>
      <c r="L36" s="9">
        <v>159874</v>
      </c>
      <c r="M36" s="9">
        <v>160901</v>
      </c>
      <c r="N36" s="13">
        <f t="shared" si="2"/>
        <v>1027</v>
      </c>
      <c r="O36" s="136"/>
      <c r="P36" s="9">
        <v>138537</v>
      </c>
      <c r="Q36" s="9">
        <v>139234</v>
      </c>
      <c r="R36" s="133">
        <f t="shared" si="3"/>
        <v>697</v>
      </c>
      <c r="S36" s="9">
        <v>162944</v>
      </c>
      <c r="T36" s="9">
        <v>163061</v>
      </c>
      <c r="U36" s="133">
        <f t="shared" si="10"/>
        <v>117</v>
      </c>
      <c r="V36" s="9">
        <v>193799</v>
      </c>
      <c r="W36" s="9">
        <v>194184</v>
      </c>
      <c r="X36" s="13">
        <f t="shared" si="4"/>
        <v>385</v>
      </c>
      <c r="Y36" s="9">
        <v>7468</v>
      </c>
      <c r="Z36" s="9">
        <v>7488</v>
      </c>
      <c r="AA36" s="13">
        <f t="shared" si="5"/>
        <v>20</v>
      </c>
      <c r="AB36" s="9">
        <v>168514</v>
      </c>
      <c r="AC36" s="9">
        <v>168616</v>
      </c>
      <c r="AD36" s="13">
        <f t="shared" si="12"/>
        <v>102</v>
      </c>
      <c r="AE36" s="135"/>
      <c r="AF36" s="135"/>
      <c r="AG36" s="135"/>
      <c r="AH36" s="136"/>
      <c r="AI36" s="50">
        <f t="shared" si="7"/>
        <v>1219</v>
      </c>
    </row>
    <row r="37" spans="1:35">
      <c r="A37" s="12">
        <v>44412</v>
      </c>
      <c r="B37" s="9">
        <v>1427217</v>
      </c>
      <c r="C37" s="9">
        <v>1428422</v>
      </c>
      <c r="D37" s="13">
        <f t="shared" si="11"/>
        <v>1205</v>
      </c>
      <c r="E37" s="45"/>
      <c r="F37" s="70"/>
      <c r="G37" s="133">
        <f t="shared" si="1"/>
        <v>0</v>
      </c>
      <c r="H37" s="9">
        <v>137005</v>
      </c>
      <c r="I37" s="9">
        <v>137153</v>
      </c>
      <c r="J37" s="13">
        <f t="shared" si="9"/>
        <v>148</v>
      </c>
      <c r="K37" s="138"/>
      <c r="L37" s="9">
        <v>160901</v>
      </c>
      <c r="M37" s="9">
        <v>161544</v>
      </c>
      <c r="N37" s="13">
        <f t="shared" si="2"/>
        <v>643</v>
      </c>
      <c r="O37" s="136"/>
      <c r="P37" s="9">
        <v>139234</v>
      </c>
      <c r="Q37" s="9">
        <v>139421</v>
      </c>
      <c r="R37" s="133">
        <f t="shared" si="3"/>
        <v>187</v>
      </c>
      <c r="S37" s="9">
        <v>163061</v>
      </c>
      <c r="T37" s="9">
        <v>163106</v>
      </c>
      <c r="U37" s="133">
        <f t="shared" si="10"/>
        <v>45</v>
      </c>
      <c r="V37" s="9">
        <v>194184</v>
      </c>
      <c r="W37" s="9">
        <v>194503</v>
      </c>
      <c r="X37" s="13">
        <f t="shared" si="4"/>
        <v>319</v>
      </c>
      <c r="Y37" s="9">
        <v>7488</v>
      </c>
      <c r="Z37" s="9">
        <v>7509</v>
      </c>
      <c r="AA37" s="13">
        <f t="shared" si="5"/>
        <v>21</v>
      </c>
      <c r="AB37" s="9">
        <v>168616</v>
      </c>
      <c r="AC37" s="9">
        <v>168695</v>
      </c>
      <c r="AD37" s="13">
        <f t="shared" si="12"/>
        <v>79</v>
      </c>
      <c r="AE37" s="135"/>
      <c r="AF37" s="135"/>
      <c r="AG37" s="135"/>
      <c r="AH37" s="136"/>
      <c r="AI37" s="50">
        <f t="shared" si="7"/>
        <v>572</v>
      </c>
    </row>
    <row r="38" spans="1:35">
      <c r="A38" s="12">
        <v>44413</v>
      </c>
      <c r="B38" s="9">
        <v>1428422</v>
      </c>
      <c r="C38" s="9">
        <v>1429617</v>
      </c>
      <c r="D38" s="13">
        <f t="shared" si="11"/>
        <v>1195</v>
      </c>
      <c r="E38" s="45"/>
      <c r="F38" s="70"/>
      <c r="G38" s="133">
        <f t="shared" si="1"/>
        <v>0</v>
      </c>
      <c r="H38" s="9">
        <v>137153</v>
      </c>
      <c r="I38" s="9">
        <v>137153</v>
      </c>
      <c r="J38" s="13">
        <f t="shared" si="9"/>
        <v>0</v>
      </c>
      <c r="K38" s="138"/>
      <c r="L38" s="9">
        <v>161544</v>
      </c>
      <c r="M38" s="9">
        <v>162744</v>
      </c>
      <c r="N38" s="13">
        <f t="shared" si="2"/>
        <v>1200</v>
      </c>
      <c r="O38" s="136"/>
      <c r="P38" s="9">
        <v>139421</v>
      </c>
      <c r="Q38" s="9">
        <v>139824</v>
      </c>
      <c r="R38" s="133">
        <f t="shared" si="3"/>
        <v>403</v>
      </c>
      <c r="S38" s="9">
        <v>163106</v>
      </c>
      <c r="T38" s="9">
        <v>163163</v>
      </c>
      <c r="U38" s="133">
        <f t="shared" si="10"/>
        <v>57</v>
      </c>
      <c r="V38" s="9">
        <v>194503</v>
      </c>
      <c r="W38" s="9">
        <v>194838</v>
      </c>
      <c r="X38" s="13">
        <f t="shared" si="4"/>
        <v>335</v>
      </c>
      <c r="Y38" s="9">
        <v>7409</v>
      </c>
      <c r="Z38" s="9">
        <v>7525</v>
      </c>
      <c r="AA38" s="13">
        <f t="shared" si="5"/>
        <v>116</v>
      </c>
      <c r="AB38" s="9">
        <v>168695</v>
      </c>
      <c r="AC38" s="9">
        <v>168789</v>
      </c>
      <c r="AD38" s="13">
        <f t="shared" si="12"/>
        <v>94</v>
      </c>
      <c r="AE38" s="135"/>
      <c r="AF38" s="135"/>
      <c r="AG38" s="135"/>
      <c r="AH38" s="136"/>
      <c r="AI38" s="50">
        <f t="shared" si="7"/>
        <v>911</v>
      </c>
    </row>
    <row r="39" spans="1:35">
      <c r="A39" s="12">
        <v>44414</v>
      </c>
      <c r="B39" s="9">
        <v>1429617</v>
      </c>
      <c r="C39" s="9">
        <v>1430718</v>
      </c>
      <c r="D39" s="13">
        <f t="shared" si="11"/>
        <v>1101</v>
      </c>
      <c r="E39" s="45"/>
      <c r="F39" s="70"/>
      <c r="G39" s="133">
        <f t="shared" si="1"/>
        <v>0</v>
      </c>
      <c r="H39" s="9">
        <v>137153</v>
      </c>
      <c r="I39" s="9">
        <v>137153</v>
      </c>
      <c r="J39" s="13">
        <f t="shared" si="9"/>
        <v>0</v>
      </c>
      <c r="K39" s="138"/>
      <c r="L39" s="9">
        <v>162744</v>
      </c>
      <c r="M39" s="9">
        <v>163244</v>
      </c>
      <c r="N39" s="13">
        <f t="shared" si="2"/>
        <v>500</v>
      </c>
      <c r="O39" s="136"/>
      <c r="P39" s="9">
        <v>139824</v>
      </c>
      <c r="Q39" s="9">
        <v>139960</v>
      </c>
      <c r="R39" s="133">
        <f t="shared" si="3"/>
        <v>136</v>
      </c>
      <c r="S39" s="9">
        <v>163163</v>
      </c>
      <c r="T39" s="9">
        <v>163197</v>
      </c>
      <c r="U39" s="133">
        <f>T39-S39</f>
        <v>34</v>
      </c>
      <c r="V39" s="9">
        <v>194838</v>
      </c>
      <c r="W39" s="9">
        <v>195289</v>
      </c>
      <c r="X39" s="13">
        <f t="shared" si="4"/>
        <v>451</v>
      </c>
      <c r="Y39" s="9">
        <v>7425</v>
      </c>
      <c r="Z39" s="9">
        <v>7548</v>
      </c>
      <c r="AA39" s="13">
        <f t="shared" si="5"/>
        <v>123</v>
      </c>
      <c r="AB39" s="9">
        <v>168789</v>
      </c>
      <c r="AC39" s="9">
        <v>168857</v>
      </c>
      <c r="AD39" s="13">
        <f t="shared" si="12"/>
        <v>68</v>
      </c>
      <c r="AE39" s="135"/>
      <c r="AF39" s="135"/>
      <c r="AG39" s="135"/>
      <c r="AH39" s="136"/>
      <c r="AI39" s="50">
        <f t="shared" si="7"/>
        <v>744</v>
      </c>
    </row>
    <row r="40" spans="1:35">
      <c r="A40" s="12">
        <v>44415</v>
      </c>
      <c r="B40" s="9">
        <v>1430718</v>
      </c>
      <c r="C40" s="9">
        <v>1431978</v>
      </c>
      <c r="D40" s="13">
        <f t="shared" si="11"/>
        <v>1260</v>
      </c>
      <c r="E40" s="45"/>
      <c r="F40" s="70"/>
      <c r="G40" s="133">
        <f t="shared" si="1"/>
        <v>0</v>
      </c>
      <c r="H40" s="9">
        <v>137153</v>
      </c>
      <c r="I40" s="9">
        <v>137153</v>
      </c>
      <c r="J40" s="13">
        <f t="shared" si="9"/>
        <v>0</v>
      </c>
      <c r="K40" s="138"/>
      <c r="L40" s="9">
        <v>163244</v>
      </c>
      <c r="M40" s="9">
        <v>164722</v>
      </c>
      <c r="N40" s="13">
        <f t="shared" si="2"/>
        <v>1478</v>
      </c>
      <c r="O40" s="136"/>
      <c r="P40" s="9">
        <v>139960</v>
      </c>
      <c r="Q40" s="9">
        <v>140571</v>
      </c>
      <c r="R40" s="133">
        <f t="shared" si="3"/>
        <v>611</v>
      </c>
      <c r="S40" s="9">
        <v>163197</v>
      </c>
      <c r="T40" s="9">
        <v>163234</v>
      </c>
      <c r="U40" s="133">
        <f>T40-S40</f>
        <v>37</v>
      </c>
      <c r="V40" s="9">
        <v>195289</v>
      </c>
      <c r="W40" s="9">
        <v>195394</v>
      </c>
      <c r="X40" s="13">
        <f t="shared" si="4"/>
        <v>105</v>
      </c>
      <c r="Y40" s="9">
        <v>7448</v>
      </c>
      <c r="Z40" s="9">
        <v>7576</v>
      </c>
      <c r="AA40" s="13">
        <f t="shared" si="5"/>
        <v>128</v>
      </c>
      <c r="AB40" s="9">
        <v>168857</v>
      </c>
      <c r="AC40" s="9">
        <v>168908</v>
      </c>
      <c r="AD40" s="13">
        <f t="shared" si="12"/>
        <v>51</v>
      </c>
      <c r="AE40" s="135"/>
      <c r="AF40" s="135"/>
      <c r="AG40" s="135"/>
      <c r="AH40" s="136"/>
      <c r="AI40" s="50">
        <f t="shared" si="7"/>
        <v>881</v>
      </c>
    </row>
    <row r="41" spans="1:35">
      <c r="A41" s="12">
        <v>44416</v>
      </c>
      <c r="B41" s="9">
        <v>1431978</v>
      </c>
      <c r="C41" s="9">
        <v>1433062</v>
      </c>
      <c r="D41" s="13">
        <f t="shared" si="11"/>
        <v>1084</v>
      </c>
      <c r="E41" s="45"/>
      <c r="F41" s="70"/>
      <c r="G41" s="133">
        <f t="shared" si="1"/>
        <v>0</v>
      </c>
      <c r="H41" s="9">
        <v>137153</v>
      </c>
      <c r="I41" s="9">
        <v>137153</v>
      </c>
      <c r="J41" s="13">
        <f t="shared" si="9"/>
        <v>0</v>
      </c>
      <c r="K41" s="138"/>
      <c r="L41" s="9">
        <v>164722</v>
      </c>
      <c r="M41" s="9">
        <v>165287</v>
      </c>
      <c r="N41" s="13">
        <f t="shared" si="2"/>
        <v>565</v>
      </c>
      <c r="O41" s="136"/>
      <c r="P41" s="9">
        <v>140571</v>
      </c>
      <c r="Q41" s="9">
        <v>140835</v>
      </c>
      <c r="R41" s="133">
        <f t="shared" si="3"/>
        <v>264</v>
      </c>
      <c r="S41" s="9">
        <v>163234</v>
      </c>
      <c r="T41" s="9">
        <v>163284</v>
      </c>
      <c r="U41" s="133">
        <f t="shared" ref="U41:U65" si="13">T41-S41</f>
        <v>50</v>
      </c>
      <c r="V41" s="9">
        <v>195394</v>
      </c>
      <c r="W41" s="9">
        <v>196000</v>
      </c>
      <c r="X41" s="13">
        <f t="shared" si="4"/>
        <v>606</v>
      </c>
      <c r="Y41" s="9">
        <v>7576</v>
      </c>
      <c r="Z41" s="9">
        <v>7599</v>
      </c>
      <c r="AA41" s="13">
        <f t="shared" si="5"/>
        <v>23</v>
      </c>
      <c r="AB41" s="9">
        <v>168908</v>
      </c>
      <c r="AC41" s="9">
        <v>168954</v>
      </c>
      <c r="AD41" s="13">
        <f t="shared" si="12"/>
        <v>46</v>
      </c>
      <c r="AE41" s="135"/>
      <c r="AF41" s="135"/>
      <c r="AG41" s="135"/>
      <c r="AH41" s="136"/>
      <c r="AI41" s="50">
        <f t="shared" si="7"/>
        <v>943</v>
      </c>
    </row>
    <row r="42" spans="1:35">
      <c r="A42" s="12">
        <v>44417</v>
      </c>
      <c r="B42" s="9">
        <v>1433062</v>
      </c>
      <c r="C42" s="9">
        <v>1434428</v>
      </c>
      <c r="D42" s="13">
        <f t="shared" si="11"/>
        <v>1366</v>
      </c>
      <c r="E42" s="45"/>
      <c r="F42" s="70"/>
      <c r="G42" s="133">
        <f t="shared" si="1"/>
        <v>0</v>
      </c>
      <c r="H42" s="9">
        <v>137153</v>
      </c>
      <c r="I42" s="9">
        <v>137305</v>
      </c>
      <c r="J42" s="13">
        <f t="shared" si="9"/>
        <v>152</v>
      </c>
      <c r="K42" s="138"/>
      <c r="L42" s="9">
        <v>165287</v>
      </c>
      <c r="M42" s="9">
        <v>165518</v>
      </c>
      <c r="N42" s="13">
        <f t="shared" si="2"/>
        <v>231</v>
      </c>
      <c r="O42" s="136"/>
      <c r="P42" s="9">
        <v>140835</v>
      </c>
      <c r="Q42" s="9">
        <v>141025</v>
      </c>
      <c r="R42" s="133">
        <f t="shared" si="3"/>
        <v>190</v>
      </c>
      <c r="S42" s="9">
        <v>163284</v>
      </c>
      <c r="T42" s="9">
        <v>163340</v>
      </c>
      <c r="U42" s="133">
        <f t="shared" si="13"/>
        <v>56</v>
      </c>
      <c r="V42" s="9">
        <v>196000</v>
      </c>
      <c r="W42" s="9">
        <v>196346</v>
      </c>
      <c r="X42" s="13">
        <f t="shared" si="4"/>
        <v>346</v>
      </c>
      <c r="Y42" s="9">
        <v>7599</v>
      </c>
      <c r="Z42" s="9">
        <v>7618</v>
      </c>
      <c r="AA42" s="13">
        <f t="shared" si="5"/>
        <v>19</v>
      </c>
      <c r="AB42" s="9">
        <v>168954</v>
      </c>
      <c r="AC42" s="9">
        <v>169003</v>
      </c>
      <c r="AD42" s="13">
        <f t="shared" si="12"/>
        <v>49</v>
      </c>
      <c r="AE42" s="135"/>
      <c r="AF42" s="135"/>
      <c r="AG42" s="135"/>
      <c r="AH42" s="136"/>
      <c r="AI42" s="50">
        <f t="shared" si="7"/>
        <v>611</v>
      </c>
    </row>
    <row r="43" spans="1:35">
      <c r="A43" s="12">
        <v>44418</v>
      </c>
      <c r="B43" s="9">
        <v>1434428</v>
      </c>
      <c r="C43" s="9">
        <v>1435188</v>
      </c>
      <c r="D43" s="13">
        <f t="shared" si="11"/>
        <v>760</v>
      </c>
      <c r="E43" s="45"/>
      <c r="F43" s="70"/>
      <c r="G43" s="133">
        <f t="shared" si="1"/>
        <v>0</v>
      </c>
      <c r="H43" s="9">
        <v>137305</v>
      </c>
      <c r="I43" s="9">
        <v>137780</v>
      </c>
      <c r="J43" s="13">
        <f t="shared" si="9"/>
        <v>475</v>
      </c>
      <c r="K43" s="138"/>
      <c r="L43" s="9">
        <v>165518</v>
      </c>
      <c r="M43" s="9">
        <v>166338</v>
      </c>
      <c r="N43" s="13">
        <f t="shared" si="2"/>
        <v>820</v>
      </c>
      <c r="O43" s="136"/>
      <c r="P43" s="9">
        <v>141025</v>
      </c>
      <c r="Q43" s="9">
        <v>141388</v>
      </c>
      <c r="R43" s="133">
        <f t="shared" si="3"/>
        <v>363</v>
      </c>
      <c r="S43" s="9">
        <v>163340</v>
      </c>
      <c r="T43" s="9">
        <v>163409</v>
      </c>
      <c r="U43" s="133">
        <f t="shared" si="13"/>
        <v>69</v>
      </c>
      <c r="V43" s="9">
        <v>196346</v>
      </c>
      <c r="W43" s="9">
        <v>196612</v>
      </c>
      <c r="X43" s="13">
        <f t="shared" si="4"/>
        <v>266</v>
      </c>
      <c r="Y43" s="9">
        <v>7618</v>
      </c>
      <c r="Z43" s="9">
        <v>7633</v>
      </c>
      <c r="AA43" s="13">
        <f t="shared" si="5"/>
        <v>15</v>
      </c>
      <c r="AB43" s="9">
        <v>169003</v>
      </c>
      <c r="AC43" s="9">
        <v>169085</v>
      </c>
      <c r="AD43" s="13">
        <f t="shared" si="12"/>
        <v>82</v>
      </c>
      <c r="AE43" s="135"/>
      <c r="AF43" s="135"/>
      <c r="AG43" s="135"/>
      <c r="AH43" s="136"/>
      <c r="AI43" s="50">
        <f t="shared" si="7"/>
        <v>713</v>
      </c>
    </row>
    <row r="44" spans="1:35">
      <c r="A44" s="12">
        <v>44419</v>
      </c>
      <c r="B44" s="9">
        <v>1435188</v>
      </c>
      <c r="C44" s="9">
        <v>1436477</v>
      </c>
      <c r="D44" s="13">
        <f t="shared" si="11"/>
        <v>1289</v>
      </c>
      <c r="E44" s="45"/>
      <c r="F44" s="70"/>
      <c r="G44" s="133">
        <f t="shared" si="1"/>
        <v>0</v>
      </c>
      <c r="H44" s="9">
        <v>137780</v>
      </c>
      <c r="I44" s="9">
        <v>137780</v>
      </c>
      <c r="J44" s="13">
        <f t="shared" si="9"/>
        <v>0</v>
      </c>
      <c r="K44" s="138"/>
      <c r="L44" s="9">
        <v>166338</v>
      </c>
      <c r="M44" s="9">
        <v>167456</v>
      </c>
      <c r="N44" s="13">
        <f t="shared" si="2"/>
        <v>1118</v>
      </c>
      <c r="O44" s="136"/>
      <c r="P44" s="9">
        <v>141388</v>
      </c>
      <c r="Q44" s="9">
        <v>141756</v>
      </c>
      <c r="R44" s="133">
        <f t="shared" si="3"/>
        <v>368</v>
      </c>
      <c r="S44" s="9">
        <v>163409</v>
      </c>
      <c r="T44" s="9">
        <v>163466</v>
      </c>
      <c r="U44" s="133">
        <f t="shared" si="13"/>
        <v>57</v>
      </c>
      <c r="V44" s="9">
        <v>196612</v>
      </c>
      <c r="W44" s="9">
        <v>197014</v>
      </c>
      <c r="X44" s="13">
        <f t="shared" si="4"/>
        <v>402</v>
      </c>
      <c r="Y44" s="9">
        <v>7633</v>
      </c>
      <c r="Z44" s="9">
        <v>7656</v>
      </c>
      <c r="AA44" s="13">
        <f t="shared" si="5"/>
        <v>23</v>
      </c>
      <c r="AB44" s="9">
        <v>169085</v>
      </c>
      <c r="AC44" s="9">
        <v>169123</v>
      </c>
      <c r="AD44" s="13">
        <f t="shared" si="12"/>
        <v>38</v>
      </c>
      <c r="AE44" s="135"/>
      <c r="AF44" s="135"/>
      <c r="AG44" s="135"/>
      <c r="AH44" s="136"/>
      <c r="AI44" s="50">
        <f t="shared" si="7"/>
        <v>850</v>
      </c>
    </row>
    <row r="45" spans="1:35">
      <c r="A45" s="12">
        <v>44420</v>
      </c>
      <c r="B45" s="9">
        <v>1436477</v>
      </c>
      <c r="C45" s="9">
        <v>1437573</v>
      </c>
      <c r="D45" s="13">
        <f t="shared" si="11"/>
        <v>1096</v>
      </c>
      <c r="E45" s="45"/>
      <c r="F45" s="70"/>
      <c r="G45" s="133">
        <f t="shared" si="1"/>
        <v>0</v>
      </c>
      <c r="H45" s="9">
        <v>137780</v>
      </c>
      <c r="I45" s="9">
        <v>137780</v>
      </c>
      <c r="J45" s="13">
        <f t="shared" si="9"/>
        <v>0</v>
      </c>
      <c r="K45" s="138"/>
      <c r="L45" s="9">
        <v>167456</v>
      </c>
      <c r="M45" s="9">
        <v>168340</v>
      </c>
      <c r="N45" s="13">
        <f t="shared" si="2"/>
        <v>884</v>
      </c>
      <c r="O45" s="136"/>
      <c r="P45" s="9">
        <v>141756</v>
      </c>
      <c r="Q45" s="9">
        <v>142064</v>
      </c>
      <c r="R45" s="133">
        <f t="shared" si="3"/>
        <v>308</v>
      </c>
      <c r="S45" s="9">
        <v>163466</v>
      </c>
      <c r="T45" s="9">
        <v>163500</v>
      </c>
      <c r="U45" s="133">
        <f t="shared" si="13"/>
        <v>34</v>
      </c>
      <c r="V45" s="9">
        <v>197014</v>
      </c>
      <c r="W45" s="9">
        <v>197283</v>
      </c>
      <c r="X45" s="13">
        <f t="shared" si="4"/>
        <v>269</v>
      </c>
      <c r="Y45" s="9">
        <v>7656</v>
      </c>
      <c r="Z45" s="9">
        <v>7669</v>
      </c>
      <c r="AA45" s="13">
        <f t="shared" si="5"/>
        <v>13</v>
      </c>
      <c r="AB45" s="9">
        <v>169123</v>
      </c>
      <c r="AC45" s="9">
        <v>169197</v>
      </c>
      <c r="AD45" s="13">
        <f t="shared" si="12"/>
        <v>74</v>
      </c>
      <c r="AE45" s="135"/>
      <c r="AF45" s="135"/>
      <c r="AG45" s="135"/>
      <c r="AH45" s="136"/>
      <c r="AI45" s="50">
        <f t="shared" si="7"/>
        <v>624</v>
      </c>
    </row>
    <row r="46" spans="1:35">
      <c r="A46" s="12">
        <v>44421</v>
      </c>
      <c r="B46" s="9">
        <v>1437573</v>
      </c>
      <c r="C46" s="9">
        <v>1438862</v>
      </c>
      <c r="D46" s="13">
        <f t="shared" si="11"/>
        <v>1289</v>
      </c>
      <c r="E46" s="45"/>
      <c r="F46" s="70"/>
      <c r="G46" s="133">
        <f t="shared" si="1"/>
        <v>0</v>
      </c>
      <c r="H46" s="9">
        <v>137780</v>
      </c>
      <c r="I46" s="9">
        <v>137780</v>
      </c>
      <c r="J46" s="13">
        <f t="shared" si="9"/>
        <v>0</v>
      </c>
      <c r="K46" s="138"/>
      <c r="L46" s="9">
        <v>168340</v>
      </c>
      <c r="M46" s="9">
        <v>169253</v>
      </c>
      <c r="N46" s="13">
        <f t="shared" si="2"/>
        <v>913</v>
      </c>
      <c r="O46" s="136"/>
      <c r="P46" s="9">
        <v>142064</v>
      </c>
      <c r="Q46" s="9">
        <v>142407</v>
      </c>
      <c r="R46" s="133">
        <f t="shared" si="3"/>
        <v>343</v>
      </c>
      <c r="S46" s="9">
        <v>163500</v>
      </c>
      <c r="T46" s="9">
        <v>163530</v>
      </c>
      <c r="U46" s="133">
        <f t="shared" si="13"/>
        <v>30</v>
      </c>
      <c r="V46" s="9">
        <v>197283</v>
      </c>
      <c r="W46" s="9">
        <v>197677</v>
      </c>
      <c r="X46" s="13">
        <f t="shared" si="4"/>
        <v>394</v>
      </c>
      <c r="Y46" s="9">
        <v>7669</v>
      </c>
      <c r="Z46" s="9">
        <v>7687</v>
      </c>
      <c r="AA46" s="13">
        <f t="shared" si="5"/>
        <v>18</v>
      </c>
      <c r="AB46" s="9">
        <v>169197</v>
      </c>
      <c r="AC46" s="9">
        <v>169309</v>
      </c>
      <c r="AD46" s="13">
        <f t="shared" si="12"/>
        <v>112</v>
      </c>
      <c r="AE46" s="135"/>
      <c r="AF46" s="135"/>
      <c r="AG46" s="135"/>
      <c r="AH46" s="136"/>
      <c r="AI46" s="50">
        <f t="shared" si="7"/>
        <v>785</v>
      </c>
    </row>
    <row r="47" spans="1:35">
      <c r="A47" s="12">
        <v>44422</v>
      </c>
      <c r="B47" s="9">
        <v>1438862</v>
      </c>
      <c r="C47" s="9">
        <v>1439873</v>
      </c>
      <c r="D47" s="13">
        <f t="shared" si="11"/>
        <v>1011</v>
      </c>
      <c r="E47" s="45"/>
      <c r="F47" s="70"/>
      <c r="G47" s="133">
        <f t="shared" si="1"/>
        <v>0</v>
      </c>
      <c r="H47" s="9">
        <v>137780</v>
      </c>
      <c r="I47" s="9">
        <v>137780</v>
      </c>
      <c r="J47" s="13">
        <f t="shared" si="9"/>
        <v>0</v>
      </c>
      <c r="K47" s="138"/>
      <c r="L47" s="9">
        <v>169253</v>
      </c>
      <c r="M47" s="9">
        <v>170259</v>
      </c>
      <c r="N47" s="13">
        <f t="shared" si="2"/>
        <v>1006</v>
      </c>
      <c r="O47" s="136"/>
      <c r="P47" s="9">
        <v>142407</v>
      </c>
      <c r="Q47" s="9">
        <v>142759</v>
      </c>
      <c r="R47" s="133">
        <f t="shared" si="3"/>
        <v>352</v>
      </c>
      <c r="S47" s="9">
        <v>163530</v>
      </c>
      <c r="T47" s="9">
        <v>163565</v>
      </c>
      <c r="U47" s="133">
        <f t="shared" si="13"/>
        <v>35</v>
      </c>
      <c r="V47" s="9">
        <v>197677</v>
      </c>
      <c r="W47" s="9">
        <v>198039</v>
      </c>
      <c r="X47" s="13">
        <f t="shared" si="4"/>
        <v>362</v>
      </c>
      <c r="Y47" s="9">
        <v>7687</v>
      </c>
      <c r="Z47" s="9">
        <v>7705</v>
      </c>
      <c r="AA47" s="13">
        <f t="shared" si="5"/>
        <v>18</v>
      </c>
      <c r="AB47" s="9">
        <v>169309</v>
      </c>
      <c r="AC47" s="9">
        <v>169383</v>
      </c>
      <c r="AD47" s="13">
        <f t="shared" si="12"/>
        <v>74</v>
      </c>
      <c r="AE47" s="135"/>
      <c r="AF47" s="135"/>
      <c r="AG47" s="135"/>
      <c r="AH47" s="136"/>
      <c r="AI47" s="50">
        <f t="shared" si="7"/>
        <v>767</v>
      </c>
    </row>
    <row r="48" spans="1:35">
      <c r="A48" s="12">
        <v>44423</v>
      </c>
      <c r="B48" s="9">
        <v>1439873</v>
      </c>
      <c r="C48" s="9">
        <v>1441146</v>
      </c>
      <c r="D48" s="13">
        <f t="shared" si="11"/>
        <v>1273</v>
      </c>
      <c r="E48" s="45"/>
      <c r="F48" s="70"/>
      <c r="G48" s="133">
        <f t="shared" si="1"/>
        <v>0</v>
      </c>
      <c r="H48" s="9">
        <v>137780</v>
      </c>
      <c r="I48" s="9">
        <v>137780</v>
      </c>
      <c r="J48" s="13">
        <f t="shared" si="9"/>
        <v>0</v>
      </c>
      <c r="K48" s="138"/>
      <c r="L48" s="9">
        <v>170259</v>
      </c>
      <c r="M48" s="9">
        <v>171199</v>
      </c>
      <c r="N48" s="13">
        <f t="shared" si="2"/>
        <v>940</v>
      </c>
      <c r="O48" s="136"/>
      <c r="P48" s="9">
        <v>142759</v>
      </c>
      <c r="Q48" s="9">
        <v>143110</v>
      </c>
      <c r="R48" s="133">
        <f t="shared" si="3"/>
        <v>351</v>
      </c>
      <c r="S48" s="9">
        <v>163565</v>
      </c>
      <c r="T48" s="9">
        <v>163601</v>
      </c>
      <c r="U48" s="133">
        <f>T48-S48</f>
        <v>36</v>
      </c>
      <c r="V48" s="9">
        <v>198039</v>
      </c>
      <c r="W48" s="9">
        <v>198366</v>
      </c>
      <c r="X48" s="13">
        <f t="shared" si="4"/>
        <v>327</v>
      </c>
      <c r="Y48" s="9">
        <v>7687</v>
      </c>
      <c r="Z48" s="9">
        <v>7719</v>
      </c>
      <c r="AA48" s="13">
        <f t="shared" si="5"/>
        <v>32</v>
      </c>
      <c r="AB48" s="9">
        <v>169383</v>
      </c>
      <c r="AC48" s="9">
        <v>169434</v>
      </c>
      <c r="AD48" s="13">
        <f t="shared" si="12"/>
        <v>51</v>
      </c>
      <c r="AE48" s="135"/>
      <c r="AF48" s="135"/>
      <c r="AG48" s="135"/>
      <c r="AH48" s="136"/>
      <c r="AI48" s="50">
        <f t="shared" si="7"/>
        <v>746</v>
      </c>
    </row>
    <row r="49" spans="1:35">
      <c r="A49" s="12">
        <v>44424</v>
      </c>
      <c r="B49" s="9">
        <v>1441146</v>
      </c>
      <c r="C49" s="9">
        <v>1442696</v>
      </c>
      <c r="D49" s="13">
        <f t="shared" si="11"/>
        <v>1550</v>
      </c>
      <c r="E49" s="45"/>
      <c r="F49" s="70"/>
      <c r="G49" s="133">
        <f t="shared" si="1"/>
        <v>0</v>
      </c>
      <c r="H49" s="9">
        <v>137780</v>
      </c>
      <c r="I49" s="9">
        <v>137780</v>
      </c>
      <c r="J49" s="13">
        <f t="shared" si="9"/>
        <v>0</v>
      </c>
      <c r="K49" s="138"/>
      <c r="L49" s="9">
        <v>171199</v>
      </c>
      <c r="M49" s="9">
        <v>172243</v>
      </c>
      <c r="N49" s="13">
        <f t="shared" si="2"/>
        <v>1044</v>
      </c>
      <c r="O49" s="136"/>
      <c r="P49" s="9">
        <v>143110</v>
      </c>
      <c r="Q49" s="9">
        <v>143469</v>
      </c>
      <c r="R49" s="133">
        <f t="shared" si="3"/>
        <v>359</v>
      </c>
      <c r="S49" s="9">
        <v>163601</v>
      </c>
      <c r="T49" s="9">
        <v>163669</v>
      </c>
      <c r="U49" s="133">
        <f t="shared" si="13"/>
        <v>68</v>
      </c>
      <c r="V49" s="9">
        <v>198366</v>
      </c>
      <c r="W49" s="9">
        <v>198579</v>
      </c>
      <c r="X49" s="13">
        <f t="shared" si="4"/>
        <v>213</v>
      </c>
      <c r="Y49" s="9">
        <v>7719</v>
      </c>
      <c r="Z49" s="9">
        <v>7736</v>
      </c>
      <c r="AA49" s="13">
        <f t="shared" si="5"/>
        <v>17</v>
      </c>
      <c r="AB49" s="9">
        <v>169434</v>
      </c>
      <c r="AC49" s="9">
        <v>169504</v>
      </c>
      <c r="AD49" s="13">
        <f t="shared" si="12"/>
        <v>70</v>
      </c>
      <c r="AE49" s="135"/>
      <c r="AF49" s="135"/>
      <c r="AG49" s="135"/>
      <c r="AH49" s="136"/>
      <c r="AI49" s="50">
        <f t="shared" si="7"/>
        <v>657</v>
      </c>
    </row>
    <row r="50" spans="1:35">
      <c r="A50" s="12">
        <v>44425</v>
      </c>
      <c r="B50" s="9">
        <v>1442696</v>
      </c>
      <c r="C50" s="9">
        <v>1443894</v>
      </c>
      <c r="D50" s="13">
        <f t="shared" si="11"/>
        <v>1198</v>
      </c>
      <c r="E50" s="45"/>
      <c r="F50" s="70"/>
      <c r="G50" s="133">
        <f t="shared" si="1"/>
        <v>0</v>
      </c>
      <c r="H50" s="9">
        <v>137780</v>
      </c>
      <c r="I50" s="9">
        <v>137780</v>
      </c>
      <c r="J50" s="13">
        <f t="shared" si="9"/>
        <v>0</v>
      </c>
      <c r="K50" s="138"/>
      <c r="L50" s="9">
        <v>172243</v>
      </c>
      <c r="M50" s="9">
        <v>173276</v>
      </c>
      <c r="N50" s="13">
        <f t="shared" si="2"/>
        <v>1033</v>
      </c>
      <c r="O50" s="136"/>
      <c r="P50" s="9">
        <v>143469</v>
      </c>
      <c r="Q50" s="9">
        <v>143843</v>
      </c>
      <c r="R50" s="133">
        <f t="shared" si="3"/>
        <v>374</v>
      </c>
      <c r="S50" s="9">
        <v>163669</v>
      </c>
      <c r="T50" s="9">
        <v>163703</v>
      </c>
      <c r="U50" s="133">
        <f t="shared" si="13"/>
        <v>34</v>
      </c>
      <c r="V50" s="9">
        <v>198579</v>
      </c>
      <c r="W50" s="9">
        <v>198947</v>
      </c>
      <c r="X50" s="13">
        <f t="shared" si="4"/>
        <v>368</v>
      </c>
      <c r="Y50" s="9">
        <v>7736</v>
      </c>
      <c r="Z50" s="9">
        <v>7752</v>
      </c>
      <c r="AA50" s="13">
        <f t="shared" si="5"/>
        <v>16</v>
      </c>
      <c r="AB50" s="9">
        <v>169504</v>
      </c>
      <c r="AC50" s="9">
        <v>169587</v>
      </c>
      <c r="AD50" s="13">
        <f t="shared" si="12"/>
        <v>83</v>
      </c>
      <c r="AE50" s="135"/>
      <c r="AF50" s="135"/>
      <c r="AG50" s="135"/>
      <c r="AH50" s="136"/>
      <c r="AI50" s="50">
        <f t="shared" si="7"/>
        <v>792</v>
      </c>
    </row>
    <row r="51" spans="1:35">
      <c r="A51" s="12">
        <v>44426</v>
      </c>
      <c r="B51" s="9">
        <v>1443894</v>
      </c>
      <c r="C51" s="9">
        <v>1445340</v>
      </c>
      <c r="D51" s="13">
        <f t="shared" si="11"/>
        <v>1446</v>
      </c>
      <c r="E51" s="45"/>
      <c r="F51" s="70"/>
      <c r="G51" s="133">
        <f t="shared" si="1"/>
        <v>0</v>
      </c>
      <c r="H51" s="9">
        <v>137780</v>
      </c>
      <c r="I51" s="9">
        <v>137780</v>
      </c>
      <c r="J51" s="13">
        <f t="shared" si="9"/>
        <v>0</v>
      </c>
      <c r="K51" s="138"/>
      <c r="L51" s="9">
        <v>173276</v>
      </c>
      <c r="M51" s="9">
        <v>174330</v>
      </c>
      <c r="N51" s="13">
        <f t="shared" si="2"/>
        <v>1054</v>
      </c>
      <c r="O51" s="136"/>
      <c r="P51" s="9">
        <v>143843</v>
      </c>
      <c r="Q51" s="9">
        <v>144235</v>
      </c>
      <c r="R51" s="133">
        <f t="shared" si="3"/>
        <v>392</v>
      </c>
      <c r="S51" s="9">
        <v>163703</v>
      </c>
      <c r="T51" s="9">
        <v>163756</v>
      </c>
      <c r="U51" s="133">
        <f t="shared" si="13"/>
        <v>53</v>
      </c>
      <c r="V51" s="9">
        <v>198947</v>
      </c>
      <c r="W51" s="9">
        <v>199325</v>
      </c>
      <c r="X51" s="13">
        <f t="shared" si="4"/>
        <v>378</v>
      </c>
      <c r="Y51" s="9">
        <v>7752</v>
      </c>
      <c r="Z51" s="9">
        <v>7772</v>
      </c>
      <c r="AA51" s="13">
        <f t="shared" si="5"/>
        <v>20</v>
      </c>
      <c r="AB51" s="9">
        <v>169587</v>
      </c>
      <c r="AC51" s="9">
        <v>169679</v>
      </c>
      <c r="AD51" s="13">
        <f t="shared" si="12"/>
        <v>92</v>
      </c>
      <c r="AE51" s="135"/>
      <c r="AF51" s="135"/>
      <c r="AG51" s="135"/>
      <c r="AH51" s="136"/>
      <c r="AI51" s="50">
        <f t="shared" si="7"/>
        <v>843</v>
      </c>
    </row>
    <row r="52" spans="1:35">
      <c r="A52" s="12">
        <v>44427</v>
      </c>
      <c r="B52" s="9">
        <v>1445340</v>
      </c>
      <c r="C52" s="9">
        <v>1446554</v>
      </c>
      <c r="D52" s="13">
        <f t="shared" si="11"/>
        <v>1214</v>
      </c>
      <c r="E52" s="45"/>
      <c r="F52" s="70"/>
      <c r="G52" s="133">
        <f t="shared" si="1"/>
        <v>0</v>
      </c>
      <c r="H52" s="9">
        <v>137780</v>
      </c>
      <c r="I52" s="9">
        <v>137780</v>
      </c>
      <c r="J52" s="13">
        <f t="shared" si="9"/>
        <v>0</v>
      </c>
      <c r="K52" s="138"/>
      <c r="L52" s="9">
        <v>174330</v>
      </c>
      <c r="M52" s="9">
        <v>175228</v>
      </c>
      <c r="N52" s="13">
        <f t="shared" si="2"/>
        <v>898</v>
      </c>
      <c r="O52" s="136"/>
      <c r="P52" s="9">
        <v>144235</v>
      </c>
      <c r="Q52" s="9">
        <v>144568</v>
      </c>
      <c r="R52" s="133">
        <f t="shared" si="3"/>
        <v>333</v>
      </c>
      <c r="S52" s="9">
        <v>163756</v>
      </c>
      <c r="T52" s="9">
        <v>163809</v>
      </c>
      <c r="U52" s="133">
        <f t="shared" si="13"/>
        <v>53</v>
      </c>
      <c r="V52" s="9">
        <v>199325</v>
      </c>
      <c r="W52" s="9">
        <v>199628</v>
      </c>
      <c r="X52" s="13">
        <f t="shared" si="4"/>
        <v>303</v>
      </c>
      <c r="Y52" s="9">
        <v>7772</v>
      </c>
      <c r="Z52" s="9">
        <v>7788</v>
      </c>
      <c r="AA52" s="13">
        <f t="shared" si="5"/>
        <v>16</v>
      </c>
      <c r="AB52" s="9">
        <v>169679</v>
      </c>
      <c r="AC52" s="9">
        <v>169746</v>
      </c>
      <c r="AD52" s="13">
        <f t="shared" si="12"/>
        <v>67</v>
      </c>
      <c r="AE52" s="135"/>
      <c r="AF52" s="135"/>
      <c r="AG52" s="135"/>
      <c r="AH52" s="136"/>
      <c r="AI52" s="50">
        <f t="shared" si="7"/>
        <v>705</v>
      </c>
    </row>
    <row r="53" spans="1:35">
      <c r="A53" s="12">
        <v>44428</v>
      </c>
      <c r="B53" s="9">
        <v>1446554</v>
      </c>
      <c r="C53" s="9">
        <v>1447803</v>
      </c>
      <c r="D53" s="13">
        <f t="shared" si="11"/>
        <v>1249</v>
      </c>
      <c r="E53" s="45"/>
      <c r="F53" s="70"/>
      <c r="G53" s="133">
        <f t="shared" si="1"/>
        <v>0</v>
      </c>
      <c r="H53" s="9">
        <v>137780</v>
      </c>
      <c r="I53" s="9">
        <v>137780</v>
      </c>
      <c r="J53" s="13">
        <f t="shared" si="9"/>
        <v>0</v>
      </c>
      <c r="K53" s="138"/>
      <c r="L53" s="9">
        <v>175228</v>
      </c>
      <c r="M53" s="9">
        <v>176220</v>
      </c>
      <c r="N53" s="13">
        <f t="shared" si="2"/>
        <v>992</v>
      </c>
      <c r="O53" s="136"/>
      <c r="P53" s="9">
        <v>144568</v>
      </c>
      <c r="Q53" s="9">
        <v>144925</v>
      </c>
      <c r="R53" s="133">
        <f t="shared" si="3"/>
        <v>357</v>
      </c>
      <c r="S53" s="9">
        <v>163809</v>
      </c>
      <c r="T53" s="9">
        <v>163854</v>
      </c>
      <c r="U53" s="133">
        <f t="shared" si="13"/>
        <v>45</v>
      </c>
      <c r="V53" s="9">
        <v>199628</v>
      </c>
      <c r="W53" s="9">
        <v>200060</v>
      </c>
      <c r="X53" s="13">
        <f t="shared" si="4"/>
        <v>432</v>
      </c>
      <c r="Y53" s="9">
        <v>7788</v>
      </c>
      <c r="Z53" s="9">
        <v>7818</v>
      </c>
      <c r="AA53" s="13">
        <f t="shared" si="5"/>
        <v>30</v>
      </c>
      <c r="AB53" s="9">
        <v>169746</v>
      </c>
      <c r="AC53" s="9">
        <v>169841</v>
      </c>
      <c r="AD53" s="13">
        <f t="shared" si="12"/>
        <v>95</v>
      </c>
      <c r="AE53" s="135"/>
      <c r="AF53" s="135"/>
      <c r="AG53" s="135"/>
      <c r="AH53" s="136"/>
      <c r="AI53" s="50">
        <f t="shared" si="7"/>
        <v>864</v>
      </c>
    </row>
    <row r="54" spans="1:35">
      <c r="A54" s="12">
        <v>44429</v>
      </c>
      <c r="B54" s="9">
        <v>1447803</v>
      </c>
      <c r="C54" s="9">
        <v>1448998</v>
      </c>
      <c r="D54" s="13">
        <f t="shared" si="11"/>
        <v>1195</v>
      </c>
      <c r="E54" s="45"/>
      <c r="F54" s="70"/>
      <c r="G54" s="133">
        <f t="shared" si="1"/>
        <v>0</v>
      </c>
      <c r="H54" s="9">
        <v>137780</v>
      </c>
      <c r="I54" s="9">
        <v>137780</v>
      </c>
      <c r="J54" s="13">
        <f t="shared" si="9"/>
        <v>0</v>
      </c>
      <c r="K54" s="138"/>
      <c r="L54" s="9">
        <v>176220</v>
      </c>
      <c r="M54" s="9">
        <v>177090</v>
      </c>
      <c r="N54" s="13">
        <f t="shared" si="2"/>
        <v>870</v>
      </c>
      <c r="O54" s="136"/>
      <c r="P54" s="9">
        <v>144925</v>
      </c>
      <c r="Q54" s="9">
        <v>145025</v>
      </c>
      <c r="R54" s="133">
        <f t="shared" si="3"/>
        <v>100</v>
      </c>
      <c r="S54" s="9">
        <v>163854</v>
      </c>
      <c r="T54" s="9">
        <v>163912</v>
      </c>
      <c r="U54" s="133">
        <f t="shared" si="13"/>
        <v>58</v>
      </c>
      <c r="V54" s="9">
        <v>200060</v>
      </c>
      <c r="W54" s="9">
        <v>200383</v>
      </c>
      <c r="X54" s="13">
        <f t="shared" si="4"/>
        <v>323</v>
      </c>
      <c r="Y54" s="9">
        <v>7818</v>
      </c>
      <c r="Z54" s="9">
        <v>7834</v>
      </c>
      <c r="AA54" s="13">
        <f t="shared" si="5"/>
        <v>16</v>
      </c>
      <c r="AB54" s="9">
        <v>169841</v>
      </c>
      <c r="AC54" s="9">
        <v>169925</v>
      </c>
      <c r="AD54" s="13">
        <f t="shared" si="12"/>
        <v>84</v>
      </c>
      <c r="AE54" s="135"/>
      <c r="AF54" s="135"/>
      <c r="AG54" s="135"/>
      <c r="AH54" s="136"/>
      <c r="AI54" s="50">
        <f t="shared" si="7"/>
        <v>497</v>
      </c>
    </row>
    <row r="55" spans="1:35">
      <c r="A55" s="12">
        <v>44430</v>
      </c>
      <c r="B55" s="9">
        <v>1448998</v>
      </c>
      <c r="C55" s="9">
        <v>1450155</v>
      </c>
      <c r="D55" s="13">
        <f t="shared" si="11"/>
        <v>1157</v>
      </c>
      <c r="E55" s="45"/>
      <c r="F55" s="70"/>
      <c r="G55" s="133">
        <f t="shared" si="1"/>
        <v>0</v>
      </c>
      <c r="H55" s="9">
        <v>137780</v>
      </c>
      <c r="I55" s="9">
        <v>137780</v>
      </c>
      <c r="J55" s="13">
        <f t="shared" si="9"/>
        <v>0</v>
      </c>
      <c r="K55" s="138"/>
      <c r="L55" s="9">
        <v>177090</v>
      </c>
      <c r="M55" s="9">
        <v>178347</v>
      </c>
      <c r="N55" s="13">
        <f t="shared" si="2"/>
        <v>1257</v>
      </c>
      <c r="O55" s="136"/>
      <c r="P55" s="9">
        <v>145025</v>
      </c>
      <c r="Q55" s="9">
        <v>145566</v>
      </c>
      <c r="R55" s="133">
        <f t="shared" si="3"/>
        <v>541</v>
      </c>
      <c r="S55" s="9">
        <v>163912</v>
      </c>
      <c r="T55" s="9">
        <v>163963</v>
      </c>
      <c r="U55" s="133">
        <f t="shared" si="13"/>
        <v>51</v>
      </c>
      <c r="V55" s="9">
        <v>200383</v>
      </c>
      <c r="W55" s="9">
        <v>200766</v>
      </c>
      <c r="X55" s="13">
        <f t="shared" si="4"/>
        <v>383</v>
      </c>
      <c r="Y55" s="9">
        <v>7834</v>
      </c>
      <c r="Z55" s="9">
        <v>7857</v>
      </c>
      <c r="AA55" s="13">
        <f t="shared" si="5"/>
        <v>23</v>
      </c>
      <c r="AB55" s="9">
        <v>169925</v>
      </c>
      <c r="AC55" s="9">
        <v>169999</v>
      </c>
      <c r="AD55" s="13">
        <f t="shared" si="12"/>
        <v>74</v>
      </c>
      <c r="AE55" s="135"/>
      <c r="AF55" s="135"/>
      <c r="AG55" s="135"/>
      <c r="AH55" s="136"/>
      <c r="AI55" s="50">
        <f t="shared" si="7"/>
        <v>998</v>
      </c>
    </row>
    <row r="56" spans="1:35">
      <c r="A56" s="12">
        <v>44431</v>
      </c>
      <c r="B56" s="8">
        <v>1450155</v>
      </c>
      <c r="C56" s="8">
        <v>1451005</v>
      </c>
      <c r="D56" s="13">
        <f t="shared" si="11"/>
        <v>850</v>
      </c>
      <c r="E56" s="45"/>
      <c r="F56" s="70"/>
      <c r="G56" s="133">
        <f t="shared" si="1"/>
        <v>0</v>
      </c>
      <c r="H56" s="8">
        <v>137780</v>
      </c>
      <c r="I56" s="8">
        <v>137780</v>
      </c>
      <c r="J56" s="13">
        <f t="shared" si="9"/>
        <v>0</v>
      </c>
      <c r="K56" s="138"/>
      <c r="L56" s="8">
        <v>178347</v>
      </c>
      <c r="M56" s="8">
        <v>178626</v>
      </c>
      <c r="N56" s="13">
        <f t="shared" si="2"/>
        <v>279</v>
      </c>
      <c r="O56" s="136"/>
      <c r="P56" s="8">
        <v>145566</v>
      </c>
      <c r="Q56" s="8">
        <v>145699</v>
      </c>
      <c r="R56" s="133">
        <f t="shared" si="3"/>
        <v>133</v>
      </c>
      <c r="S56" s="8">
        <v>163963</v>
      </c>
      <c r="T56" s="8">
        <v>164018</v>
      </c>
      <c r="U56" s="133">
        <f t="shared" si="13"/>
        <v>55</v>
      </c>
      <c r="V56" s="8">
        <v>200766</v>
      </c>
      <c r="W56" s="8">
        <v>201060</v>
      </c>
      <c r="X56" s="13">
        <f t="shared" si="4"/>
        <v>294</v>
      </c>
      <c r="Y56" s="8">
        <v>7857</v>
      </c>
      <c r="Z56" s="8">
        <v>7881</v>
      </c>
      <c r="AA56" s="13">
        <f t="shared" si="5"/>
        <v>24</v>
      </c>
      <c r="AB56" s="8">
        <v>169999</v>
      </c>
      <c r="AC56" s="8">
        <v>170085</v>
      </c>
      <c r="AD56" s="13">
        <f t="shared" si="12"/>
        <v>86</v>
      </c>
      <c r="AE56" s="135"/>
      <c r="AF56" s="135"/>
      <c r="AG56" s="135"/>
      <c r="AH56" s="136"/>
      <c r="AI56" s="50">
        <f t="shared" si="7"/>
        <v>506</v>
      </c>
    </row>
    <row r="57" spans="1:35">
      <c r="A57" s="12">
        <v>44432</v>
      </c>
      <c r="B57" s="8">
        <v>1451005</v>
      </c>
      <c r="C57" s="8">
        <v>1452336</v>
      </c>
      <c r="D57" s="13">
        <f t="shared" si="11"/>
        <v>1331</v>
      </c>
      <c r="E57" s="45"/>
      <c r="F57" s="70"/>
      <c r="G57" s="133">
        <f t="shared" si="1"/>
        <v>0</v>
      </c>
      <c r="H57" s="8">
        <v>137780</v>
      </c>
      <c r="I57" s="8">
        <v>137923</v>
      </c>
      <c r="J57" s="13">
        <f t="shared" si="9"/>
        <v>143</v>
      </c>
      <c r="K57" s="138"/>
      <c r="L57" s="8">
        <v>178626</v>
      </c>
      <c r="M57" s="8">
        <v>179676</v>
      </c>
      <c r="N57" s="13">
        <f t="shared" si="2"/>
        <v>1050</v>
      </c>
      <c r="O57" s="136"/>
      <c r="P57" s="8">
        <v>145699</v>
      </c>
      <c r="Q57" s="8">
        <v>146092</v>
      </c>
      <c r="R57" s="133">
        <f t="shared" si="3"/>
        <v>393</v>
      </c>
      <c r="S57" s="8">
        <v>164018</v>
      </c>
      <c r="T57" s="8">
        <v>164096</v>
      </c>
      <c r="U57" s="133">
        <f>T57-S57</f>
        <v>78</v>
      </c>
      <c r="V57" s="8">
        <v>201060</v>
      </c>
      <c r="W57" s="8">
        <v>201549</v>
      </c>
      <c r="X57" s="13">
        <f t="shared" si="4"/>
        <v>489</v>
      </c>
      <c r="Y57" s="8">
        <v>7881</v>
      </c>
      <c r="Z57" s="8">
        <v>7905</v>
      </c>
      <c r="AA57" s="13">
        <f t="shared" si="5"/>
        <v>24</v>
      </c>
      <c r="AB57" s="8">
        <v>170085</v>
      </c>
      <c r="AC57" s="8">
        <v>170178</v>
      </c>
      <c r="AD57" s="13">
        <f t="shared" si="12"/>
        <v>93</v>
      </c>
      <c r="AE57" s="135"/>
      <c r="AF57" s="135"/>
      <c r="AG57" s="135"/>
      <c r="AH57" s="136"/>
      <c r="AI57" s="50">
        <f t="shared" si="7"/>
        <v>984</v>
      </c>
    </row>
    <row r="58" spans="1:35">
      <c r="A58" s="12">
        <v>44433</v>
      </c>
      <c r="B58" s="8">
        <v>1452336</v>
      </c>
      <c r="C58" s="8">
        <v>1453468</v>
      </c>
      <c r="D58" s="13">
        <f t="shared" si="11"/>
        <v>1132</v>
      </c>
      <c r="E58" s="45"/>
      <c r="F58" s="70"/>
      <c r="G58" s="133">
        <f t="shared" si="1"/>
        <v>0</v>
      </c>
      <c r="H58" s="8">
        <v>137923</v>
      </c>
      <c r="I58" s="8">
        <v>138970</v>
      </c>
      <c r="J58" s="13">
        <f t="shared" si="9"/>
        <v>1047</v>
      </c>
      <c r="K58" s="138"/>
      <c r="L58" s="8">
        <v>179676</v>
      </c>
      <c r="M58" s="8">
        <v>180458</v>
      </c>
      <c r="N58" s="13">
        <f t="shared" si="2"/>
        <v>782</v>
      </c>
      <c r="O58" s="136"/>
      <c r="P58" s="8">
        <v>146092</v>
      </c>
      <c r="Q58" s="8">
        <v>146509</v>
      </c>
      <c r="R58" s="133">
        <f t="shared" si="3"/>
        <v>417</v>
      </c>
      <c r="S58" s="8">
        <v>164096</v>
      </c>
      <c r="T58" s="8">
        <v>164147</v>
      </c>
      <c r="U58" s="133">
        <f t="shared" si="13"/>
        <v>51</v>
      </c>
      <c r="V58" s="8">
        <v>201549</v>
      </c>
      <c r="W58" s="8">
        <v>201911</v>
      </c>
      <c r="X58" s="13">
        <f t="shared" si="4"/>
        <v>362</v>
      </c>
      <c r="Y58" s="8">
        <v>7905</v>
      </c>
      <c r="Z58" s="8">
        <v>7905</v>
      </c>
      <c r="AA58" s="13">
        <f t="shared" si="5"/>
        <v>0</v>
      </c>
      <c r="AB58" s="8">
        <v>170171</v>
      </c>
      <c r="AC58" s="8">
        <v>170255</v>
      </c>
      <c r="AD58" s="13">
        <f t="shared" si="12"/>
        <v>84</v>
      </c>
      <c r="AE58" s="135"/>
      <c r="AF58" s="135"/>
      <c r="AG58" s="135"/>
      <c r="AH58" s="136"/>
      <c r="AI58" s="50">
        <f t="shared" si="7"/>
        <v>830</v>
      </c>
    </row>
    <row r="59" spans="1:35">
      <c r="A59" s="12">
        <v>44434</v>
      </c>
      <c r="B59" s="8">
        <v>1453468</v>
      </c>
      <c r="C59" s="8">
        <v>1454546</v>
      </c>
      <c r="D59" s="13">
        <f t="shared" si="11"/>
        <v>1078</v>
      </c>
      <c r="E59" s="45"/>
      <c r="F59" s="70"/>
      <c r="G59" s="133">
        <f t="shared" si="1"/>
        <v>0</v>
      </c>
      <c r="H59" s="8">
        <v>138414</v>
      </c>
      <c r="I59" s="8">
        <v>138970</v>
      </c>
      <c r="J59" s="13">
        <f t="shared" si="9"/>
        <v>556</v>
      </c>
      <c r="K59" s="138"/>
      <c r="L59" s="8">
        <v>180458</v>
      </c>
      <c r="M59" s="8">
        <v>180800</v>
      </c>
      <c r="N59" s="13">
        <f t="shared" si="2"/>
        <v>342</v>
      </c>
      <c r="O59" s="136"/>
      <c r="P59" s="8">
        <v>146509</v>
      </c>
      <c r="Q59" s="8">
        <v>146743</v>
      </c>
      <c r="R59" s="133">
        <f t="shared" si="3"/>
        <v>234</v>
      </c>
      <c r="S59" s="8">
        <v>164147</v>
      </c>
      <c r="T59" s="8">
        <v>164211</v>
      </c>
      <c r="U59" s="133">
        <f t="shared" si="13"/>
        <v>64</v>
      </c>
      <c r="V59" s="8">
        <v>201911</v>
      </c>
      <c r="W59" s="8">
        <v>202267</v>
      </c>
      <c r="X59" s="13">
        <f t="shared" si="4"/>
        <v>356</v>
      </c>
      <c r="Y59" s="8">
        <v>7905</v>
      </c>
      <c r="Z59" s="8">
        <v>7954</v>
      </c>
      <c r="AA59" s="13">
        <f t="shared" si="5"/>
        <v>49</v>
      </c>
      <c r="AB59" s="8">
        <v>170255</v>
      </c>
      <c r="AC59" s="8">
        <v>170345</v>
      </c>
      <c r="AD59" s="13">
        <f t="shared" si="12"/>
        <v>90</v>
      </c>
      <c r="AE59" s="135"/>
      <c r="AF59" s="135"/>
      <c r="AG59" s="135"/>
      <c r="AH59" s="136"/>
      <c r="AI59" s="50">
        <f t="shared" si="7"/>
        <v>703</v>
      </c>
    </row>
    <row r="60" spans="1:35">
      <c r="A60" s="12">
        <v>44435</v>
      </c>
      <c r="B60" s="8">
        <v>1454546</v>
      </c>
      <c r="C60" s="8">
        <v>1455599</v>
      </c>
      <c r="D60" s="13">
        <f t="shared" si="11"/>
        <v>1053</v>
      </c>
      <c r="E60" s="45"/>
      <c r="F60" s="70"/>
      <c r="G60" s="133">
        <f t="shared" si="1"/>
        <v>0</v>
      </c>
      <c r="H60" s="8">
        <v>138970</v>
      </c>
      <c r="I60" s="8">
        <v>139557</v>
      </c>
      <c r="J60" s="13">
        <f t="shared" si="9"/>
        <v>587</v>
      </c>
      <c r="K60" s="138"/>
      <c r="L60" s="8">
        <v>180800</v>
      </c>
      <c r="M60" s="8">
        <v>181030</v>
      </c>
      <c r="N60" s="13">
        <f t="shared" si="2"/>
        <v>230</v>
      </c>
      <c r="O60" s="136"/>
      <c r="P60" s="8">
        <v>146743</v>
      </c>
      <c r="Q60" s="8">
        <v>147101</v>
      </c>
      <c r="R60" s="133">
        <f t="shared" si="3"/>
        <v>358</v>
      </c>
      <c r="S60" s="8">
        <v>164211</v>
      </c>
      <c r="T60" s="8">
        <v>164268</v>
      </c>
      <c r="U60" s="133">
        <f t="shared" si="13"/>
        <v>57</v>
      </c>
      <c r="V60" s="8">
        <v>202267</v>
      </c>
      <c r="W60" s="8">
        <v>202587</v>
      </c>
      <c r="X60" s="13">
        <f t="shared" si="4"/>
        <v>320</v>
      </c>
      <c r="Y60" s="8">
        <v>7954</v>
      </c>
      <c r="Z60" s="8">
        <v>7985</v>
      </c>
      <c r="AA60" s="13">
        <f t="shared" si="5"/>
        <v>31</v>
      </c>
      <c r="AB60" s="8">
        <v>170345</v>
      </c>
      <c r="AC60" s="8">
        <v>170441</v>
      </c>
      <c r="AD60" s="13">
        <f t="shared" si="12"/>
        <v>96</v>
      </c>
      <c r="AE60" s="135"/>
      <c r="AF60" s="135"/>
      <c r="AG60" s="135"/>
      <c r="AH60" s="136"/>
      <c r="AI60" s="50">
        <f t="shared" si="7"/>
        <v>766</v>
      </c>
    </row>
    <row r="61" spans="1:35">
      <c r="A61" s="12">
        <v>44436</v>
      </c>
      <c r="B61" s="8">
        <v>1455599</v>
      </c>
      <c r="C61" s="8">
        <v>1455599</v>
      </c>
      <c r="D61" s="13">
        <f t="shared" si="11"/>
        <v>0</v>
      </c>
      <c r="E61" s="45"/>
      <c r="F61" s="70"/>
      <c r="G61" s="133">
        <f t="shared" si="1"/>
        <v>0</v>
      </c>
      <c r="H61" s="8">
        <v>139557</v>
      </c>
      <c r="I61" s="8">
        <v>140034</v>
      </c>
      <c r="J61" s="13">
        <f>I61-H61</f>
        <v>477</v>
      </c>
      <c r="K61" s="138"/>
      <c r="L61" s="8">
        <v>181130</v>
      </c>
      <c r="M61" s="8">
        <v>181324</v>
      </c>
      <c r="N61" s="13">
        <f t="shared" si="2"/>
        <v>194</v>
      </c>
      <c r="O61" s="136"/>
      <c r="P61" s="8">
        <v>147101</v>
      </c>
      <c r="Q61" s="8">
        <v>147404</v>
      </c>
      <c r="R61" s="133">
        <f t="shared" si="3"/>
        <v>303</v>
      </c>
      <c r="S61" s="8">
        <v>164268</v>
      </c>
      <c r="T61" s="8">
        <v>164359</v>
      </c>
      <c r="U61" s="133">
        <f t="shared" si="13"/>
        <v>91</v>
      </c>
      <c r="V61" s="8">
        <v>202587</v>
      </c>
      <c r="W61" s="8">
        <v>202944</v>
      </c>
      <c r="X61" s="13">
        <f t="shared" si="4"/>
        <v>357</v>
      </c>
      <c r="Y61" s="8">
        <v>7985</v>
      </c>
      <c r="Z61" s="8">
        <v>8010</v>
      </c>
      <c r="AA61" s="13">
        <f t="shared" si="5"/>
        <v>25</v>
      </c>
      <c r="AB61" s="8">
        <v>170441</v>
      </c>
      <c r="AC61" s="8">
        <v>170459</v>
      </c>
      <c r="AD61" s="13">
        <f t="shared" si="12"/>
        <v>18</v>
      </c>
      <c r="AE61" s="135"/>
      <c r="AF61" s="135"/>
      <c r="AG61" s="135"/>
      <c r="AH61" s="136"/>
      <c r="AI61" s="50">
        <f t="shared" si="7"/>
        <v>776</v>
      </c>
    </row>
    <row r="62" spans="1:35">
      <c r="A62" s="12">
        <v>44437</v>
      </c>
      <c r="B62" s="8">
        <v>1455599</v>
      </c>
      <c r="C62" s="8">
        <v>1456147</v>
      </c>
      <c r="D62" s="13">
        <f t="shared" si="11"/>
        <v>548</v>
      </c>
      <c r="E62" s="45"/>
      <c r="F62" s="70"/>
      <c r="G62" s="133">
        <f t="shared" si="1"/>
        <v>0</v>
      </c>
      <c r="H62" s="8">
        <v>140034</v>
      </c>
      <c r="I62" s="8">
        <v>140677</v>
      </c>
      <c r="J62" s="13">
        <f t="shared" si="9"/>
        <v>643</v>
      </c>
      <c r="K62" s="138"/>
      <c r="L62" s="8">
        <v>181324</v>
      </c>
      <c r="M62" s="8">
        <v>181578</v>
      </c>
      <c r="N62" s="13">
        <f t="shared" si="2"/>
        <v>254</v>
      </c>
      <c r="O62" s="136"/>
      <c r="P62" s="8">
        <v>147404</v>
      </c>
      <c r="Q62" s="8">
        <v>147801</v>
      </c>
      <c r="R62" s="133">
        <f t="shared" si="3"/>
        <v>397</v>
      </c>
      <c r="S62" s="8">
        <v>164359</v>
      </c>
      <c r="T62" s="8">
        <v>164415</v>
      </c>
      <c r="U62" s="133">
        <f t="shared" si="13"/>
        <v>56</v>
      </c>
      <c r="V62" s="8">
        <v>202944</v>
      </c>
      <c r="W62" s="8">
        <v>203128</v>
      </c>
      <c r="X62" s="13">
        <f t="shared" si="4"/>
        <v>184</v>
      </c>
      <c r="Y62" s="8">
        <v>8010</v>
      </c>
      <c r="Z62" s="54">
        <v>8020</v>
      </c>
      <c r="AA62" s="13">
        <f t="shared" si="5"/>
        <v>10</v>
      </c>
      <c r="AB62" s="8">
        <v>170459</v>
      </c>
      <c r="AC62" s="8">
        <v>170549</v>
      </c>
      <c r="AD62" s="13">
        <f t="shared" si="12"/>
        <v>90</v>
      </c>
      <c r="AE62" s="135"/>
      <c r="AF62" s="135"/>
      <c r="AG62" s="135"/>
      <c r="AH62" s="136"/>
      <c r="AI62" s="50">
        <f t="shared" si="7"/>
        <v>647</v>
      </c>
    </row>
    <row r="63" spans="1:35">
      <c r="A63" s="12">
        <v>44438</v>
      </c>
      <c r="B63" s="8">
        <v>1456147</v>
      </c>
      <c r="C63" s="8">
        <v>1457052</v>
      </c>
      <c r="D63" s="13">
        <f t="shared" si="11"/>
        <v>905</v>
      </c>
      <c r="E63" s="45"/>
      <c r="F63" s="70"/>
      <c r="G63" s="133">
        <f t="shared" si="1"/>
        <v>0</v>
      </c>
      <c r="H63" s="8">
        <v>140677</v>
      </c>
      <c r="I63" s="8">
        <v>141372</v>
      </c>
      <c r="J63" s="13">
        <f>I63-H63</f>
        <v>695</v>
      </c>
      <c r="K63" s="138"/>
      <c r="L63" s="8">
        <v>181578</v>
      </c>
      <c r="M63" s="8">
        <v>181928</v>
      </c>
      <c r="N63" s="13">
        <f t="shared" si="2"/>
        <v>350</v>
      </c>
      <c r="O63" s="136"/>
      <c r="P63" s="8">
        <v>147801</v>
      </c>
      <c r="Q63" s="8">
        <v>148211</v>
      </c>
      <c r="R63" s="133">
        <f t="shared" si="3"/>
        <v>410</v>
      </c>
      <c r="S63" s="8">
        <v>164415</v>
      </c>
      <c r="T63" s="8">
        <v>164472</v>
      </c>
      <c r="U63" s="133">
        <f t="shared" si="13"/>
        <v>57</v>
      </c>
      <c r="V63" s="8">
        <v>203128</v>
      </c>
      <c r="W63" s="8">
        <v>203618</v>
      </c>
      <c r="X63" s="13">
        <f t="shared" si="4"/>
        <v>490</v>
      </c>
      <c r="Y63" s="54">
        <v>8020</v>
      </c>
      <c r="Z63" s="8">
        <v>8020</v>
      </c>
      <c r="AA63" s="13">
        <f t="shared" si="5"/>
        <v>0</v>
      </c>
      <c r="AB63" s="8">
        <v>170549</v>
      </c>
      <c r="AC63" s="8">
        <v>170631</v>
      </c>
      <c r="AD63" s="13">
        <f t="shared" si="12"/>
        <v>82</v>
      </c>
      <c r="AE63" s="135"/>
      <c r="AF63" s="135"/>
      <c r="AG63" s="135"/>
      <c r="AH63" s="136"/>
      <c r="AI63" s="50">
        <f t="shared" si="7"/>
        <v>957</v>
      </c>
    </row>
    <row r="64" spans="1:35">
      <c r="A64" s="12">
        <v>44439</v>
      </c>
      <c r="B64" s="8">
        <v>1457052</v>
      </c>
      <c r="C64" s="8">
        <v>1457585</v>
      </c>
      <c r="D64" s="13">
        <f t="shared" si="11"/>
        <v>533</v>
      </c>
      <c r="E64" s="45"/>
      <c r="F64" s="70"/>
      <c r="G64" s="133">
        <f t="shared" si="1"/>
        <v>0</v>
      </c>
      <c r="H64" s="8">
        <v>141372</v>
      </c>
      <c r="I64" s="8">
        <v>141965</v>
      </c>
      <c r="J64" s="13">
        <f t="shared" si="9"/>
        <v>593</v>
      </c>
      <c r="K64" s="138"/>
      <c r="L64" s="8">
        <v>181292</v>
      </c>
      <c r="M64" s="8">
        <v>182319</v>
      </c>
      <c r="N64" s="13">
        <f t="shared" si="2"/>
        <v>1027</v>
      </c>
      <c r="O64" s="136"/>
      <c r="P64" s="8">
        <v>148211</v>
      </c>
      <c r="Q64" s="8">
        <v>148549</v>
      </c>
      <c r="R64" s="133">
        <f t="shared" si="3"/>
        <v>338</v>
      </c>
      <c r="S64" s="8">
        <v>164472</v>
      </c>
      <c r="T64" s="8">
        <v>164519</v>
      </c>
      <c r="U64" s="133">
        <f t="shared" si="13"/>
        <v>47</v>
      </c>
      <c r="V64" s="8">
        <v>203618</v>
      </c>
      <c r="W64" s="8">
        <v>203939</v>
      </c>
      <c r="X64" s="13">
        <f t="shared" si="4"/>
        <v>321</v>
      </c>
      <c r="Y64" s="8">
        <v>8020</v>
      </c>
      <c r="Z64" s="8">
        <v>8064</v>
      </c>
      <c r="AA64" s="13">
        <f t="shared" si="5"/>
        <v>44</v>
      </c>
      <c r="AB64" s="8">
        <v>170631</v>
      </c>
      <c r="AC64" s="8">
        <v>170701</v>
      </c>
      <c r="AD64" s="13">
        <f t="shared" si="12"/>
        <v>70</v>
      </c>
      <c r="AE64" s="135"/>
      <c r="AF64" s="135"/>
      <c r="AG64" s="135"/>
      <c r="AH64" s="136"/>
      <c r="AI64" s="50">
        <f t="shared" si="7"/>
        <v>750</v>
      </c>
    </row>
    <row r="65" spans="1:38">
      <c r="A65" s="12">
        <v>44440</v>
      </c>
      <c r="B65" s="8">
        <v>1457585</v>
      </c>
      <c r="C65" s="8">
        <v>1458875</v>
      </c>
      <c r="D65" s="13">
        <f t="shared" si="11"/>
        <v>1290</v>
      </c>
      <c r="E65" s="45"/>
      <c r="F65" s="70"/>
      <c r="G65" s="133">
        <f t="shared" si="1"/>
        <v>0</v>
      </c>
      <c r="H65" s="8">
        <v>141965</v>
      </c>
      <c r="I65" s="8">
        <v>141965</v>
      </c>
      <c r="J65" s="13">
        <f t="shared" si="9"/>
        <v>0</v>
      </c>
      <c r="K65" s="138"/>
      <c r="L65" s="8">
        <v>182319</v>
      </c>
      <c r="M65" s="8">
        <v>183610</v>
      </c>
      <c r="N65" s="13">
        <f t="shared" si="2"/>
        <v>1291</v>
      </c>
      <c r="O65" s="136"/>
      <c r="P65" s="8">
        <v>148549</v>
      </c>
      <c r="Q65" s="8">
        <v>148989</v>
      </c>
      <c r="R65" s="133">
        <f t="shared" si="3"/>
        <v>440</v>
      </c>
      <c r="S65" s="8">
        <v>164519</v>
      </c>
      <c r="T65" s="8">
        <v>164568</v>
      </c>
      <c r="U65" s="133">
        <f t="shared" si="13"/>
        <v>49</v>
      </c>
      <c r="V65" s="8">
        <v>203939</v>
      </c>
      <c r="W65" s="8">
        <v>204322</v>
      </c>
      <c r="X65" s="13">
        <f t="shared" si="4"/>
        <v>383</v>
      </c>
      <c r="Y65" s="8">
        <v>8064</v>
      </c>
      <c r="Z65" s="54">
        <v>8080</v>
      </c>
      <c r="AA65" s="13">
        <f t="shared" si="5"/>
        <v>16</v>
      </c>
      <c r="AB65" s="8">
        <v>170701</v>
      </c>
      <c r="AC65" s="8">
        <v>170793</v>
      </c>
      <c r="AD65" s="13">
        <f t="shared" si="12"/>
        <v>92</v>
      </c>
      <c r="AE65" s="135"/>
      <c r="AF65" s="135"/>
      <c r="AG65" s="135"/>
      <c r="AH65" s="136"/>
      <c r="AI65" s="50">
        <f t="shared" ref="AI65:AI128" si="14">AA65+U65+R65+O65+X65</f>
        <v>888</v>
      </c>
    </row>
    <row r="66" spans="1:38">
      <c r="A66" s="12">
        <v>44441</v>
      </c>
      <c r="B66" s="8">
        <v>1458875</v>
      </c>
      <c r="C66" s="8">
        <v>1460062</v>
      </c>
      <c r="D66" s="13">
        <f t="shared" si="11"/>
        <v>1187</v>
      </c>
      <c r="E66" s="45"/>
      <c r="F66" s="70"/>
      <c r="G66" s="133">
        <f t="shared" si="1"/>
        <v>0</v>
      </c>
      <c r="H66" s="8">
        <v>141965</v>
      </c>
      <c r="I66" s="8">
        <v>141965</v>
      </c>
      <c r="J66" s="13">
        <f t="shared" si="9"/>
        <v>0</v>
      </c>
      <c r="K66" s="138"/>
      <c r="L66" s="8">
        <v>183610</v>
      </c>
      <c r="M66" s="8">
        <v>184685</v>
      </c>
      <c r="N66" s="13">
        <f t="shared" ref="N66:N129" si="15">M66-L66</f>
        <v>1075</v>
      </c>
      <c r="O66" s="136"/>
      <c r="P66" s="8">
        <v>148989</v>
      </c>
      <c r="Q66" s="8">
        <v>149405</v>
      </c>
      <c r="R66" s="133">
        <f t="shared" si="3"/>
        <v>416</v>
      </c>
      <c r="S66" s="8">
        <v>164568</v>
      </c>
      <c r="T66" s="8">
        <v>164620</v>
      </c>
      <c r="U66" s="133">
        <f>T66-S66</f>
        <v>52</v>
      </c>
      <c r="V66" s="8">
        <v>204322</v>
      </c>
      <c r="W66" s="8">
        <v>204736</v>
      </c>
      <c r="X66" s="13">
        <f t="shared" ref="X66:X71" si="16">W66-V66</f>
        <v>414</v>
      </c>
      <c r="Y66" s="8">
        <v>8080</v>
      </c>
      <c r="Z66" s="54">
        <v>8089</v>
      </c>
      <c r="AA66" s="13">
        <f t="shared" si="5"/>
        <v>9</v>
      </c>
      <c r="AB66" s="8">
        <v>170793</v>
      </c>
      <c r="AC66" s="8">
        <v>170888</v>
      </c>
      <c r="AD66" s="13">
        <f t="shared" si="12"/>
        <v>95</v>
      </c>
      <c r="AE66" s="135"/>
      <c r="AF66" s="135"/>
      <c r="AG66" s="135"/>
      <c r="AH66" s="136"/>
      <c r="AI66" s="50">
        <f t="shared" si="14"/>
        <v>891</v>
      </c>
      <c r="AK66" s="88">
        <v>44264</v>
      </c>
      <c r="AL66" s="8" t="s">
        <v>162</v>
      </c>
    </row>
    <row r="67" spans="1:38">
      <c r="A67" s="12">
        <v>44442</v>
      </c>
      <c r="B67" s="8">
        <v>1460062</v>
      </c>
      <c r="C67" s="8">
        <v>1461218</v>
      </c>
      <c r="D67" s="13">
        <f t="shared" si="11"/>
        <v>1156</v>
      </c>
      <c r="E67" s="45"/>
      <c r="F67" s="70"/>
      <c r="G67" s="133">
        <f t="shared" ref="G67:G130" si="17">F67-E67</f>
        <v>0</v>
      </c>
      <c r="H67" s="8">
        <v>141965</v>
      </c>
      <c r="I67" s="8">
        <v>141965</v>
      </c>
      <c r="J67" s="13">
        <f t="shared" si="9"/>
        <v>0</v>
      </c>
      <c r="K67" s="138"/>
      <c r="L67" s="8">
        <v>184685</v>
      </c>
      <c r="M67" s="8">
        <v>185501</v>
      </c>
      <c r="N67" s="13">
        <f t="shared" si="15"/>
        <v>816</v>
      </c>
      <c r="O67" s="136"/>
      <c r="P67" s="8">
        <v>149405</v>
      </c>
      <c r="Q67" s="8">
        <v>149761</v>
      </c>
      <c r="R67" s="133">
        <f t="shared" si="3"/>
        <v>356</v>
      </c>
      <c r="S67" s="8">
        <v>164620</v>
      </c>
      <c r="T67" s="8">
        <v>164690</v>
      </c>
      <c r="U67" s="133">
        <f t="shared" ref="U67:U116" si="18">T67-S67</f>
        <v>70</v>
      </c>
      <c r="V67" s="8">
        <v>204736</v>
      </c>
      <c r="W67" s="8">
        <v>205033</v>
      </c>
      <c r="X67" s="13">
        <f t="shared" si="16"/>
        <v>297</v>
      </c>
      <c r="Y67" s="54">
        <v>8089</v>
      </c>
      <c r="Z67" s="8">
        <v>8115</v>
      </c>
      <c r="AA67" s="13">
        <f t="shared" si="5"/>
        <v>26</v>
      </c>
      <c r="AB67" s="8">
        <v>170888</v>
      </c>
      <c r="AC67" s="8">
        <v>170990</v>
      </c>
      <c r="AD67" s="13">
        <f t="shared" ref="AD67:AD73" si="19">AC67-AB67</f>
        <v>102</v>
      </c>
      <c r="AE67" s="135"/>
      <c r="AF67" s="135"/>
      <c r="AG67" s="135"/>
      <c r="AH67" s="136"/>
      <c r="AI67" s="50">
        <f t="shared" si="14"/>
        <v>749</v>
      </c>
    </row>
    <row r="68" spans="1:38">
      <c r="A68" s="12">
        <v>44443</v>
      </c>
      <c r="B68" s="8">
        <v>1461218</v>
      </c>
      <c r="C68" s="8">
        <v>1462416</v>
      </c>
      <c r="D68" s="13">
        <f t="shared" si="11"/>
        <v>1198</v>
      </c>
      <c r="E68" s="45"/>
      <c r="F68" s="70"/>
      <c r="G68" s="133">
        <f t="shared" si="17"/>
        <v>0</v>
      </c>
      <c r="H68" s="8">
        <v>141965</v>
      </c>
      <c r="I68" s="8">
        <v>141965</v>
      </c>
      <c r="J68" s="13">
        <f t="shared" si="9"/>
        <v>0</v>
      </c>
      <c r="K68" s="138"/>
      <c r="L68" s="8">
        <v>185501</v>
      </c>
      <c r="M68" s="8">
        <v>186403</v>
      </c>
      <c r="N68" s="13">
        <f t="shared" si="15"/>
        <v>902</v>
      </c>
      <c r="O68" s="136"/>
      <c r="P68" s="8">
        <v>149761</v>
      </c>
      <c r="Q68" s="8">
        <v>149985</v>
      </c>
      <c r="R68" s="133">
        <f t="shared" ref="R68:R100" si="20">Q68-P68</f>
        <v>224</v>
      </c>
      <c r="S68" s="8">
        <v>164690</v>
      </c>
      <c r="T68" s="8">
        <v>164730</v>
      </c>
      <c r="U68" s="133">
        <f t="shared" si="18"/>
        <v>40</v>
      </c>
      <c r="V68" s="8">
        <v>205033</v>
      </c>
      <c r="W68" s="8">
        <v>205288</v>
      </c>
      <c r="X68" s="13">
        <f t="shared" si="16"/>
        <v>255</v>
      </c>
      <c r="Y68" s="8">
        <v>8115</v>
      </c>
      <c r="Z68" s="8">
        <v>8133</v>
      </c>
      <c r="AA68" s="13">
        <f t="shared" ref="AA68:AA96" si="21">Z68-Y68</f>
        <v>18</v>
      </c>
      <c r="AB68" s="8">
        <v>170990</v>
      </c>
      <c r="AC68" s="8">
        <v>171079</v>
      </c>
      <c r="AD68" s="13">
        <f t="shared" si="19"/>
        <v>89</v>
      </c>
      <c r="AE68" s="135"/>
      <c r="AF68" s="135"/>
      <c r="AG68" s="135"/>
      <c r="AH68" s="136"/>
      <c r="AI68" s="50">
        <f t="shared" si="14"/>
        <v>537</v>
      </c>
    </row>
    <row r="69" spans="1:38">
      <c r="A69" s="12">
        <v>44444</v>
      </c>
      <c r="B69" s="8">
        <v>1462416</v>
      </c>
      <c r="C69" s="8">
        <v>1463750</v>
      </c>
      <c r="D69" s="13">
        <f t="shared" si="11"/>
        <v>1334</v>
      </c>
      <c r="E69" s="45"/>
      <c r="F69" s="70"/>
      <c r="G69" s="133">
        <f t="shared" si="17"/>
        <v>0</v>
      </c>
      <c r="H69" s="8">
        <v>141965</v>
      </c>
      <c r="I69" s="8">
        <v>141965</v>
      </c>
      <c r="J69" s="13">
        <f t="shared" si="9"/>
        <v>0</v>
      </c>
      <c r="K69" s="138"/>
      <c r="L69" s="8">
        <v>186403</v>
      </c>
      <c r="M69" s="8">
        <v>187188</v>
      </c>
      <c r="N69" s="13">
        <f t="shared" si="15"/>
        <v>785</v>
      </c>
      <c r="O69" s="136"/>
      <c r="P69" s="8">
        <v>149985</v>
      </c>
      <c r="Q69" s="8">
        <v>150534</v>
      </c>
      <c r="R69" s="133">
        <f t="shared" si="20"/>
        <v>549</v>
      </c>
      <c r="S69" s="8">
        <v>164730</v>
      </c>
      <c r="T69" s="8">
        <v>164755</v>
      </c>
      <c r="U69" s="133">
        <f t="shared" si="18"/>
        <v>25</v>
      </c>
      <c r="V69" s="8">
        <v>205288</v>
      </c>
      <c r="W69" s="8">
        <v>205566</v>
      </c>
      <c r="X69" s="13">
        <f t="shared" si="16"/>
        <v>278</v>
      </c>
      <c r="Y69" s="8">
        <v>8133</v>
      </c>
      <c r="Z69" s="8">
        <v>8152</v>
      </c>
      <c r="AA69" s="13">
        <f t="shared" si="21"/>
        <v>19</v>
      </c>
      <c r="AB69" s="8">
        <v>171079</v>
      </c>
      <c r="AC69" s="8">
        <v>171141</v>
      </c>
      <c r="AD69" s="13">
        <f t="shared" si="19"/>
        <v>62</v>
      </c>
      <c r="AE69" s="135"/>
      <c r="AF69" s="135"/>
      <c r="AG69" s="135"/>
      <c r="AH69" s="136"/>
      <c r="AI69" s="50">
        <f t="shared" si="14"/>
        <v>871</v>
      </c>
    </row>
    <row r="70" spans="1:38">
      <c r="A70" s="12">
        <v>44445</v>
      </c>
      <c r="B70" s="8">
        <v>1463750</v>
      </c>
      <c r="C70" s="8">
        <v>1464828</v>
      </c>
      <c r="D70" s="13">
        <f t="shared" si="11"/>
        <v>1078</v>
      </c>
      <c r="E70" s="45"/>
      <c r="F70" s="70"/>
      <c r="G70" s="133">
        <f t="shared" si="17"/>
        <v>0</v>
      </c>
      <c r="H70" s="8">
        <v>141965</v>
      </c>
      <c r="I70" s="8">
        <v>141965</v>
      </c>
      <c r="J70" s="13">
        <f t="shared" si="9"/>
        <v>0</v>
      </c>
      <c r="K70" s="138"/>
      <c r="L70" s="8">
        <v>187188</v>
      </c>
      <c r="M70" s="8">
        <v>188116</v>
      </c>
      <c r="N70" s="13">
        <f t="shared" si="15"/>
        <v>928</v>
      </c>
      <c r="O70" s="136"/>
      <c r="P70" s="8">
        <v>150534</v>
      </c>
      <c r="Q70" s="8">
        <v>150925</v>
      </c>
      <c r="R70" s="133">
        <f t="shared" si="20"/>
        <v>391</v>
      </c>
      <c r="S70" s="8">
        <v>164755</v>
      </c>
      <c r="T70" s="8">
        <v>164851</v>
      </c>
      <c r="U70" s="133">
        <f t="shared" si="18"/>
        <v>96</v>
      </c>
      <c r="V70" s="8">
        <v>205566</v>
      </c>
      <c r="W70" s="8">
        <v>205999</v>
      </c>
      <c r="X70" s="13">
        <f t="shared" si="16"/>
        <v>433</v>
      </c>
      <c r="Y70" s="8">
        <v>8152</v>
      </c>
      <c r="Z70" s="8">
        <v>8167</v>
      </c>
      <c r="AA70" s="13">
        <f t="shared" si="21"/>
        <v>15</v>
      </c>
      <c r="AB70" s="8">
        <v>171141</v>
      </c>
      <c r="AC70" s="8">
        <v>171217</v>
      </c>
      <c r="AD70" s="13">
        <f t="shared" si="19"/>
        <v>76</v>
      </c>
      <c r="AE70" s="135"/>
      <c r="AF70" s="135"/>
      <c r="AG70" s="135"/>
      <c r="AH70" s="136"/>
      <c r="AI70" s="50">
        <f t="shared" si="14"/>
        <v>935</v>
      </c>
    </row>
    <row r="71" spans="1:38">
      <c r="A71" s="12">
        <v>44446</v>
      </c>
      <c r="B71" s="8">
        <v>1464828</v>
      </c>
      <c r="C71" s="8">
        <v>1465952</v>
      </c>
      <c r="D71" s="13">
        <f t="shared" si="11"/>
        <v>1124</v>
      </c>
      <c r="E71" s="45"/>
      <c r="F71" s="70"/>
      <c r="G71" s="133">
        <f t="shared" si="17"/>
        <v>0</v>
      </c>
      <c r="H71" s="8">
        <v>141965</v>
      </c>
      <c r="I71" s="8">
        <v>141965</v>
      </c>
      <c r="J71" s="13">
        <f t="shared" si="9"/>
        <v>0</v>
      </c>
      <c r="K71" s="138"/>
      <c r="L71" s="8">
        <v>188116</v>
      </c>
      <c r="M71" s="8">
        <v>189051</v>
      </c>
      <c r="N71" s="13">
        <f t="shared" si="15"/>
        <v>935</v>
      </c>
      <c r="O71" s="136"/>
      <c r="P71" s="8">
        <v>150925</v>
      </c>
      <c r="Q71" s="8">
        <v>151283</v>
      </c>
      <c r="R71" s="133">
        <f t="shared" si="20"/>
        <v>358</v>
      </c>
      <c r="S71" s="8">
        <v>164851</v>
      </c>
      <c r="T71" s="8">
        <v>164906</v>
      </c>
      <c r="U71" s="133">
        <f t="shared" si="18"/>
        <v>55</v>
      </c>
      <c r="V71" s="8">
        <v>205999</v>
      </c>
      <c r="W71" s="8">
        <v>206436</v>
      </c>
      <c r="X71" s="13">
        <f t="shared" si="16"/>
        <v>437</v>
      </c>
      <c r="Y71" s="8">
        <v>8167</v>
      </c>
      <c r="Z71" s="8">
        <v>8192</v>
      </c>
      <c r="AA71" s="13">
        <f t="shared" si="21"/>
        <v>25</v>
      </c>
      <c r="AB71" s="8">
        <v>171217</v>
      </c>
      <c r="AC71" s="8">
        <v>171296</v>
      </c>
      <c r="AD71" s="13">
        <f t="shared" si="19"/>
        <v>79</v>
      </c>
      <c r="AE71" s="135"/>
      <c r="AF71" s="135"/>
      <c r="AG71" s="135"/>
      <c r="AH71" s="136"/>
      <c r="AI71" s="50">
        <f t="shared" si="14"/>
        <v>875</v>
      </c>
    </row>
    <row r="72" spans="1:38">
      <c r="A72" s="12">
        <v>44447</v>
      </c>
      <c r="B72" s="8">
        <v>1465952</v>
      </c>
      <c r="C72" s="8">
        <v>1466900</v>
      </c>
      <c r="D72" s="13">
        <f t="shared" si="11"/>
        <v>948</v>
      </c>
      <c r="E72" s="45"/>
      <c r="F72" s="70"/>
      <c r="G72" s="133">
        <f t="shared" si="17"/>
        <v>0</v>
      </c>
      <c r="H72" s="8">
        <v>141965</v>
      </c>
      <c r="I72" s="8">
        <v>142600</v>
      </c>
      <c r="J72" s="13">
        <f t="shared" si="9"/>
        <v>635</v>
      </c>
      <c r="K72" s="138"/>
      <c r="L72" s="8">
        <v>189051</v>
      </c>
      <c r="M72" s="8">
        <v>189457</v>
      </c>
      <c r="N72" s="13">
        <f t="shared" si="15"/>
        <v>406</v>
      </c>
      <c r="O72" s="136"/>
      <c r="P72" s="8">
        <v>151283</v>
      </c>
      <c r="Q72" s="8">
        <v>151651</v>
      </c>
      <c r="R72" s="133">
        <f t="shared" si="20"/>
        <v>368</v>
      </c>
      <c r="S72" s="8">
        <v>164906</v>
      </c>
      <c r="T72" s="8">
        <v>164951</v>
      </c>
      <c r="U72" s="133">
        <f t="shared" si="18"/>
        <v>45</v>
      </c>
      <c r="V72" s="8">
        <v>206436</v>
      </c>
      <c r="W72" s="8">
        <v>206896</v>
      </c>
      <c r="X72" s="13">
        <f t="shared" ref="X72:X135" si="22">W72-V72</f>
        <v>460</v>
      </c>
      <c r="Y72" s="8">
        <v>8192</v>
      </c>
      <c r="Z72" s="8">
        <v>8210</v>
      </c>
      <c r="AA72" s="13">
        <f t="shared" si="21"/>
        <v>18</v>
      </c>
      <c r="AB72" s="8">
        <v>171296</v>
      </c>
      <c r="AC72" s="8">
        <v>171389</v>
      </c>
      <c r="AD72" s="13">
        <f t="shared" si="19"/>
        <v>93</v>
      </c>
      <c r="AE72" s="135"/>
      <c r="AF72" s="135"/>
      <c r="AG72" s="135"/>
      <c r="AH72" s="136"/>
      <c r="AI72" s="50">
        <f t="shared" si="14"/>
        <v>891</v>
      </c>
    </row>
    <row r="73" spans="1:38">
      <c r="A73" s="12">
        <v>44448</v>
      </c>
      <c r="B73" s="8">
        <v>1466900</v>
      </c>
      <c r="C73" s="8">
        <v>1468134</v>
      </c>
      <c r="D73" s="13">
        <f t="shared" si="11"/>
        <v>1234</v>
      </c>
      <c r="E73" s="45"/>
      <c r="F73" s="70"/>
      <c r="G73" s="133">
        <f t="shared" si="17"/>
        <v>0</v>
      </c>
      <c r="H73" s="8">
        <v>142600</v>
      </c>
      <c r="I73" s="8">
        <v>142730</v>
      </c>
      <c r="J73" s="13">
        <f t="shared" si="9"/>
        <v>130</v>
      </c>
      <c r="K73" s="138"/>
      <c r="L73" s="8">
        <v>189457</v>
      </c>
      <c r="M73" s="8">
        <v>190011</v>
      </c>
      <c r="N73" s="13">
        <f t="shared" si="15"/>
        <v>554</v>
      </c>
      <c r="O73" s="136"/>
      <c r="P73" s="8">
        <v>151651</v>
      </c>
      <c r="Q73" s="8">
        <v>151942</v>
      </c>
      <c r="R73" s="133">
        <f t="shared" si="20"/>
        <v>291</v>
      </c>
      <c r="S73" s="8">
        <v>164951</v>
      </c>
      <c r="T73" s="8">
        <v>165010</v>
      </c>
      <c r="U73" s="133">
        <f t="shared" si="18"/>
        <v>59</v>
      </c>
      <c r="V73" s="8">
        <v>206896</v>
      </c>
      <c r="W73" s="8">
        <v>207265</v>
      </c>
      <c r="X73" s="13">
        <f t="shared" si="22"/>
        <v>369</v>
      </c>
      <c r="Y73" s="8">
        <v>8210</v>
      </c>
      <c r="Z73" s="8">
        <v>8228</v>
      </c>
      <c r="AA73" s="13">
        <f t="shared" si="21"/>
        <v>18</v>
      </c>
      <c r="AB73" s="8">
        <v>171389</v>
      </c>
      <c r="AC73" s="8">
        <v>171507</v>
      </c>
      <c r="AD73" s="13">
        <f t="shared" si="19"/>
        <v>118</v>
      </c>
      <c r="AE73" s="135"/>
      <c r="AF73" s="135"/>
      <c r="AG73" s="135"/>
      <c r="AH73" s="136"/>
      <c r="AI73" s="50">
        <f t="shared" si="14"/>
        <v>737</v>
      </c>
    </row>
    <row r="74" spans="1:38">
      <c r="A74" s="12">
        <v>44449</v>
      </c>
      <c r="B74" s="8">
        <v>1468134</v>
      </c>
      <c r="C74" s="8">
        <v>1469401</v>
      </c>
      <c r="D74" s="13">
        <f t="shared" si="11"/>
        <v>1267</v>
      </c>
      <c r="E74" s="45"/>
      <c r="F74" s="70"/>
      <c r="G74" s="133">
        <f t="shared" si="17"/>
        <v>0</v>
      </c>
      <c r="H74" s="8">
        <v>142730</v>
      </c>
      <c r="I74" s="8">
        <v>142730</v>
      </c>
      <c r="J74" s="13">
        <f t="shared" si="9"/>
        <v>0</v>
      </c>
      <c r="K74" s="138"/>
      <c r="L74" s="8">
        <v>190011</v>
      </c>
      <c r="M74" s="8">
        <v>191022</v>
      </c>
      <c r="N74" s="13">
        <f t="shared" si="15"/>
        <v>1011</v>
      </c>
      <c r="O74" s="136"/>
      <c r="P74" s="8">
        <v>151942</v>
      </c>
      <c r="Q74" s="8">
        <v>152250</v>
      </c>
      <c r="R74" s="133">
        <f t="shared" si="20"/>
        <v>308</v>
      </c>
      <c r="S74" s="8">
        <v>165010</v>
      </c>
      <c r="T74" s="8">
        <v>165072</v>
      </c>
      <c r="U74" s="133">
        <f t="shared" si="18"/>
        <v>62</v>
      </c>
      <c r="V74" s="8">
        <v>207265</v>
      </c>
      <c r="W74" s="8">
        <v>207560</v>
      </c>
      <c r="X74" s="13">
        <f t="shared" si="22"/>
        <v>295</v>
      </c>
      <c r="Y74" s="8">
        <v>8228</v>
      </c>
      <c r="Z74" s="8">
        <v>8253</v>
      </c>
      <c r="AA74" s="13">
        <f t="shared" si="21"/>
        <v>25</v>
      </c>
      <c r="AB74" s="8">
        <v>171507</v>
      </c>
      <c r="AC74" s="8">
        <v>171602</v>
      </c>
      <c r="AD74" s="13">
        <v>95</v>
      </c>
      <c r="AE74" s="135"/>
      <c r="AF74" s="135"/>
      <c r="AG74" s="135"/>
      <c r="AH74" s="136"/>
      <c r="AI74" s="50">
        <f t="shared" si="14"/>
        <v>690</v>
      </c>
    </row>
    <row r="75" spans="1:38">
      <c r="A75" s="12">
        <v>44450</v>
      </c>
      <c r="B75" s="8">
        <v>1469401</v>
      </c>
      <c r="C75" s="8">
        <v>1470427</v>
      </c>
      <c r="D75" s="13">
        <f t="shared" si="11"/>
        <v>1026</v>
      </c>
      <c r="E75" s="45"/>
      <c r="F75" s="70"/>
      <c r="G75" s="133">
        <f t="shared" si="17"/>
        <v>0</v>
      </c>
      <c r="H75" s="8">
        <v>142730</v>
      </c>
      <c r="I75" s="8">
        <v>142730</v>
      </c>
      <c r="J75" s="13">
        <f t="shared" si="9"/>
        <v>0</v>
      </c>
      <c r="K75" s="138"/>
      <c r="L75" s="8">
        <v>191022</v>
      </c>
      <c r="M75" s="8">
        <v>191806</v>
      </c>
      <c r="N75" s="13">
        <f t="shared" si="15"/>
        <v>784</v>
      </c>
      <c r="O75" s="136"/>
      <c r="P75" s="8">
        <v>152250</v>
      </c>
      <c r="Q75" s="8">
        <v>152629</v>
      </c>
      <c r="R75" s="133">
        <f t="shared" si="20"/>
        <v>379</v>
      </c>
      <c r="S75" s="8">
        <v>165072</v>
      </c>
      <c r="T75" s="8">
        <v>165144</v>
      </c>
      <c r="U75" s="133">
        <f t="shared" si="18"/>
        <v>72</v>
      </c>
      <c r="V75" s="8">
        <v>207560</v>
      </c>
      <c r="W75" s="8">
        <v>207978</v>
      </c>
      <c r="X75" s="13">
        <f t="shared" si="22"/>
        <v>418</v>
      </c>
      <c r="Y75" s="8">
        <v>8253</v>
      </c>
      <c r="Z75" s="8">
        <v>8282</v>
      </c>
      <c r="AA75" s="13">
        <f t="shared" si="21"/>
        <v>29</v>
      </c>
      <c r="AB75" s="8">
        <v>171602</v>
      </c>
      <c r="AC75" s="8">
        <v>171666</v>
      </c>
      <c r="AD75" s="13">
        <v>64</v>
      </c>
      <c r="AE75" s="135"/>
      <c r="AF75" s="135"/>
      <c r="AG75" s="135"/>
      <c r="AH75" s="136"/>
      <c r="AI75" s="50">
        <f t="shared" si="14"/>
        <v>898</v>
      </c>
    </row>
    <row r="76" spans="1:38">
      <c r="A76" s="12">
        <v>44451</v>
      </c>
      <c r="B76" s="8">
        <v>1470427</v>
      </c>
      <c r="C76" s="8">
        <v>1471514</v>
      </c>
      <c r="D76" s="13">
        <f t="shared" si="11"/>
        <v>1087</v>
      </c>
      <c r="E76" s="45"/>
      <c r="F76" s="70"/>
      <c r="G76" s="133">
        <f t="shared" si="17"/>
        <v>0</v>
      </c>
      <c r="H76" s="8">
        <v>142730</v>
      </c>
      <c r="I76" s="8">
        <v>142730</v>
      </c>
      <c r="J76" s="13">
        <f t="shared" si="9"/>
        <v>0</v>
      </c>
      <c r="K76" s="138"/>
      <c r="L76" s="8">
        <v>191806</v>
      </c>
      <c r="M76" s="8">
        <v>192253</v>
      </c>
      <c r="N76" s="13">
        <f t="shared" si="15"/>
        <v>447</v>
      </c>
      <c r="O76" s="136"/>
      <c r="P76" s="8">
        <v>152629</v>
      </c>
      <c r="Q76" s="8">
        <v>152790</v>
      </c>
      <c r="R76" s="133">
        <f t="shared" si="20"/>
        <v>161</v>
      </c>
      <c r="S76" s="8">
        <v>165144</v>
      </c>
      <c r="T76" s="8">
        <v>165200</v>
      </c>
      <c r="U76" s="133">
        <f t="shared" si="18"/>
        <v>56</v>
      </c>
      <c r="V76" s="8">
        <v>207978</v>
      </c>
      <c r="W76" s="8">
        <v>208354</v>
      </c>
      <c r="X76" s="13">
        <f t="shared" si="22"/>
        <v>376</v>
      </c>
      <c r="Y76" s="8">
        <v>8282</v>
      </c>
      <c r="Z76" s="8">
        <v>8304</v>
      </c>
      <c r="AA76" s="13">
        <f t="shared" si="21"/>
        <v>22</v>
      </c>
      <c r="AB76" s="8">
        <v>171666</v>
      </c>
      <c r="AC76" s="8">
        <v>171726</v>
      </c>
      <c r="AD76" s="13">
        <v>60</v>
      </c>
      <c r="AE76" s="135"/>
      <c r="AF76" s="135"/>
      <c r="AG76" s="135"/>
      <c r="AH76" s="136"/>
      <c r="AI76" s="50">
        <f t="shared" si="14"/>
        <v>615</v>
      </c>
    </row>
    <row r="77" spans="1:38">
      <c r="A77" s="12">
        <v>44452</v>
      </c>
      <c r="B77" s="8">
        <v>1471514</v>
      </c>
      <c r="C77" s="8">
        <v>1472626</v>
      </c>
      <c r="D77" s="13">
        <f t="shared" si="11"/>
        <v>1112</v>
      </c>
      <c r="E77" s="45"/>
      <c r="F77" s="70"/>
      <c r="G77" s="133">
        <f t="shared" si="17"/>
        <v>0</v>
      </c>
      <c r="H77" s="8">
        <v>142730</v>
      </c>
      <c r="I77" s="8">
        <v>142730</v>
      </c>
      <c r="J77" s="13">
        <f t="shared" si="9"/>
        <v>0</v>
      </c>
      <c r="K77" s="138"/>
      <c r="L77" s="8">
        <v>192253</v>
      </c>
      <c r="M77" s="8">
        <v>193290</v>
      </c>
      <c r="N77" s="13">
        <f t="shared" si="15"/>
        <v>1037</v>
      </c>
      <c r="O77" s="136"/>
      <c r="P77" s="8">
        <v>152790</v>
      </c>
      <c r="Q77" s="8">
        <v>153112</v>
      </c>
      <c r="R77" s="133">
        <f t="shared" si="20"/>
        <v>322</v>
      </c>
      <c r="S77" s="8">
        <v>165200</v>
      </c>
      <c r="T77" s="8">
        <v>165271</v>
      </c>
      <c r="U77" s="133">
        <f t="shared" si="18"/>
        <v>71</v>
      </c>
      <c r="V77" s="8">
        <v>208354</v>
      </c>
      <c r="W77" s="8">
        <v>208685</v>
      </c>
      <c r="X77" s="13">
        <f t="shared" si="22"/>
        <v>331</v>
      </c>
      <c r="Y77" s="8">
        <v>8304</v>
      </c>
      <c r="Z77" s="8">
        <v>8325</v>
      </c>
      <c r="AA77" s="13">
        <f t="shared" si="21"/>
        <v>21</v>
      </c>
      <c r="AB77" s="8">
        <v>171726</v>
      </c>
      <c r="AC77" s="8">
        <v>171800</v>
      </c>
      <c r="AD77" s="13">
        <v>74</v>
      </c>
      <c r="AE77" s="135"/>
      <c r="AF77" s="135"/>
      <c r="AG77" s="135"/>
      <c r="AH77" s="136"/>
      <c r="AI77" s="50">
        <f t="shared" si="14"/>
        <v>745</v>
      </c>
    </row>
    <row r="78" spans="1:38">
      <c r="A78" s="12">
        <v>44453</v>
      </c>
      <c r="B78" s="8">
        <v>1472626</v>
      </c>
      <c r="C78" s="8">
        <v>1473683</v>
      </c>
      <c r="D78" s="13">
        <f t="shared" si="11"/>
        <v>1057</v>
      </c>
      <c r="E78" s="45"/>
      <c r="F78" s="70"/>
      <c r="G78" s="133">
        <f t="shared" si="17"/>
        <v>0</v>
      </c>
      <c r="H78" s="8">
        <v>142730</v>
      </c>
      <c r="I78" s="8">
        <v>143135</v>
      </c>
      <c r="J78" s="13">
        <f t="shared" si="9"/>
        <v>405</v>
      </c>
      <c r="K78" s="138"/>
      <c r="L78" s="8">
        <v>193290</v>
      </c>
      <c r="M78" s="8">
        <v>193996</v>
      </c>
      <c r="N78" s="13">
        <f t="shared" si="15"/>
        <v>706</v>
      </c>
      <c r="O78" s="136"/>
      <c r="P78" s="8">
        <v>153112</v>
      </c>
      <c r="Q78" s="8">
        <v>153637</v>
      </c>
      <c r="R78" s="133">
        <f t="shared" si="20"/>
        <v>525</v>
      </c>
      <c r="S78" s="8">
        <v>165271</v>
      </c>
      <c r="T78" s="8">
        <v>165341</v>
      </c>
      <c r="U78" s="133">
        <f t="shared" si="18"/>
        <v>70</v>
      </c>
      <c r="V78" s="8">
        <v>208685</v>
      </c>
      <c r="W78" s="8">
        <v>209097</v>
      </c>
      <c r="X78" s="13">
        <f t="shared" si="22"/>
        <v>412</v>
      </c>
      <c r="Y78" s="8">
        <v>8325</v>
      </c>
      <c r="Z78" s="8">
        <v>8349</v>
      </c>
      <c r="AA78" s="13">
        <f t="shared" si="21"/>
        <v>24</v>
      </c>
      <c r="AB78" s="8">
        <v>171800</v>
      </c>
      <c r="AC78" s="8">
        <v>171885</v>
      </c>
      <c r="AD78" s="13">
        <v>85</v>
      </c>
      <c r="AE78" s="135"/>
      <c r="AF78" s="135"/>
      <c r="AG78" s="135"/>
      <c r="AH78" s="136"/>
      <c r="AI78" s="50">
        <f t="shared" si="14"/>
        <v>1031</v>
      </c>
    </row>
    <row r="79" spans="1:38">
      <c r="A79" s="12">
        <v>44454</v>
      </c>
      <c r="B79" s="8">
        <v>1473683</v>
      </c>
      <c r="C79" s="8">
        <v>1474824</v>
      </c>
      <c r="D79" s="13">
        <f t="shared" si="11"/>
        <v>1141</v>
      </c>
      <c r="E79" s="45"/>
      <c r="F79" s="70"/>
      <c r="G79" s="133">
        <f t="shared" si="17"/>
        <v>0</v>
      </c>
      <c r="H79" s="8">
        <v>143135</v>
      </c>
      <c r="I79" s="8">
        <v>143522</v>
      </c>
      <c r="J79" s="13">
        <f t="shared" si="9"/>
        <v>387</v>
      </c>
      <c r="K79" s="138"/>
      <c r="L79" s="8">
        <v>193996</v>
      </c>
      <c r="M79" s="8">
        <v>194772</v>
      </c>
      <c r="N79" s="13">
        <f t="shared" si="15"/>
        <v>776</v>
      </c>
      <c r="O79" s="136"/>
      <c r="P79" s="8">
        <v>153637</v>
      </c>
      <c r="Q79" s="8">
        <v>154011</v>
      </c>
      <c r="R79" s="133">
        <f t="shared" si="20"/>
        <v>374</v>
      </c>
      <c r="S79" s="8">
        <v>165341</v>
      </c>
      <c r="T79" s="8">
        <v>165397</v>
      </c>
      <c r="U79" s="133">
        <f t="shared" si="18"/>
        <v>56</v>
      </c>
      <c r="V79" s="8">
        <v>209097</v>
      </c>
      <c r="W79" s="8">
        <v>209487</v>
      </c>
      <c r="X79" s="13">
        <f t="shared" si="22"/>
        <v>390</v>
      </c>
      <c r="Y79" s="8">
        <v>8349</v>
      </c>
      <c r="Z79" s="8">
        <v>8364</v>
      </c>
      <c r="AA79" s="13">
        <f t="shared" si="21"/>
        <v>15</v>
      </c>
      <c r="AB79" s="8">
        <v>171885</v>
      </c>
      <c r="AC79" s="8">
        <v>171956</v>
      </c>
      <c r="AD79" s="13">
        <v>71</v>
      </c>
      <c r="AE79" s="135"/>
      <c r="AF79" s="135"/>
      <c r="AG79" s="135"/>
      <c r="AH79" s="136"/>
      <c r="AI79" s="50">
        <f t="shared" si="14"/>
        <v>835</v>
      </c>
    </row>
    <row r="80" spans="1:38">
      <c r="A80" s="12">
        <v>44455</v>
      </c>
      <c r="B80" s="8">
        <v>1474824</v>
      </c>
      <c r="C80" s="8">
        <v>1476009</v>
      </c>
      <c r="D80" s="13">
        <f t="shared" si="11"/>
        <v>1185</v>
      </c>
      <c r="E80" s="45"/>
      <c r="F80" s="70"/>
      <c r="G80" s="133">
        <f t="shared" si="17"/>
        <v>0</v>
      </c>
      <c r="H80" s="8">
        <v>143522</v>
      </c>
      <c r="I80" s="8">
        <v>144268</v>
      </c>
      <c r="J80" s="13">
        <f>I80-H80</f>
        <v>746</v>
      </c>
      <c r="K80" s="138"/>
      <c r="L80" s="8">
        <v>194772</v>
      </c>
      <c r="M80" s="8">
        <v>195136</v>
      </c>
      <c r="N80" s="13">
        <f t="shared" si="15"/>
        <v>364</v>
      </c>
      <c r="O80" s="136"/>
      <c r="P80" s="8">
        <v>154011</v>
      </c>
      <c r="Q80" s="8">
        <v>154370</v>
      </c>
      <c r="R80" s="133">
        <f t="shared" si="20"/>
        <v>359</v>
      </c>
      <c r="S80" s="8">
        <v>165397</v>
      </c>
      <c r="T80" s="8">
        <v>165446</v>
      </c>
      <c r="U80" s="133">
        <f t="shared" si="18"/>
        <v>49</v>
      </c>
      <c r="V80" s="8">
        <v>209487</v>
      </c>
      <c r="W80" s="8">
        <v>209931</v>
      </c>
      <c r="X80" s="13">
        <f t="shared" si="22"/>
        <v>444</v>
      </c>
      <c r="Y80" s="8">
        <v>8364</v>
      </c>
      <c r="Z80" s="8">
        <v>8380</v>
      </c>
      <c r="AA80" s="13">
        <f t="shared" si="21"/>
        <v>16</v>
      </c>
      <c r="AB80" s="8">
        <v>171956</v>
      </c>
      <c r="AC80" s="8">
        <v>172030</v>
      </c>
      <c r="AD80" s="13">
        <v>74</v>
      </c>
      <c r="AE80" s="135"/>
      <c r="AF80" s="135"/>
      <c r="AG80" s="135"/>
      <c r="AH80" s="136"/>
      <c r="AI80" s="50">
        <f t="shared" si="14"/>
        <v>868</v>
      </c>
    </row>
    <row r="81" spans="1:35">
      <c r="A81" s="12">
        <v>44456</v>
      </c>
      <c r="B81" s="8">
        <v>1476009</v>
      </c>
      <c r="C81" s="8">
        <v>1477139</v>
      </c>
      <c r="D81" s="13">
        <f t="shared" si="11"/>
        <v>1130</v>
      </c>
      <c r="E81" s="45"/>
      <c r="F81" s="70"/>
      <c r="G81" s="133">
        <f t="shared" si="17"/>
        <v>0</v>
      </c>
      <c r="H81" s="8">
        <v>144268</v>
      </c>
      <c r="I81" s="8">
        <v>144268</v>
      </c>
      <c r="J81" s="13">
        <f t="shared" si="9"/>
        <v>0</v>
      </c>
      <c r="K81" s="138"/>
      <c r="L81" s="8">
        <v>195136</v>
      </c>
      <c r="M81" s="8">
        <v>196302</v>
      </c>
      <c r="N81" s="13">
        <f t="shared" si="15"/>
        <v>1166</v>
      </c>
      <c r="O81" s="136"/>
      <c r="P81" s="8">
        <v>154370</v>
      </c>
      <c r="Q81" s="8">
        <v>154946</v>
      </c>
      <c r="R81" s="133">
        <f t="shared" si="20"/>
        <v>576</v>
      </c>
      <c r="S81" s="8">
        <v>165446</v>
      </c>
      <c r="T81" s="8">
        <v>165501</v>
      </c>
      <c r="U81" s="133">
        <f t="shared" si="18"/>
        <v>55</v>
      </c>
      <c r="V81" s="8">
        <v>209931</v>
      </c>
      <c r="W81" s="8">
        <v>210457</v>
      </c>
      <c r="X81" s="13">
        <f t="shared" si="22"/>
        <v>526</v>
      </c>
      <c r="Y81" s="8">
        <v>8380</v>
      </c>
      <c r="Z81" s="8">
        <v>8403</v>
      </c>
      <c r="AA81" s="13">
        <f t="shared" si="21"/>
        <v>23</v>
      </c>
      <c r="AB81" s="8">
        <v>172030</v>
      </c>
      <c r="AC81" s="8">
        <v>172081</v>
      </c>
      <c r="AD81" s="13">
        <v>51</v>
      </c>
      <c r="AE81" s="135"/>
      <c r="AF81" s="135"/>
      <c r="AG81" s="135"/>
      <c r="AH81" s="136"/>
      <c r="AI81" s="50">
        <f t="shared" si="14"/>
        <v>1180</v>
      </c>
    </row>
    <row r="82" spans="1:35">
      <c r="A82" s="12">
        <v>44457</v>
      </c>
      <c r="B82" s="8">
        <v>1477139</v>
      </c>
      <c r="C82" s="8">
        <v>1478483</v>
      </c>
      <c r="D82" s="13">
        <f t="shared" si="11"/>
        <v>1344</v>
      </c>
      <c r="E82" s="45"/>
      <c r="F82" s="70"/>
      <c r="G82" s="133">
        <f t="shared" si="17"/>
        <v>0</v>
      </c>
      <c r="H82" s="8">
        <v>144268</v>
      </c>
      <c r="I82" s="8">
        <v>144268</v>
      </c>
      <c r="J82" s="13">
        <f t="shared" ref="J82:J145" si="23">I82-H82</f>
        <v>0</v>
      </c>
      <c r="K82" s="138"/>
      <c r="L82" s="8">
        <v>196302</v>
      </c>
      <c r="M82" s="8">
        <v>197176</v>
      </c>
      <c r="N82" s="13">
        <f t="shared" si="15"/>
        <v>874</v>
      </c>
      <c r="O82" s="136"/>
      <c r="P82" s="8">
        <v>154946</v>
      </c>
      <c r="Q82" s="8">
        <v>155261</v>
      </c>
      <c r="R82" s="133">
        <f t="shared" si="20"/>
        <v>315</v>
      </c>
      <c r="S82" s="8">
        <v>165501</v>
      </c>
      <c r="T82" s="8">
        <v>165554</v>
      </c>
      <c r="U82" s="133">
        <f t="shared" si="18"/>
        <v>53</v>
      </c>
      <c r="V82" s="8">
        <v>210457</v>
      </c>
      <c r="W82" s="8">
        <v>210708</v>
      </c>
      <c r="X82" s="13">
        <f t="shared" si="22"/>
        <v>251</v>
      </c>
      <c r="Y82" s="8">
        <v>8403</v>
      </c>
      <c r="Z82" s="8">
        <v>8414</v>
      </c>
      <c r="AA82" s="13">
        <f t="shared" si="21"/>
        <v>11</v>
      </c>
      <c r="AB82" s="8">
        <v>172081</v>
      </c>
      <c r="AC82" s="8">
        <v>172208</v>
      </c>
      <c r="AD82" s="13">
        <v>127</v>
      </c>
      <c r="AE82" s="135"/>
      <c r="AF82" s="135"/>
      <c r="AG82" s="135"/>
      <c r="AH82" s="136"/>
      <c r="AI82" s="50">
        <f t="shared" si="14"/>
        <v>630</v>
      </c>
    </row>
    <row r="83" spans="1:35">
      <c r="A83" s="12">
        <v>44458</v>
      </c>
      <c r="B83" s="8">
        <v>1478483</v>
      </c>
      <c r="C83" s="8">
        <v>1479708</v>
      </c>
      <c r="D83" s="13">
        <f t="shared" si="11"/>
        <v>1225</v>
      </c>
      <c r="E83" s="45"/>
      <c r="F83" s="70"/>
      <c r="G83" s="133">
        <f t="shared" si="17"/>
        <v>0</v>
      </c>
      <c r="H83" s="8">
        <v>144268</v>
      </c>
      <c r="I83" s="8">
        <v>144268</v>
      </c>
      <c r="J83" s="13">
        <f t="shared" si="23"/>
        <v>0</v>
      </c>
      <c r="K83" s="138"/>
      <c r="L83" s="8">
        <v>197176</v>
      </c>
      <c r="M83" s="8">
        <v>198314</v>
      </c>
      <c r="N83" s="13">
        <f t="shared" si="15"/>
        <v>1138</v>
      </c>
      <c r="O83" s="136"/>
      <c r="P83" s="8">
        <v>155261</v>
      </c>
      <c r="Q83" s="8">
        <v>155599</v>
      </c>
      <c r="R83" s="133">
        <f t="shared" si="20"/>
        <v>338</v>
      </c>
      <c r="S83" s="8">
        <v>165554</v>
      </c>
      <c r="T83" s="8">
        <v>165590</v>
      </c>
      <c r="U83" s="133">
        <f t="shared" si="18"/>
        <v>36</v>
      </c>
      <c r="V83" s="8">
        <v>210708</v>
      </c>
      <c r="W83" s="8">
        <v>211061</v>
      </c>
      <c r="X83" s="13">
        <f t="shared" si="22"/>
        <v>353</v>
      </c>
      <c r="Y83" s="8">
        <v>8414</v>
      </c>
      <c r="Z83" s="8">
        <v>8431</v>
      </c>
      <c r="AA83" s="13">
        <f t="shared" si="21"/>
        <v>17</v>
      </c>
      <c r="AB83" s="8">
        <v>172208</v>
      </c>
      <c r="AC83" s="8">
        <v>172300</v>
      </c>
      <c r="AD83" s="13">
        <v>92</v>
      </c>
      <c r="AE83" s="135"/>
      <c r="AF83" s="135"/>
      <c r="AG83" s="135"/>
      <c r="AH83" s="136"/>
      <c r="AI83" s="50">
        <f t="shared" si="14"/>
        <v>744</v>
      </c>
    </row>
    <row r="84" spans="1:35">
      <c r="A84" s="12">
        <v>44459</v>
      </c>
      <c r="B84" s="8">
        <v>1479708</v>
      </c>
      <c r="C84" s="8">
        <v>1480982</v>
      </c>
      <c r="D84" s="13">
        <f t="shared" si="11"/>
        <v>1274</v>
      </c>
      <c r="E84" s="45"/>
      <c r="F84" s="70"/>
      <c r="G84" s="133">
        <f t="shared" si="17"/>
        <v>0</v>
      </c>
      <c r="H84" s="8">
        <v>144268</v>
      </c>
      <c r="I84" s="8">
        <v>144268</v>
      </c>
      <c r="J84" s="13">
        <f t="shared" si="23"/>
        <v>0</v>
      </c>
      <c r="K84" s="138"/>
      <c r="L84" s="8">
        <v>198314</v>
      </c>
      <c r="M84" s="8">
        <v>199214</v>
      </c>
      <c r="N84" s="13">
        <f t="shared" si="15"/>
        <v>900</v>
      </c>
      <c r="O84" s="136"/>
      <c r="P84" s="8">
        <v>155599</v>
      </c>
      <c r="Q84" s="8">
        <v>155913</v>
      </c>
      <c r="R84" s="133">
        <f t="shared" si="20"/>
        <v>314</v>
      </c>
      <c r="S84" s="8">
        <v>165590</v>
      </c>
      <c r="T84" s="8">
        <v>165647</v>
      </c>
      <c r="U84" s="133">
        <f t="shared" si="18"/>
        <v>57</v>
      </c>
      <c r="V84" s="8">
        <v>211061</v>
      </c>
      <c r="W84" s="8">
        <v>211547</v>
      </c>
      <c r="X84" s="13">
        <f t="shared" si="22"/>
        <v>486</v>
      </c>
      <c r="Y84" s="8">
        <v>8431</v>
      </c>
      <c r="Z84" s="8">
        <v>8454</v>
      </c>
      <c r="AA84" s="13">
        <f t="shared" si="21"/>
        <v>23</v>
      </c>
      <c r="AB84" s="8">
        <v>172300</v>
      </c>
      <c r="AC84" s="8">
        <v>172383</v>
      </c>
      <c r="AD84" s="13">
        <v>83</v>
      </c>
      <c r="AE84" s="135"/>
      <c r="AF84" s="135"/>
      <c r="AG84" s="135"/>
      <c r="AH84" s="136"/>
      <c r="AI84" s="50">
        <f t="shared" si="14"/>
        <v>880</v>
      </c>
    </row>
    <row r="85" spans="1:35">
      <c r="A85" s="12">
        <v>44460</v>
      </c>
      <c r="B85" s="8">
        <v>1480982</v>
      </c>
      <c r="C85" s="8">
        <v>1482238</v>
      </c>
      <c r="D85" s="13">
        <f t="shared" si="11"/>
        <v>1256</v>
      </c>
      <c r="E85" s="45"/>
      <c r="F85" s="70"/>
      <c r="G85" s="133">
        <f t="shared" si="17"/>
        <v>0</v>
      </c>
      <c r="H85" s="8">
        <v>144268</v>
      </c>
      <c r="I85" s="8">
        <v>144268</v>
      </c>
      <c r="J85" s="13">
        <f t="shared" si="23"/>
        <v>0</v>
      </c>
      <c r="K85" s="138"/>
      <c r="L85" s="8">
        <v>199214</v>
      </c>
      <c r="M85" s="8">
        <v>200326</v>
      </c>
      <c r="N85" s="13">
        <f t="shared" si="15"/>
        <v>1112</v>
      </c>
      <c r="O85" s="136"/>
      <c r="P85" s="8">
        <v>155913</v>
      </c>
      <c r="Q85" s="8">
        <v>156281</v>
      </c>
      <c r="R85" s="133">
        <f t="shared" si="20"/>
        <v>368</v>
      </c>
      <c r="S85" s="8">
        <v>165647</v>
      </c>
      <c r="T85" s="8">
        <v>165690</v>
      </c>
      <c r="U85" s="133">
        <f t="shared" si="18"/>
        <v>43</v>
      </c>
      <c r="V85" s="8">
        <v>211547</v>
      </c>
      <c r="W85" s="8">
        <v>211875</v>
      </c>
      <c r="X85" s="13">
        <f t="shared" si="22"/>
        <v>328</v>
      </c>
      <c r="Y85" s="8">
        <v>8454</v>
      </c>
      <c r="Z85" s="8">
        <v>8475</v>
      </c>
      <c r="AA85" s="13">
        <f t="shared" si="21"/>
        <v>21</v>
      </c>
      <c r="AB85" s="8">
        <v>172383</v>
      </c>
      <c r="AC85" s="8">
        <v>172383</v>
      </c>
      <c r="AD85" s="13">
        <v>0</v>
      </c>
      <c r="AE85" s="135"/>
      <c r="AF85" s="135"/>
      <c r="AG85" s="135"/>
      <c r="AH85" s="136"/>
      <c r="AI85" s="50">
        <f t="shared" si="14"/>
        <v>760</v>
      </c>
    </row>
    <row r="86" spans="1:35">
      <c r="A86" s="12">
        <v>44461</v>
      </c>
      <c r="B86" s="8">
        <v>1482238</v>
      </c>
      <c r="C86" s="8">
        <v>1483355</v>
      </c>
      <c r="D86" s="13">
        <f t="shared" si="11"/>
        <v>1117</v>
      </c>
      <c r="E86" s="45"/>
      <c r="F86" s="70"/>
      <c r="G86" s="133">
        <f t="shared" si="17"/>
        <v>0</v>
      </c>
      <c r="H86" s="8">
        <v>144268</v>
      </c>
      <c r="I86" s="8">
        <v>144268</v>
      </c>
      <c r="J86" s="13">
        <f t="shared" si="23"/>
        <v>0</v>
      </c>
      <c r="K86" s="138"/>
      <c r="L86" s="8">
        <v>200326</v>
      </c>
      <c r="M86" s="8">
        <v>201126</v>
      </c>
      <c r="N86" s="13">
        <f t="shared" si="15"/>
        <v>800</v>
      </c>
      <c r="O86" s="136"/>
      <c r="P86" s="8">
        <v>156281</v>
      </c>
      <c r="Q86" s="8">
        <v>156603</v>
      </c>
      <c r="R86" s="133">
        <f t="shared" si="20"/>
        <v>322</v>
      </c>
      <c r="S86" s="8">
        <v>165690</v>
      </c>
      <c r="T86" s="8">
        <v>165734</v>
      </c>
      <c r="U86" s="133">
        <f t="shared" si="18"/>
        <v>44</v>
      </c>
      <c r="V86" s="8">
        <v>211875</v>
      </c>
      <c r="W86" s="8">
        <v>212314</v>
      </c>
      <c r="X86" s="13">
        <f t="shared" si="22"/>
        <v>439</v>
      </c>
      <c r="Y86" s="8">
        <v>8475</v>
      </c>
      <c r="Z86" s="8">
        <v>8490</v>
      </c>
      <c r="AA86" s="13">
        <f t="shared" si="21"/>
        <v>15</v>
      </c>
      <c r="AB86" s="8">
        <v>172383</v>
      </c>
      <c r="AC86" s="8">
        <v>172383</v>
      </c>
      <c r="AD86" s="13">
        <v>0</v>
      </c>
      <c r="AE86" s="135"/>
      <c r="AF86" s="135"/>
      <c r="AG86" s="135"/>
      <c r="AH86" s="136"/>
      <c r="AI86" s="50">
        <f t="shared" si="14"/>
        <v>820</v>
      </c>
    </row>
    <row r="87" spans="1:35">
      <c r="A87" s="12">
        <v>44462</v>
      </c>
      <c r="B87" s="8">
        <v>1483355</v>
      </c>
      <c r="C87" s="8">
        <v>1484731</v>
      </c>
      <c r="D87" s="13">
        <f t="shared" si="11"/>
        <v>1376</v>
      </c>
      <c r="E87" s="45"/>
      <c r="F87" s="70"/>
      <c r="G87" s="133">
        <f t="shared" si="17"/>
        <v>0</v>
      </c>
      <c r="H87" s="8">
        <v>144268</v>
      </c>
      <c r="I87" s="8">
        <v>144268</v>
      </c>
      <c r="J87" s="13">
        <f t="shared" si="23"/>
        <v>0</v>
      </c>
      <c r="K87" s="138"/>
      <c r="L87" s="8">
        <v>201126</v>
      </c>
      <c r="M87" s="8">
        <v>202129</v>
      </c>
      <c r="N87" s="13">
        <f t="shared" si="15"/>
        <v>1003</v>
      </c>
      <c r="O87" s="136"/>
      <c r="P87" s="8">
        <v>156603</v>
      </c>
      <c r="Q87" s="8">
        <v>156918</v>
      </c>
      <c r="R87" s="133">
        <f t="shared" si="20"/>
        <v>315</v>
      </c>
      <c r="S87" s="8">
        <v>165734</v>
      </c>
      <c r="T87" s="8">
        <v>165775</v>
      </c>
      <c r="U87" s="133">
        <f t="shared" si="18"/>
        <v>41</v>
      </c>
      <c r="V87" s="8">
        <v>212314</v>
      </c>
      <c r="W87" s="8">
        <v>212505</v>
      </c>
      <c r="X87" s="13">
        <f t="shared" si="22"/>
        <v>191</v>
      </c>
      <c r="Y87" s="8">
        <v>8490</v>
      </c>
      <c r="Z87" s="8">
        <v>8506</v>
      </c>
      <c r="AA87" s="13">
        <f t="shared" si="21"/>
        <v>16</v>
      </c>
      <c r="AB87" s="8">
        <v>172383</v>
      </c>
      <c r="AC87" s="8">
        <v>172396</v>
      </c>
      <c r="AD87" s="13">
        <v>13</v>
      </c>
      <c r="AE87" s="135"/>
      <c r="AF87" s="135"/>
      <c r="AG87" s="135"/>
      <c r="AH87" s="136"/>
      <c r="AI87" s="50">
        <f t="shared" si="14"/>
        <v>563</v>
      </c>
    </row>
    <row r="88" spans="1:35">
      <c r="A88" s="12">
        <v>44463</v>
      </c>
      <c r="B88" s="8">
        <v>1484731</v>
      </c>
      <c r="C88" s="8">
        <v>1485823</v>
      </c>
      <c r="D88" s="13">
        <f t="shared" si="11"/>
        <v>1092</v>
      </c>
      <c r="E88" s="45"/>
      <c r="F88" s="70"/>
      <c r="G88" s="133">
        <f t="shared" si="17"/>
        <v>0</v>
      </c>
      <c r="H88" s="8">
        <v>144268</v>
      </c>
      <c r="I88" s="8">
        <v>144268</v>
      </c>
      <c r="J88" s="13">
        <f t="shared" si="23"/>
        <v>0</v>
      </c>
      <c r="K88" s="138"/>
      <c r="L88" s="8">
        <v>202129</v>
      </c>
      <c r="M88" s="8">
        <v>203218</v>
      </c>
      <c r="N88" s="13">
        <f t="shared" si="15"/>
        <v>1089</v>
      </c>
      <c r="O88" s="136"/>
      <c r="P88" s="8">
        <v>156918</v>
      </c>
      <c r="Q88" s="8">
        <v>157288</v>
      </c>
      <c r="R88" s="133">
        <f t="shared" si="20"/>
        <v>370</v>
      </c>
      <c r="S88" s="8">
        <v>165775</v>
      </c>
      <c r="T88" s="8">
        <v>165829</v>
      </c>
      <c r="U88" s="133">
        <f t="shared" si="18"/>
        <v>54</v>
      </c>
      <c r="V88" s="8">
        <v>212505</v>
      </c>
      <c r="W88" s="8">
        <v>212830</v>
      </c>
      <c r="X88" s="13">
        <f t="shared" si="22"/>
        <v>325</v>
      </c>
      <c r="Y88" s="8">
        <v>8506</v>
      </c>
      <c r="Z88" s="8">
        <v>8529</v>
      </c>
      <c r="AA88" s="13">
        <f t="shared" si="21"/>
        <v>23</v>
      </c>
      <c r="AB88" s="8">
        <v>172396</v>
      </c>
      <c r="AC88" s="8">
        <v>172426</v>
      </c>
      <c r="AD88" s="13">
        <v>33</v>
      </c>
      <c r="AE88" s="135"/>
      <c r="AF88" s="135"/>
      <c r="AG88" s="135"/>
      <c r="AH88" s="136"/>
      <c r="AI88" s="50">
        <f t="shared" si="14"/>
        <v>772</v>
      </c>
    </row>
    <row r="89" spans="1:35">
      <c r="A89" s="12">
        <v>44464</v>
      </c>
      <c r="B89" s="8">
        <v>1485823</v>
      </c>
      <c r="C89" s="8">
        <v>1486978</v>
      </c>
      <c r="D89" s="13">
        <f t="shared" ref="D89:D152" si="24">C89-B89</f>
        <v>1155</v>
      </c>
      <c r="E89" s="45"/>
      <c r="F89" s="70"/>
      <c r="G89" s="133">
        <f t="shared" si="17"/>
        <v>0</v>
      </c>
      <c r="H89" s="8">
        <v>144268</v>
      </c>
      <c r="I89" s="8">
        <v>144268</v>
      </c>
      <c r="J89" s="13">
        <f t="shared" si="23"/>
        <v>0</v>
      </c>
      <c r="K89" s="138"/>
      <c r="L89" s="8">
        <v>203218</v>
      </c>
      <c r="M89" s="8">
        <v>203894</v>
      </c>
      <c r="N89" s="13">
        <f t="shared" si="15"/>
        <v>676</v>
      </c>
      <c r="O89" s="136"/>
      <c r="P89" s="8">
        <v>157288</v>
      </c>
      <c r="Q89" s="8">
        <v>157574</v>
      </c>
      <c r="R89" s="133">
        <f t="shared" si="20"/>
        <v>286</v>
      </c>
      <c r="S89" s="8">
        <v>165829</v>
      </c>
      <c r="T89" s="8">
        <v>165887</v>
      </c>
      <c r="U89" s="133">
        <f t="shared" si="18"/>
        <v>58</v>
      </c>
      <c r="V89" s="8">
        <v>212830</v>
      </c>
      <c r="W89" s="8">
        <v>213142</v>
      </c>
      <c r="X89" s="13">
        <f t="shared" si="22"/>
        <v>312</v>
      </c>
      <c r="Y89" s="8">
        <v>8529</v>
      </c>
      <c r="Z89" s="8">
        <v>8544</v>
      </c>
      <c r="AA89" s="13">
        <f t="shared" si="21"/>
        <v>15</v>
      </c>
      <c r="AB89" s="8">
        <v>172426</v>
      </c>
      <c r="AC89" s="8">
        <v>172471</v>
      </c>
      <c r="AD89" s="13">
        <v>45</v>
      </c>
      <c r="AE89" s="135"/>
      <c r="AF89" s="135"/>
      <c r="AG89" s="135"/>
      <c r="AH89" s="136"/>
      <c r="AI89" s="50">
        <f t="shared" si="14"/>
        <v>671</v>
      </c>
    </row>
    <row r="90" spans="1:35">
      <c r="A90" s="12">
        <v>44465</v>
      </c>
      <c r="B90" s="8">
        <v>1486978</v>
      </c>
      <c r="C90" s="8">
        <v>1488076</v>
      </c>
      <c r="D90" s="13">
        <f t="shared" si="24"/>
        <v>1098</v>
      </c>
      <c r="E90" s="45"/>
      <c r="F90" s="70"/>
      <c r="G90" s="133">
        <f t="shared" si="17"/>
        <v>0</v>
      </c>
      <c r="H90" s="8">
        <v>144268</v>
      </c>
      <c r="I90" s="8">
        <v>144268</v>
      </c>
      <c r="J90" s="13">
        <f t="shared" si="23"/>
        <v>0</v>
      </c>
      <c r="K90" s="138"/>
      <c r="L90" s="8">
        <v>203894</v>
      </c>
      <c r="M90" s="8">
        <v>204955</v>
      </c>
      <c r="N90" s="13">
        <f t="shared" si="15"/>
        <v>1061</v>
      </c>
      <c r="O90" s="136"/>
      <c r="P90" s="8">
        <v>157574</v>
      </c>
      <c r="Q90" s="8">
        <v>158022</v>
      </c>
      <c r="R90" s="133">
        <f t="shared" si="20"/>
        <v>448</v>
      </c>
      <c r="S90" s="8">
        <v>165887</v>
      </c>
      <c r="T90" s="8">
        <v>165920</v>
      </c>
      <c r="U90" s="133">
        <f t="shared" si="18"/>
        <v>33</v>
      </c>
      <c r="V90" s="8">
        <v>213142</v>
      </c>
      <c r="W90" s="8">
        <v>213754</v>
      </c>
      <c r="X90" s="13">
        <f t="shared" si="22"/>
        <v>612</v>
      </c>
      <c r="Y90" s="8">
        <v>8544</v>
      </c>
      <c r="Z90" s="8">
        <v>8567</v>
      </c>
      <c r="AA90" s="13">
        <f t="shared" si="21"/>
        <v>23</v>
      </c>
      <c r="AB90" s="8">
        <v>172471</v>
      </c>
      <c r="AC90" s="8">
        <v>172535</v>
      </c>
      <c r="AD90" s="13">
        <v>64</v>
      </c>
      <c r="AE90" s="135"/>
      <c r="AF90" s="135"/>
      <c r="AG90" s="135"/>
      <c r="AH90" s="136"/>
      <c r="AI90" s="50">
        <f t="shared" si="14"/>
        <v>1116</v>
      </c>
    </row>
    <row r="91" spans="1:35">
      <c r="A91" s="12">
        <v>44466</v>
      </c>
      <c r="B91" s="8">
        <v>1488076</v>
      </c>
      <c r="C91" s="8">
        <v>1489374</v>
      </c>
      <c r="D91" s="13">
        <f t="shared" si="24"/>
        <v>1298</v>
      </c>
      <c r="E91" s="45"/>
      <c r="F91" s="70"/>
      <c r="G91" s="133">
        <f t="shared" si="17"/>
        <v>0</v>
      </c>
      <c r="H91" s="8">
        <v>144268</v>
      </c>
      <c r="I91" s="8">
        <v>144268</v>
      </c>
      <c r="J91" s="13">
        <f t="shared" si="23"/>
        <v>0</v>
      </c>
      <c r="K91" s="138"/>
      <c r="L91" s="8">
        <v>204955</v>
      </c>
      <c r="M91" s="8">
        <v>205737</v>
      </c>
      <c r="N91" s="13">
        <f t="shared" si="15"/>
        <v>782</v>
      </c>
      <c r="O91" s="136"/>
      <c r="P91" s="8">
        <v>158022</v>
      </c>
      <c r="Q91" s="8">
        <v>158327</v>
      </c>
      <c r="R91" s="133">
        <f t="shared" si="20"/>
        <v>305</v>
      </c>
      <c r="S91" s="8">
        <v>165920</v>
      </c>
      <c r="T91" s="8">
        <v>165957</v>
      </c>
      <c r="U91" s="133">
        <f t="shared" si="18"/>
        <v>37</v>
      </c>
      <c r="V91" s="8">
        <v>213754</v>
      </c>
      <c r="W91" s="8">
        <v>214188</v>
      </c>
      <c r="X91" s="13">
        <f t="shared" si="22"/>
        <v>434</v>
      </c>
      <c r="Y91" s="8">
        <v>8567</v>
      </c>
      <c r="Z91" s="8">
        <v>8585</v>
      </c>
      <c r="AA91" s="13">
        <f t="shared" si="21"/>
        <v>18</v>
      </c>
      <c r="AB91" s="8">
        <v>172535</v>
      </c>
      <c r="AC91" s="8">
        <v>172618</v>
      </c>
      <c r="AD91" s="13">
        <v>83</v>
      </c>
      <c r="AE91" s="135"/>
      <c r="AF91" s="135"/>
      <c r="AG91" s="135"/>
      <c r="AH91" s="136"/>
      <c r="AI91" s="50">
        <f t="shared" si="14"/>
        <v>794</v>
      </c>
    </row>
    <row r="92" spans="1:35">
      <c r="A92" s="12">
        <v>44467</v>
      </c>
      <c r="B92" s="8">
        <v>1489374</v>
      </c>
      <c r="C92" s="8">
        <v>1490606</v>
      </c>
      <c r="D92" s="13">
        <f t="shared" si="24"/>
        <v>1232</v>
      </c>
      <c r="E92" s="45"/>
      <c r="F92" s="70"/>
      <c r="G92" s="133">
        <f t="shared" si="17"/>
        <v>0</v>
      </c>
      <c r="H92" s="8">
        <v>144268</v>
      </c>
      <c r="I92" s="8">
        <v>144268</v>
      </c>
      <c r="J92" s="13">
        <f t="shared" si="23"/>
        <v>0</v>
      </c>
      <c r="K92" s="138"/>
      <c r="L92" s="8">
        <v>205737</v>
      </c>
      <c r="M92" s="8">
        <v>206944</v>
      </c>
      <c r="N92" s="13">
        <f t="shared" si="15"/>
        <v>1207</v>
      </c>
      <c r="O92" s="136"/>
      <c r="P92" s="8">
        <v>158327</v>
      </c>
      <c r="Q92" s="8">
        <v>158681</v>
      </c>
      <c r="R92" s="133">
        <f t="shared" si="20"/>
        <v>354</v>
      </c>
      <c r="S92" s="8">
        <v>165957</v>
      </c>
      <c r="T92" s="8">
        <v>166020</v>
      </c>
      <c r="U92" s="133">
        <f t="shared" si="18"/>
        <v>63</v>
      </c>
      <c r="V92" s="8">
        <v>214188</v>
      </c>
      <c r="W92" s="8">
        <v>214633</v>
      </c>
      <c r="X92" s="13">
        <f t="shared" si="22"/>
        <v>445</v>
      </c>
      <c r="Y92" s="8">
        <v>8585</v>
      </c>
      <c r="Z92" s="8">
        <v>8604</v>
      </c>
      <c r="AA92" s="13">
        <f t="shared" si="21"/>
        <v>19</v>
      </c>
      <c r="AB92" s="8">
        <v>172618</v>
      </c>
      <c r="AC92" s="8">
        <v>172704</v>
      </c>
      <c r="AD92" s="13">
        <v>86</v>
      </c>
      <c r="AE92" s="135"/>
      <c r="AF92" s="135"/>
      <c r="AG92" s="135"/>
      <c r="AH92" s="136"/>
      <c r="AI92" s="50">
        <f t="shared" si="14"/>
        <v>881</v>
      </c>
    </row>
    <row r="93" spans="1:35">
      <c r="A93" s="12">
        <v>44468</v>
      </c>
      <c r="B93" s="8">
        <v>1490606</v>
      </c>
      <c r="C93" s="8">
        <v>1491454</v>
      </c>
      <c r="D93" s="13">
        <f t="shared" si="24"/>
        <v>848</v>
      </c>
      <c r="E93" s="45"/>
      <c r="F93" s="70"/>
      <c r="G93" s="133">
        <f t="shared" si="17"/>
        <v>0</v>
      </c>
      <c r="H93" s="8">
        <v>144268</v>
      </c>
      <c r="I93" s="8">
        <v>144931</v>
      </c>
      <c r="J93" s="13">
        <f t="shared" si="23"/>
        <v>663</v>
      </c>
      <c r="K93" s="138"/>
      <c r="L93" s="8">
        <v>206944</v>
      </c>
      <c r="M93" s="8">
        <v>207258</v>
      </c>
      <c r="N93" s="13">
        <f t="shared" si="15"/>
        <v>314</v>
      </c>
      <c r="O93" s="136"/>
      <c r="P93" s="8">
        <v>158681</v>
      </c>
      <c r="Q93" s="8">
        <v>158987</v>
      </c>
      <c r="R93" s="133">
        <f t="shared" si="20"/>
        <v>306</v>
      </c>
      <c r="S93" s="8">
        <v>166020</v>
      </c>
      <c r="T93" s="8">
        <v>166072</v>
      </c>
      <c r="U93" s="133">
        <f t="shared" si="18"/>
        <v>52</v>
      </c>
      <c r="V93" s="8">
        <v>214633</v>
      </c>
      <c r="W93" s="8">
        <v>215059</v>
      </c>
      <c r="X93" s="13">
        <f t="shared" si="22"/>
        <v>426</v>
      </c>
      <c r="Y93" s="8">
        <v>8604</v>
      </c>
      <c r="Z93" s="8">
        <v>8630</v>
      </c>
      <c r="AA93" s="13">
        <f t="shared" si="21"/>
        <v>26</v>
      </c>
      <c r="AB93" s="8">
        <v>172704</v>
      </c>
      <c r="AC93" s="8">
        <v>172797</v>
      </c>
      <c r="AD93" s="13">
        <v>93</v>
      </c>
      <c r="AE93" s="135"/>
      <c r="AF93" s="135"/>
      <c r="AG93" s="135"/>
      <c r="AH93" s="136"/>
      <c r="AI93" s="50">
        <f t="shared" si="14"/>
        <v>810</v>
      </c>
    </row>
    <row r="94" spans="1:35">
      <c r="A94" s="12">
        <v>44469</v>
      </c>
      <c r="B94" s="8">
        <v>1491454</v>
      </c>
      <c r="C94" s="8">
        <v>1492580</v>
      </c>
      <c r="D94" s="13">
        <f t="shared" si="24"/>
        <v>1126</v>
      </c>
      <c r="E94" s="45"/>
      <c r="F94" s="70"/>
      <c r="G94" s="133">
        <f t="shared" si="17"/>
        <v>0</v>
      </c>
      <c r="H94" s="8">
        <v>144931</v>
      </c>
      <c r="I94" s="8">
        <v>145546</v>
      </c>
      <c r="J94" s="13">
        <f t="shared" si="23"/>
        <v>615</v>
      </c>
      <c r="K94" s="138"/>
      <c r="L94" s="8">
        <v>207258</v>
      </c>
      <c r="M94" s="8">
        <v>207638</v>
      </c>
      <c r="N94" s="13">
        <f t="shared" si="15"/>
        <v>380</v>
      </c>
      <c r="O94" s="136"/>
      <c r="P94" s="8">
        <v>158987</v>
      </c>
      <c r="Q94" s="8">
        <v>159310</v>
      </c>
      <c r="R94" s="133">
        <f>Q94-P94</f>
        <v>323</v>
      </c>
      <c r="S94" s="8">
        <v>166072</v>
      </c>
      <c r="T94" s="8">
        <v>166147</v>
      </c>
      <c r="U94" s="133">
        <f t="shared" si="18"/>
        <v>75</v>
      </c>
      <c r="V94" s="8">
        <v>215059</v>
      </c>
      <c r="W94" s="8">
        <v>215448</v>
      </c>
      <c r="X94" s="13">
        <f t="shared" si="22"/>
        <v>389</v>
      </c>
      <c r="Y94" s="8">
        <v>8630</v>
      </c>
      <c r="Z94" s="8">
        <v>8655</v>
      </c>
      <c r="AA94" s="13">
        <f t="shared" si="21"/>
        <v>25</v>
      </c>
      <c r="AB94" s="8">
        <v>172797</v>
      </c>
      <c r="AC94" s="8">
        <v>172902</v>
      </c>
      <c r="AD94" s="13">
        <v>105</v>
      </c>
      <c r="AE94" s="135"/>
      <c r="AF94" s="135"/>
      <c r="AG94" s="135"/>
      <c r="AH94" s="136"/>
      <c r="AI94" s="50">
        <f t="shared" si="14"/>
        <v>812</v>
      </c>
    </row>
    <row r="95" spans="1:35">
      <c r="A95" s="12">
        <v>44470</v>
      </c>
      <c r="B95" s="8">
        <v>1492580</v>
      </c>
      <c r="C95" s="8">
        <v>1493808</v>
      </c>
      <c r="D95" s="13">
        <f t="shared" si="24"/>
        <v>1228</v>
      </c>
      <c r="E95" s="45"/>
      <c r="F95" s="70"/>
      <c r="G95" s="133">
        <f t="shared" si="17"/>
        <v>0</v>
      </c>
      <c r="H95" s="8">
        <v>145546</v>
      </c>
      <c r="I95" s="8">
        <v>145546</v>
      </c>
      <c r="J95" s="13">
        <f t="shared" si="23"/>
        <v>0</v>
      </c>
      <c r="K95" s="138"/>
      <c r="L95" s="8">
        <v>207638</v>
      </c>
      <c r="M95" s="8">
        <v>208602</v>
      </c>
      <c r="N95" s="13">
        <f t="shared" si="15"/>
        <v>964</v>
      </c>
      <c r="O95" s="136"/>
      <c r="P95" s="8">
        <v>159310</v>
      </c>
      <c r="Q95" s="8">
        <v>159790</v>
      </c>
      <c r="R95" s="133">
        <f t="shared" si="20"/>
        <v>480</v>
      </c>
      <c r="S95" s="8">
        <v>166147</v>
      </c>
      <c r="T95" s="8">
        <v>166208</v>
      </c>
      <c r="U95" s="133">
        <f t="shared" si="18"/>
        <v>61</v>
      </c>
      <c r="V95" s="8">
        <v>215448</v>
      </c>
      <c r="W95" s="8">
        <v>215869</v>
      </c>
      <c r="X95" s="13">
        <f t="shared" si="22"/>
        <v>421</v>
      </c>
      <c r="Y95" s="8">
        <v>8655</v>
      </c>
      <c r="Z95" s="8">
        <v>8679</v>
      </c>
      <c r="AA95" s="13">
        <f t="shared" si="21"/>
        <v>24</v>
      </c>
      <c r="AB95" s="8">
        <v>172902</v>
      </c>
      <c r="AC95" s="8">
        <v>172978</v>
      </c>
      <c r="AD95" s="13">
        <v>76</v>
      </c>
      <c r="AE95" s="135"/>
      <c r="AF95" s="135"/>
      <c r="AG95" s="135"/>
      <c r="AH95" s="136"/>
      <c r="AI95" s="50">
        <f t="shared" si="14"/>
        <v>986</v>
      </c>
    </row>
    <row r="96" spans="1:35">
      <c r="A96" s="12">
        <v>44471</v>
      </c>
      <c r="B96" s="8">
        <v>1493808</v>
      </c>
      <c r="C96" s="8">
        <v>1494898</v>
      </c>
      <c r="D96" s="13">
        <f t="shared" si="24"/>
        <v>1090</v>
      </c>
      <c r="E96" s="45"/>
      <c r="F96" s="70"/>
      <c r="G96" s="133">
        <f t="shared" si="17"/>
        <v>0</v>
      </c>
      <c r="H96" s="8">
        <v>145546</v>
      </c>
      <c r="I96" s="8">
        <v>145546</v>
      </c>
      <c r="J96" s="13">
        <f t="shared" si="23"/>
        <v>0</v>
      </c>
      <c r="K96" s="138"/>
      <c r="L96" s="8">
        <v>208602</v>
      </c>
      <c r="M96" s="8">
        <v>209775</v>
      </c>
      <c r="N96" s="13">
        <f t="shared" si="15"/>
        <v>1173</v>
      </c>
      <c r="O96" s="136"/>
      <c r="P96" s="8">
        <v>159790</v>
      </c>
      <c r="Q96" s="8">
        <v>160288</v>
      </c>
      <c r="R96" s="133">
        <f t="shared" si="20"/>
        <v>498</v>
      </c>
      <c r="S96" s="8">
        <v>166208</v>
      </c>
      <c r="T96" s="8">
        <v>166267</v>
      </c>
      <c r="U96" s="133">
        <f t="shared" si="18"/>
        <v>59</v>
      </c>
      <c r="V96" s="8">
        <v>215869</v>
      </c>
      <c r="W96" s="8">
        <v>216198</v>
      </c>
      <c r="X96" s="13">
        <f t="shared" si="22"/>
        <v>329</v>
      </c>
      <c r="Y96" s="8">
        <v>8679</v>
      </c>
      <c r="Z96" s="8">
        <v>8699</v>
      </c>
      <c r="AA96" s="13">
        <f t="shared" si="21"/>
        <v>20</v>
      </c>
      <c r="AB96" s="8">
        <v>172978</v>
      </c>
      <c r="AC96" s="8">
        <v>173042</v>
      </c>
      <c r="AD96" s="13">
        <v>64</v>
      </c>
      <c r="AE96" s="135"/>
      <c r="AF96" s="135"/>
      <c r="AG96" s="135"/>
      <c r="AH96" s="136"/>
      <c r="AI96" s="50">
        <f t="shared" si="14"/>
        <v>906</v>
      </c>
    </row>
    <row r="97" spans="1:35">
      <c r="A97" s="12">
        <v>44472</v>
      </c>
      <c r="B97" s="8">
        <v>1494898</v>
      </c>
      <c r="C97" s="8">
        <v>1496025</v>
      </c>
      <c r="D97" s="13">
        <f t="shared" si="24"/>
        <v>1127</v>
      </c>
      <c r="E97" s="45"/>
      <c r="F97" s="70"/>
      <c r="G97" s="133">
        <f t="shared" si="17"/>
        <v>0</v>
      </c>
      <c r="H97" s="8">
        <v>145546</v>
      </c>
      <c r="I97" s="8">
        <v>146087</v>
      </c>
      <c r="J97" s="13">
        <f t="shared" si="23"/>
        <v>541</v>
      </c>
      <c r="K97" s="138"/>
      <c r="L97" s="8">
        <v>209775</v>
      </c>
      <c r="M97" s="8">
        <v>210267</v>
      </c>
      <c r="N97" s="13">
        <f t="shared" si="15"/>
        <v>492</v>
      </c>
      <c r="O97" s="136"/>
      <c r="P97" s="8">
        <v>160288</v>
      </c>
      <c r="Q97" s="8">
        <v>160623</v>
      </c>
      <c r="R97" s="133">
        <f t="shared" si="20"/>
        <v>335</v>
      </c>
      <c r="S97" s="8">
        <v>166267</v>
      </c>
      <c r="T97" s="8">
        <v>166328</v>
      </c>
      <c r="U97" s="133">
        <f t="shared" si="18"/>
        <v>61</v>
      </c>
      <c r="V97" s="8">
        <v>216198</v>
      </c>
      <c r="W97" s="8">
        <v>216604</v>
      </c>
      <c r="X97" s="13">
        <f t="shared" si="22"/>
        <v>406</v>
      </c>
      <c r="Y97" s="8">
        <v>8699</v>
      </c>
      <c r="Z97" s="54">
        <v>8712</v>
      </c>
      <c r="AA97" s="13">
        <f>Y98-Y97</f>
        <v>13</v>
      </c>
      <c r="AB97" s="8">
        <v>173042</v>
      </c>
      <c r="AC97" s="8">
        <v>173110</v>
      </c>
      <c r="AD97" s="13">
        <v>42</v>
      </c>
      <c r="AE97" s="135"/>
      <c r="AF97" s="135"/>
      <c r="AG97" s="135"/>
      <c r="AH97" s="136"/>
      <c r="AI97" s="50">
        <f t="shared" si="14"/>
        <v>815</v>
      </c>
    </row>
    <row r="98" spans="1:35">
      <c r="A98" s="12">
        <v>44473</v>
      </c>
      <c r="B98" s="8">
        <v>1496025</v>
      </c>
      <c r="C98" s="8">
        <v>1497143</v>
      </c>
      <c r="D98" s="13">
        <f t="shared" si="24"/>
        <v>1118</v>
      </c>
      <c r="E98" s="45"/>
      <c r="F98" s="70"/>
      <c r="G98" s="133">
        <f t="shared" si="17"/>
        <v>0</v>
      </c>
      <c r="H98" s="8">
        <v>146087</v>
      </c>
      <c r="I98" s="8">
        <v>146087</v>
      </c>
      <c r="J98" s="13">
        <f t="shared" si="23"/>
        <v>0</v>
      </c>
      <c r="K98" s="138"/>
      <c r="L98" s="8">
        <v>210267</v>
      </c>
      <c r="M98" s="8">
        <v>211337</v>
      </c>
      <c r="N98" s="13">
        <f t="shared" si="15"/>
        <v>1070</v>
      </c>
      <c r="O98" s="136"/>
      <c r="P98" s="8">
        <v>160623</v>
      </c>
      <c r="Q98" s="8">
        <v>160989</v>
      </c>
      <c r="R98" s="133">
        <f t="shared" si="20"/>
        <v>366</v>
      </c>
      <c r="S98" s="8">
        <v>166328</v>
      </c>
      <c r="T98" s="8">
        <v>166406</v>
      </c>
      <c r="U98" s="133">
        <f t="shared" si="18"/>
        <v>78</v>
      </c>
      <c r="V98" s="8">
        <v>216604</v>
      </c>
      <c r="W98" s="8">
        <v>217139</v>
      </c>
      <c r="X98" s="13">
        <f t="shared" si="22"/>
        <v>535</v>
      </c>
      <c r="Y98" s="8">
        <v>8712</v>
      </c>
      <c r="Z98" s="8">
        <v>8734</v>
      </c>
      <c r="AA98" s="13">
        <f>Y99-Y98</f>
        <v>22</v>
      </c>
      <c r="AB98" s="8">
        <v>173110</v>
      </c>
      <c r="AC98" s="8">
        <v>173181</v>
      </c>
      <c r="AD98" s="13">
        <v>71</v>
      </c>
      <c r="AE98" s="135"/>
      <c r="AF98" s="135"/>
      <c r="AG98" s="135"/>
      <c r="AH98" s="136"/>
      <c r="AI98" s="50">
        <f t="shared" si="14"/>
        <v>1001</v>
      </c>
    </row>
    <row r="99" spans="1:35">
      <c r="A99" s="12">
        <v>44474</v>
      </c>
      <c r="B99" s="8">
        <v>1497143</v>
      </c>
      <c r="C99" s="8">
        <v>1498225</v>
      </c>
      <c r="D99" s="13">
        <f t="shared" si="24"/>
        <v>1082</v>
      </c>
      <c r="E99" s="45"/>
      <c r="F99" s="70"/>
      <c r="G99" s="133">
        <f t="shared" si="17"/>
        <v>0</v>
      </c>
      <c r="H99" s="8">
        <v>146087</v>
      </c>
      <c r="I99" s="8">
        <v>146087</v>
      </c>
      <c r="J99" s="13">
        <f t="shared" si="23"/>
        <v>0</v>
      </c>
      <c r="K99" s="138"/>
      <c r="L99" s="8">
        <v>211337</v>
      </c>
      <c r="M99" s="8">
        <v>211912</v>
      </c>
      <c r="N99" s="13">
        <f t="shared" si="15"/>
        <v>575</v>
      </c>
      <c r="O99" s="136"/>
      <c r="P99" s="8">
        <v>160989</v>
      </c>
      <c r="Q99" s="8">
        <v>161149</v>
      </c>
      <c r="R99" s="133">
        <f t="shared" si="20"/>
        <v>160</v>
      </c>
      <c r="S99" s="8">
        <v>166406</v>
      </c>
      <c r="T99" s="8">
        <v>166460</v>
      </c>
      <c r="U99" s="133">
        <f t="shared" si="18"/>
        <v>54</v>
      </c>
      <c r="V99" s="8">
        <v>217139</v>
      </c>
      <c r="W99" s="8">
        <v>217560</v>
      </c>
      <c r="X99" s="13">
        <f t="shared" si="22"/>
        <v>421</v>
      </c>
      <c r="Y99" s="8">
        <v>8734</v>
      </c>
      <c r="Z99" s="8">
        <v>8759</v>
      </c>
      <c r="AA99" s="13">
        <v>14</v>
      </c>
      <c r="AB99" s="8">
        <v>173181</v>
      </c>
      <c r="AC99" s="8">
        <v>173248</v>
      </c>
      <c r="AD99" s="13">
        <v>67</v>
      </c>
      <c r="AE99" s="135"/>
      <c r="AF99" s="135"/>
      <c r="AG99" s="135"/>
      <c r="AH99" s="136"/>
      <c r="AI99" s="50">
        <f t="shared" si="14"/>
        <v>649</v>
      </c>
    </row>
    <row r="100" spans="1:35">
      <c r="A100" s="12">
        <v>44475</v>
      </c>
      <c r="B100" s="8">
        <v>1498225</v>
      </c>
      <c r="C100" s="8">
        <v>1499450</v>
      </c>
      <c r="D100" s="13">
        <f t="shared" si="24"/>
        <v>1225</v>
      </c>
      <c r="E100" s="45"/>
      <c r="F100" s="70"/>
      <c r="G100" s="133">
        <f t="shared" si="17"/>
        <v>0</v>
      </c>
      <c r="H100" s="8">
        <v>146087</v>
      </c>
      <c r="I100" s="8">
        <v>146087</v>
      </c>
      <c r="J100" s="13">
        <f t="shared" si="23"/>
        <v>0</v>
      </c>
      <c r="K100" s="138"/>
      <c r="L100" s="8">
        <v>211912</v>
      </c>
      <c r="M100" s="8">
        <v>212800</v>
      </c>
      <c r="N100" s="13">
        <f t="shared" si="15"/>
        <v>888</v>
      </c>
      <c r="O100" s="136"/>
      <c r="P100" s="8">
        <v>161149</v>
      </c>
      <c r="Q100" s="8">
        <v>161645</v>
      </c>
      <c r="R100" s="133">
        <f t="shared" si="20"/>
        <v>496</v>
      </c>
      <c r="S100" s="8">
        <v>166460</v>
      </c>
      <c r="T100" s="8">
        <v>166517</v>
      </c>
      <c r="U100" s="133">
        <f t="shared" si="18"/>
        <v>57</v>
      </c>
      <c r="V100" s="8">
        <v>217560</v>
      </c>
      <c r="W100" s="8">
        <v>217960</v>
      </c>
      <c r="X100" s="13">
        <f t="shared" si="22"/>
        <v>400</v>
      </c>
      <c r="Y100" s="8">
        <v>8759</v>
      </c>
      <c r="Z100" s="8">
        <v>8765</v>
      </c>
      <c r="AA100" s="13">
        <v>6</v>
      </c>
      <c r="AB100" s="8">
        <v>173248</v>
      </c>
      <c r="AC100" s="8">
        <v>173309</v>
      </c>
      <c r="AD100" s="13">
        <v>61</v>
      </c>
      <c r="AE100" s="135"/>
      <c r="AF100" s="135"/>
      <c r="AG100" s="135"/>
      <c r="AH100" s="136"/>
      <c r="AI100" s="50">
        <f t="shared" si="14"/>
        <v>959</v>
      </c>
    </row>
    <row r="101" spans="1:35">
      <c r="A101" s="12">
        <v>44476</v>
      </c>
      <c r="B101" s="8">
        <v>1499450</v>
      </c>
      <c r="C101" s="8">
        <v>1500762</v>
      </c>
      <c r="D101" s="13">
        <f t="shared" si="24"/>
        <v>1312</v>
      </c>
      <c r="E101" s="45"/>
      <c r="F101" s="70"/>
      <c r="G101" s="133">
        <f t="shared" si="17"/>
        <v>0</v>
      </c>
      <c r="H101" s="8">
        <v>146087</v>
      </c>
      <c r="I101" s="8">
        <v>146087</v>
      </c>
      <c r="J101" s="13">
        <f t="shared" si="23"/>
        <v>0</v>
      </c>
      <c r="K101" s="138"/>
      <c r="L101" s="8">
        <v>212800</v>
      </c>
      <c r="M101" s="8">
        <v>213973</v>
      </c>
      <c r="N101" s="13">
        <f t="shared" si="15"/>
        <v>1173</v>
      </c>
      <c r="O101" s="136"/>
      <c r="P101" s="8">
        <v>161645</v>
      </c>
      <c r="Q101" s="8">
        <v>162079</v>
      </c>
      <c r="R101" s="133">
        <f>Q101-P101</f>
        <v>434</v>
      </c>
      <c r="S101" s="8">
        <v>166517</v>
      </c>
      <c r="T101" s="8">
        <v>166590</v>
      </c>
      <c r="U101" s="133">
        <f t="shared" si="18"/>
        <v>73</v>
      </c>
      <c r="V101" s="8">
        <v>217960</v>
      </c>
      <c r="W101" s="8">
        <v>218356</v>
      </c>
      <c r="X101" s="13">
        <f t="shared" si="22"/>
        <v>396</v>
      </c>
      <c r="Y101" s="8">
        <v>8765</v>
      </c>
      <c r="Z101" s="8">
        <v>8783</v>
      </c>
      <c r="AA101" s="13">
        <f>Z101-Y101</f>
        <v>18</v>
      </c>
      <c r="AB101" s="8">
        <v>173309</v>
      </c>
      <c r="AC101" s="8">
        <v>173378</v>
      </c>
      <c r="AD101" s="13">
        <f t="shared" ref="AD101:AD164" si="25">AC101-AB101</f>
        <v>69</v>
      </c>
      <c r="AE101" s="135"/>
      <c r="AF101" s="135"/>
      <c r="AG101" s="135"/>
      <c r="AH101" s="136"/>
      <c r="AI101" s="50">
        <f t="shared" si="14"/>
        <v>921</v>
      </c>
    </row>
    <row r="102" spans="1:35">
      <c r="A102" s="12">
        <v>44477</v>
      </c>
      <c r="B102" s="8">
        <v>1500762</v>
      </c>
      <c r="C102" s="8">
        <v>1501906</v>
      </c>
      <c r="D102" s="13">
        <f t="shared" si="24"/>
        <v>1144</v>
      </c>
      <c r="E102" s="45"/>
      <c r="F102" s="70"/>
      <c r="G102" s="133">
        <f t="shared" si="17"/>
        <v>0</v>
      </c>
      <c r="H102" s="8">
        <v>146087</v>
      </c>
      <c r="I102" s="8">
        <v>146087</v>
      </c>
      <c r="J102" s="13">
        <f t="shared" si="23"/>
        <v>0</v>
      </c>
      <c r="K102" s="138"/>
      <c r="L102" s="8">
        <v>213973</v>
      </c>
      <c r="M102" s="8">
        <v>214643</v>
      </c>
      <c r="N102" s="13">
        <f t="shared" si="15"/>
        <v>670</v>
      </c>
      <c r="O102" s="136"/>
      <c r="P102" s="8">
        <v>162079</v>
      </c>
      <c r="Q102" s="8">
        <v>162380</v>
      </c>
      <c r="R102" s="133">
        <f t="shared" ref="R102:R165" si="26">Q102-P102</f>
        <v>301</v>
      </c>
      <c r="S102" s="8">
        <v>166590</v>
      </c>
      <c r="T102" s="8">
        <v>166662</v>
      </c>
      <c r="U102" s="133">
        <f t="shared" si="18"/>
        <v>72</v>
      </c>
      <c r="V102" s="8">
        <v>218356</v>
      </c>
      <c r="W102" s="8">
        <v>218666</v>
      </c>
      <c r="X102" s="13">
        <f t="shared" si="22"/>
        <v>310</v>
      </c>
      <c r="Y102" s="8">
        <v>8783</v>
      </c>
      <c r="Z102" s="8">
        <v>8804</v>
      </c>
      <c r="AA102" s="13">
        <f t="shared" ref="AA102:AA118" si="27">Z102-Y102</f>
        <v>21</v>
      </c>
      <c r="AB102" s="8">
        <v>173378</v>
      </c>
      <c r="AC102" s="8">
        <v>173456</v>
      </c>
      <c r="AD102" s="13">
        <f t="shared" si="25"/>
        <v>78</v>
      </c>
      <c r="AE102" s="135"/>
      <c r="AF102" s="135"/>
      <c r="AG102" s="135"/>
      <c r="AH102" s="136"/>
      <c r="AI102" s="50">
        <f t="shared" si="14"/>
        <v>704</v>
      </c>
    </row>
    <row r="103" spans="1:35">
      <c r="A103" s="12">
        <v>44478</v>
      </c>
      <c r="B103" s="8">
        <v>1501906</v>
      </c>
      <c r="C103" s="8">
        <v>1502969</v>
      </c>
      <c r="D103" s="13">
        <f t="shared" si="24"/>
        <v>1063</v>
      </c>
      <c r="E103" s="45"/>
      <c r="F103" s="70"/>
      <c r="G103" s="133">
        <f t="shared" si="17"/>
        <v>0</v>
      </c>
      <c r="H103" s="8">
        <v>146087</v>
      </c>
      <c r="I103" s="8">
        <v>146087</v>
      </c>
      <c r="J103" s="13">
        <f t="shared" si="23"/>
        <v>0</v>
      </c>
      <c r="K103" s="138"/>
      <c r="L103" s="8">
        <v>214643</v>
      </c>
      <c r="M103" s="8">
        <v>215620</v>
      </c>
      <c r="N103" s="13">
        <f t="shared" si="15"/>
        <v>977</v>
      </c>
      <c r="O103" s="136"/>
      <c r="P103" s="8">
        <v>162380</v>
      </c>
      <c r="Q103" s="8">
        <v>162736</v>
      </c>
      <c r="R103" s="133">
        <f t="shared" si="26"/>
        <v>356</v>
      </c>
      <c r="S103" s="8">
        <v>166662</v>
      </c>
      <c r="T103" s="8">
        <v>166730</v>
      </c>
      <c r="U103" s="133">
        <f t="shared" si="18"/>
        <v>68</v>
      </c>
      <c r="V103" s="8">
        <v>218666</v>
      </c>
      <c r="W103" s="8">
        <v>219093</v>
      </c>
      <c r="X103" s="13">
        <f t="shared" si="22"/>
        <v>427</v>
      </c>
      <c r="Y103" s="8">
        <v>8804</v>
      </c>
      <c r="Z103" s="8">
        <v>8825</v>
      </c>
      <c r="AA103" s="13">
        <f t="shared" si="27"/>
        <v>21</v>
      </c>
      <c r="AB103" s="8">
        <v>173456</v>
      </c>
      <c r="AC103" s="8">
        <v>173503</v>
      </c>
      <c r="AD103" s="13">
        <f t="shared" si="25"/>
        <v>47</v>
      </c>
      <c r="AE103" s="135"/>
      <c r="AF103" s="135"/>
      <c r="AG103" s="135"/>
      <c r="AH103" s="136"/>
      <c r="AI103" s="50">
        <f t="shared" si="14"/>
        <v>872</v>
      </c>
    </row>
    <row r="104" spans="1:35">
      <c r="A104" s="12">
        <v>44479</v>
      </c>
      <c r="B104" s="8">
        <v>1502969</v>
      </c>
      <c r="C104" s="8">
        <v>1504190</v>
      </c>
      <c r="D104" s="13">
        <f t="shared" si="24"/>
        <v>1221</v>
      </c>
      <c r="E104" s="46">
        <v>0</v>
      </c>
      <c r="F104" s="70">
        <v>0</v>
      </c>
      <c r="G104" s="133">
        <f t="shared" si="17"/>
        <v>0</v>
      </c>
      <c r="H104" s="8">
        <v>146087</v>
      </c>
      <c r="I104" s="8">
        <v>146087</v>
      </c>
      <c r="J104" s="13">
        <f t="shared" si="23"/>
        <v>0</v>
      </c>
      <c r="K104" s="138"/>
      <c r="L104" s="8">
        <v>215620</v>
      </c>
      <c r="M104" s="8">
        <v>216769</v>
      </c>
      <c r="N104" s="13">
        <f t="shared" si="15"/>
        <v>1149</v>
      </c>
      <c r="O104" s="136"/>
      <c r="P104" s="8">
        <v>162736</v>
      </c>
      <c r="Q104" s="8">
        <v>163236</v>
      </c>
      <c r="R104" s="133">
        <f t="shared" si="26"/>
        <v>500</v>
      </c>
      <c r="S104" s="8">
        <v>166730</v>
      </c>
      <c r="T104" s="8">
        <v>166752</v>
      </c>
      <c r="U104" s="133">
        <f t="shared" si="18"/>
        <v>22</v>
      </c>
      <c r="V104" s="8">
        <v>219093</v>
      </c>
      <c r="W104" s="8">
        <v>219512</v>
      </c>
      <c r="X104" s="13">
        <f t="shared" si="22"/>
        <v>419</v>
      </c>
      <c r="Y104" s="8">
        <v>8825</v>
      </c>
      <c r="Z104" s="8">
        <v>8841</v>
      </c>
      <c r="AA104" s="13">
        <f t="shared" si="27"/>
        <v>16</v>
      </c>
      <c r="AB104" s="8">
        <v>173503</v>
      </c>
      <c r="AC104" s="8">
        <v>173553</v>
      </c>
      <c r="AD104" s="13">
        <f t="shared" si="25"/>
        <v>50</v>
      </c>
      <c r="AE104" s="135"/>
      <c r="AF104" s="135"/>
      <c r="AG104" s="135"/>
      <c r="AH104" s="136"/>
      <c r="AI104" s="50">
        <f t="shared" si="14"/>
        <v>957</v>
      </c>
    </row>
    <row r="105" spans="1:35">
      <c r="A105" s="12">
        <v>44480</v>
      </c>
      <c r="B105" s="8">
        <v>1504190</v>
      </c>
      <c r="C105" s="8">
        <v>1505392</v>
      </c>
      <c r="D105" s="13">
        <f t="shared" si="24"/>
        <v>1202</v>
      </c>
      <c r="E105" s="46">
        <v>0</v>
      </c>
      <c r="F105" s="70">
        <v>0</v>
      </c>
      <c r="G105" s="133">
        <f t="shared" si="17"/>
        <v>0</v>
      </c>
      <c r="H105" s="8">
        <v>146087</v>
      </c>
      <c r="I105" s="8">
        <v>146087</v>
      </c>
      <c r="J105" s="13">
        <f t="shared" si="23"/>
        <v>0</v>
      </c>
      <c r="K105" s="138"/>
      <c r="L105" s="8">
        <v>216769</v>
      </c>
      <c r="M105" s="8">
        <v>217326</v>
      </c>
      <c r="N105" s="13">
        <f t="shared" si="15"/>
        <v>557</v>
      </c>
      <c r="O105" s="136"/>
      <c r="P105" s="8">
        <v>163236</v>
      </c>
      <c r="Q105" s="8">
        <v>163409</v>
      </c>
      <c r="R105" s="133">
        <f t="shared" si="26"/>
        <v>173</v>
      </c>
      <c r="S105" s="8">
        <v>166752</v>
      </c>
      <c r="T105" s="8">
        <v>166822</v>
      </c>
      <c r="U105" s="133">
        <f t="shared" si="18"/>
        <v>70</v>
      </c>
      <c r="V105" s="8">
        <v>219512</v>
      </c>
      <c r="W105" s="8">
        <v>219905</v>
      </c>
      <c r="X105" s="13">
        <f t="shared" si="22"/>
        <v>393</v>
      </c>
      <c r="Y105" s="8">
        <v>8841</v>
      </c>
      <c r="Z105" s="8">
        <v>8857</v>
      </c>
      <c r="AA105" s="13">
        <f t="shared" si="27"/>
        <v>16</v>
      </c>
      <c r="AB105" s="8">
        <v>173553</v>
      </c>
      <c r="AC105" s="8">
        <v>173601</v>
      </c>
      <c r="AD105" s="13">
        <f t="shared" si="25"/>
        <v>48</v>
      </c>
      <c r="AE105" s="135"/>
      <c r="AF105" s="135"/>
      <c r="AG105" s="135"/>
      <c r="AH105" s="136"/>
      <c r="AI105" s="50">
        <f t="shared" si="14"/>
        <v>652</v>
      </c>
    </row>
    <row r="106" spans="1:35">
      <c r="A106" s="12">
        <v>44481</v>
      </c>
      <c r="B106" s="8">
        <v>1505392</v>
      </c>
      <c r="C106" s="8">
        <v>1506555</v>
      </c>
      <c r="D106" s="13">
        <f t="shared" si="24"/>
        <v>1163</v>
      </c>
      <c r="E106" s="46">
        <v>0</v>
      </c>
      <c r="F106" s="70">
        <v>0</v>
      </c>
      <c r="G106" s="133">
        <f t="shared" si="17"/>
        <v>0</v>
      </c>
      <c r="H106" s="8">
        <v>146087</v>
      </c>
      <c r="I106" s="8">
        <v>146087</v>
      </c>
      <c r="J106" s="13">
        <f t="shared" si="23"/>
        <v>0</v>
      </c>
      <c r="K106" s="138"/>
      <c r="L106" s="8">
        <v>217326</v>
      </c>
      <c r="M106" s="8">
        <v>218421</v>
      </c>
      <c r="N106" s="13">
        <f t="shared" si="15"/>
        <v>1095</v>
      </c>
      <c r="O106" s="136"/>
      <c r="P106" s="8">
        <v>163409</v>
      </c>
      <c r="Q106" s="8">
        <v>163889</v>
      </c>
      <c r="R106" s="133">
        <f t="shared" si="26"/>
        <v>480</v>
      </c>
      <c r="S106" s="8">
        <v>166822</v>
      </c>
      <c r="T106" s="8">
        <v>166866</v>
      </c>
      <c r="U106" s="133">
        <f t="shared" si="18"/>
        <v>44</v>
      </c>
      <c r="V106" s="8">
        <v>219905</v>
      </c>
      <c r="W106" s="8">
        <v>220333</v>
      </c>
      <c r="X106" s="13">
        <f t="shared" si="22"/>
        <v>428</v>
      </c>
      <c r="Y106" s="8">
        <v>8857</v>
      </c>
      <c r="Z106" s="8">
        <v>8874</v>
      </c>
      <c r="AA106" s="13">
        <f t="shared" si="27"/>
        <v>17</v>
      </c>
      <c r="AB106" s="8">
        <v>173601</v>
      </c>
      <c r="AC106" s="8">
        <v>173672</v>
      </c>
      <c r="AD106" s="13">
        <f t="shared" si="25"/>
        <v>71</v>
      </c>
      <c r="AE106" s="135"/>
      <c r="AF106" s="135"/>
      <c r="AG106" s="135"/>
      <c r="AH106" s="136"/>
      <c r="AI106" s="50">
        <f t="shared" si="14"/>
        <v>969</v>
      </c>
    </row>
    <row r="107" spans="1:35">
      <c r="A107" s="12">
        <v>44482</v>
      </c>
      <c r="B107" s="8">
        <v>1506555</v>
      </c>
      <c r="C107" s="8">
        <v>1507680</v>
      </c>
      <c r="D107" s="13">
        <f t="shared" si="24"/>
        <v>1125</v>
      </c>
      <c r="E107" s="46">
        <v>0</v>
      </c>
      <c r="F107" s="70">
        <v>0</v>
      </c>
      <c r="G107" s="133">
        <f t="shared" si="17"/>
        <v>0</v>
      </c>
      <c r="H107" s="8">
        <v>146087</v>
      </c>
      <c r="I107" s="8">
        <v>146087</v>
      </c>
      <c r="J107" s="13">
        <f t="shared" si="23"/>
        <v>0</v>
      </c>
      <c r="K107" s="138"/>
      <c r="L107" s="8">
        <v>218421</v>
      </c>
      <c r="M107" s="8">
        <v>219415</v>
      </c>
      <c r="N107" s="13">
        <f t="shared" si="15"/>
        <v>994</v>
      </c>
      <c r="O107" s="136"/>
      <c r="P107" s="8">
        <v>163889</v>
      </c>
      <c r="Q107" s="8">
        <v>164271</v>
      </c>
      <c r="R107" s="133">
        <f t="shared" si="26"/>
        <v>382</v>
      </c>
      <c r="S107" s="8">
        <v>166866</v>
      </c>
      <c r="T107" s="8">
        <v>166923</v>
      </c>
      <c r="U107" s="133">
        <f t="shared" si="18"/>
        <v>57</v>
      </c>
      <c r="V107" s="8">
        <v>220333</v>
      </c>
      <c r="W107" s="8">
        <v>220735</v>
      </c>
      <c r="X107" s="13">
        <f t="shared" si="22"/>
        <v>402</v>
      </c>
      <c r="Y107" s="8">
        <v>8874</v>
      </c>
      <c r="Z107" s="8">
        <v>8890</v>
      </c>
      <c r="AA107" s="13">
        <f t="shared" si="27"/>
        <v>16</v>
      </c>
      <c r="AB107" s="8">
        <v>173672</v>
      </c>
      <c r="AC107" s="8">
        <v>173760</v>
      </c>
      <c r="AD107" s="13">
        <f t="shared" si="25"/>
        <v>88</v>
      </c>
      <c r="AE107" s="135"/>
      <c r="AF107" s="135"/>
      <c r="AG107" s="135"/>
      <c r="AH107" s="136"/>
      <c r="AI107" s="50">
        <f t="shared" si="14"/>
        <v>857</v>
      </c>
    </row>
    <row r="108" spans="1:35">
      <c r="A108" s="12">
        <v>44483</v>
      </c>
      <c r="B108" s="8">
        <v>1507680</v>
      </c>
      <c r="C108" s="8">
        <v>1509079</v>
      </c>
      <c r="D108" s="13">
        <f t="shared" si="24"/>
        <v>1399</v>
      </c>
      <c r="E108" s="46">
        <v>0</v>
      </c>
      <c r="F108" s="70">
        <v>0</v>
      </c>
      <c r="G108" s="133">
        <f t="shared" si="17"/>
        <v>0</v>
      </c>
      <c r="H108" s="8">
        <v>146087</v>
      </c>
      <c r="I108" s="8">
        <v>146087</v>
      </c>
      <c r="J108" s="13">
        <f t="shared" si="23"/>
        <v>0</v>
      </c>
      <c r="K108" s="138"/>
      <c r="L108" s="8">
        <v>219415</v>
      </c>
      <c r="M108" s="8">
        <v>220162</v>
      </c>
      <c r="N108" s="13">
        <f t="shared" si="15"/>
        <v>747</v>
      </c>
      <c r="O108" s="136"/>
      <c r="P108" s="8">
        <v>164271</v>
      </c>
      <c r="Q108" s="8">
        <v>164621</v>
      </c>
      <c r="R108" s="133">
        <f t="shared" si="26"/>
        <v>350</v>
      </c>
      <c r="S108" s="8">
        <v>166923</v>
      </c>
      <c r="T108" s="8">
        <v>166987</v>
      </c>
      <c r="U108" s="133">
        <f t="shared" si="18"/>
        <v>64</v>
      </c>
      <c r="V108" s="8">
        <v>220735</v>
      </c>
      <c r="W108" s="8">
        <v>220945</v>
      </c>
      <c r="X108" s="13">
        <f t="shared" si="22"/>
        <v>210</v>
      </c>
      <c r="Y108" s="8">
        <v>8890</v>
      </c>
      <c r="Z108" s="8">
        <v>8905</v>
      </c>
      <c r="AA108" s="13">
        <f t="shared" si="27"/>
        <v>15</v>
      </c>
      <c r="AB108" s="8">
        <v>173760</v>
      </c>
      <c r="AC108" s="8">
        <v>173828</v>
      </c>
      <c r="AD108" s="13">
        <f t="shared" si="25"/>
        <v>68</v>
      </c>
      <c r="AE108" s="135"/>
      <c r="AF108" s="135"/>
      <c r="AG108" s="135"/>
      <c r="AH108" s="136"/>
      <c r="AI108" s="50">
        <f t="shared" si="14"/>
        <v>639</v>
      </c>
    </row>
    <row r="109" spans="1:35">
      <c r="A109" s="12">
        <v>44484</v>
      </c>
      <c r="B109" s="8">
        <v>1509079</v>
      </c>
      <c r="C109" s="8">
        <v>1510269</v>
      </c>
      <c r="D109" s="13">
        <f t="shared" si="24"/>
        <v>1190</v>
      </c>
      <c r="E109" s="46">
        <v>0</v>
      </c>
      <c r="F109" s="70">
        <v>0</v>
      </c>
      <c r="G109" s="133">
        <f t="shared" si="17"/>
        <v>0</v>
      </c>
      <c r="H109" s="8">
        <v>146087</v>
      </c>
      <c r="I109" s="8">
        <v>146087</v>
      </c>
      <c r="J109" s="13">
        <f t="shared" si="23"/>
        <v>0</v>
      </c>
      <c r="K109" s="138"/>
      <c r="L109" s="8">
        <v>220162</v>
      </c>
      <c r="M109" s="8">
        <v>221300</v>
      </c>
      <c r="N109" s="13">
        <f t="shared" si="15"/>
        <v>1138</v>
      </c>
      <c r="O109" s="136"/>
      <c r="P109" s="8">
        <v>164621</v>
      </c>
      <c r="Q109" s="8">
        <v>165023</v>
      </c>
      <c r="R109" s="133">
        <f t="shared" si="26"/>
        <v>402</v>
      </c>
      <c r="S109" s="8">
        <v>166987</v>
      </c>
      <c r="T109" s="8">
        <v>167040</v>
      </c>
      <c r="U109" s="133">
        <f t="shared" si="18"/>
        <v>53</v>
      </c>
      <c r="V109" s="8">
        <v>220945</v>
      </c>
      <c r="W109" s="8">
        <v>221271</v>
      </c>
      <c r="X109" s="13">
        <f t="shared" si="22"/>
        <v>326</v>
      </c>
      <c r="Y109" s="8">
        <v>8905</v>
      </c>
      <c r="Z109" s="8">
        <v>8923</v>
      </c>
      <c r="AA109" s="13">
        <f t="shared" si="27"/>
        <v>18</v>
      </c>
      <c r="AB109" s="8">
        <v>173828</v>
      </c>
      <c r="AC109" s="8">
        <v>173896</v>
      </c>
      <c r="AD109" s="13">
        <f t="shared" si="25"/>
        <v>68</v>
      </c>
      <c r="AE109" s="135"/>
      <c r="AF109" s="135"/>
      <c r="AG109" s="135"/>
      <c r="AH109" s="136"/>
      <c r="AI109" s="50">
        <f t="shared" si="14"/>
        <v>799</v>
      </c>
    </row>
    <row r="110" spans="1:35">
      <c r="A110" s="12">
        <v>44485</v>
      </c>
      <c r="B110" s="8">
        <v>1510269</v>
      </c>
      <c r="C110" s="8">
        <v>1511476</v>
      </c>
      <c r="D110" s="13">
        <f t="shared" si="24"/>
        <v>1207</v>
      </c>
      <c r="E110" s="46">
        <v>0</v>
      </c>
      <c r="F110" s="70">
        <v>0</v>
      </c>
      <c r="G110" s="133">
        <f t="shared" si="17"/>
        <v>0</v>
      </c>
      <c r="H110" s="8">
        <v>146087</v>
      </c>
      <c r="I110" s="8">
        <v>146087</v>
      </c>
      <c r="J110" s="13">
        <f t="shared" si="23"/>
        <v>0</v>
      </c>
      <c r="K110" s="138"/>
      <c r="L110" s="8">
        <v>221300</v>
      </c>
      <c r="M110" s="8">
        <v>222146</v>
      </c>
      <c r="N110" s="13">
        <f t="shared" si="15"/>
        <v>846</v>
      </c>
      <c r="O110" s="136"/>
      <c r="P110" s="8">
        <v>165023</v>
      </c>
      <c r="Q110" s="8">
        <v>165479</v>
      </c>
      <c r="R110" s="133">
        <f t="shared" si="26"/>
        <v>456</v>
      </c>
      <c r="S110" s="8">
        <v>167040</v>
      </c>
      <c r="T110" s="8">
        <v>167072</v>
      </c>
      <c r="U110" s="133">
        <f t="shared" si="18"/>
        <v>32</v>
      </c>
      <c r="V110" s="8">
        <v>221271</v>
      </c>
      <c r="W110" s="8">
        <v>221595</v>
      </c>
      <c r="X110" s="13">
        <f t="shared" si="22"/>
        <v>324</v>
      </c>
      <c r="Y110" s="8">
        <v>8923</v>
      </c>
      <c r="Z110" s="8">
        <v>8932</v>
      </c>
      <c r="AA110" s="13">
        <f t="shared" si="27"/>
        <v>9</v>
      </c>
      <c r="AB110" s="8">
        <v>173896</v>
      </c>
      <c r="AC110" s="8">
        <v>173956</v>
      </c>
      <c r="AD110" s="13">
        <f t="shared" si="25"/>
        <v>60</v>
      </c>
      <c r="AE110" s="135"/>
      <c r="AF110" s="135"/>
      <c r="AG110" s="135"/>
      <c r="AH110" s="136"/>
      <c r="AI110" s="50">
        <f t="shared" si="14"/>
        <v>821</v>
      </c>
    </row>
    <row r="111" spans="1:35">
      <c r="A111" s="12">
        <v>44486</v>
      </c>
      <c r="B111" s="8">
        <v>1511476</v>
      </c>
      <c r="C111" s="8">
        <v>1512538</v>
      </c>
      <c r="D111" s="13">
        <f t="shared" si="24"/>
        <v>1062</v>
      </c>
      <c r="E111" s="46">
        <v>0</v>
      </c>
      <c r="F111" s="70">
        <v>0</v>
      </c>
      <c r="G111" s="133">
        <f t="shared" si="17"/>
        <v>0</v>
      </c>
      <c r="H111" s="8">
        <v>146087</v>
      </c>
      <c r="I111" s="8">
        <v>146087</v>
      </c>
      <c r="J111" s="13">
        <f t="shared" si="23"/>
        <v>0</v>
      </c>
      <c r="K111" s="138"/>
      <c r="L111" s="8">
        <v>222146</v>
      </c>
      <c r="M111" s="8">
        <v>223113</v>
      </c>
      <c r="N111" s="13">
        <f t="shared" si="15"/>
        <v>967</v>
      </c>
      <c r="O111" s="136"/>
      <c r="P111" s="8">
        <v>165479</v>
      </c>
      <c r="Q111" s="8">
        <v>165825</v>
      </c>
      <c r="R111" s="133">
        <f t="shared" si="26"/>
        <v>346</v>
      </c>
      <c r="S111" s="8">
        <v>167072</v>
      </c>
      <c r="T111" s="8">
        <v>167157</v>
      </c>
      <c r="U111" s="133">
        <f t="shared" si="18"/>
        <v>85</v>
      </c>
      <c r="V111" s="8">
        <v>221595</v>
      </c>
      <c r="W111" s="8">
        <v>222048</v>
      </c>
      <c r="X111" s="13">
        <f t="shared" si="22"/>
        <v>453</v>
      </c>
      <c r="Y111" s="8">
        <v>8932</v>
      </c>
      <c r="Z111" s="8">
        <v>8966</v>
      </c>
      <c r="AA111" s="13">
        <f t="shared" si="27"/>
        <v>34</v>
      </c>
      <c r="AB111" s="8">
        <v>173956</v>
      </c>
      <c r="AC111" s="8">
        <v>173988</v>
      </c>
      <c r="AD111" s="13">
        <f t="shared" si="25"/>
        <v>32</v>
      </c>
      <c r="AE111" s="135"/>
      <c r="AF111" s="135"/>
      <c r="AG111" s="135"/>
      <c r="AH111" s="136"/>
      <c r="AI111" s="50">
        <f t="shared" si="14"/>
        <v>918</v>
      </c>
    </row>
    <row r="112" spans="1:35">
      <c r="A112" s="12">
        <v>44487</v>
      </c>
      <c r="B112" s="8">
        <v>1512538</v>
      </c>
      <c r="C112" s="8">
        <v>1513758</v>
      </c>
      <c r="D112" s="13">
        <f t="shared" si="24"/>
        <v>1220</v>
      </c>
      <c r="E112" s="46">
        <v>0</v>
      </c>
      <c r="F112" s="70">
        <v>0</v>
      </c>
      <c r="G112" s="133">
        <f t="shared" si="17"/>
        <v>0</v>
      </c>
      <c r="H112" s="8">
        <v>146087</v>
      </c>
      <c r="I112" s="8">
        <v>146087</v>
      </c>
      <c r="J112" s="13">
        <f t="shared" si="23"/>
        <v>0</v>
      </c>
      <c r="K112" s="138"/>
      <c r="L112" s="8">
        <v>223113</v>
      </c>
      <c r="M112" s="8">
        <v>223578</v>
      </c>
      <c r="N112" s="13">
        <f t="shared" si="15"/>
        <v>465</v>
      </c>
      <c r="O112" s="136"/>
      <c r="P112" s="8">
        <v>165825</v>
      </c>
      <c r="Q112" s="8">
        <v>166051</v>
      </c>
      <c r="R112" s="133">
        <f t="shared" si="26"/>
        <v>226</v>
      </c>
      <c r="S112" s="8">
        <v>167157</v>
      </c>
      <c r="T112" s="8">
        <v>167217</v>
      </c>
      <c r="U112" s="133">
        <f t="shared" si="18"/>
        <v>60</v>
      </c>
      <c r="V112" s="8">
        <v>222048</v>
      </c>
      <c r="W112" s="8">
        <v>222420</v>
      </c>
      <c r="X112" s="13">
        <f t="shared" si="22"/>
        <v>372</v>
      </c>
      <c r="Y112" s="8">
        <v>8966</v>
      </c>
      <c r="Z112" s="8">
        <v>8980</v>
      </c>
      <c r="AA112" s="13">
        <f t="shared" si="27"/>
        <v>14</v>
      </c>
      <c r="AB112" s="8">
        <v>173988</v>
      </c>
      <c r="AC112" s="8">
        <v>174075</v>
      </c>
      <c r="AD112" s="13">
        <f t="shared" si="25"/>
        <v>87</v>
      </c>
      <c r="AE112" s="135"/>
      <c r="AF112" s="135"/>
      <c r="AG112" s="135"/>
      <c r="AH112" s="136"/>
      <c r="AI112" s="50">
        <f t="shared" si="14"/>
        <v>672</v>
      </c>
    </row>
    <row r="113" spans="1:35">
      <c r="A113" s="12">
        <v>44488</v>
      </c>
      <c r="B113" s="8">
        <v>1513758</v>
      </c>
      <c r="C113" s="8">
        <v>1515090</v>
      </c>
      <c r="D113" s="13">
        <f t="shared" si="24"/>
        <v>1332</v>
      </c>
      <c r="E113" s="46">
        <v>0</v>
      </c>
      <c r="F113" s="70">
        <v>0</v>
      </c>
      <c r="G113" s="133">
        <f t="shared" si="17"/>
        <v>0</v>
      </c>
      <c r="H113" s="8">
        <v>146087</v>
      </c>
      <c r="I113" s="8">
        <v>146087</v>
      </c>
      <c r="J113" s="13">
        <f t="shared" si="23"/>
        <v>0</v>
      </c>
      <c r="K113" s="138"/>
      <c r="L113" s="8">
        <v>223578</v>
      </c>
      <c r="M113" s="8">
        <v>224769</v>
      </c>
      <c r="N113" s="13">
        <f t="shared" si="15"/>
        <v>1191</v>
      </c>
      <c r="O113" s="136"/>
      <c r="P113" s="8">
        <v>166051</v>
      </c>
      <c r="Q113" s="8">
        <v>166467</v>
      </c>
      <c r="R113" s="133">
        <f t="shared" si="26"/>
        <v>416</v>
      </c>
      <c r="S113" s="8">
        <v>167217</v>
      </c>
      <c r="T113" s="8">
        <v>167274</v>
      </c>
      <c r="U113" s="133">
        <f t="shared" si="18"/>
        <v>57</v>
      </c>
      <c r="V113" s="8">
        <v>222420</v>
      </c>
      <c r="W113" s="8">
        <v>222776</v>
      </c>
      <c r="X113" s="13">
        <f t="shared" si="22"/>
        <v>356</v>
      </c>
      <c r="Y113" s="8">
        <v>8980</v>
      </c>
      <c r="Z113" s="8">
        <v>8996</v>
      </c>
      <c r="AA113" s="13">
        <f t="shared" si="27"/>
        <v>16</v>
      </c>
      <c r="AB113" s="8">
        <v>174075</v>
      </c>
      <c r="AC113" s="8">
        <v>174148</v>
      </c>
      <c r="AD113" s="13">
        <f t="shared" si="25"/>
        <v>73</v>
      </c>
      <c r="AE113" s="135"/>
      <c r="AF113" s="135"/>
      <c r="AG113" s="135"/>
      <c r="AH113" s="136"/>
      <c r="AI113" s="50">
        <f t="shared" si="14"/>
        <v>845</v>
      </c>
    </row>
    <row r="114" spans="1:35">
      <c r="A114" s="12">
        <v>44489</v>
      </c>
      <c r="B114" s="8">
        <v>1515090</v>
      </c>
      <c r="C114" s="8">
        <v>1516312</v>
      </c>
      <c r="D114" s="13">
        <f t="shared" si="24"/>
        <v>1222</v>
      </c>
      <c r="E114" s="46">
        <v>0</v>
      </c>
      <c r="F114" s="70">
        <v>0</v>
      </c>
      <c r="G114" s="133">
        <f t="shared" si="17"/>
        <v>0</v>
      </c>
      <c r="H114" s="8">
        <v>146087</v>
      </c>
      <c r="I114" s="8">
        <v>146087</v>
      </c>
      <c r="J114" s="13">
        <f t="shared" si="23"/>
        <v>0</v>
      </c>
      <c r="K114" s="138"/>
      <c r="L114" s="8">
        <v>224769</v>
      </c>
      <c r="M114" s="8">
        <v>225670</v>
      </c>
      <c r="N114" s="13">
        <f t="shared" si="15"/>
        <v>901</v>
      </c>
      <c r="O114" s="136"/>
      <c r="P114" s="8">
        <v>166467</v>
      </c>
      <c r="Q114" s="8">
        <v>166809</v>
      </c>
      <c r="R114" s="133">
        <f t="shared" si="26"/>
        <v>342</v>
      </c>
      <c r="S114" s="8">
        <v>167274</v>
      </c>
      <c r="T114" s="8">
        <v>167316</v>
      </c>
      <c r="U114" s="133">
        <f t="shared" si="18"/>
        <v>42</v>
      </c>
      <c r="V114" s="8">
        <v>222776</v>
      </c>
      <c r="W114" s="8">
        <v>223177</v>
      </c>
      <c r="X114" s="13">
        <f t="shared" si="22"/>
        <v>401</v>
      </c>
      <c r="Y114" s="8">
        <v>8996</v>
      </c>
      <c r="Z114" s="8">
        <v>9012</v>
      </c>
      <c r="AA114" s="13">
        <f t="shared" si="27"/>
        <v>16</v>
      </c>
      <c r="AB114" s="8">
        <v>174148</v>
      </c>
      <c r="AC114" s="8">
        <v>174194</v>
      </c>
      <c r="AD114" s="13">
        <f t="shared" si="25"/>
        <v>46</v>
      </c>
      <c r="AE114" s="135"/>
      <c r="AF114" s="135"/>
      <c r="AG114" s="135"/>
      <c r="AH114" s="136"/>
      <c r="AI114" s="50">
        <f t="shared" si="14"/>
        <v>801</v>
      </c>
    </row>
    <row r="115" spans="1:35">
      <c r="A115" s="12">
        <v>44490</v>
      </c>
      <c r="B115" s="8">
        <v>1516312</v>
      </c>
      <c r="C115" s="8">
        <v>1517455</v>
      </c>
      <c r="D115" s="13">
        <f t="shared" si="24"/>
        <v>1143</v>
      </c>
      <c r="E115" s="46">
        <v>0</v>
      </c>
      <c r="F115" s="70">
        <v>0</v>
      </c>
      <c r="G115" s="133">
        <f t="shared" si="17"/>
        <v>0</v>
      </c>
      <c r="H115" s="8">
        <v>146087</v>
      </c>
      <c r="I115" s="8">
        <v>146087</v>
      </c>
      <c r="J115" s="13">
        <f t="shared" si="23"/>
        <v>0</v>
      </c>
      <c r="K115" s="138"/>
      <c r="L115" s="8">
        <v>225670</v>
      </c>
      <c r="M115" s="8">
        <v>226185</v>
      </c>
      <c r="N115" s="13">
        <f t="shared" si="15"/>
        <v>515</v>
      </c>
      <c r="O115" s="136"/>
      <c r="P115" s="8">
        <v>166809</v>
      </c>
      <c r="Q115" s="8">
        <v>166834</v>
      </c>
      <c r="R115" s="133">
        <f t="shared" si="26"/>
        <v>25</v>
      </c>
      <c r="S115" s="8">
        <v>167316</v>
      </c>
      <c r="T115" s="8">
        <v>167370</v>
      </c>
      <c r="U115" s="133">
        <f t="shared" si="18"/>
        <v>54</v>
      </c>
      <c r="V115" s="8">
        <v>223177</v>
      </c>
      <c r="W115" s="8">
        <v>223574</v>
      </c>
      <c r="X115" s="13">
        <f t="shared" si="22"/>
        <v>397</v>
      </c>
      <c r="Y115" s="8">
        <v>9012</v>
      </c>
      <c r="Z115" s="8">
        <v>9029</v>
      </c>
      <c r="AA115" s="13">
        <f t="shared" si="27"/>
        <v>17</v>
      </c>
      <c r="AB115" s="8">
        <v>174194</v>
      </c>
      <c r="AC115" s="8">
        <v>174267</v>
      </c>
      <c r="AD115" s="13">
        <f t="shared" si="25"/>
        <v>73</v>
      </c>
      <c r="AE115" s="135"/>
      <c r="AF115" s="135"/>
      <c r="AG115" s="135"/>
      <c r="AH115" s="136"/>
      <c r="AI115" s="50">
        <f t="shared" si="14"/>
        <v>493</v>
      </c>
    </row>
    <row r="116" spans="1:35">
      <c r="A116" s="12">
        <v>44491</v>
      </c>
      <c r="B116" s="8">
        <v>1517455</v>
      </c>
      <c r="C116" s="8">
        <v>1518763</v>
      </c>
      <c r="D116" s="13">
        <f t="shared" si="24"/>
        <v>1308</v>
      </c>
      <c r="E116" s="46">
        <v>0</v>
      </c>
      <c r="F116" s="70">
        <v>0</v>
      </c>
      <c r="G116" s="133">
        <f t="shared" si="17"/>
        <v>0</v>
      </c>
      <c r="H116" s="8">
        <v>146087</v>
      </c>
      <c r="I116" s="8">
        <v>146087</v>
      </c>
      <c r="J116" s="13">
        <f t="shared" si="23"/>
        <v>0</v>
      </c>
      <c r="K116" s="138"/>
      <c r="L116" s="8">
        <v>226185</v>
      </c>
      <c r="M116" s="8">
        <v>227431</v>
      </c>
      <c r="N116" s="13">
        <f t="shared" si="15"/>
        <v>1246</v>
      </c>
      <c r="O116" s="136"/>
      <c r="P116" s="8">
        <v>166834</v>
      </c>
      <c r="Q116" s="8">
        <v>167364</v>
      </c>
      <c r="R116" s="133">
        <f t="shared" si="26"/>
        <v>530</v>
      </c>
      <c r="S116" s="8">
        <v>167370</v>
      </c>
      <c r="T116" s="8">
        <v>167431</v>
      </c>
      <c r="U116" s="133">
        <f t="shared" si="18"/>
        <v>61</v>
      </c>
      <c r="V116" s="8">
        <v>223574</v>
      </c>
      <c r="W116" s="8">
        <v>223935</v>
      </c>
      <c r="X116" s="13">
        <f t="shared" si="22"/>
        <v>361</v>
      </c>
      <c r="Y116" s="8">
        <v>9029</v>
      </c>
      <c r="Z116" s="8">
        <v>9046</v>
      </c>
      <c r="AA116" s="13">
        <f t="shared" si="27"/>
        <v>17</v>
      </c>
      <c r="AB116" s="8">
        <v>174267</v>
      </c>
      <c r="AC116" s="8">
        <v>174284</v>
      </c>
      <c r="AD116" s="13">
        <f t="shared" si="25"/>
        <v>17</v>
      </c>
      <c r="AE116" s="135"/>
      <c r="AF116" s="135"/>
      <c r="AG116" s="135"/>
      <c r="AH116" s="136"/>
      <c r="AI116" s="50">
        <f t="shared" si="14"/>
        <v>969</v>
      </c>
    </row>
    <row r="117" spans="1:35">
      <c r="A117" s="12">
        <v>44492</v>
      </c>
      <c r="B117" s="8">
        <v>1518763</v>
      </c>
      <c r="C117" s="8">
        <v>1520071</v>
      </c>
      <c r="D117" s="13">
        <f t="shared" si="24"/>
        <v>1308</v>
      </c>
      <c r="E117" s="46">
        <v>0</v>
      </c>
      <c r="F117" s="70">
        <v>0</v>
      </c>
      <c r="G117" s="133">
        <f t="shared" si="17"/>
        <v>0</v>
      </c>
      <c r="H117" s="8">
        <v>146087</v>
      </c>
      <c r="I117" s="8">
        <v>146087</v>
      </c>
      <c r="J117" s="13">
        <f t="shared" si="23"/>
        <v>0</v>
      </c>
      <c r="K117" s="138"/>
      <c r="L117" s="8">
        <v>227431</v>
      </c>
      <c r="M117" s="8">
        <v>228592</v>
      </c>
      <c r="N117" s="13">
        <f t="shared" si="15"/>
        <v>1161</v>
      </c>
      <c r="O117" s="136"/>
      <c r="P117" s="8">
        <v>167364</v>
      </c>
      <c r="Q117" s="8">
        <v>167677</v>
      </c>
      <c r="R117" s="133">
        <f t="shared" si="26"/>
        <v>313</v>
      </c>
      <c r="S117" s="8">
        <v>167431</v>
      </c>
      <c r="T117" s="8">
        <v>167483</v>
      </c>
      <c r="U117" s="133">
        <v>52</v>
      </c>
      <c r="V117" s="8">
        <v>223935</v>
      </c>
      <c r="W117" s="8">
        <v>224274</v>
      </c>
      <c r="X117" s="13">
        <f t="shared" si="22"/>
        <v>339</v>
      </c>
      <c r="Y117" s="8">
        <v>9046</v>
      </c>
      <c r="Z117" s="8">
        <v>9068</v>
      </c>
      <c r="AA117" s="13">
        <f t="shared" si="27"/>
        <v>22</v>
      </c>
      <c r="AB117" s="8">
        <v>174284</v>
      </c>
      <c r="AC117" s="8">
        <v>174293</v>
      </c>
      <c r="AD117" s="13">
        <f t="shared" si="25"/>
        <v>9</v>
      </c>
      <c r="AE117" s="135"/>
      <c r="AF117" s="135"/>
      <c r="AG117" s="135"/>
      <c r="AH117" s="136"/>
      <c r="AI117" s="50">
        <f t="shared" si="14"/>
        <v>726</v>
      </c>
    </row>
    <row r="118" spans="1:35">
      <c r="A118" s="12">
        <v>44493</v>
      </c>
      <c r="B118" s="8">
        <v>1520071</v>
      </c>
      <c r="C118" s="8">
        <v>1521240</v>
      </c>
      <c r="D118" s="13">
        <f t="shared" si="24"/>
        <v>1169</v>
      </c>
      <c r="E118" s="46">
        <v>0</v>
      </c>
      <c r="F118" s="70">
        <v>0</v>
      </c>
      <c r="G118" s="133">
        <f t="shared" si="17"/>
        <v>0</v>
      </c>
      <c r="H118" s="8">
        <v>146087</v>
      </c>
      <c r="I118" s="8">
        <v>146087</v>
      </c>
      <c r="J118" s="13">
        <f t="shared" si="23"/>
        <v>0</v>
      </c>
      <c r="K118" s="138"/>
      <c r="L118" s="8">
        <v>228592</v>
      </c>
      <c r="M118" s="8">
        <v>229415</v>
      </c>
      <c r="N118" s="13">
        <f t="shared" si="15"/>
        <v>823</v>
      </c>
      <c r="O118" s="136"/>
      <c r="P118" s="8">
        <v>167677</v>
      </c>
      <c r="Q118" s="8">
        <v>168234</v>
      </c>
      <c r="R118" s="133">
        <f t="shared" si="26"/>
        <v>557</v>
      </c>
      <c r="S118" s="8">
        <v>167483</v>
      </c>
      <c r="T118" s="8">
        <v>167534</v>
      </c>
      <c r="U118" s="133">
        <v>51</v>
      </c>
      <c r="V118" s="8">
        <v>224274</v>
      </c>
      <c r="W118" s="8">
        <v>224579</v>
      </c>
      <c r="X118" s="13">
        <f t="shared" si="22"/>
        <v>305</v>
      </c>
      <c r="Y118" s="8">
        <v>9068</v>
      </c>
      <c r="Z118" s="8">
        <v>9083</v>
      </c>
      <c r="AA118" s="13">
        <f t="shared" si="27"/>
        <v>15</v>
      </c>
      <c r="AB118" s="8">
        <v>174293</v>
      </c>
      <c r="AC118" s="8">
        <v>174337</v>
      </c>
      <c r="AD118" s="13">
        <f t="shared" si="25"/>
        <v>44</v>
      </c>
      <c r="AE118" s="135"/>
      <c r="AF118" s="135"/>
      <c r="AG118" s="135"/>
      <c r="AH118" s="136"/>
      <c r="AI118" s="50">
        <f t="shared" si="14"/>
        <v>928</v>
      </c>
    </row>
    <row r="119" spans="1:35">
      <c r="A119" s="12">
        <v>44494</v>
      </c>
      <c r="B119" s="8">
        <v>1521240</v>
      </c>
      <c r="C119" s="8">
        <v>1522423</v>
      </c>
      <c r="D119" s="13">
        <f t="shared" si="24"/>
        <v>1183</v>
      </c>
      <c r="E119" s="46">
        <v>0</v>
      </c>
      <c r="F119" s="70">
        <v>0</v>
      </c>
      <c r="G119" s="133">
        <f t="shared" si="17"/>
        <v>0</v>
      </c>
      <c r="H119" s="8">
        <v>146087</v>
      </c>
      <c r="I119" s="8">
        <v>146087</v>
      </c>
      <c r="J119" s="13">
        <f t="shared" si="23"/>
        <v>0</v>
      </c>
      <c r="K119" s="138"/>
      <c r="L119" s="8">
        <v>229415</v>
      </c>
      <c r="M119" s="8">
        <v>230385</v>
      </c>
      <c r="N119" s="13">
        <f t="shared" si="15"/>
        <v>970</v>
      </c>
      <c r="O119" s="136"/>
      <c r="P119" s="8">
        <v>168234</v>
      </c>
      <c r="Q119" s="8">
        <v>168686</v>
      </c>
      <c r="R119" s="133">
        <f t="shared" si="26"/>
        <v>452</v>
      </c>
      <c r="S119" s="8">
        <v>167534</v>
      </c>
      <c r="T119" s="8">
        <v>167584</v>
      </c>
      <c r="U119" s="133">
        <f>T119-S119</f>
        <v>50</v>
      </c>
      <c r="V119" s="8">
        <v>224579</v>
      </c>
      <c r="W119" s="8">
        <v>224955</v>
      </c>
      <c r="X119" s="13">
        <f t="shared" si="22"/>
        <v>376</v>
      </c>
      <c r="Y119" s="8">
        <v>9083</v>
      </c>
      <c r="Z119" s="8">
        <v>9099</v>
      </c>
      <c r="AA119" s="13">
        <f t="shared" ref="AA119:AA182" si="28">Z119-Y119</f>
        <v>16</v>
      </c>
      <c r="AB119" s="8">
        <v>174337</v>
      </c>
      <c r="AC119" s="8">
        <v>174397</v>
      </c>
      <c r="AD119" s="13">
        <f t="shared" si="25"/>
        <v>60</v>
      </c>
      <c r="AE119" s="135"/>
      <c r="AF119" s="135"/>
      <c r="AG119" s="135"/>
      <c r="AH119" s="136"/>
      <c r="AI119" s="50">
        <f t="shared" si="14"/>
        <v>894</v>
      </c>
    </row>
    <row r="120" spans="1:35">
      <c r="A120" s="12">
        <v>44495</v>
      </c>
      <c r="B120" s="8">
        <v>1522423</v>
      </c>
      <c r="C120" s="8">
        <v>1523804</v>
      </c>
      <c r="D120" s="13">
        <f t="shared" si="24"/>
        <v>1381</v>
      </c>
      <c r="E120" s="46">
        <v>0</v>
      </c>
      <c r="F120" s="70">
        <v>0</v>
      </c>
      <c r="G120" s="133">
        <f t="shared" si="17"/>
        <v>0</v>
      </c>
      <c r="H120" s="8">
        <v>146087</v>
      </c>
      <c r="I120" s="8">
        <v>146087</v>
      </c>
      <c r="J120" s="13">
        <f t="shared" si="23"/>
        <v>0</v>
      </c>
      <c r="K120" s="138"/>
      <c r="L120" s="8">
        <v>230385</v>
      </c>
      <c r="M120" s="8">
        <v>231416</v>
      </c>
      <c r="N120" s="13">
        <f t="shared" si="15"/>
        <v>1031</v>
      </c>
      <c r="O120" s="136"/>
      <c r="P120" s="8">
        <v>168686</v>
      </c>
      <c r="Q120" s="8">
        <v>169072</v>
      </c>
      <c r="R120" s="133">
        <f t="shared" si="26"/>
        <v>386</v>
      </c>
      <c r="S120" s="8">
        <v>167584</v>
      </c>
      <c r="T120" s="8">
        <v>167632</v>
      </c>
      <c r="U120" s="133">
        <f t="shared" ref="U120:U183" si="29">T120-S120</f>
        <v>48</v>
      </c>
      <c r="V120" s="8">
        <v>224955</v>
      </c>
      <c r="W120" s="8">
        <v>225269</v>
      </c>
      <c r="X120" s="13">
        <f t="shared" si="22"/>
        <v>314</v>
      </c>
      <c r="Y120" s="8">
        <v>9099</v>
      </c>
      <c r="Z120" s="8">
        <v>9117</v>
      </c>
      <c r="AA120" s="13">
        <f t="shared" si="28"/>
        <v>18</v>
      </c>
      <c r="AB120" s="8">
        <v>174397</v>
      </c>
      <c r="AC120" s="8">
        <v>174472</v>
      </c>
      <c r="AD120" s="13">
        <f t="shared" si="25"/>
        <v>75</v>
      </c>
      <c r="AE120" s="135"/>
      <c r="AF120" s="135"/>
      <c r="AG120" s="135"/>
      <c r="AH120" s="136"/>
      <c r="AI120" s="50">
        <f t="shared" si="14"/>
        <v>766</v>
      </c>
    </row>
    <row r="121" spans="1:35">
      <c r="A121" s="12">
        <v>44496</v>
      </c>
      <c r="B121" s="8">
        <v>1523804</v>
      </c>
      <c r="C121" s="8">
        <v>1525086</v>
      </c>
      <c r="D121" s="13">
        <f t="shared" si="24"/>
        <v>1282</v>
      </c>
      <c r="E121" s="46">
        <v>0</v>
      </c>
      <c r="F121" s="70">
        <v>0</v>
      </c>
      <c r="G121" s="133">
        <f t="shared" si="17"/>
        <v>0</v>
      </c>
      <c r="H121" s="8">
        <v>146087</v>
      </c>
      <c r="I121" s="8">
        <v>146087</v>
      </c>
      <c r="J121" s="13">
        <f>H122-H121</f>
        <v>0</v>
      </c>
      <c r="K121" s="138"/>
      <c r="L121" s="8">
        <v>231416</v>
      </c>
      <c r="M121" s="8">
        <v>232490</v>
      </c>
      <c r="N121" s="13">
        <f t="shared" si="15"/>
        <v>1074</v>
      </c>
      <c r="O121" s="136"/>
      <c r="P121" s="8">
        <v>169072</v>
      </c>
      <c r="Q121" s="8">
        <v>169511</v>
      </c>
      <c r="R121" s="133">
        <f t="shared" si="26"/>
        <v>439</v>
      </c>
      <c r="S121" s="8">
        <v>167632</v>
      </c>
      <c r="T121" s="8">
        <v>167680</v>
      </c>
      <c r="U121" s="133">
        <f t="shared" si="29"/>
        <v>48</v>
      </c>
      <c r="V121" s="8">
        <v>225269</v>
      </c>
      <c r="W121" s="8">
        <v>225638</v>
      </c>
      <c r="X121" s="13">
        <f t="shared" si="22"/>
        <v>369</v>
      </c>
      <c r="Y121" s="8">
        <v>9117</v>
      </c>
      <c r="Z121" s="8">
        <v>9132</v>
      </c>
      <c r="AA121" s="13">
        <f t="shared" si="28"/>
        <v>15</v>
      </c>
      <c r="AB121" s="8">
        <v>174472</v>
      </c>
      <c r="AC121" s="8">
        <v>174535</v>
      </c>
      <c r="AD121" s="13">
        <f t="shared" si="25"/>
        <v>63</v>
      </c>
      <c r="AE121" s="135"/>
      <c r="AF121" s="135"/>
      <c r="AG121" s="135"/>
      <c r="AH121" s="136"/>
      <c r="AI121" s="50">
        <f t="shared" si="14"/>
        <v>871</v>
      </c>
    </row>
    <row r="122" spans="1:35">
      <c r="A122" s="12">
        <v>44497</v>
      </c>
      <c r="B122" s="8">
        <v>1525086</v>
      </c>
      <c r="C122" s="8">
        <v>1526294</v>
      </c>
      <c r="D122" s="13">
        <f t="shared" si="24"/>
        <v>1208</v>
      </c>
      <c r="E122" s="46">
        <v>0</v>
      </c>
      <c r="F122" s="70">
        <v>0</v>
      </c>
      <c r="G122" s="133">
        <f t="shared" si="17"/>
        <v>0</v>
      </c>
      <c r="H122" s="8">
        <v>146087</v>
      </c>
      <c r="I122" s="8">
        <v>146087</v>
      </c>
      <c r="J122" s="13">
        <f>H123-H122</f>
        <v>0</v>
      </c>
      <c r="K122" s="138"/>
      <c r="L122" s="8">
        <v>232490</v>
      </c>
      <c r="M122" s="8">
        <v>233460</v>
      </c>
      <c r="N122" s="13">
        <f t="shared" si="15"/>
        <v>970</v>
      </c>
      <c r="O122" s="136"/>
      <c r="P122" s="8">
        <v>169511</v>
      </c>
      <c r="Q122" s="8">
        <v>169992</v>
      </c>
      <c r="R122" s="133">
        <f t="shared" si="26"/>
        <v>481</v>
      </c>
      <c r="S122" s="8">
        <v>167680</v>
      </c>
      <c r="T122" s="8">
        <v>167741</v>
      </c>
      <c r="U122" s="133">
        <f t="shared" si="29"/>
        <v>61</v>
      </c>
      <c r="V122" s="8">
        <v>225638</v>
      </c>
      <c r="W122" s="8">
        <v>225997</v>
      </c>
      <c r="X122" s="13">
        <f t="shared" si="22"/>
        <v>359</v>
      </c>
      <c r="Y122" s="8">
        <v>9132</v>
      </c>
      <c r="Z122" s="8">
        <v>9150</v>
      </c>
      <c r="AA122" s="13">
        <f t="shared" si="28"/>
        <v>18</v>
      </c>
      <c r="AB122" s="8">
        <v>174535</v>
      </c>
      <c r="AC122" s="8">
        <v>174630</v>
      </c>
      <c r="AD122" s="13">
        <f t="shared" si="25"/>
        <v>95</v>
      </c>
      <c r="AE122" s="135"/>
      <c r="AF122" s="135"/>
      <c r="AG122" s="135"/>
      <c r="AH122" s="136"/>
      <c r="AI122" s="50">
        <f t="shared" si="14"/>
        <v>919</v>
      </c>
    </row>
    <row r="123" spans="1:35">
      <c r="A123" s="12">
        <v>44498</v>
      </c>
      <c r="B123" s="8">
        <v>1526294</v>
      </c>
      <c r="C123" s="8">
        <v>1527491</v>
      </c>
      <c r="D123" s="13">
        <f t="shared" si="24"/>
        <v>1197</v>
      </c>
      <c r="E123" s="46">
        <v>0</v>
      </c>
      <c r="F123" s="70">
        <v>0</v>
      </c>
      <c r="G123" s="133">
        <f t="shared" si="17"/>
        <v>0</v>
      </c>
      <c r="H123" s="8">
        <v>146087</v>
      </c>
      <c r="I123" s="8">
        <v>146087</v>
      </c>
      <c r="J123" s="13">
        <f t="shared" si="23"/>
        <v>0</v>
      </c>
      <c r="K123" s="138"/>
      <c r="L123" s="8">
        <v>233460</v>
      </c>
      <c r="M123" s="8">
        <v>234387</v>
      </c>
      <c r="N123" s="13">
        <f t="shared" si="15"/>
        <v>927</v>
      </c>
      <c r="O123" s="136"/>
      <c r="P123" s="8">
        <v>169992</v>
      </c>
      <c r="Q123" s="8">
        <v>170377</v>
      </c>
      <c r="R123" s="133">
        <f t="shared" si="26"/>
        <v>385</v>
      </c>
      <c r="S123" s="8">
        <v>167741</v>
      </c>
      <c r="T123" s="8">
        <v>167792</v>
      </c>
      <c r="U123" s="133">
        <f t="shared" si="29"/>
        <v>51</v>
      </c>
      <c r="V123" s="8">
        <v>225997</v>
      </c>
      <c r="W123" s="8">
        <v>226361</v>
      </c>
      <c r="X123" s="13">
        <f t="shared" si="22"/>
        <v>364</v>
      </c>
      <c r="Y123" s="8">
        <v>9150</v>
      </c>
      <c r="Z123" s="8">
        <v>9166</v>
      </c>
      <c r="AA123" s="13">
        <f t="shared" si="28"/>
        <v>16</v>
      </c>
      <c r="AB123" s="8">
        <v>174630</v>
      </c>
      <c r="AC123" s="8">
        <v>174728</v>
      </c>
      <c r="AD123" s="13">
        <f t="shared" si="25"/>
        <v>98</v>
      </c>
      <c r="AE123" s="135"/>
      <c r="AF123" s="135"/>
      <c r="AG123" s="135"/>
      <c r="AH123" s="136"/>
      <c r="AI123" s="50">
        <f t="shared" si="14"/>
        <v>816</v>
      </c>
    </row>
    <row r="124" spans="1:35">
      <c r="A124" s="12">
        <v>44499</v>
      </c>
      <c r="B124" s="8">
        <v>1527491</v>
      </c>
      <c r="C124" s="8">
        <v>1528721</v>
      </c>
      <c r="D124" s="13">
        <f t="shared" si="24"/>
        <v>1230</v>
      </c>
      <c r="E124" s="46">
        <v>0</v>
      </c>
      <c r="F124" s="70">
        <v>0</v>
      </c>
      <c r="G124" s="133">
        <f t="shared" si="17"/>
        <v>0</v>
      </c>
      <c r="H124" s="8">
        <v>146087</v>
      </c>
      <c r="I124" s="8">
        <v>146087</v>
      </c>
      <c r="J124" s="13">
        <f t="shared" si="23"/>
        <v>0</v>
      </c>
      <c r="K124" s="138"/>
      <c r="L124" s="8">
        <v>234387</v>
      </c>
      <c r="M124" s="8">
        <v>235434</v>
      </c>
      <c r="N124" s="13">
        <f t="shared" si="15"/>
        <v>1047</v>
      </c>
      <c r="O124" s="136"/>
      <c r="P124" s="8">
        <v>170377</v>
      </c>
      <c r="Q124" s="8">
        <v>170886</v>
      </c>
      <c r="R124" s="133">
        <f t="shared" si="26"/>
        <v>509</v>
      </c>
      <c r="S124" s="8">
        <v>167792</v>
      </c>
      <c r="T124" s="8">
        <v>167842</v>
      </c>
      <c r="U124" s="133">
        <f t="shared" si="29"/>
        <v>50</v>
      </c>
      <c r="V124" s="8">
        <v>226361</v>
      </c>
      <c r="W124" s="8">
        <v>226728</v>
      </c>
      <c r="X124" s="13">
        <f t="shared" si="22"/>
        <v>367</v>
      </c>
      <c r="Y124" s="8">
        <v>9166</v>
      </c>
      <c r="Z124" s="8">
        <v>9181</v>
      </c>
      <c r="AA124" s="13">
        <f t="shared" si="28"/>
        <v>15</v>
      </c>
      <c r="AB124" s="8">
        <v>174728</v>
      </c>
      <c r="AC124" s="8">
        <v>174771</v>
      </c>
      <c r="AD124" s="13">
        <f t="shared" si="25"/>
        <v>43</v>
      </c>
      <c r="AE124" s="135"/>
      <c r="AF124" s="135"/>
      <c r="AG124" s="135"/>
      <c r="AH124" s="136"/>
      <c r="AI124" s="50">
        <f t="shared" si="14"/>
        <v>941</v>
      </c>
    </row>
    <row r="125" spans="1:35">
      <c r="A125" s="12">
        <v>44500</v>
      </c>
      <c r="B125" s="8">
        <v>1528721</v>
      </c>
      <c r="C125" s="8">
        <v>1529941</v>
      </c>
      <c r="D125" s="13">
        <f t="shared" si="24"/>
        <v>1220</v>
      </c>
      <c r="E125" s="46">
        <v>0</v>
      </c>
      <c r="F125" s="70">
        <v>0</v>
      </c>
      <c r="G125" s="133">
        <f t="shared" si="17"/>
        <v>0</v>
      </c>
      <c r="H125" s="8">
        <v>146087</v>
      </c>
      <c r="I125" s="8">
        <v>146087</v>
      </c>
      <c r="J125" s="13">
        <f t="shared" si="23"/>
        <v>0</v>
      </c>
      <c r="K125" s="138"/>
      <c r="L125" s="8">
        <v>235434</v>
      </c>
      <c r="M125" s="8">
        <v>236389</v>
      </c>
      <c r="N125" s="13">
        <f t="shared" si="15"/>
        <v>955</v>
      </c>
      <c r="O125" s="136"/>
      <c r="P125" s="8">
        <v>170886</v>
      </c>
      <c r="Q125" s="8">
        <v>171298</v>
      </c>
      <c r="R125" s="133">
        <f t="shared" si="26"/>
        <v>412</v>
      </c>
      <c r="S125" s="8">
        <v>167842</v>
      </c>
      <c r="T125" s="8">
        <v>167871</v>
      </c>
      <c r="U125" s="133">
        <f t="shared" si="29"/>
        <v>29</v>
      </c>
      <c r="V125" s="8">
        <v>226728</v>
      </c>
      <c r="W125" s="8">
        <v>227077</v>
      </c>
      <c r="X125" s="13">
        <f t="shared" si="22"/>
        <v>349</v>
      </c>
      <c r="Y125" s="8">
        <v>9181</v>
      </c>
      <c r="Z125" s="8">
        <v>9224</v>
      </c>
      <c r="AA125" s="13">
        <f t="shared" si="28"/>
        <v>43</v>
      </c>
      <c r="AB125" s="8">
        <v>174771</v>
      </c>
      <c r="AC125" s="8">
        <v>174821</v>
      </c>
      <c r="AD125" s="13">
        <f t="shared" si="25"/>
        <v>50</v>
      </c>
      <c r="AE125" s="135"/>
      <c r="AF125" s="135"/>
      <c r="AG125" s="135"/>
      <c r="AH125" s="136"/>
      <c r="AI125" s="50">
        <f t="shared" si="14"/>
        <v>833</v>
      </c>
    </row>
    <row r="126" spans="1:35">
      <c r="A126" s="12">
        <v>44501</v>
      </c>
      <c r="B126" s="8">
        <v>1529941</v>
      </c>
      <c r="C126" s="8">
        <v>1531165</v>
      </c>
      <c r="D126" s="13">
        <f t="shared" si="24"/>
        <v>1224</v>
      </c>
      <c r="E126" s="46">
        <v>0</v>
      </c>
      <c r="F126" s="70">
        <v>0</v>
      </c>
      <c r="G126" s="133">
        <f t="shared" si="17"/>
        <v>0</v>
      </c>
      <c r="H126" s="8">
        <v>146087</v>
      </c>
      <c r="I126" s="8">
        <v>146087</v>
      </c>
      <c r="J126" s="13">
        <f t="shared" si="23"/>
        <v>0</v>
      </c>
      <c r="K126" s="138"/>
      <c r="L126" s="8">
        <v>236389</v>
      </c>
      <c r="M126" s="8">
        <v>237450</v>
      </c>
      <c r="N126" s="13">
        <f t="shared" si="15"/>
        <v>1061</v>
      </c>
      <c r="O126" s="136"/>
      <c r="P126" s="8">
        <v>171298</v>
      </c>
      <c r="Q126" s="8">
        <v>171712</v>
      </c>
      <c r="R126" s="133">
        <f t="shared" si="26"/>
        <v>414</v>
      </c>
      <c r="S126" s="8">
        <v>167871</v>
      </c>
      <c r="T126" s="8">
        <v>167952</v>
      </c>
      <c r="U126" s="133">
        <f t="shared" si="29"/>
        <v>81</v>
      </c>
      <c r="V126" s="8">
        <v>227077</v>
      </c>
      <c r="W126" s="8">
        <v>227454</v>
      </c>
      <c r="X126" s="13">
        <f t="shared" si="22"/>
        <v>377</v>
      </c>
      <c r="Y126" s="8">
        <v>9224</v>
      </c>
      <c r="Z126" s="8">
        <v>9230</v>
      </c>
      <c r="AA126" s="13">
        <v>16</v>
      </c>
      <c r="AB126" s="8">
        <v>174821</v>
      </c>
      <c r="AC126" s="8">
        <v>174898</v>
      </c>
      <c r="AD126" s="13">
        <f t="shared" si="25"/>
        <v>77</v>
      </c>
      <c r="AE126" s="135"/>
      <c r="AF126" s="135"/>
      <c r="AG126" s="135"/>
      <c r="AH126" s="136"/>
      <c r="AI126" s="50">
        <f t="shared" si="14"/>
        <v>888</v>
      </c>
    </row>
    <row r="127" spans="1:35">
      <c r="A127" s="12">
        <v>44502</v>
      </c>
      <c r="B127" s="8">
        <v>1531165</v>
      </c>
      <c r="C127" s="8">
        <v>1532160</v>
      </c>
      <c r="D127" s="13">
        <f t="shared" si="24"/>
        <v>995</v>
      </c>
      <c r="E127" s="46">
        <v>0</v>
      </c>
      <c r="F127" s="70">
        <v>0</v>
      </c>
      <c r="G127" s="133">
        <f t="shared" si="17"/>
        <v>0</v>
      </c>
      <c r="H127" s="8">
        <v>146087</v>
      </c>
      <c r="I127" s="8">
        <v>146087</v>
      </c>
      <c r="J127" s="13">
        <f t="shared" si="23"/>
        <v>0</v>
      </c>
      <c r="K127" s="138"/>
      <c r="L127" s="8">
        <v>237450</v>
      </c>
      <c r="M127" s="8">
        <v>238031</v>
      </c>
      <c r="N127" s="13">
        <f t="shared" si="15"/>
        <v>581</v>
      </c>
      <c r="O127" s="136"/>
      <c r="P127" s="8">
        <v>171712</v>
      </c>
      <c r="Q127" s="8">
        <v>171979</v>
      </c>
      <c r="R127" s="133">
        <f t="shared" si="26"/>
        <v>267</v>
      </c>
      <c r="S127" s="8">
        <v>167952</v>
      </c>
      <c r="T127" s="8">
        <v>168000</v>
      </c>
      <c r="U127" s="133">
        <f t="shared" si="29"/>
        <v>48</v>
      </c>
      <c r="V127" s="8">
        <v>227454</v>
      </c>
      <c r="W127" s="8">
        <v>227887</v>
      </c>
      <c r="X127" s="13">
        <f t="shared" si="22"/>
        <v>433</v>
      </c>
      <c r="Y127" s="8">
        <v>9230</v>
      </c>
      <c r="Z127" s="8">
        <v>9247</v>
      </c>
      <c r="AA127" s="13">
        <f t="shared" si="28"/>
        <v>17</v>
      </c>
      <c r="AB127" s="8">
        <v>174898</v>
      </c>
      <c r="AC127" s="8">
        <v>174988</v>
      </c>
      <c r="AD127" s="13">
        <f t="shared" si="25"/>
        <v>90</v>
      </c>
      <c r="AE127" s="135"/>
      <c r="AF127" s="135"/>
      <c r="AG127" s="135"/>
      <c r="AH127" s="136"/>
      <c r="AI127" s="50">
        <f t="shared" si="14"/>
        <v>765</v>
      </c>
    </row>
    <row r="128" spans="1:35">
      <c r="A128" s="12">
        <v>44503</v>
      </c>
      <c r="B128" s="8">
        <v>1532160</v>
      </c>
      <c r="C128" s="8">
        <v>1533355</v>
      </c>
      <c r="D128" s="13">
        <f t="shared" si="24"/>
        <v>1195</v>
      </c>
      <c r="E128" s="46">
        <v>0</v>
      </c>
      <c r="F128" s="70">
        <v>0</v>
      </c>
      <c r="G128" s="133">
        <f t="shared" si="17"/>
        <v>0</v>
      </c>
      <c r="H128" s="8">
        <v>146087</v>
      </c>
      <c r="I128" s="8">
        <v>146087</v>
      </c>
      <c r="J128" s="13">
        <f t="shared" si="23"/>
        <v>0</v>
      </c>
      <c r="K128" s="138"/>
      <c r="L128" s="8">
        <v>238031</v>
      </c>
      <c r="M128" s="8">
        <v>238350</v>
      </c>
      <c r="N128" s="13">
        <f t="shared" si="15"/>
        <v>319</v>
      </c>
      <c r="O128" s="136"/>
      <c r="P128" s="8">
        <v>171979</v>
      </c>
      <c r="Q128" s="8">
        <v>172332</v>
      </c>
      <c r="R128" s="133">
        <f t="shared" si="26"/>
        <v>353</v>
      </c>
      <c r="S128" s="8">
        <v>168000</v>
      </c>
      <c r="T128" s="8">
        <v>168062</v>
      </c>
      <c r="U128" s="133">
        <f t="shared" si="29"/>
        <v>62</v>
      </c>
      <c r="V128" s="8">
        <v>227887</v>
      </c>
      <c r="W128" s="8">
        <v>228317</v>
      </c>
      <c r="X128" s="13">
        <f t="shared" si="22"/>
        <v>430</v>
      </c>
      <c r="Y128" s="8">
        <v>9247</v>
      </c>
      <c r="Z128" s="8">
        <v>9265</v>
      </c>
      <c r="AA128" s="13">
        <f t="shared" si="28"/>
        <v>18</v>
      </c>
      <c r="AB128" s="8">
        <v>174988</v>
      </c>
      <c r="AC128" s="8">
        <v>175059</v>
      </c>
      <c r="AD128" s="13">
        <f t="shared" si="25"/>
        <v>71</v>
      </c>
      <c r="AE128" s="135"/>
      <c r="AF128" s="135"/>
      <c r="AG128" s="135"/>
      <c r="AH128" s="136"/>
      <c r="AI128" s="50">
        <f t="shared" si="14"/>
        <v>863</v>
      </c>
    </row>
    <row r="129" spans="1:35">
      <c r="A129" s="12">
        <v>44504</v>
      </c>
      <c r="B129" s="8">
        <v>1533355</v>
      </c>
      <c r="C129" s="8">
        <v>1534664</v>
      </c>
      <c r="D129" s="13">
        <f t="shared" si="24"/>
        <v>1309</v>
      </c>
      <c r="E129" s="46">
        <v>0</v>
      </c>
      <c r="F129" s="70">
        <v>0</v>
      </c>
      <c r="G129" s="133">
        <f t="shared" si="17"/>
        <v>0</v>
      </c>
      <c r="H129" s="8">
        <v>146087</v>
      </c>
      <c r="I129" s="8">
        <v>146087</v>
      </c>
      <c r="J129" s="13">
        <f t="shared" si="23"/>
        <v>0</v>
      </c>
      <c r="K129" s="138"/>
      <c r="L129" s="8">
        <v>238350</v>
      </c>
      <c r="M129" s="8">
        <v>239653</v>
      </c>
      <c r="N129" s="13">
        <f t="shared" si="15"/>
        <v>1303</v>
      </c>
      <c r="O129" s="136"/>
      <c r="P129" s="8">
        <v>172332</v>
      </c>
      <c r="Q129" s="8">
        <v>172818</v>
      </c>
      <c r="R129" s="133">
        <f t="shared" si="26"/>
        <v>486</v>
      </c>
      <c r="S129" s="8">
        <v>168062</v>
      </c>
      <c r="T129" s="8">
        <v>168125</v>
      </c>
      <c r="U129" s="133">
        <f t="shared" si="29"/>
        <v>63</v>
      </c>
      <c r="V129" s="8">
        <v>228317</v>
      </c>
      <c r="W129" s="8">
        <v>228554</v>
      </c>
      <c r="X129" s="13">
        <f t="shared" si="22"/>
        <v>237</v>
      </c>
      <c r="Y129" s="8">
        <v>9265</v>
      </c>
      <c r="Z129" s="8">
        <v>9282</v>
      </c>
      <c r="AA129" s="13">
        <f t="shared" si="28"/>
        <v>17</v>
      </c>
      <c r="AB129" s="8">
        <v>175059</v>
      </c>
      <c r="AC129" s="8">
        <v>175132</v>
      </c>
      <c r="AD129" s="13">
        <f t="shared" si="25"/>
        <v>73</v>
      </c>
      <c r="AE129" s="135"/>
      <c r="AF129" s="135"/>
      <c r="AG129" s="135"/>
      <c r="AH129" s="136"/>
      <c r="AI129" s="50">
        <f t="shared" ref="AI129:AI192" si="30">AA129+U129+R129+O129+X129</f>
        <v>803</v>
      </c>
    </row>
    <row r="130" spans="1:35">
      <c r="A130" s="12">
        <v>44505</v>
      </c>
      <c r="B130" s="8">
        <v>1534664</v>
      </c>
      <c r="C130" s="8">
        <v>1535899</v>
      </c>
      <c r="D130" s="13">
        <f t="shared" si="24"/>
        <v>1235</v>
      </c>
      <c r="E130" s="46">
        <v>0</v>
      </c>
      <c r="F130" s="70">
        <v>0</v>
      </c>
      <c r="G130" s="133">
        <f t="shared" si="17"/>
        <v>0</v>
      </c>
      <c r="H130" s="8">
        <v>146087</v>
      </c>
      <c r="I130" s="8">
        <v>146087</v>
      </c>
      <c r="J130" s="13">
        <f t="shared" si="23"/>
        <v>0</v>
      </c>
      <c r="K130" s="138"/>
      <c r="L130" s="8">
        <v>239653</v>
      </c>
      <c r="M130" s="8">
        <v>240776</v>
      </c>
      <c r="N130" s="13">
        <f t="shared" ref="N130:N193" si="31">M130-L130</f>
        <v>1123</v>
      </c>
      <c r="O130" s="136"/>
      <c r="P130" s="8">
        <v>172818</v>
      </c>
      <c r="Q130" s="8">
        <v>173289</v>
      </c>
      <c r="R130" s="133">
        <f t="shared" si="26"/>
        <v>471</v>
      </c>
      <c r="S130" s="8">
        <v>168125</v>
      </c>
      <c r="T130" s="8">
        <v>168159</v>
      </c>
      <c r="U130" s="133">
        <f t="shared" si="29"/>
        <v>34</v>
      </c>
      <c r="V130" s="8">
        <v>228554</v>
      </c>
      <c r="W130" s="8">
        <v>228823</v>
      </c>
      <c r="X130" s="13">
        <f t="shared" si="22"/>
        <v>269</v>
      </c>
      <c r="Y130" s="8">
        <v>9282</v>
      </c>
      <c r="Z130" s="8">
        <v>9301</v>
      </c>
      <c r="AA130" s="13">
        <f t="shared" si="28"/>
        <v>19</v>
      </c>
      <c r="AB130" s="8">
        <v>175132</v>
      </c>
      <c r="AC130" s="8">
        <v>175202</v>
      </c>
      <c r="AD130" s="13">
        <f t="shared" si="25"/>
        <v>70</v>
      </c>
      <c r="AE130" s="135"/>
      <c r="AF130" s="135"/>
      <c r="AG130" s="135"/>
      <c r="AH130" s="136"/>
      <c r="AI130" s="50">
        <f t="shared" si="30"/>
        <v>793</v>
      </c>
    </row>
    <row r="131" spans="1:35">
      <c r="A131" s="12">
        <v>44506</v>
      </c>
      <c r="B131" s="8">
        <v>1535899</v>
      </c>
      <c r="C131" s="8">
        <v>1536472</v>
      </c>
      <c r="D131" s="13">
        <f t="shared" si="24"/>
        <v>573</v>
      </c>
      <c r="E131" s="46">
        <v>0</v>
      </c>
      <c r="F131" s="70">
        <v>0</v>
      </c>
      <c r="G131" s="133">
        <f t="shared" ref="G131:G194" si="32">F131-E131</f>
        <v>0</v>
      </c>
      <c r="H131" s="8">
        <v>146087</v>
      </c>
      <c r="I131" s="8">
        <v>146718</v>
      </c>
      <c r="J131" s="13">
        <f t="shared" si="23"/>
        <v>631</v>
      </c>
      <c r="K131" s="138"/>
      <c r="L131" s="8">
        <v>240776</v>
      </c>
      <c r="M131" s="8">
        <v>241735</v>
      </c>
      <c r="N131" s="13">
        <f t="shared" si="31"/>
        <v>959</v>
      </c>
      <c r="O131" s="136"/>
      <c r="P131" s="8">
        <v>173289</v>
      </c>
      <c r="Q131" s="8">
        <v>173689</v>
      </c>
      <c r="R131" s="133">
        <f t="shared" si="26"/>
        <v>400</v>
      </c>
      <c r="S131" s="8">
        <v>168159</v>
      </c>
      <c r="T131" s="8">
        <v>168239</v>
      </c>
      <c r="U131" s="133">
        <f t="shared" si="29"/>
        <v>80</v>
      </c>
      <c r="V131" s="8">
        <v>228823</v>
      </c>
      <c r="W131" s="8">
        <v>229000</v>
      </c>
      <c r="X131" s="13">
        <f t="shared" si="22"/>
        <v>177</v>
      </c>
      <c r="Y131" s="8">
        <v>9301</v>
      </c>
      <c r="Z131" s="8">
        <v>9319</v>
      </c>
      <c r="AA131" s="13">
        <f t="shared" si="28"/>
        <v>18</v>
      </c>
      <c r="AB131" s="8">
        <v>175202</v>
      </c>
      <c r="AC131" s="8">
        <v>175264</v>
      </c>
      <c r="AD131" s="13">
        <f t="shared" si="25"/>
        <v>62</v>
      </c>
      <c r="AE131" s="135"/>
      <c r="AF131" s="135"/>
      <c r="AG131" s="135"/>
      <c r="AH131" s="136"/>
      <c r="AI131" s="50">
        <f t="shared" si="30"/>
        <v>675</v>
      </c>
    </row>
    <row r="132" spans="1:35">
      <c r="A132" s="12">
        <v>44507</v>
      </c>
      <c r="B132" s="8">
        <v>1536472</v>
      </c>
      <c r="C132" s="8">
        <v>1536472</v>
      </c>
      <c r="D132" s="13">
        <f t="shared" si="24"/>
        <v>0</v>
      </c>
      <c r="E132" s="46">
        <v>0</v>
      </c>
      <c r="F132" s="70">
        <v>0</v>
      </c>
      <c r="G132" s="133">
        <f t="shared" si="32"/>
        <v>0</v>
      </c>
      <c r="H132" s="8">
        <v>146718</v>
      </c>
      <c r="I132" s="8">
        <v>147552</v>
      </c>
      <c r="J132" s="13">
        <f t="shared" si="23"/>
        <v>834</v>
      </c>
      <c r="K132" s="138"/>
      <c r="L132" s="8">
        <v>241735</v>
      </c>
      <c r="M132" s="8">
        <v>241735</v>
      </c>
      <c r="N132" s="13">
        <f t="shared" si="31"/>
        <v>0</v>
      </c>
      <c r="O132" s="136"/>
      <c r="P132" s="8">
        <v>173689</v>
      </c>
      <c r="Q132" s="8">
        <v>174141</v>
      </c>
      <c r="R132" s="133">
        <f t="shared" si="26"/>
        <v>452</v>
      </c>
      <c r="S132" s="8">
        <v>168239</v>
      </c>
      <c r="T132" s="8">
        <v>168290</v>
      </c>
      <c r="U132" s="133">
        <f t="shared" si="29"/>
        <v>51</v>
      </c>
      <c r="V132" s="8">
        <v>229000</v>
      </c>
      <c r="W132" s="8">
        <v>229185</v>
      </c>
      <c r="X132" s="13">
        <f t="shared" si="22"/>
        <v>185</v>
      </c>
      <c r="Y132" s="8">
        <v>9319</v>
      </c>
      <c r="Z132" s="8">
        <v>9342</v>
      </c>
      <c r="AA132" s="13">
        <f t="shared" si="28"/>
        <v>23</v>
      </c>
      <c r="AB132" s="8">
        <v>175264</v>
      </c>
      <c r="AC132" s="8">
        <v>175273</v>
      </c>
      <c r="AD132" s="13">
        <f t="shared" si="25"/>
        <v>9</v>
      </c>
      <c r="AE132" s="135"/>
      <c r="AF132" s="135"/>
      <c r="AG132" s="135"/>
      <c r="AH132" s="136"/>
      <c r="AI132" s="50">
        <f t="shared" si="30"/>
        <v>711</v>
      </c>
    </row>
    <row r="133" spans="1:35">
      <c r="A133" s="12">
        <v>44508</v>
      </c>
      <c r="B133" s="8">
        <v>1536472</v>
      </c>
      <c r="C133" s="8">
        <v>1537072</v>
      </c>
      <c r="D133" s="13">
        <f t="shared" si="24"/>
        <v>600</v>
      </c>
      <c r="E133" s="46">
        <v>0</v>
      </c>
      <c r="F133" s="70">
        <v>0</v>
      </c>
      <c r="G133" s="133">
        <f t="shared" si="32"/>
        <v>0</v>
      </c>
      <c r="H133" s="8">
        <v>147552</v>
      </c>
      <c r="I133" s="8">
        <v>148195</v>
      </c>
      <c r="J133" s="13">
        <f t="shared" si="23"/>
        <v>643</v>
      </c>
      <c r="K133" s="138"/>
      <c r="L133" s="8">
        <v>241735</v>
      </c>
      <c r="M133" s="8">
        <v>241787</v>
      </c>
      <c r="N133" s="13">
        <f t="shared" si="31"/>
        <v>52</v>
      </c>
      <c r="O133" s="136"/>
      <c r="P133" s="8">
        <v>174141</v>
      </c>
      <c r="Q133" s="8">
        <v>174487</v>
      </c>
      <c r="R133" s="133">
        <f t="shared" si="26"/>
        <v>346</v>
      </c>
      <c r="S133" s="8">
        <v>168290</v>
      </c>
      <c r="T133" s="8">
        <v>168339</v>
      </c>
      <c r="U133" s="133">
        <f t="shared" si="29"/>
        <v>49</v>
      </c>
      <c r="V133" s="8">
        <v>229185</v>
      </c>
      <c r="W133" s="8">
        <v>229514</v>
      </c>
      <c r="X133" s="13">
        <f t="shared" si="22"/>
        <v>329</v>
      </c>
      <c r="Y133" s="8">
        <v>9342</v>
      </c>
      <c r="Z133" s="8">
        <v>9361</v>
      </c>
      <c r="AA133" s="13">
        <f t="shared" si="28"/>
        <v>19</v>
      </c>
      <c r="AB133" s="8">
        <v>175273</v>
      </c>
      <c r="AC133" s="8">
        <v>175347</v>
      </c>
      <c r="AD133" s="13">
        <f t="shared" si="25"/>
        <v>74</v>
      </c>
      <c r="AE133" s="135"/>
      <c r="AF133" s="135"/>
      <c r="AG133" s="135"/>
      <c r="AH133" s="136"/>
      <c r="AI133" s="50">
        <f t="shared" si="30"/>
        <v>743</v>
      </c>
    </row>
    <row r="134" spans="1:35">
      <c r="A134" s="12">
        <v>44509</v>
      </c>
      <c r="B134" s="8">
        <v>1537072</v>
      </c>
      <c r="C134" s="8">
        <v>1537957</v>
      </c>
      <c r="D134" s="13">
        <f t="shared" si="24"/>
        <v>885</v>
      </c>
      <c r="E134" s="46">
        <v>0</v>
      </c>
      <c r="F134" s="70">
        <v>0</v>
      </c>
      <c r="G134" s="133">
        <f t="shared" si="32"/>
        <v>0</v>
      </c>
      <c r="H134" s="8">
        <v>148195</v>
      </c>
      <c r="I134" s="8">
        <v>148774</v>
      </c>
      <c r="J134" s="13">
        <f t="shared" si="23"/>
        <v>579</v>
      </c>
      <c r="K134" s="138"/>
      <c r="L134" s="8">
        <v>241787</v>
      </c>
      <c r="M134" s="8">
        <v>242215</v>
      </c>
      <c r="N134" s="13">
        <f t="shared" si="31"/>
        <v>428</v>
      </c>
      <c r="O134" s="136"/>
      <c r="P134" s="8">
        <v>174487</v>
      </c>
      <c r="Q134" s="8">
        <v>174816</v>
      </c>
      <c r="R134" s="133">
        <f t="shared" si="26"/>
        <v>329</v>
      </c>
      <c r="S134" s="8">
        <v>168339</v>
      </c>
      <c r="T134" s="8">
        <v>168388</v>
      </c>
      <c r="U134" s="133">
        <f t="shared" si="29"/>
        <v>49</v>
      </c>
      <c r="V134" s="8">
        <v>229514</v>
      </c>
      <c r="W134" s="8">
        <v>229973</v>
      </c>
      <c r="X134" s="13">
        <f t="shared" si="22"/>
        <v>459</v>
      </c>
      <c r="Y134" s="8">
        <v>9361</v>
      </c>
      <c r="Z134" s="8">
        <v>9384</v>
      </c>
      <c r="AA134" s="13">
        <f t="shared" si="28"/>
        <v>23</v>
      </c>
      <c r="AB134" s="8">
        <v>175347</v>
      </c>
      <c r="AC134" s="8">
        <v>175488</v>
      </c>
      <c r="AD134" s="13">
        <f t="shared" si="25"/>
        <v>141</v>
      </c>
      <c r="AE134" s="135"/>
      <c r="AF134" s="135"/>
      <c r="AG134" s="135"/>
      <c r="AH134" s="136"/>
      <c r="AI134" s="50">
        <f t="shared" si="30"/>
        <v>860</v>
      </c>
    </row>
    <row r="135" spans="1:35">
      <c r="A135" s="12">
        <v>44510</v>
      </c>
      <c r="B135" s="8">
        <v>1537957</v>
      </c>
      <c r="C135" s="8">
        <v>1539154</v>
      </c>
      <c r="D135" s="13">
        <f t="shared" si="24"/>
        <v>1197</v>
      </c>
      <c r="E135" s="46">
        <v>0</v>
      </c>
      <c r="F135" s="70">
        <v>0</v>
      </c>
      <c r="G135" s="133">
        <f t="shared" si="32"/>
        <v>0</v>
      </c>
      <c r="H135" s="8">
        <v>148774</v>
      </c>
      <c r="I135" s="8">
        <v>149083</v>
      </c>
      <c r="J135" s="13">
        <f t="shared" si="23"/>
        <v>309</v>
      </c>
      <c r="K135" s="138"/>
      <c r="L135" s="8">
        <v>242215</v>
      </c>
      <c r="M135" s="8">
        <v>243154</v>
      </c>
      <c r="N135" s="13">
        <f t="shared" si="31"/>
        <v>939</v>
      </c>
      <c r="O135" s="136"/>
      <c r="P135" s="8">
        <v>174816</v>
      </c>
      <c r="Q135" s="8">
        <v>175327</v>
      </c>
      <c r="R135" s="133">
        <f t="shared" si="26"/>
        <v>511</v>
      </c>
      <c r="S135" s="8">
        <v>168388</v>
      </c>
      <c r="T135" s="8">
        <v>168462</v>
      </c>
      <c r="U135" s="133">
        <f t="shared" si="29"/>
        <v>74</v>
      </c>
      <c r="V135" s="8">
        <v>229973</v>
      </c>
      <c r="W135" s="8">
        <v>230271</v>
      </c>
      <c r="X135" s="13">
        <f t="shared" si="22"/>
        <v>298</v>
      </c>
      <c r="Y135" s="8">
        <v>9384</v>
      </c>
      <c r="Z135" s="8">
        <v>9422</v>
      </c>
      <c r="AA135" s="13">
        <f t="shared" si="28"/>
        <v>38</v>
      </c>
      <c r="AB135" s="8">
        <v>175488</v>
      </c>
      <c r="AC135" s="8">
        <v>175582</v>
      </c>
      <c r="AD135" s="13">
        <f t="shared" si="25"/>
        <v>94</v>
      </c>
      <c r="AE135" s="135"/>
      <c r="AF135" s="135"/>
      <c r="AG135" s="135"/>
      <c r="AH135" s="136"/>
      <c r="AI135" s="50">
        <f t="shared" si="30"/>
        <v>921</v>
      </c>
    </row>
    <row r="136" spans="1:35">
      <c r="A136" s="12">
        <v>44511</v>
      </c>
      <c r="B136" s="8">
        <v>1539154</v>
      </c>
      <c r="C136" s="8">
        <v>1540002</v>
      </c>
      <c r="D136" s="13">
        <f t="shared" si="24"/>
        <v>848</v>
      </c>
      <c r="E136" s="46">
        <v>0</v>
      </c>
      <c r="F136" s="70">
        <v>0</v>
      </c>
      <c r="G136" s="133">
        <f t="shared" si="32"/>
        <v>0</v>
      </c>
      <c r="H136" s="8">
        <v>149083</v>
      </c>
      <c r="I136" s="8">
        <v>149083</v>
      </c>
      <c r="J136" s="13">
        <f t="shared" si="23"/>
        <v>0</v>
      </c>
      <c r="K136" s="138"/>
      <c r="L136" s="8">
        <v>243154</v>
      </c>
      <c r="M136" s="8">
        <v>244226</v>
      </c>
      <c r="N136" s="13">
        <f t="shared" si="31"/>
        <v>1072</v>
      </c>
      <c r="O136" s="136"/>
      <c r="P136" s="8">
        <v>175327</v>
      </c>
      <c r="Q136" s="8">
        <v>175837</v>
      </c>
      <c r="R136" s="133">
        <f t="shared" si="26"/>
        <v>510</v>
      </c>
      <c r="S136" s="8">
        <v>168462</v>
      </c>
      <c r="T136" s="8">
        <v>168525</v>
      </c>
      <c r="U136" s="133">
        <f t="shared" si="29"/>
        <v>63</v>
      </c>
      <c r="V136" s="8">
        <v>230271</v>
      </c>
      <c r="W136" s="8">
        <v>230503</v>
      </c>
      <c r="X136" s="13">
        <f t="shared" ref="X136:X196" si="33">W136-V136</f>
        <v>232</v>
      </c>
      <c r="Y136" s="8">
        <v>9422</v>
      </c>
      <c r="Z136" s="8">
        <v>9449</v>
      </c>
      <c r="AA136" s="13">
        <f t="shared" si="28"/>
        <v>27</v>
      </c>
      <c r="AB136" s="8">
        <v>175582</v>
      </c>
      <c r="AC136" s="8">
        <v>175659</v>
      </c>
      <c r="AD136" s="13">
        <f t="shared" si="25"/>
        <v>77</v>
      </c>
      <c r="AE136" s="135"/>
      <c r="AF136" s="135"/>
      <c r="AG136" s="135"/>
      <c r="AH136" s="136"/>
      <c r="AI136" s="50">
        <f t="shared" si="30"/>
        <v>832</v>
      </c>
    </row>
    <row r="137" spans="1:35">
      <c r="A137" s="12">
        <v>44512</v>
      </c>
      <c r="B137" s="8">
        <v>1540002</v>
      </c>
      <c r="C137" s="8">
        <v>1540627</v>
      </c>
      <c r="D137" s="13">
        <f t="shared" si="24"/>
        <v>625</v>
      </c>
      <c r="E137" s="46">
        <v>0</v>
      </c>
      <c r="F137" s="70">
        <v>0</v>
      </c>
      <c r="G137" s="133">
        <f t="shared" si="32"/>
        <v>0</v>
      </c>
      <c r="H137" s="8">
        <v>149083</v>
      </c>
      <c r="I137" s="8">
        <v>149715</v>
      </c>
      <c r="J137" s="13">
        <f t="shared" si="23"/>
        <v>632</v>
      </c>
      <c r="K137" s="138"/>
      <c r="L137" s="8">
        <v>244226</v>
      </c>
      <c r="M137" s="8">
        <v>244374</v>
      </c>
      <c r="N137" s="13">
        <f t="shared" si="31"/>
        <v>148</v>
      </c>
      <c r="O137" s="136"/>
      <c r="P137" s="8">
        <v>175837</v>
      </c>
      <c r="Q137" s="8">
        <v>176167</v>
      </c>
      <c r="R137" s="133">
        <f t="shared" si="26"/>
        <v>330</v>
      </c>
      <c r="S137" s="8">
        <v>168525</v>
      </c>
      <c r="T137" s="8">
        <v>168572</v>
      </c>
      <c r="U137" s="133">
        <f t="shared" si="29"/>
        <v>47</v>
      </c>
      <c r="V137" s="8">
        <v>230503</v>
      </c>
      <c r="W137" s="8">
        <v>230893</v>
      </c>
      <c r="X137" s="13">
        <f t="shared" si="33"/>
        <v>390</v>
      </c>
      <c r="Y137" s="8">
        <v>9449</v>
      </c>
      <c r="Z137" s="8">
        <v>9463</v>
      </c>
      <c r="AA137" s="13">
        <f t="shared" si="28"/>
        <v>14</v>
      </c>
      <c r="AB137" s="8">
        <v>175659</v>
      </c>
      <c r="AC137" s="8">
        <v>175757</v>
      </c>
      <c r="AD137" s="13">
        <f t="shared" si="25"/>
        <v>98</v>
      </c>
      <c r="AE137" s="135"/>
      <c r="AF137" s="135"/>
      <c r="AG137" s="135"/>
      <c r="AH137" s="136"/>
      <c r="AI137" s="50">
        <f t="shared" si="30"/>
        <v>781</v>
      </c>
    </row>
    <row r="138" spans="1:35">
      <c r="A138" s="12">
        <v>44513</v>
      </c>
      <c r="B138" s="8">
        <v>1540627</v>
      </c>
      <c r="C138" s="8">
        <v>1540924</v>
      </c>
      <c r="D138" s="13">
        <f t="shared" si="24"/>
        <v>297</v>
      </c>
      <c r="E138" s="46">
        <v>0</v>
      </c>
      <c r="F138" s="70">
        <v>0</v>
      </c>
      <c r="G138" s="133">
        <f t="shared" si="32"/>
        <v>0</v>
      </c>
      <c r="H138" s="8">
        <v>149715</v>
      </c>
      <c r="I138" s="8">
        <v>149959</v>
      </c>
      <c r="J138" s="13">
        <f t="shared" si="23"/>
        <v>244</v>
      </c>
      <c r="K138" s="138"/>
      <c r="L138" s="8">
        <v>244374</v>
      </c>
      <c r="M138" s="8">
        <v>244536</v>
      </c>
      <c r="N138" s="13">
        <f t="shared" si="31"/>
        <v>162</v>
      </c>
      <c r="O138" s="136"/>
      <c r="P138" s="8">
        <v>176167</v>
      </c>
      <c r="Q138" s="8">
        <v>176290</v>
      </c>
      <c r="R138" s="133">
        <f t="shared" si="26"/>
        <v>123</v>
      </c>
      <c r="S138" s="8">
        <v>168572</v>
      </c>
      <c r="T138" s="8">
        <v>168604</v>
      </c>
      <c r="U138" s="133">
        <f t="shared" si="29"/>
        <v>32</v>
      </c>
      <c r="V138" s="8">
        <v>230893</v>
      </c>
      <c r="W138" s="8">
        <v>231142</v>
      </c>
      <c r="X138" s="13">
        <f t="shared" si="33"/>
        <v>249</v>
      </c>
      <c r="Y138" s="8">
        <v>9463</v>
      </c>
      <c r="Z138" s="8">
        <v>9479</v>
      </c>
      <c r="AA138" s="13">
        <f t="shared" si="28"/>
        <v>16</v>
      </c>
      <c r="AB138" s="8">
        <v>175757</v>
      </c>
      <c r="AC138" s="8">
        <v>175791</v>
      </c>
      <c r="AD138" s="13">
        <f t="shared" si="25"/>
        <v>34</v>
      </c>
      <c r="AE138" s="135"/>
      <c r="AF138" s="135"/>
      <c r="AG138" s="135"/>
      <c r="AH138" s="136"/>
      <c r="AI138" s="50">
        <f t="shared" si="30"/>
        <v>420</v>
      </c>
    </row>
    <row r="139" spans="1:35">
      <c r="A139" s="12">
        <v>44514</v>
      </c>
      <c r="B139" s="8">
        <v>1540924</v>
      </c>
      <c r="C139" s="8">
        <v>1541521</v>
      </c>
      <c r="D139" s="13">
        <f t="shared" si="24"/>
        <v>597</v>
      </c>
      <c r="E139" s="46">
        <v>0</v>
      </c>
      <c r="F139" s="70">
        <v>0</v>
      </c>
      <c r="G139" s="133">
        <f t="shared" si="32"/>
        <v>0</v>
      </c>
      <c r="H139" s="8">
        <v>149959</v>
      </c>
      <c r="I139" s="8">
        <v>150585</v>
      </c>
      <c r="J139" s="13">
        <f t="shared" si="23"/>
        <v>626</v>
      </c>
      <c r="K139" s="138"/>
      <c r="L139" s="8">
        <v>244536</v>
      </c>
      <c r="M139" s="8">
        <v>244756</v>
      </c>
      <c r="N139" s="13">
        <f t="shared" si="31"/>
        <v>220</v>
      </c>
      <c r="O139" s="136"/>
      <c r="P139" s="8">
        <v>176290</v>
      </c>
      <c r="Q139" s="8">
        <v>176668</v>
      </c>
      <c r="R139" s="133">
        <f t="shared" si="26"/>
        <v>378</v>
      </c>
      <c r="S139" s="8">
        <v>168604</v>
      </c>
      <c r="T139" s="8">
        <v>168697</v>
      </c>
      <c r="U139" s="133">
        <f t="shared" si="29"/>
        <v>93</v>
      </c>
      <c r="V139" s="8">
        <v>231142</v>
      </c>
      <c r="W139" s="8">
        <v>231373</v>
      </c>
      <c r="X139" s="13">
        <f t="shared" si="33"/>
        <v>231</v>
      </c>
      <c r="Y139" s="8">
        <v>9479</v>
      </c>
      <c r="Z139" s="8">
        <v>9514</v>
      </c>
      <c r="AA139" s="13">
        <f t="shared" si="28"/>
        <v>35</v>
      </c>
      <c r="AB139" s="8">
        <v>175791</v>
      </c>
      <c r="AC139" s="8">
        <v>175879</v>
      </c>
      <c r="AD139" s="13">
        <f t="shared" si="25"/>
        <v>88</v>
      </c>
      <c r="AE139" s="135"/>
      <c r="AF139" s="135"/>
      <c r="AG139" s="135"/>
      <c r="AH139" s="136"/>
      <c r="AI139" s="50">
        <f t="shared" si="30"/>
        <v>737</v>
      </c>
    </row>
    <row r="140" spans="1:35">
      <c r="A140" s="12">
        <v>44515</v>
      </c>
      <c r="B140" s="8">
        <v>1541521</v>
      </c>
      <c r="C140" s="8">
        <v>1542000</v>
      </c>
      <c r="D140" s="13">
        <f t="shared" si="24"/>
        <v>479</v>
      </c>
      <c r="E140" s="46">
        <v>0</v>
      </c>
      <c r="F140" s="70">
        <v>0</v>
      </c>
      <c r="G140" s="133">
        <f t="shared" si="32"/>
        <v>0</v>
      </c>
      <c r="H140" s="8">
        <v>150585</v>
      </c>
      <c r="I140" s="8">
        <v>151385</v>
      </c>
      <c r="J140" s="13">
        <f t="shared" si="23"/>
        <v>800</v>
      </c>
      <c r="K140" s="138"/>
      <c r="L140" s="8">
        <v>244756</v>
      </c>
      <c r="M140" s="8">
        <v>245142</v>
      </c>
      <c r="N140" s="13">
        <f t="shared" si="31"/>
        <v>386</v>
      </c>
      <c r="O140" s="136"/>
      <c r="P140" s="8">
        <v>176668</v>
      </c>
      <c r="Q140" s="8">
        <v>177121</v>
      </c>
      <c r="R140" s="133">
        <f t="shared" si="26"/>
        <v>453</v>
      </c>
      <c r="S140" s="8">
        <v>168697</v>
      </c>
      <c r="T140" s="8">
        <v>168787</v>
      </c>
      <c r="U140" s="133">
        <f t="shared" si="29"/>
        <v>90</v>
      </c>
      <c r="V140" s="8">
        <v>231373</v>
      </c>
      <c r="W140" s="8">
        <v>231669</v>
      </c>
      <c r="X140" s="13">
        <f t="shared" si="33"/>
        <v>296</v>
      </c>
      <c r="Y140" s="8">
        <v>9514</v>
      </c>
      <c r="Z140" s="8">
        <v>9535</v>
      </c>
      <c r="AA140" s="13">
        <f t="shared" si="28"/>
        <v>21</v>
      </c>
      <c r="AB140" s="8">
        <v>175879</v>
      </c>
      <c r="AC140" s="8">
        <v>175943</v>
      </c>
      <c r="AD140" s="13">
        <f t="shared" si="25"/>
        <v>64</v>
      </c>
      <c r="AE140" s="135"/>
      <c r="AF140" s="135"/>
      <c r="AG140" s="135"/>
      <c r="AH140" s="136"/>
      <c r="AI140" s="50">
        <f t="shared" si="30"/>
        <v>860</v>
      </c>
    </row>
    <row r="141" spans="1:35">
      <c r="A141" s="12">
        <v>44516</v>
      </c>
      <c r="B141" s="8">
        <v>1542000</v>
      </c>
      <c r="C141" s="8">
        <v>1542426</v>
      </c>
      <c r="D141" s="13">
        <f t="shared" si="24"/>
        <v>426</v>
      </c>
      <c r="E141" s="46">
        <v>0</v>
      </c>
      <c r="F141" s="70">
        <v>0</v>
      </c>
      <c r="G141" s="133">
        <f t="shared" si="32"/>
        <v>0</v>
      </c>
      <c r="H141" s="8">
        <v>151385</v>
      </c>
      <c r="I141" s="8">
        <v>152157</v>
      </c>
      <c r="J141" s="13">
        <f t="shared" si="23"/>
        <v>772</v>
      </c>
      <c r="K141" s="138"/>
      <c r="L141" s="8">
        <v>245142</v>
      </c>
      <c r="M141" s="8">
        <v>245142</v>
      </c>
      <c r="N141" s="13">
        <f t="shared" si="31"/>
        <v>0</v>
      </c>
      <c r="O141" s="136"/>
      <c r="P141" s="8">
        <v>177121</v>
      </c>
      <c r="Q141" s="8">
        <v>177554</v>
      </c>
      <c r="R141" s="133">
        <f t="shared" si="26"/>
        <v>433</v>
      </c>
      <c r="S141" s="8">
        <v>168787</v>
      </c>
      <c r="T141" s="8">
        <v>168847</v>
      </c>
      <c r="U141" s="133">
        <f t="shared" si="29"/>
        <v>60</v>
      </c>
      <c r="V141" s="8">
        <v>231669</v>
      </c>
      <c r="W141" s="8">
        <v>231979</v>
      </c>
      <c r="X141" s="13">
        <f t="shared" si="33"/>
        <v>310</v>
      </c>
      <c r="Y141" s="8">
        <v>9535</v>
      </c>
      <c r="Z141" s="8">
        <v>9553</v>
      </c>
      <c r="AA141" s="13">
        <f t="shared" si="28"/>
        <v>18</v>
      </c>
      <c r="AB141" s="8">
        <v>175943</v>
      </c>
      <c r="AC141" s="8">
        <v>176017</v>
      </c>
      <c r="AD141" s="13">
        <f t="shared" si="25"/>
        <v>74</v>
      </c>
      <c r="AE141" s="135"/>
      <c r="AF141" s="135"/>
      <c r="AG141" s="135"/>
      <c r="AH141" s="136"/>
      <c r="AI141" s="50">
        <f t="shared" si="30"/>
        <v>821</v>
      </c>
    </row>
    <row r="142" spans="1:35">
      <c r="A142" s="12">
        <v>44517</v>
      </c>
      <c r="B142" s="8">
        <v>1542426</v>
      </c>
      <c r="C142" s="8">
        <v>1543351</v>
      </c>
      <c r="D142" s="13">
        <f t="shared" si="24"/>
        <v>925</v>
      </c>
      <c r="E142" s="46">
        <v>0</v>
      </c>
      <c r="F142" s="70">
        <v>0</v>
      </c>
      <c r="G142" s="133">
        <f t="shared" si="32"/>
        <v>0</v>
      </c>
      <c r="H142" s="8">
        <v>152157</v>
      </c>
      <c r="I142" s="8">
        <v>152885</v>
      </c>
      <c r="J142" s="13">
        <f t="shared" si="23"/>
        <v>728</v>
      </c>
      <c r="K142" s="138"/>
      <c r="L142" s="8">
        <v>245142</v>
      </c>
      <c r="M142" s="8">
        <v>245668</v>
      </c>
      <c r="N142" s="13">
        <f t="shared" si="31"/>
        <v>526</v>
      </c>
      <c r="O142" s="136"/>
      <c r="P142" s="8">
        <v>177554</v>
      </c>
      <c r="Q142" s="8">
        <v>177962</v>
      </c>
      <c r="R142" s="133">
        <f t="shared" si="26"/>
        <v>408</v>
      </c>
      <c r="S142" s="8">
        <v>168847</v>
      </c>
      <c r="T142" s="8">
        <v>168920</v>
      </c>
      <c r="U142" s="133">
        <f t="shared" si="29"/>
        <v>73</v>
      </c>
      <c r="V142" s="8">
        <v>231979</v>
      </c>
      <c r="W142" s="8">
        <v>232239</v>
      </c>
      <c r="X142" s="13">
        <f t="shared" si="33"/>
        <v>260</v>
      </c>
      <c r="Y142" s="8">
        <v>9553</v>
      </c>
      <c r="Z142" s="8">
        <v>9573</v>
      </c>
      <c r="AA142" s="13">
        <f t="shared" si="28"/>
        <v>20</v>
      </c>
      <c r="AB142" s="8">
        <v>176017</v>
      </c>
      <c r="AC142" s="8">
        <v>176125</v>
      </c>
      <c r="AD142" s="13">
        <f t="shared" si="25"/>
        <v>108</v>
      </c>
      <c r="AE142" s="135"/>
      <c r="AF142" s="135"/>
      <c r="AG142" s="135"/>
      <c r="AH142" s="136"/>
      <c r="AI142" s="50">
        <f t="shared" si="30"/>
        <v>761</v>
      </c>
    </row>
    <row r="143" spans="1:35">
      <c r="A143" s="12">
        <v>44518</v>
      </c>
      <c r="B143" s="8">
        <v>1543351</v>
      </c>
      <c r="C143" s="8">
        <v>1544123</v>
      </c>
      <c r="D143" s="13">
        <f t="shared" si="24"/>
        <v>772</v>
      </c>
      <c r="E143" s="46">
        <v>0</v>
      </c>
      <c r="F143" s="70">
        <v>0</v>
      </c>
      <c r="G143" s="133">
        <f t="shared" si="32"/>
        <v>0</v>
      </c>
      <c r="H143" s="8">
        <v>152885</v>
      </c>
      <c r="I143" s="8">
        <v>153642</v>
      </c>
      <c r="J143" s="13">
        <f t="shared" si="23"/>
        <v>757</v>
      </c>
      <c r="K143" s="138"/>
      <c r="L143" s="8">
        <v>245668</v>
      </c>
      <c r="M143" s="8">
        <v>246018</v>
      </c>
      <c r="N143" s="13">
        <f t="shared" si="31"/>
        <v>350</v>
      </c>
      <c r="O143" s="136"/>
      <c r="P143" s="8">
        <v>177962</v>
      </c>
      <c r="Q143" s="8">
        <v>178385</v>
      </c>
      <c r="R143" s="133">
        <f t="shared" si="26"/>
        <v>423</v>
      </c>
      <c r="S143" s="8">
        <v>168920</v>
      </c>
      <c r="T143" s="8">
        <v>168975</v>
      </c>
      <c r="U143" s="133">
        <f t="shared" si="29"/>
        <v>55</v>
      </c>
      <c r="V143" s="8">
        <v>232239</v>
      </c>
      <c r="W143" s="8">
        <v>232729</v>
      </c>
      <c r="X143" s="13">
        <f t="shared" si="33"/>
        <v>490</v>
      </c>
      <c r="Y143" s="8">
        <v>9573</v>
      </c>
      <c r="Z143" s="8">
        <v>9590</v>
      </c>
      <c r="AA143" s="13">
        <f t="shared" si="28"/>
        <v>17</v>
      </c>
      <c r="AB143" s="8">
        <v>176125</v>
      </c>
      <c r="AC143" s="8">
        <v>176193</v>
      </c>
      <c r="AD143" s="13">
        <f t="shared" si="25"/>
        <v>68</v>
      </c>
      <c r="AE143" s="135"/>
      <c r="AF143" s="135"/>
      <c r="AG143" s="135"/>
      <c r="AH143" s="136"/>
      <c r="AI143" s="50">
        <f t="shared" si="30"/>
        <v>985</v>
      </c>
    </row>
    <row r="144" spans="1:35">
      <c r="A144" s="12">
        <v>44519</v>
      </c>
      <c r="B144" s="8">
        <v>1544123</v>
      </c>
      <c r="C144" s="8">
        <v>1545056</v>
      </c>
      <c r="D144" s="13">
        <f t="shared" si="24"/>
        <v>933</v>
      </c>
      <c r="E144" s="46">
        <v>0</v>
      </c>
      <c r="F144" s="70">
        <v>0</v>
      </c>
      <c r="G144" s="133">
        <f t="shared" si="32"/>
        <v>0</v>
      </c>
      <c r="H144" s="8">
        <v>153642</v>
      </c>
      <c r="I144" s="8">
        <v>153642</v>
      </c>
      <c r="J144" s="13">
        <f t="shared" si="23"/>
        <v>0</v>
      </c>
      <c r="K144" s="138"/>
      <c r="L144" s="8">
        <v>246018</v>
      </c>
      <c r="M144" s="8">
        <v>247150</v>
      </c>
      <c r="N144" s="13">
        <f t="shared" si="31"/>
        <v>1132</v>
      </c>
      <c r="O144" s="136"/>
      <c r="P144" s="8">
        <v>178385</v>
      </c>
      <c r="Q144" s="8">
        <v>178967</v>
      </c>
      <c r="R144" s="133">
        <f t="shared" si="26"/>
        <v>582</v>
      </c>
      <c r="S144" s="8">
        <v>168975</v>
      </c>
      <c r="T144" s="8">
        <v>169038</v>
      </c>
      <c r="U144" s="133">
        <f t="shared" si="29"/>
        <v>63</v>
      </c>
      <c r="V144" s="8">
        <v>232729</v>
      </c>
      <c r="W144" s="8">
        <v>232934</v>
      </c>
      <c r="X144" s="13">
        <f t="shared" si="33"/>
        <v>205</v>
      </c>
      <c r="Y144" s="8">
        <v>9590</v>
      </c>
      <c r="Z144" s="8">
        <v>9608</v>
      </c>
      <c r="AA144" s="13">
        <f t="shared" si="28"/>
        <v>18</v>
      </c>
      <c r="AB144" s="8">
        <v>176193</v>
      </c>
      <c r="AC144" s="8">
        <v>176277</v>
      </c>
      <c r="AD144" s="13">
        <f t="shared" si="25"/>
        <v>84</v>
      </c>
      <c r="AE144" s="135"/>
      <c r="AF144" s="135"/>
      <c r="AG144" s="135"/>
      <c r="AH144" s="136"/>
      <c r="AI144" s="50">
        <f t="shared" si="30"/>
        <v>868</v>
      </c>
    </row>
    <row r="145" spans="1:35">
      <c r="A145" s="12">
        <v>44520</v>
      </c>
      <c r="B145" s="8">
        <v>1545056</v>
      </c>
      <c r="C145" s="8">
        <v>1545854</v>
      </c>
      <c r="D145" s="13">
        <f t="shared" si="24"/>
        <v>798</v>
      </c>
      <c r="E145" s="46">
        <v>0</v>
      </c>
      <c r="F145" s="70">
        <v>0</v>
      </c>
      <c r="G145" s="133">
        <f t="shared" si="32"/>
        <v>0</v>
      </c>
      <c r="H145" s="8">
        <v>153642</v>
      </c>
      <c r="I145" s="8">
        <v>154348</v>
      </c>
      <c r="J145" s="13">
        <f t="shared" si="23"/>
        <v>706</v>
      </c>
      <c r="K145" s="138"/>
      <c r="L145" s="8">
        <v>247150</v>
      </c>
      <c r="M145" s="8">
        <v>247449</v>
      </c>
      <c r="N145" s="13">
        <f t="shared" si="31"/>
        <v>299</v>
      </c>
      <c r="O145" s="136"/>
      <c r="P145" s="8">
        <v>178967</v>
      </c>
      <c r="Q145" s="8">
        <v>179366</v>
      </c>
      <c r="R145" s="133">
        <f t="shared" si="26"/>
        <v>399</v>
      </c>
      <c r="S145" s="8">
        <v>169038</v>
      </c>
      <c r="T145" s="8">
        <v>169081</v>
      </c>
      <c r="U145" s="133">
        <f t="shared" si="29"/>
        <v>43</v>
      </c>
      <c r="V145" s="8">
        <v>232934</v>
      </c>
      <c r="W145" s="8">
        <v>233355</v>
      </c>
      <c r="X145" s="13">
        <f t="shared" si="33"/>
        <v>421</v>
      </c>
      <c r="Y145" s="8">
        <v>9608</v>
      </c>
      <c r="Z145" s="8">
        <v>9644</v>
      </c>
      <c r="AA145" s="13">
        <f t="shared" si="28"/>
        <v>36</v>
      </c>
      <c r="AB145" s="8">
        <v>176277</v>
      </c>
      <c r="AC145" s="8">
        <v>176334</v>
      </c>
      <c r="AD145" s="13">
        <f t="shared" si="25"/>
        <v>57</v>
      </c>
      <c r="AE145" s="135"/>
      <c r="AF145" s="135"/>
      <c r="AG145" s="135"/>
      <c r="AH145" s="136"/>
      <c r="AI145" s="50">
        <f t="shared" si="30"/>
        <v>899</v>
      </c>
    </row>
    <row r="146" spans="1:35">
      <c r="A146" s="12">
        <v>44521</v>
      </c>
      <c r="B146" s="8">
        <v>1545854</v>
      </c>
      <c r="C146" s="8">
        <v>1546836</v>
      </c>
      <c r="D146" s="13">
        <f t="shared" si="24"/>
        <v>982</v>
      </c>
      <c r="E146" s="46">
        <v>0</v>
      </c>
      <c r="F146" s="70">
        <v>0</v>
      </c>
      <c r="G146" s="133">
        <f t="shared" si="32"/>
        <v>0</v>
      </c>
      <c r="H146" s="8">
        <v>154348</v>
      </c>
      <c r="I146" s="8">
        <v>155022</v>
      </c>
      <c r="J146" s="13">
        <f t="shared" ref="J146:J209" si="34">I146-H146</f>
        <v>674</v>
      </c>
      <c r="K146" s="138"/>
      <c r="L146" s="8">
        <v>247449</v>
      </c>
      <c r="M146" s="8">
        <v>247753</v>
      </c>
      <c r="N146" s="13">
        <f t="shared" si="31"/>
        <v>304</v>
      </c>
      <c r="O146" s="136"/>
      <c r="P146" s="8">
        <v>179366</v>
      </c>
      <c r="Q146" s="8">
        <v>179743</v>
      </c>
      <c r="R146" s="133">
        <f t="shared" si="26"/>
        <v>377</v>
      </c>
      <c r="S146" s="8">
        <v>169081</v>
      </c>
      <c r="T146" s="8">
        <v>169121</v>
      </c>
      <c r="U146" s="133">
        <f t="shared" si="29"/>
        <v>40</v>
      </c>
      <c r="V146" s="8">
        <v>233355</v>
      </c>
      <c r="W146" s="8">
        <v>233874</v>
      </c>
      <c r="X146" s="13">
        <f t="shared" si="33"/>
        <v>519</v>
      </c>
      <c r="Y146" s="8">
        <v>9644</v>
      </c>
      <c r="Z146" s="8">
        <v>9678</v>
      </c>
      <c r="AA146" s="13">
        <f t="shared" si="28"/>
        <v>34</v>
      </c>
      <c r="AB146" s="8">
        <v>176334</v>
      </c>
      <c r="AC146" s="8">
        <v>176373</v>
      </c>
      <c r="AD146" s="13">
        <f t="shared" si="25"/>
        <v>39</v>
      </c>
      <c r="AE146" s="135"/>
      <c r="AF146" s="135"/>
      <c r="AG146" s="135"/>
      <c r="AH146" s="136"/>
      <c r="AI146" s="50">
        <f t="shared" si="30"/>
        <v>970</v>
      </c>
    </row>
    <row r="147" spans="1:35">
      <c r="A147" s="12">
        <v>44522</v>
      </c>
      <c r="B147" s="8">
        <v>1546836</v>
      </c>
      <c r="C147" s="8">
        <v>1547600</v>
      </c>
      <c r="D147" s="13">
        <f t="shared" si="24"/>
        <v>764</v>
      </c>
      <c r="E147" s="46">
        <v>0</v>
      </c>
      <c r="F147" s="70">
        <v>0</v>
      </c>
      <c r="G147" s="133">
        <f t="shared" si="32"/>
        <v>0</v>
      </c>
      <c r="H147" s="8">
        <v>155022</v>
      </c>
      <c r="I147" s="8">
        <v>155022</v>
      </c>
      <c r="J147" s="13">
        <f t="shared" si="34"/>
        <v>0</v>
      </c>
      <c r="K147" s="138"/>
      <c r="L147" s="8">
        <v>247753</v>
      </c>
      <c r="M147" s="8">
        <v>248702</v>
      </c>
      <c r="N147" s="13">
        <f t="shared" si="31"/>
        <v>949</v>
      </c>
      <c r="O147" s="136"/>
      <c r="P147" s="8">
        <v>179743</v>
      </c>
      <c r="Q147" s="8">
        <v>180208</v>
      </c>
      <c r="R147" s="133">
        <f t="shared" si="26"/>
        <v>465</v>
      </c>
      <c r="S147" s="8">
        <v>169121</v>
      </c>
      <c r="T147" s="8">
        <v>169242</v>
      </c>
      <c r="U147" s="133">
        <f t="shared" si="29"/>
        <v>121</v>
      </c>
      <c r="V147" s="8">
        <v>233874</v>
      </c>
      <c r="W147" s="8">
        <v>234212</v>
      </c>
      <c r="X147" s="13">
        <f t="shared" si="33"/>
        <v>338</v>
      </c>
      <c r="Y147" s="8">
        <v>9678</v>
      </c>
      <c r="Z147" s="8">
        <v>9693</v>
      </c>
      <c r="AA147" s="13">
        <f t="shared" si="28"/>
        <v>15</v>
      </c>
      <c r="AB147" s="8">
        <v>176373</v>
      </c>
      <c r="AC147" s="8">
        <v>176413</v>
      </c>
      <c r="AD147" s="13">
        <f t="shared" si="25"/>
        <v>40</v>
      </c>
      <c r="AE147" s="135"/>
      <c r="AF147" s="135"/>
      <c r="AG147" s="135"/>
      <c r="AH147" s="136"/>
      <c r="AI147" s="50">
        <f t="shared" si="30"/>
        <v>939</v>
      </c>
    </row>
    <row r="148" spans="1:35">
      <c r="A148" s="12">
        <v>44523</v>
      </c>
      <c r="B148" s="8">
        <v>1547600</v>
      </c>
      <c r="C148" s="8">
        <v>1548056</v>
      </c>
      <c r="D148" s="13">
        <f t="shared" si="24"/>
        <v>456</v>
      </c>
      <c r="E148" s="46">
        <v>0</v>
      </c>
      <c r="F148" s="70">
        <v>0</v>
      </c>
      <c r="G148" s="133">
        <f t="shared" si="32"/>
        <v>0</v>
      </c>
      <c r="H148" s="8">
        <v>155022</v>
      </c>
      <c r="I148" s="8">
        <v>155589</v>
      </c>
      <c r="J148" s="13">
        <f t="shared" si="34"/>
        <v>567</v>
      </c>
      <c r="K148" s="138"/>
      <c r="L148" s="8">
        <v>248702</v>
      </c>
      <c r="M148" s="8">
        <v>248782</v>
      </c>
      <c r="N148" s="13">
        <f t="shared" si="31"/>
        <v>80</v>
      </c>
      <c r="O148" s="136"/>
      <c r="P148" s="8">
        <v>180208</v>
      </c>
      <c r="Q148" s="8">
        <v>180449</v>
      </c>
      <c r="R148" s="133">
        <f t="shared" si="26"/>
        <v>241</v>
      </c>
      <c r="S148" s="8">
        <v>169242</v>
      </c>
      <c r="T148" s="8">
        <v>169316</v>
      </c>
      <c r="U148" s="133">
        <f t="shared" si="29"/>
        <v>74</v>
      </c>
      <c r="V148" s="8">
        <v>234212</v>
      </c>
      <c r="W148" s="8">
        <v>234539</v>
      </c>
      <c r="X148" s="13">
        <f t="shared" si="33"/>
        <v>327</v>
      </c>
      <c r="Y148" s="8">
        <v>9693</v>
      </c>
      <c r="Z148" s="8">
        <v>9737</v>
      </c>
      <c r="AA148" s="13">
        <f t="shared" si="28"/>
        <v>44</v>
      </c>
      <c r="AB148" s="8">
        <v>176413</v>
      </c>
      <c r="AC148" s="8">
        <v>176493</v>
      </c>
      <c r="AD148" s="13">
        <f t="shared" si="25"/>
        <v>80</v>
      </c>
      <c r="AE148" s="135"/>
      <c r="AF148" s="135"/>
      <c r="AG148" s="135"/>
      <c r="AH148" s="136"/>
      <c r="AI148" s="50">
        <f t="shared" si="30"/>
        <v>686</v>
      </c>
    </row>
    <row r="149" spans="1:35">
      <c r="A149" s="12">
        <v>44524</v>
      </c>
      <c r="B149" s="8">
        <v>1548056</v>
      </c>
      <c r="C149" s="8">
        <v>1548682</v>
      </c>
      <c r="D149" s="13">
        <f t="shared" si="24"/>
        <v>626</v>
      </c>
      <c r="E149" s="46">
        <v>0</v>
      </c>
      <c r="F149" s="70">
        <v>0</v>
      </c>
      <c r="G149" s="133">
        <f t="shared" si="32"/>
        <v>0</v>
      </c>
      <c r="H149" s="8">
        <v>155589</v>
      </c>
      <c r="I149" s="8">
        <v>156259</v>
      </c>
      <c r="J149" s="13">
        <f>I149-H149</f>
        <v>670</v>
      </c>
      <c r="K149" s="138"/>
      <c r="L149" s="8">
        <v>248782</v>
      </c>
      <c r="M149" s="8">
        <v>249075</v>
      </c>
      <c r="N149" s="13">
        <f t="shared" si="31"/>
        <v>293</v>
      </c>
      <c r="O149" s="136"/>
      <c r="P149" s="8">
        <v>180449</v>
      </c>
      <c r="Q149" s="8">
        <v>180806</v>
      </c>
      <c r="R149" s="133">
        <f t="shared" si="26"/>
        <v>357</v>
      </c>
      <c r="S149" s="8">
        <v>169316</v>
      </c>
      <c r="T149" s="8">
        <v>169385</v>
      </c>
      <c r="U149" s="133">
        <f t="shared" si="29"/>
        <v>69</v>
      </c>
      <c r="V149" s="8">
        <v>234539</v>
      </c>
      <c r="W149" s="8">
        <v>234753</v>
      </c>
      <c r="X149" s="13">
        <f t="shared" si="33"/>
        <v>214</v>
      </c>
      <c r="Y149" s="8">
        <v>9737</v>
      </c>
      <c r="Z149" s="8">
        <v>9754</v>
      </c>
      <c r="AA149" s="13">
        <f t="shared" si="28"/>
        <v>17</v>
      </c>
      <c r="AB149" s="8">
        <v>176493</v>
      </c>
      <c r="AC149" s="8">
        <v>176575</v>
      </c>
      <c r="AD149" s="13">
        <f t="shared" si="25"/>
        <v>82</v>
      </c>
      <c r="AE149" s="135"/>
      <c r="AF149" s="135"/>
      <c r="AG149" s="135"/>
      <c r="AH149" s="136"/>
      <c r="AI149" s="50">
        <f t="shared" si="30"/>
        <v>657</v>
      </c>
    </row>
    <row r="150" spans="1:35">
      <c r="A150" s="12">
        <v>44525</v>
      </c>
      <c r="B150" s="8">
        <v>1548682</v>
      </c>
      <c r="C150" s="8">
        <v>1549468</v>
      </c>
      <c r="D150" s="13">
        <f t="shared" si="24"/>
        <v>786</v>
      </c>
      <c r="E150" s="46">
        <v>0</v>
      </c>
      <c r="F150" s="70">
        <v>0</v>
      </c>
      <c r="G150" s="133">
        <f t="shared" si="32"/>
        <v>0</v>
      </c>
      <c r="H150" s="8">
        <v>156259</v>
      </c>
      <c r="I150" s="8">
        <v>157006</v>
      </c>
      <c r="J150" s="13">
        <f t="shared" si="34"/>
        <v>747</v>
      </c>
      <c r="K150" s="138"/>
      <c r="L150" s="8">
        <v>249075</v>
      </c>
      <c r="M150" s="8">
        <v>249403</v>
      </c>
      <c r="N150" s="13">
        <f t="shared" si="31"/>
        <v>328</v>
      </c>
      <c r="O150" s="136"/>
      <c r="P150" s="8">
        <v>180806</v>
      </c>
      <c r="Q150" s="8">
        <v>181226</v>
      </c>
      <c r="R150" s="133">
        <f t="shared" si="26"/>
        <v>420</v>
      </c>
      <c r="S150" s="8">
        <v>169385</v>
      </c>
      <c r="T150" s="8">
        <v>169442</v>
      </c>
      <c r="U150" s="133">
        <f t="shared" si="29"/>
        <v>57</v>
      </c>
      <c r="V150" s="8">
        <v>234753</v>
      </c>
      <c r="W150" s="8">
        <v>235083</v>
      </c>
      <c r="X150" s="13">
        <f t="shared" si="33"/>
        <v>330</v>
      </c>
      <c r="Y150" s="8">
        <v>9754</v>
      </c>
      <c r="Z150" s="8">
        <v>9781</v>
      </c>
      <c r="AA150" s="13">
        <f t="shared" si="28"/>
        <v>27</v>
      </c>
      <c r="AB150" s="8">
        <v>176575</v>
      </c>
      <c r="AC150" s="8">
        <v>176661</v>
      </c>
      <c r="AD150" s="13">
        <f t="shared" si="25"/>
        <v>86</v>
      </c>
      <c r="AE150" s="135"/>
      <c r="AF150" s="135"/>
      <c r="AG150" s="135"/>
      <c r="AH150" s="136"/>
      <c r="AI150" s="50">
        <f t="shared" si="30"/>
        <v>834</v>
      </c>
    </row>
    <row r="151" spans="1:35">
      <c r="A151" s="12">
        <v>44526</v>
      </c>
      <c r="B151" s="8">
        <v>1549468</v>
      </c>
      <c r="C151" s="8">
        <v>1549994</v>
      </c>
      <c r="D151" s="13">
        <f t="shared" si="24"/>
        <v>526</v>
      </c>
      <c r="E151" s="46">
        <v>0</v>
      </c>
      <c r="F151" s="70">
        <v>0</v>
      </c>
      <c r="G151" s="133">
        <f t="shared" si="32"/>
        <v>0</v>
      </c>
      <c r="H151" s="8">
        <v>157006</v>
      </c>
      <c r="I151" s="8">
        <v>157006</v>
      </c>
      <c r="J151" s="13">
        <f t="shared" si="34"/>
        <v>0</v>
      </c>
      <c r="K151" s="138"/>
      <c r="L151" s="8">
        <v>249403</v>
      </c>
      <c r="M151" s="8">
        <v>250025</v>
      </c>
      <c r="N151" s="13">
        <f t="shared" si="31"/>
        <v>622</v>
      </c>
      <c r="O151" s="136"/>
      <c r="P151" s="8">
        <v>181226</v>
      </c>
      <c r="Q151" s="8">
        <v>181374</v>
      </c>
      <c r="R151" s="133">
        <f t="shared" si="26"/>
        <v>148</v>
      </c>
      <c r="S151" s="8">
        <v>169442</v>
      </c>
      <c r="T151" s="8">
        <v>169493</v>
      </c>
      <c r="U151" s="133">
        <f t="shared" si="29"/>
        <v>51</v>
      </c>
      <c r="V151" s="8">
        <v>235083</v>
      </c>
      <c r="W151" s="8">
        <v>235463</v>
      </c>
      <c r="X151" s="13">
        <f t="shared" si="33"/>
        <v>380</v>
      </c>
      <c r="Y151" s="8">
        <v>9781</v>
      </c>
      <c r="Z151" s="8">
        <v>9794</v>
      </c>
      <c r="AA151" s="13">
        <f t="shared" si="28"/>
        <v>13</v>
      </c>
      <c r="AB151" s="8">
        <v>176661</v>
      </c>
      <c r="AC151" s="8">
        <v>176726</v>
      </c>
      <c r="AD151" s="13">
        <f t="shared" si="25"/>
        <v>65</v>
      </c>
      <c r="AE151" s="135"/>
      <c r="AF151" s="135"/>
      <c r="AG151" s="135"/>
      <c r="AH151" s="136"/>
      <c r="AI151" s="50">
        <f t="shared" si="30"/>
        <v>592</v>
      </c>
    </row>
    <row r="152" spans="1:35">
      <c r="A152" s="12">
        <v>44527</v>
      </c>
      <c r="B152" s="8">
        <v>1549994</v>
      </c>
      <c r="C152" s="8">
        <v>1550879</v>
      </c>
      <c r="D152" s="13">
        <f t="shared" si="24"/>
        <v>885</v>
      </c>
      <c r="E152" s="46">
        <v>0</v>
      </c>
      <c r="F152" s="70">
        <v>0</v>
      </c>
      <c r="G152" s="133">
        <f t="shared" si="32"/>
        <v>0</v>
      </c>
      <c r="H152" s="8">
        <v>157006</v>
      </c>
      <c r="I152" s="8">
        <v>157117</v>
      </c>
      <c r="J152" s="13">
        <f t="shared" si="34"/>
        <v>111</v>
      </c>
      <c r="K152" s="138"/>
      <c r="L152" s="8">
        <v>250025</v>
      </c>
      <c r="M152" s="8">
        <v>250333</v>
      </c>
      <c r="N152" s="13">
        <f t="shared" si="31"/>
        <v>308</v>
      </c>
      <c r="O152" s="136"/>
      <c r="P152" s="8">
        <v>181374</v>
      </c>
      <c r="Q152" s="8">
        <v>181390</v>
      </c>
      <c r="R152" s="133">
        <f t="shared" si="26"/>
        <v>16</v>
      </c>
      <c r="S152" s="8">
        <v>169493</v>
      </c>
      <c r="T152" s="8">
        <v>169524</v>
      </c>
      <c r="U152" s="133">
        <f t="shared" si="29"/>
        <v>31</v>
      </c>
      <c r="V152" s="8">
        <v>235463</v>
      </c>
      <c r="W152" s="8">
        <v>235714</v>
      </c>
      <c r="X152" s="13">
        <f t="shared" si="33"/>
        <v>251</v>
      </c>
      <c r="Y152" s="8">
        <v>9794</v>
      </c>
      <c r="Z152" s="8">
        <v>9810</v>
      </c>
      <c r="AA152" s="13">
        <f t="shared" si="28"/>
        <v>16</v>
      </c>
      <c r="AB152" s="8">
        <v>176726</v>
      </c>
      <c r="AC152" s="8">
        <v>176773</v>
      </c>
      <c r="AD152" s="13">
        <f t="shared" si="25"/>
        <v>47</v>
      </c>
      <c r="AE152" s="135"/>
      <c r="AF152" s="135"/>
      <c r="AG152" s="135"/>
      <c r="AH152" s="136"/>
      <c r="AI152" s="50">
        <f t="shared" si="30"/>
        <v>314</v>
      </c>
    </row>
    <row r="153" spans="1:35">
      <c r="A153" s="12">
        <v>44528</v>
      </c>
      <c r="B153" s="8">
        <v>1550879</v>
      </c>
      <c r="C153" s="8">
        <v>1552046</v>
      </c>
      <c r="D153" s="13">
        <f t="shared" ref="D153:D191" si="35">C153-B153</f>
        <v>1167</v>
      </c>
      <c r="E153" s="46">
        <v>0</v>
      </c>
      <c r="F153" s="70">
        <v>0</v>
      </c>
      <c r="G153" s="133">
        <f t="shared" si="32"/>
        <v>0</v>
      </c>
      <c r="H153" s="8">
        <v>157117</v>
      </c>
      <c r="I153" s="8">
        <v>157117</v>
      </c>
      <c r="J153" s="13">
        <f t="shared" si="34"/>
        <v>0</v>
      </c>
      <c r="K153" s="138"/>
      <c r="L153" s="8">
        <v>250333</v>
      </c>
      <c r="M153" s="8">
        <v>251622</v>
      </c>
      <c r="N153" s="13">
        <f t="shared" si="31"/>
        <v>1289</v>
      </c>
      <c r="O153" s="136"/>
      <c r="P153" s="8">
        <v>181390</v>
      </c>
      <c r="Q153" s="8">
        <v>181908</v>
      </c>
      <c r="R153" s="133">
        <f t="shared" si="26"/>
        <v>518</v>
      </c>
      <c r="S153" s="8">
        <v>169524</v>
      </c>
      <c r="T153" s="8">
        <v>169524</v>
      </c>
      <c r="U153" s="133">
        <f t="shared" si="29"/>
        <v>0</v>
      </c>
      <c r="V153" s="8">
        <v>235714</v>
      </c>
      <c r="W153" s="8">
        <v>235974</v>
      </c>
      <c r="X153" s="13">
        <f t="shared" si="33"/>
        <v>260</v>
      </c>
      <c r="Y153" s="8">
        <v>9810</v>
      </c>
      <c r="Z153" s="8">
        <v>9824</v>
      </c>
      <c r="AA153" s="13">
        <f t="shared" si="28"/>
        <v>14</v>
      </c>
      <c r="AB153" s="8">
        <v>176773</v>
      </c>
      <c r="AC153" s="8">
        <v>176846</v>
      </c>
      <c r="AD153" s="13">
        <f t="shared" si="25"/>
        <v>73</v>
      </c>
      <c r="AE153" s="135"/>
      <c r="AF153" s="135"/>
      <c r="AG153" s="135"/>
      <c r="AH153" s="136"/>
      <c r="AI153" s="50">
        <f t="shared" si="30"/>
        <v>792</v>
      </c>
    </row>
    <row r="154" spans="1:35">
      <c r="A154" s="12">
        <v>44529</v>
      </c>
      <c r="B154" s="8">
        <v>1552046</v>
      </c>
      <c r="C154" s="8">
        <v>1552642</v>
      </c>
      <c r="D154" s="13">
        <f t="shared" si="35"/>
        <v>596</v>
      </c>
      <c r="E154" s="46">
        <v>0</v>
      </c>
      <c r="F154" s="70">
        <v>0</v>
      </c>
      <c r="G154" s="133">
        <f t="shared" si="32"/>
        <v>0</v>
      </c>
      <c r="H154" s="8">
        <v>157117</v>
      </c>
      <c r="I154" s="8">
        <v>157117</v>
      </c>
      <c r="J154" s="13">
        <f t="shared" si="34"/>
        <v>0</v>
      </c>
      <c r="K154" s="138"/>
      <c r="L154" s="8">
        <v>251622</v>
      </c>
      <c r="M154" s="8">
        <v>252142</v>
      </c>
      <c r="N154" s="13">
        <f t="shared" si="31"/>
        <v>520</v>
      </c>
      <c r="O154" s="136"/>
      <c r="P154" s="8">
        <v>181908</v>
      </c>
      <c r="Q154" s="8">
        <v>182134</v>
      </c>
      <c r="R154" s="133">
        <f t="shared" si="26"/>
        <v>226</v>
      </c>
      <c r="S154" s="8">
        <v>169524</v>
      </c>
      <c r="T154" s="8">
        <v>169596</v>
      </c>
      <c r="U154" s="133">
        <f t="shared" si="29"/>
        <v>72</v>
      </c>
      <c r="V154" s="8">
        <v>235974</v>
      </c>
      <c r="W154" s="8">
        <v>236080</v>
      </c>
      <c r="X154" s="13">
        <f t="shared" si="33"/>
        <v>106</v>
      </c>
      <c r="Y154" s="8">
        <v>9824</v>
      </c>
      <c r="Z154" s="8">
        <v>9844</v>
      </c>
      <c r="AA154" s="13">
        <f t="shared" si="28"/>
        <v>20</v>
      </c>
      <c r="AB154" s="8">
        <v>176846</v>
      </c>
      <c r="AC154" s="8">
        <v>176879</v>
      </c>
      <c r="AD154" s="13">
        <f t="shared" si="25"/>
        <v>33</v>
      </c>
      <c r="AE154" s="135"/>
      <c r="AF154" s="135"/>
      <c r="AG154" s="135"/>
      <c r="AH154" s="136"/>
      <c r="AI154" s="50">
        <f t="shared" si="30"/>
        <v>424</v>
      </c>
    </row>
    <row r="155" spans="1:35">
      <c r="A155" s="12">
        <v>44530</v>
      </c>
      <c r="B155" s="8">
        <v>1552642</v>
      </c>
      <c r="C155" s="8">
        <v>1553692</v>
      </c>
      <c r="D155" s="13">
        <f t="shared" si="35"/>
        <v>1050</v>
      </c>
      <c r="E155" s="46">
        <v>0</v>
      </c>
      <c r="F155" s="70">
        <v>0</v>
      </c>
      <c r="G155" s="133">
        <f t="shared" si="32"/>
        <v>0</v>
      </c>
      <c r="H155" s="8">
        <v>157117</v>
      </c>
      <c r="I155" s="8">
        <v>157921</v>
      </c>
      <c r="J155" s="13">
        <f t="shared" si="34"/>
        <v>804</v>
      </c>
      <c r="K155" s="138"/>
      <c r="L155" s="8">
        <v>252142</v>
      </c>
      <c r="M155" s="8">
        <v>252220</v>
      </c>
      <c r="N155" s="13">
        <f t="shared" si="31"/>
        <v>78</v>
      </c>
      <c r="O155" s="136"/>
      <c r="P155" s="8">
        <v>182134</v>
      </c>
      <c r="Q155" s="8">
        <v>182526</v>
      </c>
      <c r="R155" s="133">
        <f t="shared" si="26"/>
        <v>392</v>
      </c>
      <c r="S155" s="8">
        <v>169596</v>
      </c>
      <c r="T155" s="8">
        <v>169633</v>
      </c>
      <c r="U155" s="133">
        <f t="shared" si="29"/>
        <v>37</v>
      </c>
      <c r="V155" s="8">
        <v>236080</v>
      </c>
      <c r="W155" s="8">
        <v>236360</v>
      </c>
      <c r="X155" s="13">
        <f t="shared" si="33"/>
        <v>280</v>
      </c>
      <c r="Y155" s="8">
        <v>9844</v>
      </c>
      <c r="Z155" s="8">
        <v>9863</v>
      </c>
      <c r="AA155" s="13">
        <f t="shared" si="28"/>
        <v>19</v>
      </c>
      <c r="AB155" s="8">
        <v>176879</v>
      </c>
      <c r="AC155" s="8">
        <v>176942</v>
      </c>
      <c r="AD155" s="13">
        <f t="shared" si="25"/>
        <v>63</v>
      </c>
      <c r="AE155" s="135"/>
      <c r="AF155" s="135"/>
      <c r="AG155" s="135"/>
      <c r="AH155" s="136"/>
      <c r="AI155" s="50">
        <f t="shared" si="30"/>
        <v>728</v>
      </c>
    </row>
    <row r="156" spans="1:35">
      <c r="A156" s="12">
        <v>44531</v>
      </c>
      <c r="B156" s="8">
        <v>1553692</v>
      </c>
      <c r="C156" s="8">
        <v>1554724</v>
      </c>
      <c r="D156" s="13">
        <f t="shared" si="35"/>
        <v>1032</v>
      </c>
      <c r="E156" s="46">
        <v>0</v>
      </c>
      <c r="F156" s="70">
        <v>0</v>
      </c>
      <c r="G156" s="133">
        <f t="shared" si="32"/>
        <v>0</v>
      </c>
      <c r="H156" s="8">
        <v>157921</v>
      </c>
      <c r="I156" s="8">
        <v>157921</v>
      </c>
      <c r="J156" s="13">
        <f t="shared" si="34"/>
        <v>0</v>
      </c>
      <c r="K156" s="138"/>
      <c r="L156" s="8">
        <v>252220</v>
      </c>
      <c r="M156" s="8">
        <v>253691</v>
      </c>
      <c r="N156" s="13">
        <f t="shared" si="31"/>
        <v>1471</v>
      </c>
      <c r="O156" s="136"/>
      <c r="P156" s="8">
        <v>182526</v>
      </c>
      <c r="Q156" s="8">
        <v>183021</v>
      </c>
      <c r="R156" s="133">
        <f t="shared" si="26"/>
        <v>495</v>
      </c>
      <c r="S156" s="8">
        <v>169633</v>
      </c>
      <c r="T156" s="8">
        <v>169681</v>
      </c>
      <c r="U156" s="133">
        <f t="shared" si="29"/>
        <v>48</v>
      </c>
      <c r="V156" s="8">
        <v>236360</v>
      </c>
      <c r="W156" s="8">
        <v>236840</v>
      </c>
      <c r="X156" s="13">
        <f t="shared" si="33"/>
        <v>480</v>
      </c>
      <c r="Y156" s="8">
        <v>9863</v>
      </c>
      <c r="Z156" s="8">
        <v>9877</v>
      </c>
      <c r="AA156" s="13">
        <f t="shared" si="28"/>
        <v>14</v>
      </c>
      <c r="AB156" s="8">
        <v>176942</v>
      </c>
      <c r="AC156" s="8">
        <v>177004</v>
      </c>
      <c r="AD156" s="13">
        <f t="shared" si="25"/>
        <v>62</v>
      </c>
      <c r="AE156" s="135"/>
      <c r="AF156" s="135"/>
      <c r="AG156" s="135"/>
      <c r="AH156" s="136"/>
      <c r="AI156" s="50">
        <f t="shared" si="30"/>
        <v>1037</v>
      </c>
    </row>
    <row r="157" spans="1:35">
      <c r="A157" s="12">
        <v>44532</v>
      </c>
      <c r="B157" s="8">
        <v>1554724</v>
      </c>
      <c r="C157" s="8">
        <v>1556054</v>
      </c>
      <c r="D157" s="13">
        <f t="shared" si="35"/>
        <v>1330</v>
      </c>
      <c r="E157" s="46">
        <v>0</v>
      </c>
      <c r="F157" s="70">
        <v>0</v>
      </c>
      <c r="G157" s="133">
        <f t="shared" si="32"/>
        <v>0</v>
      </c>
      <c r="H157" s="8">
        <v>157921</v>
      </c>
      <c r="I157" s="8">
        <v>157921</v>
      </c>
      <c r="J157" s="13">
        <f t="shared" si="34"/>
        <v>0</v>
      </c>
      <c r="K157" s="138"/>
      <c r="L157" s="8">
        <v>253691</v>
      </c>
      <c r="M157" s="8">
        <v>254224</v>
      </c>
      <c r="N157" s="13">
        <f t="shared" si="31"/>
        <v>533</v>
      </c>
      <c r="O157" s="136"/>
      <c r="P157" s="8">
        <v>183021</v>
      </c>
      <c r="Q157" s="8">
        <v>183276</v>
      </c>
      <c r="R157" s="133">
        <f t="shared" si="26"/>
        <v>255</v>
      </c>
      <c r="S157" s="8">
        <v>169681</v>
      </c>
      <c r="T157" s="8">
        <v>169725</v>
      </c>
      <c r="U157" s="133">
        <f t="shared" si="29"/>
        <v>44</v>
      </c>
      <c r="V157" s="8">
        <v>236840</v>
      </c>
      <c r="W157" s="8">
        <v>237404</v>
      </c>
      <c r="X157" s="13">
        <f t="shared" si="33"/>
        <v>564</v>
      </c>
      <c r="Y157" s="8">
        <v>9877</v>
      </c>
      <c r="Z157" s="8">
        <v>9895</v>
      </c>
      <c r="AA157" s="13">
        <f t="shared" si="28"/>
        <v>18</v>
      </c>
      <c r="AB157" s="8">
        <v>177004</v>
      </c>
      <c r="AC157" s="8">
        <v>177084</v>
      </c>
      <c r="AD157" s="13">
        <f t="shared" si="25"/>
        <v>80</v>
      </c>
      <c r="AE157" s="135"/>
      <c r="AF157" s="135"/>
      <c r="AG157" s="135"/>
      <c r="AH157" s="136"/>
      <c r="AI157" s="50">
        <f t="shared" si="30"/>
        <v>881</v>
      </c>
    </row>
    <row r="158" spans="1:35">
      <c r="A158" s="12">
        <v>44533</v>
      </c>
      <c r="B158" s="8">
        <v>1556054</v>
      </c>
      <c r="C158" s="8">
        <v>1557086</v>
      </c>
      <c r="D158" s="13">
        <f t="shared" si="35"/>
        <v>1032</v>
      </c>
      <c r="E158" s="46">
        <v>0</v>
      </c>
      <c r="F158" s="70">
        <v>0</v>
      </c>
      <c r="G158" s="133">
        <f t="shared" si="32"/>
        <v>0</v>
      </c>
      <c r="H158" s="8">
        <v>157921</v>
      </c>
      <c r="I158" s="8">
        <v>157921</v>
      </c>
      <c r="J158" s="13">
        <f t="shared" si="34"/>
        <v>0</v>
      </c>
      <c r="K158" s="138"/>
      <c r="L158" s="8">
        <v>254224</v>
      </c>
      <c r="M158" s="8">
        <v>255488</v>
      </c>
      <c r="N158" s="13">
        <f t="shared" si="31"/>
        <v>1264</v>
      </c>
      <c r="O158" s="136"/>
      <c r="P158" s="8">
        <v>183276</v>
      </c>
      <c r="Q158" s="8">
        <v>183881</v>
      </c>
      <c r="R158" s="133">
        <f t="shared" si="26"/>
        <v>605</v>
      </c>
      <c r="S158" s="8">
        <v>169725</v>
      </c>
      <c r="T158" s="8">
        <v>169775</v>
      </c>
      <c r="U158" s="133">
        <f t="shared" si="29"/>
        <v>50</v>
      </c>
      <c r="V158" s="8">
        <v>237404</v>
      </c>
      <c r="W158" s="8">
        <v>237900</v>
      </c>
      <c r="X158" s="13">
        <f t="shared" si="33"/>
        <v>496</v>
      </c>
      <c r="Y158" s="8">
        <v>9895</v>
      </c>
      <c r="Z158" s="8">
        <v>9913</v>
      </c>
      <c r="AA158" s="13">
        <f t="shared" si="28"/>
        <v>18</v>
      </c>
      <c r="AB158" s="8">
        <v>177084</v>
      </c>
      <c r="AC158" s="8">
        <v>177174</v>
      </c>
      <c r="AD158" s="13">
        <f t="shared" si="25"/>
        <v>90</v>
      </c>
      <c r="AE158" s="135"/>
      <c r="AF158" s="135"/>
      <c r="AG158" s="135"/>
      <c r="AH158" s="136"/>
      <c r="AI158" s="50">
        <f t="shared" si="30"/>
        <v>1169</v>
      </c>
    </row>
    <row r="159" spans="1:35">
      <c r="A159" s="12">
        <v>44534</v>
      </c>
      <c r="B159" s="8">
        <v>1557086</v>
      </c>
      <c r="C159" s="8">
        <v>1558122</v>
      </c>
      <c r="D159" s="13">
        <f t="shared" si="35"/>
        <v>1036</v>
      </c>
      <c r="E159" s="46">
        <v>0</v>
      </c>
      <c r="F159" s="70">
        <v>0</v>
      </c>
      <c r="G159" s="133">
        <f t="shared" si="32"/>
        <v>0</v>
      </c>
      <c r="H159" s="8">
        <v>157921</v>
      </c>
      <c r="I159" s="8">
        <v>157921</v>
      </c>
      <c r="J159" s="13">
        <f t="shared" si="34"/>
        <v>0</v>
      </c>
      <c r="K159" s="138"/>
      <c r="L159" s="8">
        <v>255488</v>
      </c>
      <c r="M159" s="8">
        <v>256518</v>
      </c>
      <c r="N159" s="13">
        <f t="shared" si="31"/>
        <v>1030</v>
      </c>
      <c r="O159" s="136"/>
      <c r="P159" s="8">
        <v>183881</v>
      </c>
      <c r="Q159" s="8">
        <v>184305</v>
      </c>
      <c r="R159" s="133">
        <f t="shared" si="26"/>
        <v>424</v>
      </c>
      <c r="S159" s="8">
        <v>169775</v>
      </c>
      <c r="T159" s="8">
        <v>169838</v>
      </c>
      <c r="U159" s="133">
        <f t="shared" si="29"/>
        <v>63</v>
      </c>
      <c r="V159" s="8">
        <v>237900</v>
      </c>
      <c r="W159" s="8">
        <v>238268</v>
      </c>
      <c r="X159" s="13">
        <f t="shared" si="33"/>
        <v>368</v>
      </c>
      <c r="Y159" s="8">
        <v>9913</v>
      </c>
      <c r="Z159" s="8">
        <v>9935</v>
      </c>
      <c r="AA159" s="13">
        <f t="shared" si="28"/>
        <v>22</v>
      </c>
      <c r="AB159" s="8">
        <v>177174</v>
      </c>
      <c r="AC159" s="8">
        <v>177231</v>
      </c>
      <c r="AD159" s="13">
        <f t="shared" si="25"/>
        <v>57</v>
      </c>
      <c r="AE159" s="135"/>
      <c r="AF159" s="135"/>
      <c r="AG159" s="135"/>
      <c r="AH159" s="136"/>
      <c r="AI159" s="50">
        <f t="shared" si="30"/>
        <v>877</v>
      </c>
    </row>
    <row r="160" spans="1:35">
      <c r="A160" s="12">
        <v>44535</v>
      </c>
      <c r="B160" s="8">
        <v>1558122</v>
      </c>
      <c r="C160" s="8">
        <v>1559062</v>
      </c>
      <c r="D160" s="13">
        <f t="shared" si="35"/>
        <v>940</v>
      </c>
      <c r="E160" s="46">
        <v>0</v>
      </c>
      <c r="F160" s="70">
        <v>0</v>
      </c>
      <c r="G160" s="133">
        <f t="shared" si="32"/>
        <v>0</v>
      </c>
      <c r="H160" s="8">
        <v>157921</v>
      </c>
      <c r="I160" s="8">
        <v>157921</v>
      </c>
      <c r="J160" s="13">
        <f t="shared" si="34"/>
        <v>0</v>
      </c>
      <c r="K160" s="138"/>
      <c r="L160" s="8">
        <v>256518</v>
      </c>
      <c r="M160" s="8">
        <v>256965</v>
      </c>
      <c r="N160" s="13">
        <f t="shared" si="31"/>
        <v>447</v>
      </c>
      <c r="O160" s="136"/>
      <c r="P160" s="8">
        <v>184305</v>
      </c>
      <c r="Q160" s="8">
        <v>184497</v>
      </c>
      <c r="R160" s="133">
        <f t="shared" si="26"/>
        <v>192</v>
      </c>
      <c r="S160" s="8">
        <v>169838</v>
      </c>
      <c r="T160" s="54">
        <v>169883</v>
      </c>
      <c r="U160" s="133">
        <f t="shared" si="29"/>
        <v>45</v>
      </c>
      <c r="V160" s="8">
        <v>238268</v>
      </c>
      <c r="W160" s="8">
        <v>238548</v>
      </c>
      <c r="X160" s="13">
        <f t="shared" si="33"/>
        <v>280</v>
      </c>
      <c r="Y160" s="8">
        <v>9935</v>
      </c>
      <c r="Z160" s="8">
        <v>9954</v>
      </c>
      <c r="AA160" s="13">
        <f t="shared" si="28"/>
        <v>19</v>
      </c>
      <c r="AB160" s="8">
        <v>177231</v>
      </c>
      <c r="AC160" s="8">
        <v>177300</v>
      </c>
      <c r="AD160" s="13">
        <f t="shared" si="25"/>
        <v>69</v>
      </c>
      <c r="AE160" s="135"/>
      <c r="AF160" s="135"/>
      <c r="AG160" s="135"/>
      <c r="AH160" s="136"/>
      <c r="AI160" s="50">
        <f t="shared" si="30"/>
        <v>536</v>
      </c>
    </row>
    <row r="161" spans="1:35">
      <c r="A161" s="12">
        <v>44536</v>
      </c>
      <c r="B161" s="8">
        <v>1559062</v>
      </c>
      <c r="C161" s="8">
        <v>1559695</v>
      </c>
      <c r="D161" s="13">
        <f t="shared" si="35"/>
        <v>633</v>
      </c>
      <c r="E161" s="46">
        <v>0</v>
      </c>
      <c r="F161" s="70">
        <v>0</v>
      </c>
      <c r="G161" s="133">
        <f t="shared" si="32"/>
        <v>0</v>
      </c>
      <c r="H161" s="8">
        <v>157921</v>
      </c>
      <c r="I161" s="8">
        <v>157921</v>
      </c>
      <c r="J161" s="13">
        <f t="shared" si="34"/>
        <v>0</v>
      </c>
      <c r="K161" s="138"/>
      <c r="L161" s="8">
        <v>256965</v>
      </c>
      <c r="M161" s="8">
        <v>257627</v>
      </c>
      <c r="N161" s="13">
        <f t="shared" si="31"/>
        <v>662</v>
      </c>
      <c r="O161" s="136"/>
      <c r="P161" s="8">
        <v>184497</v>
      </c>
      <c r="Q161" s="8">
        <v>184745</v>
      </c>
      <c r="R161" s="133">
        <f t="shared" si="26"/>
        <v>248</v>
      </c>
      <c r="S161" s="54">
        <v>169883</v>
      </c>
      <c r="T161" s="8">
        <v>169939</v>
      </c>
      <c r="U161" s="133">
        <f t="shared" si="29"/>
        <v>56</v>
      </c>
      <c r="V161" s="8">
        <v>238548</v>
      </c>
      <c r="W161" s="8">
        <v>238778</v>
      </c>
      <c r="X161" s="13">
        <f t="shared" si="33"/>
        <v>230</v>
      </c>
      <c r="Y161" s="8">
        <v>9954</v>
      </c>
      <c r="Z161" s="8">
        <v>9977</v>
      </c>
      <c r="AA161" s="13">
        <f t="shared" si="28"/>
        <v>23</v>
      </c>
      <c r="AB161" s="8">
        <v>177300</v>
      </c>
      <c r="AC161" s="8">
        <v>177365</v>
      </c>
      <c r="AD161" s="13">
        <f t="shared" si="25"/>
        <v>65</v>
      </c>
      <c r="AE161" s="135"/>
      <c r="AF161" s="135"/>
      <c r="AG161" s="135"/>
      <c r="AH161" s="136"/>
      <c r="AI161" s="50">
        <f t="shared" si="30"/>
        <v>557</v>
      </c>
    </row>
    <row r="162" spans="1:35">
      <c r="A162" s="12">
        <v>44537</v>
      </c>
      <c r="B162" s="8">
        <v>47107</v>
      </c>
      <c r="C162" s="8">
        <v>1560500</v>
      </c>
      <c r="D162" s="13">
        <f t="shared" si="35"/>
        <v>1513393</v>
      </c>
      <c r="E162" s="46">
        <v>0</v>
      </c>
      <c r="F162" s="70">
        <v>0</v>
      </c>
      <c r="G162" s="133">
        <f t="shared" si="32"/>
        <v>0</v>
      </c>
      <c r="H162" s="8">
        <v>157921</v>
      </c>
      <c r="I162" s="8">
        <v>157921</v>
      </c>
      <c r="J162" s="13">
        <f t="shared" si="34"/>
        <v>0</v>
      </c>
      <c r="K162" s="138"/>
      <c r="L162" s="8">
        <v>256965</v>
      </c>
      <c r="M162" s="8">
        <v>258002</v>
      </c>
      <c r="N162" s="13">
        <f t="shared" si="31"/>
        <v>1037</v>
      </c>
      <c r="O162" s="136"/>
      <c r="P162" s="8">
        <v>184745</v>
      </c>
      <c r="Q162" s="8">
        <v>184884</v>
      </c>
      <c r="R162" s="133">
        <f t="shared" si="26"/>
        <v>139</v>
      </c>
      <c r="S162" s="8">
        <v>169939</v>
      </c>
      <c r="T162" s="8">
        <v>169988</v>
      </c>
      <c r="U162" s="133">
        <f t="shared" si="29"/>
        <v>49</v>
      </c>
      <c r="V162" s="8">
        <v>238778</v>
      </c>
      <c r="W162" s="8">
        <v>238938</v>
      </c>
      <c r="X162" s="13">
        <f t="shared" si="33"/>
        <v>160</v>
      </c>
      <c r="Y162" s="8">
        <v>9977</v>
      </c>
      <c r="Z162" s="8">
        <v>10001</v>
      </c>
      <c r="AA162" s="13">
        <f t="shared" si="28"/>
        <v>24</v>
      </c>
      <c r="AB162" s="8">
        <v>177365</v>
      </c>
      <c r="AC162" s="8">
        <v>177439</v>
      </c>
      <c r="AD162" s="13">
        <f t="shared" si="25"/>
        <v>74</v>
      </c>
      <c r="AE162" s="135"/>
      <c r="AF162" s="135"/>
      <c r="AG162" s="135"/>
      <c r="AH162" s="136"/>
      <c r="AI162" s="50">
        <f t="shared" si="30"/>
        <v>372</v>
      </c>
    </row>
    <row r="163" spans="1:35">
      <c r="A163" s="12">
        <v>44538</v>
      </c>
      <c r="B163" s="8">
        <v>1560500</v>
      </c>
      <c r="C163" s="8">
        <v>1561711</v>
      </c>
      <c r="D163" s="13">
        <f t="shared" si="35"/>
        <v>1211</v>
      </c>
      <c r="E163" s="46">
        <v>0</v>
      </c>
      <c r="F163" s="70">
        <v>0</v>
      </c>
      <c r="G163" s="133">
        <f t="shared" si="32"/>
        <v>0</v>
      </c>
      <c r="H163" s="8">
        <v>157921</v>
      </c>
      <c r="I163" s="8">
        <v>157921</v>
      </c>
      <c r="J163" s="13">
        <f t="shared" si="34"/>
        <v>0</v>
      </c>
      <c r="K163" s="138"/>
      <c r="L163" s="8">
        <v>258002</v>
      </c>
      <c r="M163" s="8">
        <v>258889</v>
      </c>
      <c r="N163" s="13">
        <f t="shared" si="31"/>
        <v>887</v>
      </c>
      <c r="O163" s="136"/>
      <c r="P163" s="8">
        <v>184884</v>
      </c>
      <c r="Q163" s="8">
        <v>185197</v>
      </c>
      <c r="R163" s="133">
        <f t="shared" si="26"/>
        <v>313</v>
      </c>
      <c r="S163" s="8">
        <v>169988</v>
      </c>
      <c r="T163" s="8">
        <v>170075</v>
      </c>
      <c r="U163" s="133">
        <f t="shared" si="29"/>
        <v>87</v>
      </c>
      <c r="V163" s="8">
        <v>238938</v>
      </c>
      <c r="W163" s="8">
        <v>239320</v>
      </c>
      <c r="X163" s="13">
        <f t="shared" si="33"/>
        <v>382</v>
      </c>
      <c r="Y163" s="8">
        <v>10001</v>
      </c>
      <c r="Z163" s="8">
        <v>10021</v>
      </c>
      <c r="AA163" s="13">
        <f t="shared" si="28"/>
        <v>20</v>
      </c>
      <c r="AB163" s="8">
        <v>177439</v>
      </c>
      <c r="AC163" s="8">
        <v>177514</v>
      </c>
      <c r="AD163" s="13">
        <f t="shared" si="25"/>
        <v>75</v>
      </c>
      <c r="AE163" s="135"/>
      <c r="AF163" s="135"/>
      <c r="AG163" s="135"/>
      <c r="AH163" s="136"/>
      <c r="AI163" s="50">
        <f t="shared" si="30"/>
        <v>802</v>
      </c>
    </row>
    <row r="164" spans="1:35">
      <c r="A164" s="12">
        <v>44539</v>
      </c>
      <c r="B164" s="8">
        <v>1561711</v>
      </c>
      <c r="C164" s="8">
        <v>1562643</v>
      </c>
      <c r="D164" s="13">
        <f t="shared" si="35"/>
        <v>932</v>
      </c>
      <c r="E164" s="46">
        <v>0</v>
      </c>
      <c r="F164" s="70">
        <v>0</v>
      </c>
      <c r="G164" s="133">
        <f t="shared" si="32"/>
        <v>0</v>
      </c>
      <c r="H164" s="8">
        <v>157921</v>
      </c>
      <c r="I164" s="8">
        <v>157921</v>
      </c>
      <c r="J164" s="13">
        <f t="shared" si="34"/>
        <v>0</v>
      </c>
      <c r="K164" s="138"/>
      <c r="L164" s="8">
        <v>258889</v>
      </c>
      <c r="M164" s="8">
        <v>259674</v>
      </c>
      <c r="N164" s="13">
        <f t="shared" si="31"/>
        <v>785</v>
      </c>
      <c r="O164" s="136"/>
      <c r="P164" s="8">
        <v>185197</v>
      </c>
      <c r="Q164" s="8">
        <v>185461</v>
      </c>
      <c r="R164" s="133">
        <f t="shared" si="26"/>
        <v>264</v>
      </c>
      <c r="S164" s="8">
        <v>170075</v>
      </c>
      <c r="T164" s="8">
        <v>170140</v>
      </c>
      <c r="U164" s="133">
        <f t="shared" si="29"/>
        <v>65</v>
      </c>
      <c r="V164" s="8">
        <v>239320</v>
      </c>
      <c r="W164" s="8">
        <v>239788</v>
      </c>
      <c r="X164" s="13">
        <f t="shared" si="33"/>
        <v>468</v>
      </c>
      <c r="Y164" s="8">
        <v>10021</v>
      </c>
      <c r="Z164" s="8">
        <v>10031</v>
      </c>
      <c r="AA164" s="13">
        <f t="shared" si="28"/>
        <v>10</v>
      </c>
      <c r="AB164" s="8">
        <v>177514</v>
      </c>
      <c r="AC164" s="8">
        <v>177590</v>
      </c>
      <c r="AD164" s="13">
        <f t="shared" si="25"/>
        <v>76</v>
      </c>
      <c r="AE164" s="135"/>
      <c r="AF164" s="135"/>
      <c r="AG164" s="135"/>
      <c r="AH164" s="136"/>
      <c r="AI164" s="50">
        <f t="shared" si="30"/>
        <v>807</v>
      </c>
    </row>
    <row r="165" spans="1:35">
      <c r="A165" s="12">
        <v>44540</v>
      </c>
      <c r="B165" s="8">
        <v>1562643</v>
      </c>
      <c r="C165" s="8">
        <v>1563876</v>
      </c>
      <c r="D165" s="13">
        <f t="shared" si="35"/>
        <v>1233</v>
      </c>
      <c r="E165" s="46">
        <v>0</v>
      </c>
      <c r="F165" s="70">
        <v>0</v>
      </c>
      <c r="G165" s="133">
        <f t="shared" si="32"/>
        <v>0</v>
      </c>
      <c r="H165" s="8">
        <v>157921</v>
      </c>
      <c r="I165" s="8">
        <v>158608</v>
      </c>
      <c r="J165" s="13">
        <f t="shared" si="34"/>
        <v>687</v>
      </c>
      <c r="K165" s="138"/>
      <c r="L165" s="8">
        <v>259674</v>
      </c>
      <c r="M165" s="8">
        <v>260231</v>
      </c>
      <c r="N165" s="13">
        <f t="shared" si="31"/>
        <v>557</v>
      </c>
      <c r="O165" s="136"/>
      <c r="P165" s="8">
        <v>185461</v>
      </c>
      <c r="Q165" s="8">
        <v>185606</v>
      </c>
      <c r="R165" s="133">
        <f t="shared" si="26"/>
        <v>145</v>
      </c>
      <c r="S165" s="8">
        <v>170140</v>
      </c>
      <c r="T165" s="8">
        <v>170196</v>
      </c>
      <c r="U165" s="133">
        <f t="shared" si="29"/>
        <v>56</v>
      </c>
      <c r="V165" s="8">
        <v>239788</v>
      </c>
      <c r="W165" s="8">
        <v>240210</v>
      </c>
      <c r="X165" s="13">
        <f t="shared" si="33"/>
        <v>422</v>
      </c>
      <c r="Y165" s="8">
        <v>10031</v>
      </c>
      <c r="Z165" s="8">
        <v>10058</v>
      </c>
      <c r="AA165" s="13">
        <f t="shared" si="28"/>
        <v>27</v>
      </c>
      <c r="AB165" s="8">
        <v>177590</v>
      </c>
      <c r="AC165" s="8">
        <v>177684</v>
      </c>
      <c r="AD165" s="13">
        <f t="shared" ref="AD165:AD228" si="36">AC165-AB165</f>
        <v>94</v>
      </c>
      <c r="AE165" s="135"/>
      <c r="AF165" s="135"/>
      <c r="AG165" s="135"/>
      <c r="AH165" s="136"/>
      <c r="AI165" s="50">
        <f t="shared" si="30"/>
        <v>650</v>
      </c>
    </row>
    <row r="166" spans="1:35">
      <c r="A166" s="12">
        <v>44541</v>
      </c>
      <c r="B166" s="8">
        <v>1563876</v>
      </c>
      <c r="C166" s="8">
        <v>1564945</v>
      </c>
      <c r="D166" s="13">
        <f t="shared" si="35"/>
        <v>1069</v>
      </c>
      <c r="E166" s="46">
        <v>0</v>
      </c>
      <c r="F166" s="70">
        <v>0</v>
      </c>
      <c r="G166" s="133">
        <f t="shared" si="32"/>
        <v>0</v>
      </c>
      <c r="H166" s="8">
        <v>158608</v>
      </c>
      <c r="I166" s="8">
        <v>158608</v>
      </c>
      <c r="J166" s="13">
        <f t="shared" si="34"/>
        <v>0</v>
      </c>
      <c r="K166" s="138"/>
      <c r="L166" s="8">
        <v>260231</v>
      </c>
      <c r="M166" s="8">
        <v>261144</v>
      </c>
      <c r="N166" s="13">
        <f t="shared" si="31"/>
        <v>913</v>
      </c>
      <c r="O166" s="136"/>
      <c r="P166" s="8">
        <v>185606</v>
      </c>
      <c r="Q166" s="8">
        <v>185860</v>
      </c>
      <c r="R166" s="133">
        <f t="shared" ref="R166:R171" si="37">Q166-P166</f>
        <v>254</v>
      </c>
      <c r="S166" s="8">
        <v>170196</v>
      </c>
      <c r="T166" s="8">
        <v>170242</v>
      </c>
      <c r="U166" s="133">
        <f t="shared" si="29"/>
        <v>46</v>
      </c>
      <c r="V166" s="8">
        <v>240210</v>
      </c>
      <c r="W166" s="8">
        <v>240636</v>
      </c>
      <c r="X166" s="13">
        <f t="shared" si="33"/>
        <v>426</v>
      </c>
      <c r="Y166" s="8">
        <v>10058</v>
      </c>
      <c r="Z166" s="8">
        <v>10073</v>
      </c>
      <c r="AA166" s="13">
        <f t="shared" si="28"/>
        <v>15</v>
      </c>
      <c r="AB166" s="8">
        <v>177684</v>
      </c>
      <c r="AC166" s="8">
        <v>177738</v>
      </c>
      <c r="AD166" s="13">
        <f t="shared" si="36"/>
        <v>54</v>
      </c>
      <c r="AE166" s="135"/>
      <c r="AF166" s="135"/>
      <c r="AG166" s="135"/>
      <c r="AH166" s="136"/>
      <c r="AI166" s="50">
        <f t="shared" si="30"/>
        <v>741</v>
      </c>
    </row>
    <row r="167" spans="1:35">
      <c r="A167" s="12">
        <v>44542</v>
      </c>
      <c r="B167" s="8">
        <v>1564945</v>
      </c>
      <c r="C167" s="8">
        <v>1566052</v>
      </c>
      <c r="D167" s="13">
        <f t="shared" si="35"/>
        <v>1107</v>
      </c>
      <c r="E167" s="46">
        <v>0</v>
      </c>
      <c r="F167" s="70">
        <v>0</v>
      </c>
      <c r="G167" s="133">
        <f t="shared" si="32"/>
        <v>0</v>
      </c>
      <c r="H167" s="8">
        <v>158608</v>
      </c>
      <c r="I167" s="8">
        <v>158608</v>
      </c>
      <c r="J167" s="13">
        <f t="shared" si="34"/>
        <v>0</v>
      </c>
      <c r="K167" s="138"/>
      <c r="L167" s="8">
        <v>261144</v>
      </c>
      <c r="M167" s="8">
        <v>261910</v>
      </c>
      <c r="N167" s="13">
        <f t="shared" si="31"/>
        <v>766</v>
      </c>
      <c r="O167" s="136"/>
      <c r="P167" s="8">
        <v>185860</v>
      </c>
      <c r="Q167" s="8">
        <v>186301</v>
      </c>
      <c r="R167" s="133">
        <f t="shared" si="37"/>
        <v>441</v>
      </c>
      <c r="S167" s="8">
        <v>170242</v>
      </c>
      <c r="T167" s="8">
        <v>170318</v>
      </c>
      <c r="U167" s="133">
        <f t="shared" si="29"/>
        <v>76</v>
      </c>
      <c r="V167" s="8">
        <v>240636</v>
      </c>
      <c r="W167" s="8">
        <v>241064</v>
      </c>
      <c r="X167" s="13">
        <f t="shared" si="33"/>
        <v>428</v>
      </c>
      <c r="Y167" s="8">
        <v>10073</v>
      </c>
      <c r="Z167" s="8">
        <v>10095</v>
      </c>
      <c r="AA167" s="13">
        <f t="shared" si="28"/>
        <v>22</v>
      </c>
      <c r="AB167" s="8">
        <v>177738</v>
      </c>
      <c r="AC167" s="8">
        <v>177761</v>
      </c>
      <c r="AD167" s="13">
        <f t="shared" si="36"/>
        <v>23</v>
      </c>
      <c r="AE167" s="135"/>
      <c r="AF167" s="135"/>
      <c r="AG167" s="135"/>
      <c r="AH167" s="136"/>
      <c r="AI167" s="50">
        <f t="shared" si="30"/>
        <v>967</v>
      </c>
    </row>
    <row r="168" spans="1:35">
      <c r="A168" s="12">
        <v>44543</v>
      </c>
      <c r="B168" s="8">
        <v>1566052</v>
      </c>
      <c r="C168" s="8">
        <v>1566881</v>
      </c>
      <c r="D168" s="13">
        <f t="shared" si="35"/>
        <v>829</v>
      </c>
      <c r="E168" s="46">
        <v>0</v>
      </c>
      <c r="F168" s="70">
        <v>0</v>
      </c>
      <c r="G168" s="133">
        <f t="shared" si="32"/>
        <v>0</v>
      </c>
      <c r="H168" s="8">
        <v>158608</v>
      </c>
      <c r="I168" s="8">
        <v>158744</v>
      </c>
      <c r="J168" s="13">
        <f t="shared" si="34"/>
        <v>136</v>
      </c>
      <c r="K168" s="138"/>
      <c r="L168" s="8">
        <v>261910</v>
      </c>
      <c r="M168" s="8">
        <v>262570</v>
      </c>
      <c r="N168" s="13">
        <f t="shared" si="31"/>
        <v>660</v>
      </c>
      <c r="O168" s="136"/>
      <c r="P168" s="8">
        <v>186301</v>
      </c>
      <c r="Q168" s="8">
        <v>186699</v>
      </c>
      <c r="R168" s="133">
        <f t="shared" si="37"/>
        <v>398</v>
      </c>
      <c r="S168" s="8">
        <v>170318</v>
      </c>
      <c r="T168" s="8">
        <v>170374</v>
      </c>
      <c r="U168" s="133">
        <f t="shared" si="29"/>
        <v>56</v>
      </c>
      <c r="V168" s="8">
        <v>241064</v>
      </c>
      <c r="W168" s="8">
        <v>241384</v>
      </c>
      <c r="X168" s="13">
        <f t="shared" si="33"/>
        <v>320</v>
      </c>
      <c r="Y168" s="8">
        <v>10095</v>
      </c>
      <c r="Z168" s="8">
        <v>10112</v>
      </c>
      <c r="AA168" s="13">
        <f t="shared" si="28"/>
        <v>17</v>
      </c>
      <c r="AB168" s="8">
        <v>177761</v>
      </c>
      <c r="AC168" s="8">
        <v>177817</v>
      </c>
      <c r="AD168" s="13">
        <f t="shared" si="36"/>
        <v>56</v>
      </c>
      <c r="AE168" s="135"/>
      <c r="AF168" s="135"/>
      <c r="AG168" s="135"/>
      <c r="AH168" s="136"/>
      <c r="AI168" s="50">
        <f t="shared" si="30"/>
        <v>791</v>
      </c>
    </row>
    <row r="169" spans="1:35">
      <c r="A169" s="12">
        <v>44544</v>
      </c>
      <c r="B169" s="8">
        <v>1566881</v>
      </c>
      <c r="C169" s="8">
        <v>1568080</v>
      </c>
      <c r="D169" s="13">
        <f t="shared" si="35"/>
        <v>1199</v>
      </c>
      <c r="E169" s="46">
        <v>0</v>
      </c>
      <c r="F169" s="70">
        <v>0</v>
      </c>
      <c r="G169" s="133">
        <f t="shared" si="32"/>
        <v>0</v>
      </c>
      <c r="H169" s="8">
        <v>158744</v>
      </c>
      <c r="I169" s="8">
        <v>158744</v>
      </c>
      <c r="J169" s="13">
        <f t="shared" si="34"/>
        <v>0</v>
      </c>
      <c r="K169" s="138"/>
      <c r="L169" s="8">
        <v>262570</v>
      </c>
      <c r="M169" s="8">
        <v>263577</v>
      </c>
      <c r="N169" s="13">
        <f t="shared" si="31"/>
        <v>1007</v>
      </c>
      <c r="O169" s="136"/>
      <c r="P169" s="8">
        <v>186699</v>
      </c>
      <c r="Q169" s="8">
        <v>187057</v>
      </c>
      <c r="R169" s="133">
        <f t="shared" si="37"/>
        <v>358</v>
      </c>
      <c r="S169" s="8">
        <v>170374</v>
      </c>
      <c r="T169" s="8">
        <v>170425</v>
      </c>
      <c r="U169" s="133">
        <f t="shared" si="29"/>
        <v>51</v>
      </c>
      <c r="V169" s="8">
        <v>241384</v>
      </c>
      <c r="W169" s="8">
        <v>241614</v>
      </c>
      <c r="X169" s="13">
        <f t="shared" si="33"/>
        <v>230</v>
      </c>
      <c r="Y169" s="8">
        <v>10112</v>
      </c>
      <c r="Z169" s="8">
        <v>10130</v>
      </c>
      <c r="AA169" s="13">
        <f t="shared" si="28"/>
        <v>18</v>
      </c>
      <c r="AB169" s="8">
        <v>177817</v>
      </c>
      <c r="AC169" s="8">
        <v>177886</v>
      </c>
      <c r="AD169" s="13">
        <f t="shared" si="36"/>
        <v>69</v>
      </c>
      <c r="AE169" s="135"/>
      <c r="AF169" s="135"/>
      <c r="AG169" s="135"/>
      <c r="AH169" s="136"/>
      <c r="AI169" s="50">
        <f t="shared" si="30"/>
        <v>657</v>
      </c>
    </row>
    <row r="170" spans="1:35">
      <c r="A170" s="12">
        <v>44545</v>
      </c>
      <c r="B170" s="8">
        <v>1568080</v>
      </c>
      <c r="C170" s="8">
        <v>1569185</v>
      </c>
      <c r="D170" s="13">
        <f t="shared" si="35"/>
        <v>1105</v>
      </c>
      <c r="E170" s="46">
        <v>0</v>
      </c>
      <c r="F170" s="70">
        <v>0</v>
      </c>
      <c r="G170" s="133">
        <f t="shared" si="32"/>
        <v>0</v>
      </c>
      <c r="H170" s="8">
        <v>158744</v>
      </c>
      <c r="I170" s="8">
        <v>158744</v>
      </c>
      <c r="J170" s="13">
        <f t="shared" si="34"/>
        <v>0</v>
      </c>
      <c r="K170" s="138"/>
      <c r="L170" s="8">
        <v>263577</v>
      </c>
      <c r="M170" s="8">
        <v>264604</v>
      </c>
      <c r="N170" s="13">
        <f t="shared" si="31"/>
        <v>1027</v>
      </c>
      <c r="O170" s="136"/>
      <c r="P170" s="8">
        <v>187057</v>
      </c>
      <c r="Q170" s="8">
        <v>187437</v>
      </c>
      <c r="R170" s="133">
        <f t="shared" si="37"/>
        <v>380</v>
      </c>
      <c r="S170" s="8">
        <v>170425</v>
      </c>
      <c r="T170" s="8">
        <v>170471</v>
      </c>
      <c r="U170" s="133">
        <f t="shared" si="29"/>
        <v>46</v>
      </c>
      <c r="V170" s="8">
        <v>241614</v>
      </c>
      <c r="W170" s="8">
        <v>242025</v>
      </c>
      <c r="X170" s="13">
        <f t="shared" si="33"/>
        <v>411</v>
      </c>
      <c r="Y170" s="8">
        <v>10130</v>
      </c>
      <c r="Z170" s="8">
        <v>10151</v>
      </c>
      <c r="AA170" s="13">
        <f t="shared" si="28"/>
        <v>21</v>
      </c>
      <c r="AB170" s="8">
        <v>177886</v>
      </c>
      <c r="AC170" s="8">
        <v>177950</v>
      </c>
      <c r="AD170" s="13">
        <f t="shared" si="36"/>
        <v>64</v>
      </c>
      <c r="AE170" s="135"/>
      <c r="AF170" s="135"/>
      <c r="AG170" s="135"/>
      <c r="AH170" s="136"/>
      <c r="AI170" s="50">
        <f t="shared" si="30"/>
        <v>858</v>
      </c>
    </row>
    <row r="171" spans="1:35">
      <c r="A171" s="12">
        <v>44546</v>
      </c>
      <c r="B171" s="8">
        <v>1569185</v>
      </c>
      <c r="C171" s="8">
        <v>1570540</v>
      </c>
      <c r="D171" s="13">
        <f t="shared" si="35"/>
        <v>1355</v>
      </c>
      <c r="E171" s="46">
        <v>0</v>
      </c>
      <c r="F171" s="70">
        <v>0</v>
      </c>
      <c r="G171" s="133">
        <f t="shared" si="32"/>
        <v>0</v>
      </c>
      <c r="H171" s="8">
        <v>158744</v>
      </c>
      <c r="I171" s="8">
        <v>158744</v>
      </c>
      <c r="J171" s="13">
        <f t="shared" si="34"/>
        <v>0</v>
      </c>
      <c r="K171" s="138"/>
      <c r="L171" s="8">
        <v>264604</v>
      </c>
      <c r="M171" s="8">
        <v>265465</v>
      </c>
      <c r="N171" s="13">
        <f t="shared" si="31"/>
        <v>861</v>
      </c>
      <c r="O171" s="136"/>
      <c r="P171" s="8">
        <v>187437</v>
      </c>
      <c r="Q171" s="8">
        <v>187795</v>
      </c>
      <c r="R171" s="133">
        <f t="shared" si="37"/>
        <v>358</v>
      </c>
      <c r="S171" s="8">
        <v>170471</v>
      </c>
      <c r="T171" s="8">
        <v>170553</v>
      </c>
      <c r="U171" s="133">
        <f t="shared" si="29"/>
        <v>82</v>
      </c>
      <c r="V171" s="8">
        <v>242025</v>
      </c>
      <c r="W171" s="8">
        <v>242524</v>
      </c>
      <c r="X171" s="13">
        <f t="shared" si="33"/>
        <v>499</v>
      </c>
      <c r="Y171" s="8">
        <v>10151</v>
      </c>
      <c r="Z171" s="8">
        <v>10165</v>
      </c>
      <c r="AA171" s="13">
        <f t="shared" si="28"/>
        <v>14</v>
      </c>
      <c r="AB171" s="8">
        <v>177950</v>
      </c>
      <c r="AC171" s="8">
        <v>178018</v>
      </c>
      <c r="AD171" s="13">
        <f t="shared" si="36"/>
        <v>68</v>
      </c>
      <c r="AE171" s="135"/>
      <c r="AF171" s="135"/>
      <c r="AG171" s="135"/>
      <c r="AH171" s="136"/>
      <c r="AI171" s="50">
        <f t="shared" si="30"/>
        <v>953</v>
      </c>
    </row>
    <row r="172" spans="1:35">
      <c r="A172" s="12">
        <v>44547</v>
      </c>
      <c r="B172" s="8">
        <v>1570540</v>
      </c>
      <c r="C172" s="8">
        <v>1572054</v>
      </c>
      <c r="D172" s="13">
        <f t="shared" si="35"/>
        <v>1514</v>
      </c>
      <c r="E172" s="46">
        <v>0</v>
      </c>
      <c r="F172" s="70">
        <v>0</v>
      </c>
      <c r="G172" s="133">
        <f t="shared" si="32"/>
        <v>0</v>
      </c>
      <c r="H172" s="8">
        <v>158744</v>
      </c>
      <c r="I172" s="8">
        <v>158744</v>
      </c>
      <c r="J172" s="13">
        <f t="shared" si="34"/>
        <v>0</v>
      </c>
      <c r="K172" s="138"/>
      <c r="L172" s="8">
        <v>265465</v>
      </c>
      <c r="M172" s="8">
        <v>266963</v>
      </c>
      <c r="N172" s="13">
        <f t="shared" si="31"/>
        <v>1498</v>
      </c>
      <c r="O172" s="136"/>
      <c r="P172" s="8">
        <v>187795</v>
      </c>
      <c r="Q172" s="8">
        <v>188387</v>
      </c>
      <c r="R172" s="133">
        <f t="shared" ref="R172:R235" si="38">Q172-P172</f>
        <v>592</v>
      </c>
      <c r="S172" s="8">
        <v>170553</v>
      </c>
      <c r="T172" s="8">
        <v>170598</v>
      </c>
      <c r="U172" s="133">
        <f t="shared" si="29"/>
        <v>45</v>
      </c>
      <c r="V172" s="8">
        <v>242524</v>
      </c>
      <c r="W172" s="8">
        <v>242874</v>
      </c>
      <c r="X172" s="13">
        <f t="shared" si="33"/>
        <v>350</v>
      </c>
      <c r="Y172" s="8">
        <v>10165</v>
      </c>
      <c r="Z172" s="8">
        <v>10182</v>
      </c>
      <c r="AA172" s="13">
        <f t="shared" si="28"/>
        <v>17</v>
      </c>
      <c r="AB172" s="8">
        <v>178018</v>
      </c>
      <c r="AC172" s="8">
        <v>178088</v>
      </c>
      <c r="AD172" s="13">
        <f t="shared" si="36"/>
        <v>70</v>
      </c>
      <c r="AE172" s="135"/>
      <c r="AF172" s="135"/>
      <c r="AG172" s="135"/>
      <c r="AH172" s="136"/>
      <c r="AI172" s="50">
        <f t="shared" si="30"/>
        <v>1004</v>
      </c>
    </row>
    <row r="173" spans="1:35">
      <c r="A173" s="12">
        <v>44548</v>
      </c>
      <c r="B173" s="8">
        <v>1572054</v>
      </c>
      <c r="C173" s="8">
        <v>1573287</v>
      </c>
      <c r="D173" s="13">
        <f t="shared" si="35"/>
        <v>1233</v>
      </c>
      <c r="E173" s="46">
        <v>0</v>
      </c>
      <c r="F173" s="70">
        <v>0</v>
      </c>
      <c r="G173" s="133">
        <f t="shared" si="32"/>
        <v>0</v>
      </c>
      <c r="H173" s="8">
        <v>158744</v>
      </c>
      <c r="I173" s="8">
        <v>158744</v>
      </c>
      <c r="J173" s="13">
        <f t="shared" si="34"/>
        <v>0</v>
      </c>
      <c r="K173" s="138"/>
      <c r="L173" s="8">
        <v>266963</v>
      </c>
      <c r="M173" s="8">
        <v>268092</v>
      </c>
      <c r="N173" s="13">
        <f t="shared" si="31"/>
        <v>1129</v>
      </c>
      <c r="O173" s="136"/>
      <c r="P173" s="8">
        <v>188387</v>
      </c>
      <c r="Q173" s="8">
        <v>188839</v>
      </c>
      <c r="R173" s="133">
        <f t="shared" si="38"/>
        <v>452</v>
      </c>
      <c r="S173" s="8">
        <v>170598</v>
      </c>
      <c r="T173" s="8">
        <v>170652</v>
      </c>
      <c r="U173" s="133">
        <f t="shared" si="29"/>
        <v>54</v>
      </c>
      <c r="V173" s="8">
        <v>242874</v>
      </c>
      <c r="W173" s="8">
        <v>243225</v>
      </c>
      <c r="X173" s="13">
        <f t="shared" si="33"/>
        <v>351</v>
      </c>
      <c r="Y173" s="8">
        <v>10182</v>
      </c>
      <c r="Z173" s="8">
        <v>10201</v>
      </c>
      <c r="AA173" s="13">
        <f t="shared" si="28"/>
        <v>19</v>
      </c>
      <c r="AB173" s="8">
        <v>178088</v>
      </c>
      <c r="AC173" s="8">
        <v>178129</v>
      </c>
      <c r="AD173" s="13">
        <f t="shared" si="36"/>
        <v>41</v>
      </c>
      <c r="AE173" s="135"/>
      <c r="AF173" s="135"/>
      <c r="AG173" s="135"/>
      <c r="AH173" s="136"/>
      <c r="AI173" s="50">
        <f t="shared" si="30"/>
        <v>876</v>
      </c>
    </row>
    <row r="174" spans="1:35">
      <c r="A174" s="12">
        <v>44549</v>
      </c>
      <c r="B174" s="8">
        <v>1573287</v>
      </c>
      <c r="C174" s="8">
        <v>1574582</v>
      </c>
      <c r="D174" s="13">
        <f t="shared" si="35"/>
        <v>1295</v>
      </c>
      <c r="E174" s="46">
        <v>0</v>
      </c>
      <c r="F174" s="70">
        <v>0</v>
      </c>
      <c r="G174" s="133">
        <f t="shared" si="32"/>
        <v>0</v>
      </c>
      <c r="H174" s="8">
        <v>158744</v>
      </c>
      <c r="I174" s="8">
        <v>158744</v>
      </c>
      <c r="J174" s="13">
        <f t="shared" si="34"/>
        <v>0</v>
      </c>
      <c r="K174" s="138"/>
      <c r="L174" s="8">
        <v>268092</v>
      </c>
      <c r="M174" s="8">
        <v>269021</v>
      </c>
      <c r="N174" s="13">
        <f t="shared" si="31"/>
        <v>929</v>
      </c>
      <c r="O174" s="136"/>
      <c r="P174" s="8">
        <v>188839</v>
      </c>
      <c r="Q174" s="8">
        <v>189149</v>
      </c>
      <c r="R174" s="133">
        <f t="shared" si="38"/>
        <v>310</v>
      </c>
      <c r="S174" s="8">
        <v>170652</v>
      </c>
      <c r="T174" s="8">
        <v>170652</v>
      </c>
      <c r="U174" s="133">
        <f t="shared" si="29"/>
        <v>0</v>
      </c>
      <c r="V174" s="8">
        <v>243225</v>
      </c>
      <c r="W174" s="8">
        <v>243552</v>
      </c>
      <c r="X174" s="13">
        <f t="shared" si="33"/>
        <v>327</v>
      </c>
      <c r="Y174" s="8">
        <v>10201</v>
      </c>
      <c r="Z174" s="8">
        <v>10223</v>
      </c>
      <c r="AA174" s="13">
        <f t="shared" si="28"/>
        <v>22</v>
      </c>
      <c r="AB174" s="8">
        <v>178129</v>
      </c>
      <c r="AC174" s="8">
        <v>178178</v>
      </c>
      <c r="AD174" s="13">
        <f t="shared" si="36"/>
        <v>49</v>
      </c>
      <c r="AE174" s="135"/>
      <c r="AF174" s="135"/>
      <c r="AG174" s="135"/>
      <c r="AH174" s="136"/>
      <c r="AI174" s="50">
        <f t="shared" si="30"/>
        <v>659</v>
      </c>
    </row>
    <row r="175" spans="1:35">
      <c r="A175" s="12">
        <v>44550</v>
      </c>
      <c r="B175" s="8">
        <v>1574582</v>
      </c>
      <c r="C175" s="8">
        <v>1575763</v>
      </c>
      <c r="D175" s="13">
        <f t="shared" si="35"/>
        <v>1181</v>
      </c>
      <c r="E175" s="46">
        <v>0</v>
      </c>
      <c r="F175" s="70">
        <v>0</v>
      </c>
      <c r="G175" s="133">
        <f t="shared" si="32"/>
        <v>0</v>
      </c>
      <c r="H175" s="8">
        <v>158744</v>
      </c>
      <c r="I175" s="8">
        <v>158744</v>
      </c>
      <c r="J175" s="13">
        <f t="shared" si="34"/>
        <v>0</v>
      </c>
      <c r="K175" s="138"/>
      <c r="L175" s="8">
        <v>269021</v>
      </c>
      <c r="M175" s="8">
        <v>269862</v>
      </c>
      <c r="N175" s="13">
        <f t="shared" si="31"/>
        <v>841</v>
      </c>
      <c r="O175" s="136"/>
      <c r="P175" s="8">
        <v>189149</v>
      </c>
      <c r="Q175" s="8">
        <v>189420</v>
      </c>
      <c r="R175" s="133">
        <f t="shared" si="38"/>
        <v>271</v>
      </c>
      <c r="S175" s="8">
        <v>170652</v>
      </c>
      <c r="T175" s="8">
        <v>170815</v>
      </c>
      <c r="U175" s="133">
        <f t="shared" si="29"/>
        <v>163</v>
      </c>
      <c r="V175" s="8">
        <v>243552</v>
      </c>
      <c r="W175" s="8">
        <v>243897</v>
      </c>
      <c r="X175" s="13">
        <f t="shared" si="33"/>
        <v>345</v>
      </c>
      <c r="Y175" s="8">
        <v>10223</v>
      </c>
      <c r="Z175" s="8">
        <v>10248</v>
      </c>
      <c r="AA175" s="13">
        <f t="shared" si="28"/>
        <v>25</v>
      </c>
      <c r="AB175" s="8">
        <v>178178</v>
      </c>
      <c r="AC175" s="8">
        <v>178235</v>
      </c>
      <c r="AD175" s="13">
        <f t="shared" si="36"/>
        <v>57</v>
      </c>
      <c r="AE175" s="135"/>
      <c r="AF175" s="135"/>
      <c r="AG175" s="135"/>
      <c r="AH175" s="136"/>
      <c r="AI175" s="50">
        <f t="shared" si="30"/>
        <v>804</v>
      </c>
    </row>
    <row r="176" spans="1:35">
      <c r="A176" s="12">
        <v>44551</v>
      </c>
      <c r="B176" s="8">
        <v>1575763</v>
      </c>
      <c r="C176" s="8">
        <v>1576631</v>
      </c>
      <c r="D176" s="13">
        <f t="shared" si="35"/>
        <v>868</v>
      </c>
      <c r="E176" s="46">
        <v>0</v>
      </c>
      <c r="F176" s="70">
        <v>0</v>
      </c>
      <c r="G176" s="133">
        <f t="shared" si="32"/>
        <v>0</v>
      </c>
      <c r="H176" s="8">
        <v>158744</v>
      </c>
      <c r="I176" s="8">
        <v>158744</v>
      </c>
      <c r="J176" s="13">
        <f t="shared" si="34"/>
        <v>0</v>
      </c>
      <c r="K176" s="138"/>
      <c r="L176" s="8">
        <v>269862</v>
      </c>
      <c r="M176" s="8">
        <v>270481</v>
      </c>
      <c r="N176" s="13">
        <f t="shared" si="31"/>
        <v>619</v>
      </c>
      <c r="O176" s="136"/>
      <c r="P176" s="8">
        <v>189420</v>
      </c>
      <c r="Q176" s="8">
        <v>189579</v>
      </c>
      <c r="R176" s="133">
        <f t="shared" si="38"/>
        <v>159</v>
      </c>
      <c r="S176" s="8">
        <v>170815</v>
      </c>
      <c r="T176" s="8">
        <v>170861</v>
      </c>
      <c r="U176" s="133">
        <f t="shared" si="29"/>
        <v>46</v>
      </c>
      <c r="V176" s="8">
        <v>243897</v>
      </c>
      <c r="W176" s="8">
        <v>244328</v>
      </c>
      <c r="X176" s="13">
        <f t="shared" si="33"/>
        <v>431</v>
      </c>
      <c r="Y176" s="8">
        <v>10248</v>
      </c>
      <c r="Z176" s="8">
        <v>10268</v>
      </c>
      <c r="AA176" s="13">
        <f t="shared" si="28"/>
        <v>20</v>
      </c>
      <c r="AB176" s="8">
        <v>178235</v>
      </c>
      <c r="AC176" s="8">
        <v>178281</v>
      </c>
      <c r="AD176" s="13">
        <f t="shared" si="36"/>
        <v>46</v>
      </c>
      <c r="AE176" s="135"/>
      <c r="AF176" s="135"/>
      <c r="AG176" s="135"/>
      <c r="AH176" s="136"/>
      <c r="AI176" s="50">
        <f t="shared" si="30"/>
        <v>656</v>
      </c>
    </row>
    <row r="177" spans="1:35">
      <c r="A177" s="12">
        <v>44552</v>
      </c>
      <c r="B177" s="8">
        <v>1576631</v>
      </c>
      <c r="C177" s="8">
        <v>1577319</v>
      </c>
      <c r="D177" s="13">
        <f t="shared" si="35"/>
        <v>688</v>
      </c>
      <c r="E177" s="46">
        <v>0</v>
      </c>
      <c r="F177" s="70">
        <v>0</v>
      </c>
      <c r="G177" s="133">
        <f t="shared" si="32"/>
        <v>0</v>
      </c>
      <c r="H177" s="8">
        <v>158744</v>
      </c>
      <c r="I177" s="8">
        <v>158744</v>
      </c>
      <c r="J177" s="13">
        <f t="shared" si="34"/>
        <v>0</v>
      </c>
      <c r="K177" s="138"/>
      <c r="L177" s="8">
        <v>270481</v>
      </c>
      <c r="M177" s="8">
        <v>270986</v>
      </c>
      <c r="N177" s="13">
        <f t="shared" si="31"/>
        <v>505</v>
      </c>
      <c r="O177" s="136"/>
      <c r="P177" s="8">
        <v>189579</v>
      </c>
      <c r="Q177" s="8">
        <v>189852</v>
      </c>
      <c r="R177" s="133">
        <f t="shared" si="38"/>
        <v>273</v>
      </c>
      <c r="S177" s="8">
        <v>170861</v>
      </c>
      <c r="T177" s="8">
        <v>170905</v>
      </c>
      <c r="U177" s="133">
        <f t="shared" si="29"/>
        <v>44</v>
      </c>
      <c r="V177" s="8">
        <v>244328</v>
      </c>
      <c r="W177" s="8">
        <v>244670</v>
      </c>
      <c r="X177" s="13">
        <f t="shared" si="33"/>
        <v>342</v>
      </c>
      <c r="Y177" s="8">
        <v>10268</v>
      </c>
      <c r="Z177" s="8">
        <v>10286</v>
      </c>
      <c r="AA177" s="13">
        <f t="shared" si="28"/>
        <v>18</v>
      </c>
      <c r="AB177" s="8">
        <v>178281</v>
      </c>
      <c r="AC177" s="8">
        <v>178310</v>
      </c>
      <c r="AD177" s="13">
        <f t="shared" si="36"/>
        <v>29</v>
      </c>
      <c r="AE177" s="135"/>
      <c r="AF177" s="135"/>
      <c r="AG177" s="135"/>
      <c r="AH177" s="136"/>
      <c r="AI177" s="50">
        <f t="shared" si="30"/>
        <v>677</v>
      </c>
    </row>
    <row r="178" spans="1:35">
      <c r="A178" s="12">
        <v>44553</v>
      </c>
      <c r="B178" s="8">
        <v>1577319</v>
      </c>
      <c r="C178" s="8">
        <v>1577901</v>
      </c>
      <c r="D178" s="13">
        <f t="shared" si="35"/>
        <v>582</v>
      </c>
      <c r="E178" s="46">
        <v>0</v>
      </c>
      <c r="F178" s="70">
        <v>0</v>
      </c>
      <c r="G178" s="133">
        <f t="shared" si="32"/>
        <v>0</v>
      </c>
      <c r="H178" s="8">
        <v>158744</v>
      </c>
      <c r="I178" s="8">
        <v>158744</v>
      </c>
      <c r="J178" s="13">
        <f t="shared" si="34"/>
        <v>0</v>
      </c>
      <c r="K178" s="138"/>
      <c r="L178" s="8">
        <v>270986</v>
      </c>
      <c r="M178" s="8">
        <v>271394</v>
      </c>
      <c r="N178" s="13">
        <f t="shared" si="31"/>
        <v>408</v>
      </c>
      <c r="O178" s="136"/>
      <c r="P178" s="8">
        <v>189852</v>
      </c>
      <c r="Q178" s="8">
        <v>190012</v>
      </c>
      <c r="R178" s="133">
        <f t="shared" si="38"/>
        <v>160</v>
      </c>
      <c r="S178" s="8">
        <v>170905</v>
      </c>
      <c r="T178" s="8">
        <v>170953</v>
      </c>
      <c r="U178" s="133">
        <f t="shared" si="29"/>
        <v>48</v>
      </c>
      <c r="V178" s="8">
        <v>244670</v>
      </c>
      <c r="W178" s="8">
        <v>245060</v>
      </c>
      <c r="X178" s="13">
        <f t="shared" si="33"/>
        <v>390</v>
      </c>
      <c r="Y178" s="8">
        <v>10286</v>
      </c>
      <c r="Z178" s="8">
        <v>10306</v>
      </c>
      <c r="AA178" s="13">
        <f t="shared" si="28"/>
        <v>20</v>
      </c>
      <c r="AB178" s="8">
        <v>178310</v>
      </c>
      <c r="AC178" s="8">
        <v>178392</v>
      </c>
      <c r="AD178" s="13">
        <f t="shared" si="36"/>
        <v>82</v>
      </c>
      <c r="AE178" s="135"/>
      <c r="AF178" s="135"/>
      <c r="AG178" s="135"/>
      <c r="AH178" s="136"/>
      <c r="AI178" s="50">
        <f t="shared" si="30"/>
        <v>618</v>
      </c>
    </row>
    <row r="179" spans="1:35">
      <c r="A179" s="12">
        <v>44554</v>
      </c>
      <c r="B179" s="8">
        <v>1577901</v>
      </c>
      <c r="C179" s="8">
        <v>1579080</v>
      </c>
      <c r="D179" s="13">
        <f t="shared" si="35"/>
        <v>1179</v>
      </c>
      <c r="E179" s="46">
        <v>0</v>
      </c>
      <c r="F179" s="70">
        <v>0</v>
      </c>
      <c r="G179" s="133">
        <f t="shared" si="32"/>
        <v>0</v>
      </c>
      <c r="H179" s="8">
        <v>158744</v>
      </c>
      <c r="I179" s="8">
        <v>159498</v>
      </c>
      <c r="J179" s="13">
        <f>I179-H179</f>
        <v>754</v>
      </c>
      <c r="K179" s="138"/>
      <c r="L179" s="8">
        <v>271394</v>
      </c>
      <c r="M179" s="8">
        <v>272000</v>
      </c>
      <c r="N179" s="13">
        <f t="shared" si="31"/>
        <v>606</v>
      </c>
      <c r="O179" s="136"/>
      <c r="P179" s="8">
        <v>190012</v>
      </c>
      <c r="Q179" s="8">
        <v>190491</v>
      </c>
      <c r="R179" s="133">
        <f t="shared" si="38"/>
        <v>479</v>
      </c>
      <c r="S179" s="8">
        <v>170953</v>
      </c>
      <c r="T179" s="8">
        <v>171009</v>
      </c>
      <c r="U179" s="133">
        <f t="shared" si="29"/>
        <v>56</v>
      </c>
      <c r="V179" s="8">
        <v>245060</v>
      </c>
      <c r="W179" s="8">
        <v>245415</v>
      </c>
      <c r="X179" s="13">
        <f t="shared" si="33"/>
        <v>355</v>
      </c>
      <c r="Y179" s="8">
        <v>10306</v>
      </c>
      <c r="Z179" s="8">
        <v>10339</v>
      </c>
      <c r="AA179" s="13">
        <f t="shared" si="28"/>
        <v>33</v>
      </c>
      <c r="AB179" s="8">
        <v>178392</v>
      </c>
      <c r="AC179" s="8">
        <v>178440</v>
      </c>
      <c r="AD179" s="13">
        <f t="shared" si="36"/>
        <v>48</v>
      </c>
      <c r="AE179" s="135"/>
      <c r="AF179" s="135"/>
      <c r="AG179" s="135"/>
      <c r="AH179" s="136"/>
      <c r="AI179" s="50">
        <f t="shared" si="30"/>
        <v>923</v>
      </c>
    </row>
    <row r="180" spans="1:35">
      <c r="A180" s="12">
        <v>44555</v>
      </c>
      <c r="B180" s="8">
        <v>1579080</v>
      </c>
      <c r="C180" s="8">
        <v>1580445</v>
      </c>
      <c r="D180" s="13">
        <f t="shared" si="35"/>
        <v>1365</v>
      </c>
      <c r="E180" s="46">
        <v>0</v>
      </c>
      <c r="F180" s="70">
        <v>0</v>
      </c>
      <c r="G180" s="133">
        <f t="shared" si="32"/>
        <v>0</v>
      </c>
      <c r="H180" s="8">
        <v>159498</v>
      </c>
      <c r="I180" s="8">
        <v>159498</v>
      </c>
      <c r="J180" s="13">
        <f t="shared" si="34"/>
        <v>0</v>
      </c>
      <c r="K180" s="138"/>
      <c r="L180" s="8">
        <v>272000</v>
      </c>
      <c r="M180" s="8">
        <v>273112</v>
      </c>
      <c r="N180" s="13">
        <f t="shared" si="31"/>
        <v>1112</v>
      </c>
      <c r="O180" s="136"/>
      <c r="P180" s="8">
        <v>190491</v>
      </c>
      <c r="Q180" s="8">
        <v>191039</v>
      </c>
      <c r="R180" s="133">
        <f t="shared" si="38"/>
        <v>548</v>
      </c>
      <c r="S180" s="8">
        <v>171009</v>
      </c>
      <c r="T180" s="8">
        <v>171071</v>
      </c>
      <c r="U180" s="133">
        <f t="shared" si="29"/>
        <v>62</v>
      </c>
      <c r="V180" s="8">
        <v>245415</v>
      </c>
      <c r="W180" s="8">
        <v>245762</v>
      </c>
      <c r="X180" s="13">
        <f t="shared" si="33"/>
        <v>347</v>
      </c>
      <c r="Y180" s="8">
        <v>10339</v>
      </c>
      <c r="Z180" s="8">
        <v>10360</v>
      </c>
      <c r="AA180" s="13">
        <f t="shared" si="28"/>
        <v>21</v>
      </c>
      <c r="AB180" s="8">
        <v>178440</v>
      </c>
      <c r="AC180" s="8">
        <v>178471</v>
      </c>
      <c r="AD180" s="13">
        <f t="shared" si="36"/>
        <v>31</v>
      </c>
      <c r="AE180" s="135"/>
      <c r="AF180" s="135"/>
      <c r="AG180" s="135"/>
      <c r="AH180" s="136"/>
      <c r="AI180" s="50">
        <f t="shared" si="30"/>
        <v>978</v>
      </c>
    </row>
    <row r="181" spans="1:35">
      <c r="A181" s="12">
        <v>44556</v>
      </c>
      <c r="B181" s="8">
        <v>1580445</v>
      </c>
      <c r="C181" s="8">
        <v>1581400</v>
      </c>
      <c r="D181" s="13">
        <f t="shared" si="35"/>
        <v>955</v>
      </c>
      <c r="E181" s="46">
        <v>0</v>
      </c>
      <c r="F181" s="70">
        <v>0</v>
      </c>
      <c r="G181" s="133">
        <f t="shared" si="32"/>
        <v>0</v>
      </c>
      <c r="H181" s="8">
        <v>159498</v>
      </c>
      <c r="I181" s="8">
        <v>159498</v>
      </c>
      <c r="J181" s="13">
        <f t="shared" si="34"/>
        <v>0</v>
      </c>
      <c r="K181" s="138"/>
      <c r="L181" s="8">
        <v>273112</v>
      </c>
      <c r="M181" s="8">
        <v>273714</v>
      </c>
      <c r="N181" s="13">
        <f t="shared" si="31"/>
        <v>602</v>
      </c>
      <c r="O181" s="136"/>
      <c r="P181" s="8">
        <v>191039</v>
      </c>
      <c r="Q181" s="8">
        <v>191307</v>
      </c>
      <c r="R181" s="133">
        <f t="shared" si="38"/>
        <v>268</v>
      </c>
      <c r="S181" s="8">
        <v>171071</v>
      </c>
      <c r="T181" s="8">
        <v>171103</v>
      </c>
      <c r="U181" s="133">
        <f t="shared" si="29"/>
        <v>32</v>
      </c>
      <c r="V181" s="8">
        <v>245762</v>
      </c>
      <c r="W181" s="8">
        <v>246204</v>
      </c>
      <c r="X181" s="13">
        <f t="shared" si="33"/>
        <v>442</v>
      </c>
      <c r="Y181" s="8">
        <v>10360</v>
      </c>
      <c r="Z181" s="8">
        <v>10381</v>
      </c>
      <c r="AA181" s="13">
        <f t="shared" si="28"/>
        <v>21</v>
      </c>
      <c r="AB181" s="8">
        <v>178471</v>
      </c>
      <c r="AC181" s="8">
        <v>178509</v>
      </c>
      <c r="AD181" s="13">
        <f t="shared" si="36"/>
        <v>38</v>
      </c>
      <c r="AE181" s="135"/>
      <c r="AF181" s="135"/>
      <c r="AG181" s="135"/>
      <c r="AH181" s="136"/>
      <c r="AI181" s="50">
        <f t="shared" si="30"/>
        <v>763</v>
      </c>
    </row>
    <row r="182" spans="1:35">
      <c r="A182" s="12">
        <v>44557</v>
      </c>
      <c r="B182" s="8">
        <v>1581400</v>
      </c>
      <c r="C182" s="8">
        <v>1582399</v>
      </c>
      <c r="D182" s="13">
        <f t="shared" si="35"/>
        <v>999</v>
      </c>
      <c r="E182" s="46">
        <v>0</v>
      </c>
      <c r="F182" s="70">
        <v>0</v>
      </c>
      <c r="G182" s="133">
        <f t="shared" si="32"/>
        <v>0</v>
      </c>
      <c r="H182" s="8">
        <v>159498</v>
      </c>
      <c r="I182" s="8">
        <v>159498</v>
      </c>
      <c r="J182" s="13">
        <f t="shared" si="34"/>
        <v>0</v>
      </c>
      <c r="K182" s="138"/>
      <c r="L182" s="8">
        <v>273714</v>
      </c>
      <c r="M182" s="8">
        <v>274459</v>
      </c>
      <c r="N182" s="13">
        <f t="shared" si="31"/>
        <v>745</v>
      </c>
      <c r="O182" s="136"/>
      <c r="P182" s="8">
        <v>191307</v>
      </c>
      <c r="Q182" s="8">
        <v>191681</v>
      </c>
      <c r="R182" s="133">
        <f t="shared" si="38"/>
        <v>374</v>
      </c>
      <c r="S182" s="8">
        <v>171103</v>
      </c>
      <c r="T182" s="8">
        <v>171175</v>
      </c>
      <c r="U182" s="133">
        <f t="shared" si="29"/>
        <v>72</v>
      </c>
      <c r="V182" s="8">
        <v>246204</v>
      </c>
      <c r="W182" s="8">
        <v>246597</v>
      </c>
      <c r="X182" s="13">
        <f t="shared" si="33"/>
        <v>393</v>
      </c>
      <c r="Y182" s="8">
        <v>10381</v>
      </c>
      <c r="Z182" s="8">
        <v>10400</v>
      </c>
      <c r="AA182" s="13">
        <f t="shared" si="28"/>
        <v>19</v>
      </c>
      <c r="AB182" s="8">
        <v>178509</v>
      </c>
      <c r="AC182" s="8">
        <v>178541</v>
      </c>
      <c r="AD182" s="13">
        <f t="shared" si="36"/>
        <v>32</v>
      </c>
      <c r="AE182" s="135"/>
      <c r="AF182" s="135"/>
      <c r="AG182" s="135"/>
      <c r="AH182" s="136"/>
      <c r="AI182" s="50">
        <f t="shared" si="30"/>
        <v>858</v>
      </c>
    </row>
    <row r="183" spans="1:35">
      <c r="A183" s="12">
        <v>44558</v>
      </c>
      <c r="B183" s="8">
        <v>1582399</v>
      </c>
      <c r="C183" s="8">
        <v>1583653</v>
      </c>
      <c r="D183" s="13">
        <f t="shared" si="35"/>
        <v>1254</v>
      </c>
      <c r="E183" s="46">
        <v>0</v>
      </c>
      <c r="F183" s="70">
        <v>0</v>
      </c>
      <c r="G183" s="133">
        <f t="shared" si="32"/>
        <v>0</v>
      </c>
      <c r="H183" s="8">
        <v>159498</v>
      </c>
      <c r="I183" s="8">
        <v>159498</v>
      </c>
      <c r="J183" s="13">
        <f t="shared" si="34"/>
        <v>0</v>
      </c>
      <c r="K183" s="138"/>
      <c r="L183" s="8">
        <v>274459</v>
      </c>
      <c r="M183" s="8">
        <v>275213</v>
      </c>
      <c r="N183" s="13">
        <f t="shared" si="31"/>
        <v>754</v>
      </c>
      <c r="O183" s="136"/>
      <c r="P183" s="8">
        <v>191681</v>
      </c>
      <c r="Q183" s="8">
        <v>191973</v>
      </c>
      <c r="R183" s="133">
        <f t="shared" si="38"/>
        <v>292</v>
      </c>
      <c r="S183" s="8">
        <v>171175</v>
      </c>
      <c r="T183" s="8">
        <v>171213</v>
      </c>
      <c r="U183" s="133">
        <f t="shared" si="29"/>
        <v>38</v>
      </c>
      <c r="V183" s="8">
        <v>246597</v>
      </c>
      <c r="W183" s="8">
        <v>246931</v>
      </c>
      <c r="X183" s="13">
        <f t="shared" si="33"/>
        <v>334</v>
      </c>
      <c r="Y183" s="8">
        <v>10400</v>
      </c>
      <c r="Z183" s="8">
        <v>10415</v>
      </c>
      <c r="AA183" s="13">
        <f t="shared" ref="AA183:AA247" si="39">Z183-Y183</f>
        <v>15</v>
      </c>
      <c r="AB183" s="8">
        <v>178541</v>
      </c>
      <c r="AC183" s="8">
        <v>178571</v>
      </c>
      <c r="AD183" s="13">
        <f t="shared" si="36"/>
        <v>30</v>
      </c>
      <c r="AE183" s="135"/>
      <c r="AF183" s="135"/>
      <c r="AG183" s="135"/>
      <c r="AH183" s="136"/>
      <c r="AI183" s="50">
        <f t="shared" si="30"/>
        <v>679</v>
      </c>
    </row>
    <row r="184" spans="1:35">
      <c r="A184" s="12">
        <v>44559</v>
      </c>
      <c r="B184" s="8">
        <v>1583653</v>
      </c>
      <c r="C184" s="8">
        <v>1584742</v>
      </c>
      <c r="D184" s="13">
        <f t="shared" si="35"/>
        <v>1089</v>
      </c>
      <c r="E184" s="46">
        <v>0</v>
      </c>
      <c r="F184" s="70">
        <v>0</v>
      </c>
      <c r="G184" s="133">
        <f t="shared" si="32"/>
        <v>0</v>
      </c>
      <c r="H184" s="8">
        <v>159498</v>
      </c>
      <c r="I184" s="8">
        <v>159498</v>
      </c>
      <c r="J184" s="13">
        <f t="shared" si="34"/>
        <v>0</v>
      </c>
      <c r="K184" s="138"/>
      <c r="L184" s="8">
        <v>275213</v>
      </c>
      <c r="M184" s="8">
        <v>276376</v>
      </c>
      <c r="N184" s="13">
        <f t="shared" si="31"/>
        <v>1163</v>
      </c>
      <c r="O184" s="136"/>
      <c r="P184" s="8">
        <v>191973</v>
      </c>
      <c r="Q184" s="8">
        <v>192416</v>
      </c>
      <c r="R184" s="133">
        <f t="shared" si="38"/>
        <v>443</v>
      </c>
      <c r="S184" s="8">
        <v>171213</v>
      </c>
      <c r="T184" s="8">
        <v>171278</v>
      </c>
      <c r="U184" s="133">
        <f t="shared" ref="U184:U243" si="40">T184-S184</f>
        <v>65</v>
      </c>
      <c r="V184" s="8">
        <v>246931</v>
      </c>
      <c r="W184" s="8">
        <v>247279</v>
      </c>
      <c r="X184" s="13">
        <f t="shared" si="33"/>
        <v>348</v>
      </c>
      <c r="Y184" s="8">
        <v>10415</v>
      </c>
      <c r="Z184" s="8">
        <v>10432</v>
      </c>
      <c r="AA184" s="13">
        <f t="shared" si="39"/>
        <v>17</v>
      </c>
      <c r="AB184" s="8">
        <v>178571</v>
      </c>
      <c r="AC184" s="8">
        <v>178627</v>
      </c>
      <c r="AD184" s="13">
        <f t="shared" si="36"/>
        <v>56</v>
      </c>
      <c r="AE184" s="135"/>
      <c r="AF184" s="135"/>
      <c r="AG184" s="135"/>
      <c r="AH184" s="136"/>
      <c r="AI184" s="50">
        <f t="shared" si="30"/>
        <v>873</v>
      </c>
    </row>
    <row r="185" spans="1:35">
      <c r="A185" s="12">
        <v>44560</v>
      </c>
      <c r="B185" s="8">
        <v>1584742</v>
      </c>
      <c r="C185" s="8">
        <v>1585746</v>
      </c>
      <c r="D185" s="13">
        <f t="shared" si="35"/>
        <v>1004</v>
      </c>
      <c r="E185" s="46">
        <v>0</v>
      </c>
      <c r="F185" s="70">
        <v>0</v>
      </c>
      <c r="G185" s="133">
        <f t="shared" si="32"/>
        <v>0</v>
      </c>
      <c r="H185" s="8">
        <v>159498</v>
      </c>
      <c r="I185" s="8">
        <v>159498</v>
      </c>
      <c r="J185" s="13">
        <f t="shared" si="34"/>
        <v>0</v>
      </c>
      <c r="K185" s="138"/>
      <c r="L185" s="8">
        <v>276376</v>
      </c>
      <c r="M185" s="8">
        <v>277511</v>
      </c>
      <c r="N185" s="13">
        <f t="shared" si="31"/>
        <v>1135</v>
      </c>
      <c r="O185" s="136"/>
      <c r="P185" s="8">
        <v>192416</v>
      </c>
      <c r="Q185" s="8">
        <v>192740</v>
      </c>
      <c r="R185" s="133">
        <f t="shared" si="38"/>
        <v>324</v>
      </c>
      <c r="S185" s="8">
        <v>171278</v>
      </c>
      <c r="T185" s="8">
        <v>171333</v>
      </c>
      <c r="U185" s="133">
        <f t="shared" si="40"/>
        <v>55</v>
      </c>
      <c r="V185" s="8">
        <v>247279</v>
      </c>
      <c r="W185" s="8">
        <v>247689</v>
      </c>
      <c r="X185" s="13">
        <f t="shared" si="33"/>
        <v>410</v>
      </c>
      <c r="Y185" s="8">
        <v>10432</v>
      </c>
      <c r="Z185" s="8">
        <v>10456</v>
      </c>
      <c r="AA185" s="13">
        <f t="shared" si="39"/>
        <v>24</v>
      </c>
      <c r="AB185" s="8">
        <v>178627</v>
      </c>
      <c r="AC185" s="8">
        <v>178661</v>
      </c>
      <c r="AD185" s="13">
        <f t="shared" si="36"/>
        <v>34</v>
      </c>
      <c r="AE185" s="135"/>
      <c r="AF185" s="135"/>
      <c r="AG185" s="135"/>
      <c r="AH185" s="136"/>
      <c r="AI185" s="50">
        <f t="shared" si="30"/>
        <v>813</v>
      </c>
    </row>
    <row r="186" spans="1:35">
      <c r="A186" s="12">
        <v>44926</v>
      </c>
      <c r="B186" s="8">
        <v>1585746</v>
      </c>
      <c r="C186" s="8">
        <v>1586673</v>
      </c>
      <c r="D186" s="13">
        <f t="shared" si="35"/>
        <v>927</v>
      </c>
      <c r="E186" s="46">
        <v>0</v>
      </c>
      <c r="F186" s="70">
        <v>0</v>
      </c>
      <c r="G186" s="133">
        <f t="shared" si="32"/>
        <v>0</v>
      </c>
      <c r="H186" s="8">
        <v>159498</v>
      </c>
      <c r="I186" s="8">
        <v>159498</v>
      </c>
      <c r="J186" s="13">
        <f t="shared" si="34"/>
        <v>0</v>
      </c>
      <c r="K186" s="138"/>
      <c r="L186" s="8">
        <v>277511</v>
      </c>
      <c r="M186" s="8">
        <v>277991</v>
      </c>
      <c r="N186" s="13">
        <f t="shared" si="31"/>
        <v>480</v>
      </c>
      <c r="O186" s="136"/>
      <c r="P186" s="8">
        <v>192740</v>
      </c>
      <c r="Q186" s="8">
        <v>192993</v>
      </c>
      <c r="R186" s="133">
        <f t="shared" si="38"/>
        <v>253</v>
      </c>
      <c r="S186" s="8">
        <v>171333</v>
      </c>
      <c r="T186" s="8">
        <v>171390</v>
      </c>
      <c r="U186" s="133">
        <f t="shared" si="40"/>
        <v>57</v>
      </c>
      <c r="V186" s="8">
        <v>247689</v>
      </c>
      <c r="W186" s="8">
        <v>248202</v>
      </c>
      <c r="X186" s="13">
        <f t="shared" si="33"/>
        <v>513</v>
      </c>
      <c r="Y186" s="8">
        <v>10456</v>
      </c>
      <c r="Z186" s="8">
        <v>10485</v>
      </c>
      <c r="AA186" s="13">
        <f t="shared" si="39"/>
        <v>29</v>
      </c>
      <c r="AB186" s="8">
        <v>178661</v>
      </c>
      <c r="AC186" s="8">
        <v>178692</v>
      </c>
      <c r="AD186" s="13">
        <f t="shared" si="36"/>
        <v>31</v>
      </c>
      <c r="AE186" s="135"/>
      <c r="AF186" s="135"/>
      <c r="AG186" s="135"/>
      <c r="AH186" s="136"/>
      <c r="AI186" s="50">
        <f t="shared" si="30"/>
        <v>852</v>
      </c>
    </row>
    <row r="187" spans="1:35">
      <c r="A187" s="12">
        <v>44562</v>
      </c>
      <c r="B187" s="8">
        <v>1586673</v>
      </c>
      <c r="C187" s="8">
        <v>1587935</v>
      </c>
      <c r="D187" s="13">
        <f t="shared" si="35"/>
        <v>1262</v>
      </c>
      <c r="E187" s="46">
        <v>0</v>
      </c>
      <c r="F187" s="70">
        <v>0</v>
      </c>
      <c r="G187" s="133">
        <f t="shared" si="32"/>
        <v>0</v>
      </c>
      <c r="H187" s="8">
        <v>159498</v>
      </c>
      <c r="I187" s="8">
        <v>159498</v>
      </c>
      <c r="J187" s="13">
        <f t="shared" si="34"/>
        <v>0</v>
      </c>
      <c r="K187" s="138"/>
      <c r="L187" s="8">
        <v>277991</v>
      </c>
      <c r="M187" s="8">
        <v>279052</v>
      </c>
      <c r="N187" s="13">
        <f t="shared" si="31"/>
        <v>1061</v>
      </c>
      <c r="O187" s="136"/>
      <c r="P187" s="8">
        <v>192993</v>
      </c>
      <c r="Q187" s="8">
        <v>193494</v>
      </c>
      <c r="R187" s="133">
        <f t="shared" si="38"/>
        <v>501</v>
      </c>
      <c r="S187" s="8">
        <v>171390</v>
      </c>
      <c r="T187" s="8">
        <v>171443</v>
      </c>
      <c r="U187" s="133">
        <f t="shared" si="40"/>
        <v>53</v>
      </c>
      <c r="V187" s="8">
        <v>248202</v>
      </c>
      <c r="W187" s="8">
        <v>248599</v>
      </c>
      <c r="X187" s="13">
        <f t="shared" si="33"/>
        <v>397</v>
      </c>
      <c r="Y187" s="8">
        <v>10485</v>
      </c>
      <c r="Z187" s="8">
        <v>10504</v>
      </c>
      <c r="AA187" s="13">
        <f t="shared" si="39"/>
        <v>19</v>
      </c>
      <c r="AB187" s="8">
        <v>178692</v>
      </c>
      <c r="AC187" s="8">
        <v>178747</v>
      </c>
      <c r="AD187" s="13">
        <f t="shared" si="36"/>
        <v>55</v>
      </c>
      <c r="AE187" s="135"/>
      <c r="AF187" s="135"/>
      <c r="AG187" s="135"/>
      <c r="AH187" s="136"/>
      <c r="AI187" s="50">
        <f t="shared" si="30"/>
        <v>970</v>
      </c>
    </row>
    <row r="188" spans="1:35">
      <c r="A188" s="12">
        <v>44563</v>
      </c>
      <c r="B188" s="8">
        <v>1587935</v>
      </c>
      <c r="C188" s="8">
        <v>1589151</v>
      </c>
      <c r="D188" s="13">
        <f t="shared" si="35"/>
        <v>1216</v>
      </c>
      <c r="E188" s="46">
        <v>0</v>
      </c>
      <c r="F188" s="70">
        <v>0</v>
      </c>
      <c r="G188" s="133">
        <f t="shared" si="32"/>
        <v>0</v>
      </c>
      <c r="H188" s="8">
        <v>159498</v>
      </c>
      <c r="I188" s="8">
        <v>159498</v>
      </c>
      <c r="J188" s="13">
        <f t="shared" si="34"/>
        <v>0</v>
      </c>
      <c r="K188" s="138"/>
      <c r="L188" s="8">
        <v>279052</v>
      </c>
      <c r="M188" s="8">
        <v>280035</v>
      </c>
      <c r="N188" s="13">
        <f t="shared" si="31"/>
        <v>983</v>
      </c>
      <c r="O188" s="136"/>
      <c r="P188" s="8">
        <v>193494</v>
      </c>
      <c r="Q188" s="8">
        <v>193892</v>
      </c>
      <c r="R188" s="133">
        <f t="shared" si="38"/>
        <v>398</v>
      </c>
      <c r="S188" s="8">
        <v>171443</v>
      </c>
      <c r="T188" s="8">
        <v>171500</v>
      </c>
      <c r="U188" s="133">
        <f t="shared" si="40"/>
        <v>57</v>
      </c>
      <c r="V188" s="8">
        <v>248599</v>
      </c>
      <c r="W188" s="8">
        <v>248901</v>
      </c>
      <c r="X188" s="13">
        <f t="shared" si="33"/>
        <v>302</v>
      </c>
      <c r="Y188" s="8">
        <v>10504</v>
      </c>
      <c r="Z188" s="8">
        <v>10526</v>
      </c>
      <c r="AA188" s="13">
        <f t="shared" si="39"/>
        <v>22</v>
      </c>
      <c r="AB188" s="8">
        <v>178747</v>
      </c>
      <c r="AC188" s="8">
        <v>178789</v>
      </c>
      <c r="AD188" s="13">
        <f t="shared" si="36"/>
        <v>42</v>
      </c>
      <c r="AE188" s="135"/>
      <c r="AF188" s="135"/>
      <c r="AG188" s="135"/>
      <c r="AH188" s="136"/>
      <c r="AI188" s="50">
        <f t="shared" si="30"/>
        <v>779</v>
      </c>
    </row>
    <row r="189" spans="1:35">
      <c r="A189" s="12">
        <v>44564</v>
      </c>
      <c r="B189" s="8">
        <v>1589151</v>
      </c>
      <c r="C189" s="8">
        <v>1590093</v>
      </c>
      <c r="D189" s="13">
        <f t="shared" si="35"/>
        <v>942</v>
      </c>
      <c r="E189" s="46">
        <v>0</v>
      </c>
      <c r="F189" s="70">
        <v>0</v>
      </c>
      <c r="G189" s="133">
        <f t="shared" si="32"/>
        <v>0</v>
      </c>
      <c r="H189" s="8">
        <v>159498</v>
      </c>
      <c r="I189" s="8">
        <v>159498</v>
      </c>
      <c r="J189" s="13">
        <f t="shared" si="34"/>
        <v>0</v>
      </c>
      <c r="K189" s="138"/>
      <c r="L189" s="8">
        <v>280035</v>
      </c>
      <c r="M189" s="8">
        <v>280717</v>
      </c>
      <c r="N189" s="13">
        <f t="shared" si="31"/>
        <v>682</v>
      </c>
      <c r="O189" s="136"/>
      <c r="P189" s="8">
        <v>193892</v>
      </c>
      <c r="Q189" s="8">
        <v>194180</v>
      </c>
      <c r="R189" s="133">
        <f t="shared" si="38"/>
        <v>288</v>
      </c>
      <c r="S189" s="8">
        <v>171500</v>
      </c>
      <c r="T189" s="8">
        <v>171567</v>
      </c>
      <c r="U189" s="133">
        <f t="shared" si="40"/>
        <v>67</v>
      </c>
      <c r="V189" s="8">
        <v>248901</v>
      </c>
      <c r="W189" s="8">
        <v>249271</v>
      </c>
      <c r="X189" s="13">
        <f t="shared" si="33"/>
        <v>370</v>
      </c>
      <c r="Y189" s="8">
        <v>10526</v>
      </c>
      <c r="Z189" s="8">
        <v>10542</v>
      </c>
      <c r="AA189" s="13">
        <f t="shared" si="39"/>
        <v>16</v>
      </c>
      <c r="AB189" s="8">
        <v>178789</v>
      </c>
      <c r="AC189" s="8">
        <v>178845</v>
      </c>
      <c r="AD189" s="13">
        <f t="shared" si="36"/>
        <v>56</v>
      </c>
      <c r="AE189" s="135"/>
      <c r="AF189" s="135"/>
      <c r="AG189" s="135"/>
      <c r="AH189" s="136"/>
      <c r="AI189" s="50">
        <f t="shared" si="30"/>
        <v>741</v>
      </c>
    </row>
    <row r="190" spans="1:35">
      <c r="A190" s="12">
        <v>44565</v>
      </c>
      <c r="B190" s="8">
        <v>1590093</v>
      </c>
      <c r="C190" s="8">
        <v>1591225</v>
      </c>
      <c r="D190" s="13">
        <f t="shared" si="35"/>
        <v>1132</v>
      </c>
      <c r="E190" s="46">
        <v>0</v>
      </c>
      <c r="F190" s="70">
        <v>0</v>
      </c>
      <c r="G190" s="133">
        <f t="shared" si="32"/>
        <v>0</v>
      </c>
      <c r="H190" s="8">
        <v>159498</v>
      </c>
      <c r="I190" s="8">
        <v>159498</v>
      </c>
      <c r="J190" s="13">
        <f t="shared" si="34"/>
        <v>0</v>
      </c>
      <c r="K190" s="138"/>
      <c r="L190" s="8">
        <v>280717</v>
      </c>
      <c r="M190" s="8">
        <v>281763</v>
      </c>
      <c r="N190" s="13">
        <f t="shared" si="31"/>
        <v>1046</v>
      </c>
      <c r="O190" s="136"/>
      <c r="P190" s="8">
        <v>194180</v>
      </c>
      <c r="Q190" s="8">
        <v>194584</v>
      </c>
      <c r="R190" s="133">
        <f t="shared" si="38"/>
        <v>404</v>
      </c>
      <c r="S190" s="8">
        <v>171567</v>
      </c>
      <c r="T190" s="8">
        <v>171613</v>
      </c>
      <c r="U190" s="133">
        <f t="shared" si="40"/>
        <v>46</v>
      </c>
      <c r="V190" s="8">
        <v>249271</v>
      </c>
      <c r="W190" s="8">
        <v>249589</v>
      </c>
      <c r="X190" s="13">
        <f t="shared" si="33"/>
        <v>318</v>
      </c>
      <c r="Y190" s="8">
        <v>10542</v>
      </c>
      <c r="Z190" s="8">
        <v>10565</v>
      </c>
      <c r="AA190" s="13">
        <f t="shared" si="39"/>
        <v>23</v>
      </c>
      <c r="AB190" s="8">
        <v>178845</v>
      </c>
      <c r="AC190" s="8">
        <v>178924</v>
      </c>
      <c r="AD190" s="13">
        <f t="shared" si="36"/>
        <v>79</v>
      </c>
      <c r="AE190" s="135"/>
      <c r="AF190" s="135"/>
      <c r="AG190" s="135"/>
      <c r="AH190" s="136"/>
      <c r="AI190" s="50">
        <f t="shared" si="30"/>
        <v>791</v>
      </c>
    </row>
    <row r="191" spans="1:35">
      <c r="A191" s="12">
        <v>44566</v>
      </c>
      <c r="B191" s="8">
        <v>1591225</v>
      </c>
      <c r="C191" s="8">
        <v>1591926</v>
      </c>
      <c r="D191" s="13">
        <f t="shared" si="35"/>
        <v>701</v>
      </c>
      <c r="E191" s="46">
        <v>0</v>
      </c>
      <c r="F191" s="70">
        <v>0</v>
      </c>
      <c r="G191" s="133">
        <f t="shared" si="32"/>
        <v>0</v>
      </c>
      <c r="H191" s="8">
        <v>159498</v>
      </c>
      <c r="I191" s="8">
        <v>159498</v>
      </c>
      <c r="J191" s="13">
        <f t="shared" si="34"/>
        <v>0</v>
      </c>
      <c r="K191" s="138"/>
      <c r="L191" s="8">
        <v>281763</v>
      </c>
      <c r="M191" s="8">
        <v>282321</v>
      </c>
      <c r="N191" s="13">
        <f t="shared" si="31"/>
        <v>558</v>
      </c>
      <c r="O191" s="136"/>
      <c r="P191" s="8">
        <v>194584</v>
      </c>
      <c r="Q191" s="8">
        <v>194788</v>
      </c>
      <c r="R191" s="133">
        <f t="shared" si="38"/>
        <v>204</v>
      </c>
      <c r="S191" s="8">
        <v>171613</v>
      </c>
      <c r="T191" s="8">
        <v>171691</v>
      </c>
      <c r="U191" s="133">
        <f t="shared" si="40"/>
        <v>78</v>
      </c>
      <c r="V191" s="8">
        <v>249589</v>
      </c>
      <c r="W191" s="8">
        <v>249972</v>
      </c>
      <c r="X191" s="13">
        <f t="shared" si="33"/>
        <v>383</v>
      </c>
      <c r="Y191" s="8">
        <v>10565</v>
      </c>
      <c r="Z191" s="8">
        <v>10583</v>
      </c>
      <c r="AA191" s="13">
        <f t="shared" si="39"/>
        <v>18</v>
      </c>
      <c r="AB191" s="8">
        <v>178924</v>
      </c>
      <c r="AC191" s="8">
        <v>178972</v>
      </c>
      <c r="AD191" s="13">
        <f t="shared" si="36"/>
        <v>48</v>
      </c>
      <c r="AE191" s="135"/>
      <c r="AF191" s="135"/>
      <c r="AG191" s="135"/>
      <c r="AH191" s="136"/>
      <c r="AI191" s="50">
        <f t="shared" si="30"/>
        <v>683</v>
      </c>
    </row>
    <row r="192" spans="1:35">
      <c r="A192" s="12">
        <v>44567</v>
      </c>
      <c r="B192" s="8">
        <v>1591926</v>
      </c>
      <c r="C192" s="8">
        <v>1593034</v>
      </c>
      <c r="D192" s="13">
        <f>C192-B192</f>
        <v>1108</v>
      </c>
      <c r="E192" s="46">
        <v>0</v>
      </c>
      <c r="F192" s="70">
        <v>0</v>
      </c>
      <c r="G192" s="133">
        <f t="shared" si="32"/>
        <v>0</v>
      </c>
      <c r="H192" s="8">
        <v>159498</v>
      </c>
      <c r="I192" s="8">
        <v>159498</v>
      </c>
      <c r="J192" s="13">
        <f t="shared" si="34"/>
        <v>0</v>
      </c>
      <c r="K192" s="138"/>
      <c r="L192" s="8">
        <v>282321</v>
      </c>
      <c r="M192" s="8">
        <v>282683</v>
      </c>
      <c r="N192" s="13">
        <f t="shared" si="31"/>
        <v>362</v>
      </c>
      <c r="O192" s="136"/>
      <c r="P192" s="8">
        <v>194788</v>
      </c>
      <c r="Q192" s="8">
        <v>195000</v>
      </c>
      <c r="R192" s="133">
        <f t="shared" si="38"/>
        <v>212</v>
      </c>
      <c r="S192" s="8">
        <v>171691</v>
      </c>
      <c r="T192" s="8">
        <v>171752</v>
      </c>
      <c r="U192" s="133">
        <f t="shared" si="40"/>
        <v>61</v>
      </c>
      <c r="V192" s="8">
        <v>249972</v>
      </c>
      <c r="W192" s="8">
        <v>250420</v>
      </c>
      <c r="X192" s="13">
        <f t="shared" si="33"/>
        <v>448</v>
      </c>
      <c r="Y192" s="8">
        <v>10583</v>
      </c>
      <c r="Z192" s="8">
        <v>10599</v>
      </c>
      <c r="AA192" s="13">
        <f t="shared" si="39"/>
        <v>16</v>
      </c>
      <c r="AB192" s="8">
        <v>178972</v>
      </c>
      <c r="AC192" s="8">
        <v>179057</v>
      </c>
      <c r="AD192" s="13">
        <f t="shared" si="36"/>
        <v>85</v>
      </c>
      <c r="AE192" s="135"/>
      <c r="AF192" s="135"/>
      <c r="AG192" s="135"/>
      <c r="AH192" s="136"/>
      <c r="AI192" s="50">
        <f t="shared" si="30"/>
        <v>737</v>
      </c>
    </row>
    <row r="193" spans="1:35">
      <c r="A193" s="12">
        <v>44568</v>
      </c>
      <c r="B193" s="8">
        <v>1593034</v>
      </c>
      <c r="C193" s="8">
        <v>1593754</v>
      </c>
      <c r="D193" s="13">
        <f t="shared" ref="D193:D256" si="41">C193-B193</f>
        <v>720</v>
      </c>
      <c r="E193" s="46">
        <v>0</v>
      </c>
      <c r="F193" s="70">
        <v>0</v>
      </c>
      <c r="G193" s="133">
        <f t="shared" si="32"/>
        <v>0</v>
      </c>
      <c r="H193" s="8">
        <v>159498</v>
      </c>
      <c r="I193" s="8">
        <v>159498</v>
      </c>
      <c r="J193" s="13">
        <f t="shared" si="34"/>
        <v>0</v>
      </c>
      <c r="K193" s="138"/>
      <c r="L193" s="8">
        <v>282683</v>
      </c>
      <c r="M193" s="8">
        <v>283370</v>
      </c>
      <c r="N193" s="13">
        <f t="shared" si="31"/>
        <v>687</v>
      </c>
      <c r="O193" s="136"/>
      <c r="P193" s="8">
        <v>195000</v>
      </c>
      <c r="Q193" s="8">
        <v>195352</v>
      </c>
      <c r="R193" s="133">
        <f t="shared" si="38"/>
        <v>352</v>
      </c>
      <c r="S193" s="8">
        <v>171752</v>
      </c>
      <c r="T193" s="8">
        <v>171809</v>
      </c>
      <c r="U193" s="133">
        <f t="shared" si="40"/>
        <v>57</v>
      </c>
      <c r="V193" s="8">
        <v>250420</v>
      </c>
      <c r="W193" s="8">
        <v>250865</v>
      </c>
      <c r="X193" s="13">
        <f t="shared" si="33"/>
        <v>445</v>
      </c>
      <c r="Y193" s="8">
        <v>10599</v>
      </c>
      <c r="Z193" s="8">
        <v>10666</v>
      </c>
      <c r="AA193" s="13">
        <f t="shared" si="39"/>
        <v>67</v>
      </c>
      <c r="AB193" s="8">
        <v>179057</v>
      </c>
      <c r="AC193" s="8">
        <v>179130</v>
      </c>
      <c r="AD193" s="13">
        <f t="shared" si="36"/>
        <v>73</v>
      </c>
      <c r="AE193" s="135"/>
      <c r="AF193" s="135"/>
      <c r="AG193" s="135"/>
      <c r="AH193" s="136"/>
      <c r="AI193" s="50">
        <f t="shared" ref="AI193:AI256" si="42">AA193+U193+R193+O193+X193</f>
        <v>921</v>
      </c>
    </row>
    <row r="194" spans="1:35">
      <c r="A194" s="12">
        <v>44569</v>
      </c>
      <c r="B194" s="8">
        <v>1593754</v>
      </c>
      <c r="C194" s="8">
        <v>1594139</v>
      </c>
      <c r="D194" s="13">
        <f t="shared" si="41"/>
        <v>385</v>
      </c>
      <c r="E194" s="46">
        <v>0</v>
      </c>
      <c r="F194" s="70">
        <v>0</v>
      </c>
      <c r="G194" s="133">
        <f t="shared" si="32"/>
        <v>0</v>
      </c>
      <c r="H194" s="8">
        <v>159498</v>
      </c>
      <c r="I194" s="8">
        <v>159720</v>
      </c>
      <c r="J194" s="13">
        <f t="shared" si="34"/>
        <v>222</v>
      </c>
      <c r="K194" s="138"/>
      <c r="L194" s="8">
        <v>283370</v>
      </c>
      <c r="M194" s="8">
        <v>283817</v>
      </c>
      <c r="N194" s="13">
        <f t="shared" ref="N194:N257" si="43">M194-L194</f>
        <v>447</v>
      </c>
      <c r="O194" s="136"/>
      <c r="P194" s="8">
        <v>195352</v>
      </c>
      <c r="Q194" s="8">
        <v>195407</v>
      </c>
      <c r="R194" s="133">
        <f t="shared" si="38"/>
        <v>55</v>
      </c>
      <c r="S194" s="8">
        <v>171809</v>
      </c>
      <c r="T194" s="8">
        <v>171898</v>
      </c>
      <c r="U194" s="133">
        <f t="shared" si="40"/>
        <v>89</v>
      </c>
      <c r="V194" s="8">
        <v>250865</v>
      </c>
      <c r="W194" s="8">
        <v>251224</v>
      </c>
      <c r="X194" s="13">
        <f t="shared" si="33"/>
        <v>359</v>
      </c>
      <c r="Y194" s="8">
        <v>10666</v>
      </c>
      <c r="Z194" s="8">
        <v>10685</v>
      </c>
      <c r="AA194" s="13">
        <f t="shared" si="39"/>
        <v>19</v>
      </c>
      <c r="AB194" s="8">
        <v>179130</v>
      </c>
      <c r="AC194" s="8">
        <v>179198</v>
      </c>
      <c r="AD194" s="13">
        <f t="shared" si="36"/>
        <v>68</v>
      </c>
      <c r="AE194" s="135"/>
      <c r="AF194" s="135"/>
      <c r="AG194" s="135"/>
      <c r="AH194" s="136"/>
      <c r="AI194" s="50">
        <f t="shared" si="42"/>
        <v>522</v>
      </c>
    </row>
    <row r="195" spans="1:35">
      <c r="A195" s="12">
        <v>44570</v>
      </c>
      <c r="B195" s="8">
        <v>1594139</v>
      </c>
      <c r="C195" s="8">
        <v>1595596</v>
      </c>
      <c r="D195" s="13">
        <f t="shared" si="41"/>
        <v>1457</v>
      </c>
      <c r="E195" s="46">
        <v>0</v>
      </c>
      <c r="F195" s="70">
        <v>0</v>
      </c>
      <c r="G195" s="133">
        <f t="shared" ref="G195:G258" si="44">F195-E195</f>
        <v>0</v>
      </c>
      <c r="H195" s="8">
        <v>159720</v>
      </c>
      <c r="I195" s="8">
        <v>159951</v>
      </c>
      <c r="J195" s="13">
        <f t="shared" si="34"/>
        <v>231</v>
      </c>
      <c r="K195" s="138"/>
      <c r="L195" s="8">
        <v>283817</v>
      </c>
      <c r="M195" s="8">
        <v>284115</v>
      </c>
      <c r="N195" s="13">
        <f t="shared" si="43"/>
        <v>298</v>
      </c>
      <c r="O195" s="136"/>
      <c r="P195" s="8">
        <v>195407</v>
      </c>
      <c r="Q195" s="8">
        <v>195836</v>
      </c>
      <c r="R195" s="133">
        <f t="shared" si="38"/>
        <v>429</v>
      </c>
      <c r="S195" s="8">
        <v>171898</v>
      </c>
      <c r="T195" s="8">
        <v>171906</v>
      </c>
      <c r="U195" s="133">
        <f t="shared" si="40"/>
        <v>8</v>
      </c>
      <c r="V195" s="8">
        <v>251224</v>
      </c>
      <c r="W195" s="8">
        <v>251752</v>
      </c>
      <c r="X195" s="13">
        <f t="shared" si="33"/>
        <v>528</v>
      </c>
      <c r="Y195" s="8">
        <v>10685</v>
      </c>
      <c r="Z195" s="8">
        <v>10721</v>
      </c>
      <c r="AA195" s="13">
        <f t="shared" si="39"/>
        <v>36</v>
      </c>
      <c r="AB195" s="8">
        <v>179198</v>
      </c>
      <c r="AC195" s="8">
        <v>179240</v>
      </c>
      <c r="AD195" s="13">
        <f t="shared" si="36"/>
        <v>42</v>
      </c>
      <c r="AE195" s="135"/>
      <c r="AF195" s="135"/>
      <c r="AG195" s="135"/>
      <c r="AH195" s="136"/>
      <c r="AI195" s="50">
        <f t="shared" si="42"/>
        <v>1001</v>
      </c>
    </row>
    <row r="196" spans="1:35">
      <c r="A196" s="12">
        <v>44571</v>
      </c>
      <c r="B196" s="8">
        <v>1595596</v>
      </c>
      <c r="C196" s="8">
        <v>1595693</v>
      </c>
      <c r="D196" s="13">
        <f t="shared" si="41"/>
        <v>97</v>
      </c>
      <c r="E196" s="46">
        <v>0</v>
      </c>
      <c r="F196" s="70">
        <v>0</v>
      </c>
      <c r="G196" s="133">
        <f t="shared" si="44"/>
        <v>0</v>
      </c>
      <c r="H196" s="8">
        <v>159951</v>
      </c>
      <c r="I196" s="8">
        <v>160652</v>
      </c>
      <c r="J196" s="13">
        <f t="shared" si="34"/>
        <v>701</v>
      </c>
      <c r="K196" s="138"/>
      <c r="L196" s="8">
        <v>284115</v>
      </c>
      <c r="M196" s="8">
        <v>284847</v>
      </c>
      <c r="N196" s="13">
        <f t="shared" si="43"/>
        <v>732</v>
      </c>
      <c r="O196" s="136"/>
      <c r="P196" s="8">
        <v>195836</v>
      </c>
      <c r="Q196" s="8">
        <v>196154</v>
      </c>
      <c r="R196" s="133">
        <f t="shared" si="38"/>
        <v>318</v>
      </c>
      <c r="S196" s="8">
        <v>171906</v>
      </c>
      <c r="T196" s="8">
        <v>172003</v>
      </c>
      <c r="U196" s="133">
        <f t="shared" si="40"/>
        <v>97</v>
      </c>
      <c r="V196" s="8">
        <v>251752</v>
      </c>
      <c r="W196" s="8">
        <v>251925</v>
      </c>
      <c r="X196" s="13">
        <f t="shared" si="33"/>
        <v>173</v>
      </c>
      <c r="Y196" s="8">
        <v>10721</v>
      </c>
      <c r="Z196" s="8">
        <v>10735</v>
      </c>
      <c r="AA196" s="13">
        <f t="shared" si="39"/>
        <v>14</v>
      </c>
      <c r="AB196" s="8">
        <v>179240</v>
      </c>
      <c r="AC196" s="8">
        <v>179314</v>
      </c>
      <c r="AD196" s="13">
        <f t="shared" si="36"/>
        <v>74</v>
      </c>
      <c r="AE196" s="135"/>
      <c r="AF196" s="135"/>
      <c r="AG196" s="135"/>
      <c r="AH196" s="136"/>
      <c r="AI196" s="50">
        <f t="shared" si="42"/>
        <v>602</v>
      </c>
    </row>
    <row r="197" spans="1:35">
      <c r="A197" s="12">
        <v>44572</v>
      </c>
      <c r="B197" s="8">
        <v>1595693</v>
      </c>
      <c r="C197" s="8">
        <v>1596025</v>
      </c>
      <c r="D197" s="13">
        <f t="shared" si="41"/>
        <v>332</v>
      </c>
      <c r="E197" s="46">
        <v>0</v>
      </c>
      <c r="F197" s="70">
        <v>0</v>
      </c>
      <c r="G197" s="133">
        <f t="shared" si="44"/>
        <v>0</v>
      </c>
      <c r="H197" s="8">
        <v>160652</v>
      </c>
      <c r="I197" s="8">
        <v>161299</v>
      </c>
      <c r="J197" s="13">
        <f t="shared" si="34"/>
        <v>647</v>
      </c>
      <c r="K197" s="138"/>
      <c r="L197" s="8">
        <v>284847</v>
      </c>
      <c r="M197" s="8">
        <v>284859</v>
      </c>
      <c r="N197" s="13">
        <f t="shared" si="43"/>
        <v>12</v>
      </c>
      <c r="O197" s="136"/>
      <c r="P197" s="8">
        <v>196154</v>
      </c>
      <c r="Q197" s="8">
        <v>196472</v>
      </c>
      <c r="R197" s="133">
        <f t="shared" si="38"/>
        <v>318</v>
      </c>
      <c r="S197" s="8">
        <v>172003</v>
      </c>
      <c r="T197" s="8">
        <v>172065</v>
      </c>
      <c r="U197" s="133">
        <f t="shared" si="40"/>
        <v>62</v>
      </c>
      <c r="V197" s="8">
        <v>251925</v>
      </c>
      <c r="W197" s="8">
        <v>252115</v>
      </c>
      <c r="X197" s="13">
        <f t="shared" ref="X197:X204" si="45">W197-V197</f>
        <v>190</v>
      </c>
      <c r="Y197" s="8">
        <v>10735</v>
      </c>
      <c r="Z197" s="8">
        <v>10753</v>
      </c>
      <c r="AA197" s="13">
        <f t="shared" si="39"/>
        <v>18</v>
      </c>
      <c r="AB197" s="8">
        <v>179314</v>
      </c>
      <c r="AC197" s="8">
        <v>179402</v>
      </c>
      <c r="AD197" s="13">
        <f t="shared" si="36"/>
        <v>88</v>
      </c>
      <c r="AE197" s="135"/>
      <c r="AF197" s="135"/>
      <c r="AG197" s="135"/>
      <c r="AH197" s="136"/>
      <c r="AI197" s="50">
        <f t="shared" si="42"/>
        <v>588</v>
      </c>
    </row>
    <row r="198" spans="1:35">
      <c r="A198" s="12">
        <v>44573</v>
      </c>
      <c r="B198" s="8">
        <v>1596025</v>
      </c>
      <c r="C198" s="8">
        <v>1596779</v>
      </c>
      <c r="D198" s="13">
        <f t="shared" si="41"/>
        <v>754</v>
      </c>
      <c r="E198" s="46">
        <v>0</v>
      </c>
      <c r="F198" s="70">
        <v>0</v>
      </c>
      <c r="G198" s="133">
        <f t="shared" si="44"/>
        <v>0</v>
      </c>
      <c r="H198" s="8">
        <v>161299</v>
      </c>
      <c r="I198" s="8">
        <v>162075</v>
      </c>
      <c r="J198" s="13">
        <f t="shared" si="34"/>
        <v>776</v>
      </c>
      <c r="K198" s="138"/>
      <c r="L198" s="8">
        <v>284859</v>
      </c>
      <c r="M198" s="8">
        <v>285278</v>
      </c>
      <c r="N198" s="13">
        <f t="shared" si="43"/>
        <v>419</v>
      </c>
      <c r="O198" s="136"/>
      <c r="P198" s="8">
        <v>196472</v>
      </c>
      <c r="Q198" s="8">
        <v>196861</v>
      </c>
      <c r="R198" s="133">
        <f t="shared" si="38"/>
        <v>389</v>
      </c>
      <c r="S198" s="8">
        <v>172065</v>
      </c>
      <c r="T198" s="8">
        <v>172065</v>
      </c>
      <c r="U198" s="133">
        <f t="shared" si="40"/>
        <v>0</v>
      </c>
      <c r="V198" s="8">
        <v>252115</v>
      </c>
      <c r="W198" s="8">
        <v>252415</v>
      </c>
      <c r="X198" s="13">
        <f t="shared" si="45"/>
        <v>300</v>
      </c>
      <c r="Y198" s="8">
        <v>10753</v>
      </c>
      <c r="Z198" s="8">
        <v>10786</v>
      </c>
      <c r="AA198" s="13">
        <f t="shared" si="39"/>
        <v>33</v>
      </c>
      <c r="AB198" s="8">
        <v>179402</v>
      </c>
      <c r="AC198" s="8">
        <v>179508</v>
      </c>
      <c r="AD198" s="13">
        <f t="shared" si="36"/>
        <v>106</v>
      </c>
      <c r="AE198" s="135"/>
      <c r="AF198" s="135"/>
      <c r="AG198" s="135"/>
      <c r="AH198" s="136"/>
      <c r="AI198" s="50">
        <f t="shared" si="42"/>
        <v>722</v>
      </c>
    </row>
    <row r="199" spans="1:35">
      <c r="A199" s="12">
        <v>44574</v>
      </c>
      <c r="B199" s="8">
        <v>1596779</v>
      </c>
      <c r="C199" s="8">
        <v>1597314</v>
      </c>
      <c r="D199" s="13">
        <f t="shared" si="41"/>
        <v>535</v>
      </c>
      <c r="E199" s="46">
        <v>0</v>
      </c>
      <c r="F199" s="70">
        <v>0</v>
      </c>
      <c r="G199" s="133">
        <f t="shared" si="44"/>
        <v>0</v>
      </c>
      <c r="H199" s="8">
        <v>162075</v>
      </c>
      <c r="I199" s="8">
        <v>162929</v>
      </c>
      <c r="J199" s="13">
        <f t="shared" si="34"/>
        <v>854</v>
      </c>
      <c r="K199" s="138"/>
      <c r="L199" s="8">
        <v>285278</v>
      </c>
      <c r="M199" s="8">
        <v>285452</v>
      </c>
      <c r="N199" s="13">
        <f t="shared" si="43"/>
        <v>174</v>
      </c>
      <c r="O199" s="136"/>
      <c r="P199" s="8">
        <v>196861</v>
      </c>
      <c r="Q199" s="8">
        <v>197215</v>
      </c>
      <c r="R199" s="133">
        <f t="shared" si="38"/>
        <v>354</v>
      </c>
      <c r="S199" s="8">
        <v>172065</v>
      </c>
      <c r="T199" s="8">
        <v>172202</v>
      </c>
      <c r="U199" s="133">
        <f t="shared" si="40"/>
        <v>137</v>
      </c>
      <c r="V199" s="8">
        <v>252415</v>
      </c>
      <c r="W199" s="8">
        <v>252705</v>
      </c>
      <c r="X199" s="13">
        <f t="shared" si="45"/>
        <v>290</v>
      </c>
      <c r="Y199" s="8">
        <v>10786</v>
      </c>
      <c r="Z199" s="8">
        <v>10809</v>
      </c>
      <c r="AA199" s="13">
        <f t="shared" si="39"/>
        <v>23</v>
      </c>
      <c r="AB199" s="8">
        <v>179508</v>
      </c>
      <c r="AC199" s="8">
        <v>179589</v>
      </c>
      <c r="AD199" s="13">
        <f t="shared" si="36"/>
        <v>81</v>
      </c>
      <c r="AE199" s="135"/>
      <c r="AF199" s="135"/>
      <c r="AG199" s="135"/>
      <c r="AH199" s="136"/>
      <c r="AI199" s="50">
        <f t="shared" si="42"/>
        <v>804</v>
      </c>
    </row>
    <row r="200" spans="1:35">
      <c r="A200" s="12">
        <v>44575</v>
      </c>
      <c r="B200" s="8">
        <v>1597314</v>
      </c>
      <c r="C200" s="8">
        <v>1597689</v>
      </c>
      <c r="D200" s="13">
        <f t="shared" si="41"/>
        <v>375</v>
      </c>
      <c r="E200" s="46">
        <v>0</v>
      </c>
      <c r="F200" s="70">
        <v>0</v>
      </c>
      <c r="G200" s="133">
        <f t="shared" si="44"/>
        <v>0</v>
      </c>
      <c r="H200" s="8">
        <v>162929</v>
      </c>
      <c r="I200" s="8">
        <v>163628</v>
      </c>
      <c r="J200" s="13">
        <f t="shared" si="34"/>
        <v>699</v>
      </c>
      <c r="K200" s="138"/>
      <c r="L200" s="8">
        <v>285452</v>
      </c>
      <c r="M200" s="8">
        <v>285782</v>
      </c>
      <c r="N200" s="13">
        <f t="shared" si="43"/>
        <v>330</v>
      </c>
      <c r="O200" s="136"/>
      <c r="P200" s="8">
        <v>197215</v>
      </c>
      <c r="Q200" s="8">
        <v>197651</v>
      </c>
      <c r="R200" s="133">
        <f t="shared" si="38"/>
        <v>436</v>
      </c>
      <c r="S200" s="8">
        <v>172202</v>
      </c>
      <c r="T200" s="8">
        <v>172253</v>
      </c>
      <c r="U200" s="133">
        <f t="shared" si="40"/>
        <v>51</v>
      </c>
      <c r="V200" s="8">
        <v>252705</v>
      </c>
      <c r="W200" s="8">
        <v>252999</v>
      </c>
      <c r="X200" s="13">
        <f t="shared" si="45"/>
        <v>294</v>
      </c>
      <c r="Y200" s="8">
        <v>10809</v>
      </c>
      <c r="Z200" s="8">
        <v>10851</v>
      </c>
      <c r="AA200" s="13">
        <f t="shared" si="39"/>
        <v>42</v>
      </c>
      <c r="AB200" s="8">
        <v>179589</v>
      </c>
      <c r="AC200" s="8">
        <v>179649</v>
      </c>
      <c r="AD200" s="13">
        <f t="shared" si="36"/>
        <v>60</v>
      </c>
      <c r="AE200" s="135"/>
      <c r="AF200" s="135"/>
      <c r="AG200" s="135"/>
      <c r="AH200" s="136"/>
      <c r="AI200" s="50">
        <f t="shared" si="42"/>
        <v>823</v>
      </c>
    </row>
    <row r="201" spans="1:35">
      <c r="A201" s="12">
        <v>44576</v>
      </c>
      <c r="B201" s="8">
        <v>1597689</v>
      </c>
      <c r="C201" s="8">
        <v>1597831</v>
      </c>
      <c r="D201" s="13">
        <f t="shared" si="41"/>
        <v>142</v>
      </c>
      <c r="E201" s="46">
        <v>0</v>
      </c>
      <c r="F201" s="70">
        <v>0</v>
      </c>
      <c r="G201" s="133">
        <f t="shared" si="44"/>
        <v>0</v>
      </c>
      <c r="H201" s="8">
        <v>163628</v>
      </c>
      <c r="I201" s="8">
        <v>164394</v>
      </c>
      <c r="J201" s="13">
        <f t="shared" si="34"/>
        <v>766</v>
      </c>
      <c r="K201" s="138"/>
      <c r="L201" s="8">
        <v>285782</v>
      </c>
      <c r="M201" s="8">
        <v>285796</v>
      </c>
      <c r="N201" s="13">
        <f t="shared" si="43"/>
        <v>14</v>
      </c>
      <c r="O201" s="136"/>
      <c r="P201" s="8">
        <v>197651</v>
      </c>
      <c r="Q201" s="8">
        <v>197962</v>
      </c>
      <c r="R201" s="133">
        <f t="shared" si="38"/>
        <v>311</v>
      </c>
      <c r="S201" s="8">
        <v>172253</v>
      </c>
      <c r="T201" s="8">
        <v>172302</v>
      </c>
      <c r="U201" s="133">
        <f t="shared" si="40"/>
        <v>49</v>
      </c>
      <c r="V201" s="8">
        <v>252999</v>
      </c>
      <c r="W201" s="8">
        <v>253350</v>
      </c>
      <c r="X201" s="13">
        <f t="shared" si="45"/>
        <v>351</v>
      </c>
      <c r="Y201" s="8">
        <v>10851</v>
      </c>
      <c r="Z201" s="8">
        <v>10870</v>
      </c>
      <c r="AA201" s="13">
        <f t="shared" si="39"/>
        <v>19</v>
      </c>
      <c r="AB201" s="8">
        <v>179649</v>
      </c>
      <c r="AC201" s="8">
        <v>179704</v>
      </c>
      <c r="AD201" s="13">
        <f t="shared" si="36"/>
        <v>55</v>
      </c>
      <c r="AE201" s="135"/>
      <c r="AF201" s="135"/>
      <c r="AG201" s="135"/>
      <c r="AH201" s="136"/>
      <c r="AI201" s="50">
        <f t="shared" si="42"/>
        <v>730</v>
      </c>
    </row>
    <row r="202" spans="1:35">
      <c r="A202" s="12">
        <v>44577</v>
      </c>
      <c r="B202" s="8">
        <v>1597831</v>
      </c>
      <c r="C202" s="8">
        <v>1598855</v>
      </c>
      <c r="D202" s="13">
        <f t="shared" si="41"/>
        <v>1024</v>
      </c>
      <c r="E202" s="46">
        <v>0</v>
      </c>
      <c r="F202" s="70">
        <v>0</v>
      </c>
      <c r="G202" s="133">
        <f t="shared" si="44"/>
        <v>0</v>
      </c>
      <c r="H202" s="8">
        <v>164394</v>
      </c>
      <c r="I202" s="8">
        <v>165003</v>
      </c>
      <c r="J202" s="13">
        <f t="shared" si="34"/>
        <v>609</v>
      </c>
      <c r="K202" s="138"/>
      <c r="L202" s="8">
        <v>285796</v>
      </c>
      <c r="M202" s="8">
        <v>285817</v>
      </c>
      <c r="N202" s="13">
        <f t="shared" si="43"/>
        <v>21</v>
      </c>
      <c r="O202" s="136"/>
      <c r="P202" s="8">
        <v>197962</v>
      </c>
      <c r="Q202" s="8">
        <v>198249</v>
      </c>
      <c r="R202" s="133">
        <f t="shared" si="38"/>
        <v>287</v>
      </c>
      <c r="S202" s="8">
        <v>172302</v>
      </c>
      <c r="T202" s="8">
        <v>172327</v>
      </c>
      <c r="U202" s="133">
        <f t="shared" si="40"/>
        <v>25</v>
      </c>
      <c r="V202" s="8">
        <v>253350</v>
      </c>
      <c r="W202" s="8">
        <v>253698</v>
      </c>
      <c r="X202" s="13">
        <f t="shared" si="45"/>
        <v>348</v>
      </c>
      <c r="Y202" s="8">
        <v>10870</v>
      </c>
      <c r="Z202" s="8">
        <v>10883</v>
      </c>
      <c r="AA202" s="13">
        <f t="shared" si="39"/>
        <v>13</v>
      </c>
      <c r="AB202" s="8">
        <v>179704</v>
      </c>
      <c r="AC202" s="8">
        <v>179768</v>
      </c>
      <c r="AD202" s="13">
        <f t="shared" si="36"/>
        <v>64</v>
      </c>
      <c r="AE202" s="135"/>
      <c r="AF202" s="135"/>
      <c r="AG202" s="135"/>
      <c r="AH202" s="136"/>
      <c r="AI202" s="50">
        <f t="shared" si="42"/>
        <v>673</v>
      </c>
    </row>
    <row r="203" spans="1:35">
      <c r="A203" s="12">
        <v>44578</v>
      </c>
      <c r="B203" s="8">
        <v>1598855</v>
      </c>
      <c r="C203" s="8">
        <v>1599668</v>
      </c>
      <c r="D203" s="13">
        <f t="shared" si="41"/>
        <v>813</v>
      </c>
      <c r="E203" s="46">
        <v>0</v>
      </c>
      <c r="F203" s="70">
        <v>0</v>
      </c>
      <c r="G203" s="133">
        <f t="shared" si="44"/>
        <v>0</v>
      </c>
      <c r="H203" s="8">
        <v>165003</v>
      </c>
      <c r="I203" s="8">
        <v>165003</v>
      </c>
      <c r="J203" s="13">
        <f t="shared" si="34"/>
        <v>0</v>
      </c>
      <c r="K203" s="138"/>
      <c r="L203" s="8">
        <v>285817</v>
      </c>
      <c r="M203" s="8">
        <v>286656</v>
      </c>
      <c r="N203" s="13">
        <f t="shared" si="43"/>
        <v>839</v>
      </c>
      <c r="O203" s="136"/>
      <c r="P203" s="8">
        <v>198249</v>
      </c>
      <c r="Q203" s="8">
        <v>198529</v>
      </c>
      <c r="R203" s="133">
        <f t="shared" si="38"/>
        <v>280</v>
      </c>
      <c r="S203" s="8">
        <v>172327</v>
      </c>
      <c r="T203" s="8">
        <v>172386</v>
      </c>
      <c r="U203" s="133">
        <f t="shared" si="40"/>
        <v>59</v>
      </c>
      <c r="V203" s="8">
        <v>253698</v>
      </c>
      <c r="W203" s="8">
        <v>253999</v>
      </c>
      <c r="X203" s="13">
        <f t="shared" si="45"/>
        <v>301</v>
      </c>
      <c r="Y203" s="8">
        <v>10883</v>
      </c>
      <c r="Z203" s="8">
        <v>10918</v>
      </c>
      <c r="AA203" s="13">
        <f t="shared" si="39"/>
        <v>35</v>
      </c>
      <c r="AB203" s="8">
        <v>179768</v>
      </c>
      <c r="AC203" s="8">
        <v>179848</v>
      </c>
      <c r="AD203" s="13">
        <f t="shared" si="36"/>
        <v>80</v>
      </c>
      <c r="AE203" s="135"/>
      <c r="AF203" s="135"/>
      <c r="AG203" s="135"/>
      <c r="AH203" s="136"/>
      <c r="AI203" s="50">
        <f t="shared" si="42"/>
        <v>675</v>
      </c>
    </row>
    <row r="204" spans="1:35">
      <c r="A204" s="12">
        <v>44579</v>
      </c>
      <c r="B204" s="8">
        <v>1599668</v>
      </c>
      <c r="C204" s="8">
        <v>1600869</v>
      </c>
      <c r="D204" s="13">
        <f t="shared" si="41"/>
        <v>1201</v>
      </c>
      <c r="E204" s="46">
        <v>0</v>
      </c>
      <c r="F204" s="70">
        <v>0</v>
      </c>
      <c r="G204" s="133">
        <f t="shared" si="44"/>
        <v>0</v>
      </c>
      <c r="H204" s="8">
        <v>165003</v>
      </c>
      <c r="I204" s="8">
        <v>165003</v>
      </c>
      <c r="J204" s="13">
        <f t="shared" si="34"/>
        <v>0</v>
      </c>
      <c r="K204" s="138"/>
      <c r="L204" s="8">
        <v>286656</v>
      </c>
      <c r="M204" s="8">
        <v>288012</v>
      </c>
      <c r="N204" s="13">
        <f t="shared" si="43"/>
        <v>1356</v>
      </c>
      <c r="O204" s="136"/>
      <c r="P204" s="8">
        <v>198529</v>
      </c>
      <c r="Q204" s="8">
        <v>198981</v>
      </c>
      <c r="R204" s="133">
        <f t="shared" si="38"/>
        <v>452</v>
      </c>
      <c r="S204" s="8">
        <v>172386</v>
      </c>
      <c r="T204" s="8">
        <v>172431</v>
      </c>
      <c r="U204" s="133">
        <f t="shared" si="40"/>
        <v>45</v>
      </c>
      <c r="V204" s="8">
        <v>253999</v>
      </c>
      <c r="W204" s="8">
        <v>254389</v>
      </c>
      <c r="X204" s="13">
        <f t="shared" si="45"/>
        <v>390</v>
      </c>
      <c r="Y204" s="8">
        <v>10918</v>
      </c>
      <c r="Z204" s="8">
        <v>10939</v>
      </c>
      <c r="AA204" s="13">
        <f t="shared" si="39"/>
        <v>21</v>
      </c>
      <c r="AB204" s="8">
        <v>179848</v>
      </c>
      <c r="AC204" s="8">
        <v>179903</v>
      </c>
      <c r="AD204" s="13">
        <f t="shared" si="36"/>
        <v>55</v>
      </c>
      <c r="AE204" s="135"/>
      <c r="AF204" s="135"/>
      <c r="AG204" s="135"/>
      <c r="AH204" s="136"/>
      <c r="AI204" s="50">
        <f t="shared" si="42"/>
        <v>908</v>
      </c>
    </row>
    <row r="205" spans="1:35">
      <c r="A205" s="12">
        <v>44580</v>
      </c>
      <c r="B205" s="8">
        <v>1600869</v>
      </c>
      <c r="C205" s="8">
        <v>1601630</v>
      </c>
      <c r="D205" s="13">
        <f t="shared" si="41"/>
        <v>761</v>
      </c>
      <c r="E205" s="46">
        <v>0</v>
      </c>
      <c r="F205" s="70">
        <v>541</v>
      </c>
      <c r="G205" s="133">
        <f t="shared" si="44"/>
        <v>541</v>
      </c>
      <c r="H205" s="8">
        <v>165003</v>
      </c>
      <c r="I205" s="8">
        <v>165003</v>
      </c>
      <c r="J205" s="13">
        <f t="shared" si="34"/>
        <v>0</v>
      </c>
      <c r="K205" s="138"/>
      <c r="L205" s="8">
        <v>288012</v>
      </c>
      <c r="M205" s="8">
        <v>289119</v>
      </c>
      <c r="N205" s="13">
        <f t="shared" si="43"/>
        <v>1107</v>
      </c>
      <c r="O205" s="136"/>
      <c r="P205" s="8">
        <v>198981</v>
      </c>
      <c r="Q205" s="8">
        <v>199409</v>
      </c>
      <c r="R205" s="133">
        <f t="shared" si="38"/>
        <v>428</v>
      </c>
      <c r="S205" s="8">
        <v>172431</v>
      </c>
      <c r="T205" s="8">
        <v>172465</v>
      </c>
      <c r="U205" s="133">
        <f t="shared" si="40"/>
        <v>34</v>
      </c>
      <c r="V205" s="8">
        <v>254389</v>
      </c>
      <c r="W205" s="8">
        <v>254796</v>
      </c>
      <c r="X205" s="13">
        <f t="shared" ref="X205:X268" si="46">W205-V205</f>
        <v>407</v>
      </c>
      <c r="Y205" s="8">
        <v>10939</v>
      </c>
      <c r="Z205" s="8">
        <v>10959</v>
      </c>
      <c r="AA205" s="13">
        <f t="shared" si="39"/>
        <v>20</v>
      </c>
      <c r="AB205" s="8">
        <v>179903</v>
      </c>
      <c r="AC205" s="8">
        <v>179963</v>
      </c>
      <c r="AD205" s="13">
        <f t="shared" si="36"/>
        <v>60</v>
      </c>
      <c r="AE205" s="135"/>
      <c r="AF205" s="135"/>
      <c r="AG205" s="135"/>
      <c r="AH205" s="136"/>
      <c r="AI205" s="50">
        <f t="shared" si="42"/>
        <v>889</v>
      </c>
    </row>
    <row r="206" spans="1:35">
      <c r="A206" s="12">
        <v>44581</v>
      </c>
      <c r="B206" s="8">
        <v>1601630</v>
      </c>
      <c r="C206" s="8">
        <v>1602770</v>
      </c>
      <c r="D206" s="13">
        <f t="shared" si="41"/>
        <v>1140</v>
      </c>
      <c r="E206" s="46">
        <v>541</v>
      </c>
      <c r="F206" s="70">
        <v>885</v>
      </c>
      <c r="G206" s="133">
        <f t="shared" si="44"/>
        <v>344</v>
      </c>
      <c r="H206" s="8">
        <v>165003</v>
      </c>
      <c r="I206" s="8">
        <v>165003</v>
      </c>
      <c r="J206" s="13">
        <f t="shared" si="34"/>
        <v>0</v>
      </c>
      <c r="K206" s="138"/>
      <c r="L206" s="8">
        <v>289119</v>
      </c>
      <c r="M206" s="8">
        <v>290184</v>
      </c>
      <c r="N206" s="13">
        <f t="shared" si="43"/>
        <v>1065</v>
      </c>
      <c r="O206" s="136"/>
      <c r="P206" s="8">
        <v>199409</v>
      </c>
      <c r="Q206" s="8">
        <v>199856</v>
      </c>
      <c r="R206" s="133">
        <f t="shared" si="38"/>
        <v>447</v>
      </c>
      <c r="S206" s="8">
        <v>172465</v>
      </c>
      <c r="T206" s="8">
        <v>172510</v>
      </c>
      <c r="U206" s="133">
        <f t="shared" si="40"/>
        <v>45</v>
      </c>
      <c r="V206" s="8">
        <v>254796</v>
      </c>
      <c r="W206" s="8">
        <v>255210</v>
      </c>
      <c r="X206" s="13">
        <f t="shared" si="46"/>
        <v>414</v>
      </c>
      <c r="Y206" s="8">
        <v>10959</v>
      </c>
      <c r="Z206" s="8">
        <v>10989</v>
      </c>
      <c r="AA206" s="13">
        <f t="shared" si="39"/>
        <v>30</v>
      </c>
      <c r="AB206" s="8">
        <v>179963</v>
      </c>
      <c r="AC206" s="8">
        <v>180042</v>
      </c>
      <c r="AD206" s="13">
        <f t="shared" si="36"/>
        <v>79</v>
      </c>
      <c r="AE206" s="135"/>
      <c r="AF206" s="135"/>
      <c r="AG206" s="135"/>
      <c r="AH206" s="136"/>
      <c r="AI206" s="50">
        <f t="shared" si="42"/>
        <v>936</v>
      </c>
    </row>
    <row r="207" spans="1:35">
      <c r="A207" s="12">
        <v>44582</v>
      </c>
      <c r="B207" s="8">
        <v>1602770</v>
      </c>
      <c r="C207" s="8">
        <v>1603767</v>
      </c>
      <c r="D207" s="13">
        <f t="shared" si="41"/>
        <v>997</v>
      </c>
      <c r="E207" s="46">
        <v>885</v>
      </c>
      <c r="F207" s="70">
        <v>1357</v>
      </c>
      <c r="G207" s="133">
        <f t="shared" si="44"/>
        <v>472</v>
      </c>
      <c r="H207" s="8">
        <v>165003</v>
      </c>
      <c r="I207" s="8">
        <v>165003</v>
      </c>
      <c r="J207" s="13">
        <f t="shared" si="34"/>
        <v>0</v>
      </c>
      <c r="K207" s="138"/>
      <c r="L207" s="8">
        <v>290184</v>
      </c>
      <c r="M207" s="8">
        <v>291187</v>
      </c>
      <c r="N207" s="13">
        <f t="shared" si="43"/>
        <v>1003</v>
      </c>
      <c r="O207" s="136"/>
      <c r="P207" s="8">
        <v>199856</v>
      </c>
      <c r="Q207" s="8">
        <v>200311</v>
      </c>
      <c r="R207" s="133">
        <f t="shared" si="38"/>
        <v>455</v>
      </c>
      <c r="S207" s="8">
        <v>172510</v>
      </c>
      <c r="T207" s="8">
        <v>172567</v>
      </c>
      <c r="U207" s="133">
        <f t="shared" si="40"/>
        <v>57</v>
      </c>
      <c r="V207" s="8">
        <v>255210</v>
      </c>
      <c r="W207" s="8">
        <v>255615</v>
      </c>
      <c r="X207" s="13">
        <f t="shared" si="46"/>
        <v>405</v>
      </c>
      <c r="Y207" s="8">
        <v>10989</v>
      </c>
      <c r="Z207" s="8">
        <v>10997</v>
      </c>
      <c r="AA207" s="13">
        <f t="shared" si="39"/>
        <v>8</v>
      </c>
      <c r="AB207" s="8">
        <v>180042</v>
      </c>
      <c r="AC207" s="8">
        <v>180107</v>
      </c>
      <c r="AD207" s="13">
        <f t="shared" si="36"/>
        <v>65</v>
      </c>
      <c r="AE207" s="135"/>
      <c r="AF207" s="135"/>
      <c r="AG207" s="135"/>
      <c r="AH207" s="136"/>
      <c r="AI207" s="50">
        <f t="shared" si="42"/>
        <v>925</v>
      </c>
    </row>
    <row r="208" spans="1:35">
      <c r="A208" s="12">
        <v>44583</v>
      </c>
      <c r="B208" s="8">
        <v>1603767</v>
      </c>
      <c r="C208" s="8">
        <v>1604647</v>
      </c>
      <c r="D208" s="13">
        <f t="shared" si="41"/>
        <v>880</v>
      </c>
      <c r="E208" s="46">
        <v>1357</v>
      </c>
      <c r="F208" s="70">
        <v>2161</v>
      </c>
      <c r="G208" s="133">
        <f t="shared" si="44"/>
        <v>804</v>
      </c>
      <c r="H208" s="8">
        <v>165003</v>
      </c>
      <c r="I208" s="8">
        <v>165003</v>
      </c>
      <c r="J208" s="13">
        <f t="shared" si="34"/>
        <v>0</v>
      </c>
      <c r="K208" s="138"/>
      <c r="L208" s="8">
        <v>291187</v>
      </c>
      <c r="M208" s="8">
        <v>292432</v>
      </c>
      <c r="N208" s="13">
        <f t="shared" si="43"/>
        <v>1245</v>
      </c>
      <c r="O208" s="136"/>
      <c r="P208" s="8">
        <v>200311</v>
      </c>
      <c r="Q208" s="8">
        <v>200839</v>
      </c>
      <c r="R208" s="133">
        <f t="shared" si="38"/>
        <v>528</v>
      </c>
      <c r="S208" s="8">
        <v>172567</v>
      </c>
      <c r="T208" s="8">
        <v>172635</v>
      </c>
      <c r="U208" s="133">
        <f t="shared" si="40"/>
        <v>68</v>
      </c>
      <c r="V208" s="8">
        <v>255615</v>
      </c>
      <c r="W208" s="8">
        <v>255961</v>
      </c>
      <c r="X208" s="13">
        <f t="shared" si="46"/>
        <v>346</v>
      </c>
      <c r="Y208" s="8">
        <v>10997</v>
      </c>
      <c r="Z208" s="8">
        <v>11006</v>
      </c>
      <c r="AA208" s="13">
        <f t="shared" si="39"/>
        <v>9</v>
      </c>
      <c r="AB208" s="8">
        <v>180107</v>
      </c>
      <c r="AC208" s="8">
        <v>180165</v>
      </c>
      <c r="AD208" s="13">
        <f t="shared" si="36"/>
        <v>58</v>
      </c>
      <c r="AE208" s="135"/>
      <c r="AF208" s="135"/>
      <c r="AG208" s="135"/>
      <c r="AH208" s="136"/>
      <c r="AI208" s="50">
        <f t="shared" si="42"/>
        <v>951</v>
      </c>
    </row>
    <row r="209" spans="1:35">
      <c r="A209" s="12">
        <v>44584</v>
      </c>
      <c r="B209" s="8">
        <v>1604647</v>
      </c>
      <c r="C209" s="8">
        <v>1605638</v>
      </c>
      <c r="D209" s="13">
        <f t="shared" si="41"/>
        <v>991</v>
      </c>
      <c r="E209" s="46">
        <v>2161</v>
      </c>
      <c r="F209" s="70">
        <v>2625</v>
      </c>
      <c r="G209" s="133">
        <f t="shared" si="44"/>
        <v>464</v>
      </c>
      <c r="H209" s="8">
        <v>165003</v>
      </c>
      <c r="I209" s="8">
        <v>165003</v>
      </c>
      <c r="J209" s="13">
        <f t="shared" si="34"/>
        <v>0</v>
      </c>
      <c r="K209" s="138"/>
      <c r="L209" s="8">
        <v>292432</v>
      </c>
      <c r="M209" s="8">
        <v>293550</v>
      </c>
      <c r="N209" s="13">
        <f t="shared" si="43"/>
        <v>1118</v>
      </c>
      <c r="O209" s="136"/>
      <c r="P209" s="8">
        <v>200839</v>
      </c>
      <c r="Q209" s="8">
        <v>201511</v>
      </c>
      <c r="R209" s="133">
        <f t="shared" si="38"/>
        <v>672</v>
      </c>
      <c r="S209" s="8">
        <v>172635</v>
      </c>
      <c r="T209" s="8">
        <v>172684</v>
      </c>
      <c r="U209" s="133">
        <f t="shared" si="40"/>
        <v>49</v>
      </c>
      <c r="V209" s="8">
        <v>255961</v>
      </c>
      <c r="W209" s="8">
        <v>256391</v>
      </c>
      <c r="X209" s="13">
        <f t="shared" si="46"/>
        <v>430</v>
      </c>
      <c r="Y209" s="8">
        <v>11006</v>
      </c>
      <c r="Z209" s="8">
        <v>11044</v>
      </c>
      <c r="AA209" s="13">
        <f t="shared" si="39"/>
        <v>38</v>
      </c>
      <c r="AB209" s="8">
        <v>180165</v>
      </c>
      <c r="AC209" s="8">
        <v>180216</v>
      </c>
      <c r="AD209" s="13">
        <f t="shared" si="36"/>
        <v>51</v>
      </c>
      <c r="AE209" s="135"/>
      <c r="AF209" s="135"/>
      <c r="AG209" s="135"/>
      <c r="AH209" s="136"/>
      <c r="AI209" s="50">
        <f t="shared" si="42"/>
        <v>1189</v>
      </c>
    </row>
    <row r="210" spans="1:35">
      <c r="A210" s="12">
        <v>44585</v>
      </c>
      <c r="B210" s="8">
        <v>1605638</v>
      </c>
      <c r="C210" s="8">
        <v>1606009</v>
      </c>
      <c r="D210" s="13">
        <f t="shared" si="41"/>
        <v>371</v>
      </c>
      <c r="E210" s="46">
        <v>2625</v>
      </c>
      <c r="F210" s="70">
        <v>3189</v>
      </c>
      <c r="G210" s="133">
        <f t="shared" si="44"/>
        <v>564</v>
      </c>
      <c r="H210" s="8">
        <v>165003</v>
      </c>
      <c r="I210" s="8">
        <v>165003</v>
      </c>
      <c r="J210" s="13">
        <f t="shared" ref="J210:J273" si="47">I210-H210</f>
        <v>0</v>
      </c>
      <c r="K210" s="138"/>
      <c r="L210" s="8">
        <v>293550</v>
      </c>
      <c r="M210" s="8">
        <v>294346</v>
      </c>
      <c r="N210" s="13">
        <f t="shared" si="43"/>
        <v>796</v>
      </c>
      <c r="O210" s="136"/>
      <c r="P210" s="8">
        <v>201511</v>
      </c>
      <c r="Q210" s="8">
        <v>201723</v>
      </c>
      <c r="R210" s="133">
        <f t="shared" si="38"/>
        <v>212</v>
      </c>
      <c r="S210" s="8">
        <v>172684</v>
      </c>
      <c r="T210" s="8">
        <v>172729</v>
      </c>
      <c r="U210" s="133">
        <f t="shared" si="40"/>
        <v>45</v>
      </c>
      <c r="V210" s="8">
        <v>256391</v>
      </c>
      <c r="W210" s="8">
        <v>256661</v>
      </c>
      <c r="X210" s="13">
        <f t="shared" si="46"/>
        <v>270</v>
      </c>
      <c r="Y210" s="8">
        <v>11044</v>
      </c>
      <c r="Z210" s="8">
        <v>11069</v>
      </c>
      <c r="AA210" s="13">
        <f t="shared" si="39"/>
        <v>25</v>
      </c>
      <c r="AB210" s="8">
        <v>180216</v>
      </c>
      <c r="AC210" s="8">
        <v>180291</v>
      </c>
      <c r="AD210" s="13">
        <f t="shared" si="36"/>
        <v>75</v>
      </c>
      <c r="AE210" s="135"/>
      <c r="AF210" s="135"/>
      <c r="AG210" s="135"/>
      <c r="AH210" s="136"/>
      <c r="AI210" s="50">
        <f t="shared" si="42"/>
        <v>552</v>
      </c>
    </row>
    <row r="211" spans="1:35">
      <c r="A211" s="12">
        <v>44586</v>
      </c>
      <c r="B211" s="8">
        <v>1606009</v>
      </c>
      <c r="C211" s="8">
        <v>1606875</v>
      </c>
      <c r="D211" s="13">
        <f t="shared" si="41"/>
        <v>866</v>
      </c>
      <c r="E211" s="46">
        <v>3189</v>
      </c>
      <c r="F211" s="70">
        <v>3953</v>
      </c>
      <c r="G211" s="133">
        <f t="shared" si="44"/>
        <v>764</v>
      </c>
      <c r="H211" s="8">
        <v>165003</v>
      </c>
      <c r="I211" s="8">
        <v>165003</v>
      </c>
      <c r="J211" s="13">
        <f t="shared" si="47"/>
        <v>0</v>
      </c>
      <c r="K211" s="138"/>
      <c r="L211" s="8">
        <v>294346</v>
      </c>
      <c r="M211" s="8">
        <v>295653</v>
      </c>
      <c r="N211" s="13">
        <f t="shared" si="43"/>
        <v>1307</v>
      </c>
      <c r="O211" s="136"/>
      <c r="P211" s="8">
        <v>201723</v>
      </c>
      <c r="Q211" s="8">
        <v>202158</v>
      </c>
      <c r="R211" s="133">
        <f t="shared" si="38"/>
        <v>435</v>
      </c>
      <c r="S211" s="8">
        <v>172729</v>
      </c>
      <c r="T211" s="8">
        <v>172795</v>
      </c>
      <c r="U211" s="133">
        <f t="shared" si="40"/>
        <v>66</v>
      </c>
      <c r="V211" s="8">
        <v>256661</v>
      </c>
      <c r="W211" s="8">
        <v>256961</v>
      </c>
      <c r="X211" s="13">
        <f t="shared" si="46"/>
        <v>300</v>
      </c>
      <c r="Y211" s="8">
        <v>11044</v>
      </c>
      <c r="Z211" s="8">
        <v>11099</v>
      </c>
      <c r="AA211" s="13">
        <f t="shared" si="39"/>
        <v>55</v>
      </c>
      <c r="AB211" s="8">
        <v>180291</v>
      </c>
      <c r="AC211" s="8">
        <v>180363</v>
      </c>
      <c r="AD211" s="13">
        <f t="shared" si="36"/>
        <v>72</v>
      </c>
      <c r="AE211" s="135"/>
      <c r="AF211" s="135"/>
      <c r="AG211" s="135"/>
      <c r="AH211" s="136"/>
      <c r="AI211" s="50">
        <f t="shared" si="42"/>
        <v>856</v>
      </c>
    </row>
    <row r="212" spans="1:35">
      <c r="A212" s="12">
        <v>44587</v>
      </c>
      <c r="B212" s="8">
        <v>1606875</v>
      </c>
      <c r="C212" s="8">
        <v>1607274</v>
      </c>
      <c r="D212" s="13">
        <f t="shared" si="41"/>
        <v>399</v>
      </c>
      <c r="E212" s="46">
        <v>3953</v>
      </c>
      <c r="F212" s="70">
        <v>4593</v>
      </c>
      <c r="G212" s="133">
        <f t="shared" si="44"/>
        <v>640</v>
      </c>
      <c r="H212" s="8">
        <v>165003</v>
      </c>
      <c r="I212" s="8">
        <v>165003</v>
      </c>
      <c r="J212" s="13">
        <f t="shared" si="47"/>
        <v>0</v>
      </c>
      <c r="K212" s="138"/>
      <c r="L212" s="8">
        <v>295653</v>
      </c>
      <c r="M212" s="8">
        <v>296724</v>
      </c>
      <c r="N212" s="13">
        <f t="shared" si="43"/>
        <v>1071</v>
      </c>
      <c r="O212" s="136"/>
      <c r="P212" s="8">
        <v>202158</v>
      </c>
      <c r="Q212" s="8">
        <v>202566</v>
      </c>
      <c r="R212" s="133">
        <f t="shared" si="38"/>
        <v>408</v>
      </c>
      <c r="S212" s="8">
        <v>172795</v>
      </c>
      <c r="T212" s="8">
        <v>172855</v>
      </c>
      <c r="U212" s="133">
        <f t="shared" si="40"/>
        <v>60</v>
      </c>
      <c r="V212" s="8">
        <v>256961</v>
      </c>
      <c r="W212" s="8">
        <v>257245</v>
      </c>
      <c r="X212" s="13">
        <f t="shared" si="46"/>
        <v>284</v>
      </c>
      <c r="Y212" s="8">
        <v>11099</v>
      </c>
      <c r="Z212" s="8">
        <v>11124</v>
      </c>
      <c r="AA212" s="13">
        <f t="shared" si="39"/>
        <v>25</v>
      </c>
      <c r="AB212" s="8">
        <v>180363</v>
      </c>
      <c r="AC212" s="8">
        <v>180434</v>
      </c>
      <c r="AD212" s="13">
        <f t="shared" si="36"/>
        <v>71</v>
      </c>
      <c r="AE212" s="135"/>
      <c r="AF212" s="135"/>
      <c r="AG212" s="135"/>
      <c r="AH212" s="136"/>
      <c r="AI212" s="50">
        <f t="shared" si="42"/>
        <v>777</v>
      </c>
    </row>
    <row r="213" spans="1:35">
      <c r="A213" s="12">
        <v>44588</v>
      </c>
      <c r="B213" s="8">
        <v>1607274</v>
      </c>
      <c r="C213" s="8">
        <v>1607274</v>
      </c>
      <c r="D213" s="13">
        <f t="shared" si="41"/>
        <v>0</v>
      </c>
      <c r="E213" s="46">
        <v>4593</v>
      </c>
      <c r="F213" s="70">
        <v>5388</v>
      </c>
      <c r="G213" s="133">
        <f t="shared" si="44"/>
        <v>795</v>
      </c>
      <c r="H213" s="8">
        <v>165003</v>
      </c>
      <c r="I213" s="8">
        <v>165378</v>
      </c>
      <c r="J213" s="13">
        <f t="shared" si="47"/>
        <v>375</v>
      </c>
      <c r="K213" s="138"/>
      <c r="L213" s="8">
        <v>296724</v>
      </c>
      <c r="M213" s="8">
        <v>297529</v>
      </c>
      <c r="N213" s="13">
        <f t="shared" si="43"/>
        <v>805</v>
      </c>
      <c r="O213" s="136"/>
      <c r="P213" s="8">
        <v>202566</v>
      </c>
      <c r="Q213" s="8">
        <v>202967</v>
      </c>
      <c r="R213" s="133">
        <f t="shared" si="38"/>
        <v>401</v>
      </c>
      <c r="S213" s="8">
        <v>172855</v>
      </c>
      <c r="T213" s="8">
        <v>172912</v>
      </c>
      <c r="U213" s="133">
        <f t="shared" si="40"/>
        <v>57</v>
      </c>
      <c r="V213" s="8">
        <v>257245</v>
      </c>
      <c r="W213" s="8">
        <v>257456</v>
      </c>
      <c r="X213" s="13">
        <f t="shared" si="46"/>
        <v>211</v>
      </c>
      <c r="Y213" s="8">
        <v>11124</v>
      </c>
      <c r="Z213" s="8">
        <v>11136</v>
      </c>
      <c r="AA213" s="13">
        <f t="shared" si="39"/>
        <v>12</v>
      </c>
      <c r="AB213" s="8">
        <v>180434</v>
      </c>
      <c r="AC213" s="8">
        <v>180478</v>
      </c>
      <c r="AD213" s="13">
        <f t="shared" si="36"/>
        <v>44</v>
      </c>
      <c r="AE213" s="135"/>
      <c r="AF213" s="135"/>
      <c r="AG213" s="135"/>
      <c r="AH213" s="136"/>
      <c r="AI213" s="50">
        <f t="shared" si="42"/>
        <v>681</v>
      </c>
    </row>
    <row r="214" spans="1:35">
      <c r="A214" s="12">
        <v>44589</v>
      </c>
      <c r="B214" s="8">
        <v>1607274</v>
      </c>
      <c r="C214" s="8">
        <v>1607274</v>
      </c>
      <c r="D214" s="13">
        <f t="shared" si="41"/>
        <v>0</v>
      </c>
      <c r="E214" s="54">
        <v>5388</v>
      </c>
      <c r="F214" s="56">
        <v>6258</v>
      </c>
      <c r="G214" s="133">
        <f t="shared" si="44"/>
        <v>870</v>
      </c>
      <c r="H214" s="8">
        <v>165378</v>
      </c>
      <c r="I214" s="8">
        <v>166021</v>
      </c>
      <c r="J214" s="13">
        <f t="shared" si="47"/>
        <v>643</v>
      </c>
      <c r="K214" s="138"/>
      <c r="L214" s="8">
        <v>296724</v>
      </c>
      <c r="M214" s="8">
        <v>298183</v>
      </c>
      <c r="N214" s="13">
        <f t="shared" si="43"/>
        <v>1459</v>
      </c>
      <c r="O214" s="136"/>
      <c r="P214" s="8">
        <v>202967</v>
      </c>
      <c r="Q214" s="8">
        <v>203424</v>
      </c>
      <c r="R214" s="133">
        <f t="shared" si="38"/>
        <v>457</v>
      </c>
      <c r="S214" s="8">
        <v>172912</v>
      </c>
      <c r="T214" s="8">
        <v>172957</v>
      </c>
      <c r="U214" s="133">
        <f t="shared" si="40"/>
        <v>45</v>
      </c>
      <c r="V214" s="8">
        <v>257456</v>
      </c>
      <c r="W214" s="8">
        <v>257502</v>
      </c>
      <c r="X214" s="13">
        <f t="shared" si="46"/>
        <v>46</v>
      </c>
      <c r="Y214" s="8">
        <v>11136</v>
      </c>
      <c r="Z214" s="8">
        <v>11142</v>
      </c>
      <c r="AA214" s="13">
        <f t="shared" si="39"/>
        <v>6</v>
      </c>
      <c r="AB214" s="8">
        <v>180478</v>
      </c>
      <c r="AC214" s="8">
        <v>180479</v>
      </c>
      <c r="AD214" s="13">
        <f t="shared" si="36"/>
        <v>1</v>
      </c>
      <c r="AE214" s="135"/>
      <c r="AF214" s="135"/>
      <c r="AG214" s="135"/>
      <c r="AH214" s="136"/>
      <c r="AI214" s="50">
        <f t="shared" si="42"/>
        <v>554</v>
      </c>
    </row>
    <row r="215" spans="1:35">
      <c r="A215" s="12">
        <v>44590</v>
      </c>
      <c r="B215" s="8">
        <v>1607274</v>
      </c>
      <c r="C215" s="8">
        <v>1607375</v>
      </c>
      <c r="D215" s="13">
        <f t="shared" si="41"/>
        <v>101</v>
      </c>
      <c r="E215" s="54">
        <v>6258</v>
      </c>
      <c r="F215" s="56">
        <v>6967</v>
      </c>
      <c r="G215" s="133">
        <f t="shared" si="44"/>
        <v>709</v>
      </c>
      <c r="H215" s="8">
        <v>166021</v>
      </c>
      <c r="I215" s="8">
        <v>166021</v>
      </c>
      <c r="J215" s="13">
        <f t="shared" si="47"/>
        <v>0</v>
      </c>
      <c r="K215" s="138"/>
      <c r="L215" s="8">
        <v>298183</v>
      </c>
      <c r="M215" s="8">
        <v>299192</v>
      </c>
      <c r="N215" s="13">
        <f t="shared" si="43"/>
        <v>1009</v>
      </c>
      <c r="O215" s="136"/>
      <c r="P215" s="8">
        <v>203424</v>
      </c>
      <c r="Q215" s="8">
        <v>203927</v>
      </c>
      <c r="R215" s="133">
        <f t="shared" si="38"/>
        <v>503</v>
      </c>
      <c r="S215" s="8">
        <v>172957</v>
      </c>
      <c r="T215" s="8">
        <v>173056</v>
      </c>
      <c r="U215" s="133">
        <f t="shared" si="40"/>
        <v>99</v>
      </c>
      <c r="V215" s="8">
        <v>257502</v>
      </c>
      <c r="W215" s="8">
        <v>257599</v>
      </c>
      <c r="X215" s="13">
        <f t="shared" si="46"/>
        <v>97</v>
      </c>
      <c r="Y215" s="8">
        <v>11142</v>
      </c>
      <c r="Z215" s="8">
        <v>11154</v>
      </c>
      <c r="AA215" s="13">
        <f t="shared" si="39"/>
        <v>12</v>
      </c>
      <c r="AB215" s="8">
        <v>180479</v>
      </c>
      <c r="AC215" s="8">
        <v>180547</v>
      </c>
      <c r="AD215" s="13">
        <f t="shared" si="36"/>
        <v>68</v>
      </c>
      <c r="AE215" s="135"/>
      <c r="AF215" s="135"/>
      <c r="AG215" s="135"/>
      <c r="AH215" s="136"/>
      <c r="AI215" s="50">
        <f t="shared" si="42"/>
        <v>711</v>
      </c>
    </row>
    <row r="216" spans="1:35">
      <c r="A216" s="12">
        <v>44591</v>
      </c>
      <c r="B216" s="8">
        <v>1607375</v>
      </c>
      <c r="C216" s="8">
        <v>1607596</v>
      </c>
      <c r="D216" s="13">
        <f t="shared" si="41"/>
        <v>221</v>
      </c>
      <c r="E216" s="54">
        <v>6967</v>
      </c>
      <c r="F216" s="56">
        <v>7762</v>
      </c>
      <c r="G216" s="133">
        <f t="shared" si="44"/>
        <v>795</v>
      </c>
      <c r="H216" s="8">
        <v>166021</v>
      </c>
      <c r="I216" s="8">
        <v>166021</v>
      </c>
      <c r="J216" s="13">
        <f t="shared" si="47"/>
        <v>0</v>
      </c>
      <c r="K216" s="138"/>
      <c r="L216" s="8">
        <v>299192</v>
      </c>
      <c r="M216" s="8">
        <v>299906</v>
      </c>
      <c r="N216" s="13">
        <f t="shared" si="43"/>
        <v>714</v>
      </c>
      <c r="O216" s="136"/>
      <c r="P216" s="8">
        <v>203927</v>
      </c>
      <c r="Q216" s="8">
        <v>204241</v>
      </c>
      <c r="R216" s="133">
        <f t="shared" si="38"/>
        <v>314</v>
      </c>
      <c r="S216" s="8">
        <v>173056</v>
      </c>
      <c r="T216" s="8">
        <v>173088</v>
      </c>
      <c r="U216" s="133">
        <f t="shared" si="40"/>
        <v>32</v>
      </c>
      <c r="V216" s="8">
        <v>257599</v>
      </c>
      <c r="W216" s="8">
        <v>257698</v>
      </c>
      <c r="X216" s="13">
        <f t="shared" si="46"/>
        <v>99</v>
      </c>
      <c r="Y216" s="8">
        <v>11154</v>
      </c>
      <c r="Z216" s="8">
        <v>11172</v>
      </c>
      <c r="AA216" s="13">
        <f t="shared" si="39"/>
        <v>18</v>
      </c>
      <c r="AB216" s="8">
        <v>180547</v>
      </c>
      <c r="AC216" s="8">
        <v>180675</v>
      </c>
      <c r="AD216" s="13">
        <f t="shared" si="36"/>
        <v>128</v>
      </c>
      <c r="AE216" s="135"/>
      <c r="AF216" s="135"/>
      <c r="AG216" s="135"/>
      <c r="AH216" s="136"/>
      <c r="AI216" s="50">
        <f t="shared" si="42"/>
        <v>463</v>
      </c>
    </row>
    <row r="217" spans="1:35">
      <c r="A217" s="12">
        <v>44592</v>
      </c>
      <c r="B217" s="8">
        <v>1607596</v>
      </c>
      <c r="C217" s="8">
        <v>1607826</v>
      </c>
      <c r="D217" s="13">
        <f t="shared" si="41"/>
        <v>230</v>
      </c>
      <c r="E217" s="54">
        <v>7762</v>
      </c>
      <c r="F217" s="70">
        <v>8038</v>
      </c>
      <c r="G217" s="133">
        <f t="shared" si="44"/>
        <v>276</v>
      </c>
      <c r="H217" s="8">
        <v>166021</v>
      </c>
      <c r="I217" s="8">
        <v>166021</v>
      </c>
      <c r="J217" s="13">
        <f t="shared" si="47"/>
        <v>0</v>
      </c>
      <c r="K217" s="138"/>
      <c r="L217" s="8">
        <v>299906</v>
      </c>
      <c r="M217" s="8">
        <v>300470</v>
      </c>
      <c r="N217" s="13">
        <f t="shared" si="43"/>
        <v>564</v>
      </c>
      <c r="O217" s="136"/>
      <c r="P217" s="8">
        <v>204241</v>
      </c>
      <c r="Q217" s="8">
        <v>204491</v>
      </c>
      <c r="R217" s="133">
        <f t="shared" si="38"/>
        <v>250</v>
      </c>
      <c r="S217" s="8">
        <v>173088</v>
      </c>
      <c r="T217" s="8">
        <v>173133</v>
      </c>
      <c r="U217" s="133">
        <f t="shared" si="40"/>
        <v>45</v>
      </c>
      <c r="V217" s="8">
        <v>257698</v>
      </c>
      <c r="W217" s="8">
        <v>257823</v>
      </c>
      <c r="X217" s="13">
        <f t="shared" si="46"/>
        <v>125</v>
      </c>
      <c r="Y217" s="8">
        <v>11172</v>
      </c>
      <c r="Z217" s="8">
        <v>11183</v>
      </c>
      <c r="AA217" s="13">
        <f t="shared" si="39"/>
        <v>11</v>
      </c>
      <c r="AB217" s="8">
        <v>180675</v>
      </c>
      <c r="AC217" s="8">
        <v>180725</v>
      </c>
      <c r="AD217" s="13">
        <f t="shared" si="36"/>
        <v>50</v>
      </c>
      <c r="AE217" s="135"/>
      <c r="AF217" s="135"/>
      <c r="AG217" s="135"/>
      <c r="AH217" s="136"/>
      <c r="AI217" s="50">
        <f t="shared" si="42"/>
        <v>431</v>
      </c>
    </row>
    <row r="218" spans="1:35">
      <c r="A218" s="12">
        <v>44593</v>
      </c>
      <c r="B218" s="8">
        <v>1607826</v>
      </c>
      <c r="C218" s="8">
        <v>1608765</v>
      </c>
      <c r="D218" s="13">
        <f t="shared" si="41"/>
        <v>939</v>
      </c>
      <c r="E218" s="46">
        <v>8038</v>
      </c>
      <c r="F218" s="70">
        <v>8769</v>
      </c>
      <c r="G218" s="133">
        <f t="shared" si="44"/>
        <v>731</v>
      </c>
      <c r="H218" s="8">
        <v>166021</v>
      </c>
      <c r="I218" s="8">
        <v>166535</v>
      </c>
      <c r="J218" s="13">
        <f t="shared" si="47"/>
        <v>514</v>
      </c>
      <c r="K218" s="138"/>
      <c r="L218" s="8">
        <v>300470</v>
      </c>
      <c r="M218" s="8">
        <v>300835</v>
      </c>
      <c r="N218" s="13">
        <f t="shared" si="43"/>
        <v>365</v>
      </c>
      <c r="O218" s="136"/>
      <c r="P218" s="8">
        <v>204491</v>
      </c>
      <c r="Q218" s="8">
        <v>204796</v>
      </c>
      <c r="R218" s="133">
        <f t="shared" si="38"/>
        <v>305</v>
      </c>
      <c r="S218" s="8">
        <v>173133</v>
      </c>
      <c r="T218" s="8">
        <v>173184</v>
      </c>
      <c r="U218" s="133">
        <f t="shared" si="40"/>
        <v>51</v>
      </c>
      <c r="V218" s="8">
        <v>257823</v>
      </c>
      <c r="W218" s="8">
        <v>258110</v>
      </c>
      <c r="X218" s="13">
        <f t="shared" si="46"/>
        <v>287</v>
      </c>
      <c r="Y218" s="8">
        <v>11183</v>
      </c>
      <c r="Z218" s="8">
        <v>11226</v>
      </c>
      <c r="AA218" s="13">
        <f t="shared" si="39"/>
        <v>43</v>
      </c>
      <c r="AB218" s="8">
        <v>180725</v>
      </c>
      <c r="AC218" s="8">
        <v>180804</v>
      </c>
      <c r="AD218" s="13">
        <f t="shared" si="36"/>
        <v>79</v>
      </c>
      <c r="AE218" s="135"/>
      <c r="AF218" s="135"/>
      <c r="AG218" s="135"/>
      <c r="AH218" s="136"/>
      <c r="AI218" s="50">
        <f t="shared" si="42"/>
        <v>686</v>
      </c>
    </row>
    <row r="219" spans="1:35">
      <c r="A219" s="12">
        <v>44594</v>
      </c>
      <c r="B219" s="8">
        <v>1608765</v>
      </c>
      <c r="C219" s="8">
        <v>1610132</v>
      </c>
      <c r="D219" s="13">
        <f t="shared" si="41"/>
        <v>1367</v>
      </c>
      <c r="E219" s="46">
        <v>8769</v>
      </c>
      <c r="F219" s="70">
        <v>8967</v>
      </c>
      <c r="G219" s="133">
        <f t="shared" si="44"/>
        <v>198</v>
      </c>
      <c r="H219" s="8">
        <v>166535</v>
      </c>
      <c r="I219" s="8">
        <v>166535</v>
      </c>
      <c r="J219" s="13">
        <f t="shared" si="47"/>
        <v>0</v>
      </c>
      <c r="K219" s="138"/>
      <c r="L219" s="8">
        <v>300835</v>
      </c>
      <c r="M219" s="8">
        <v>301988</v>
      </c>
      <c r="N219" s="13">
        <f t="shared" si="43"/>
        <v>1153</v>
      </c>
      <c r="O219" s="136"/>
      <c r="P219" s="8">
        <v>204796</v>
      </c>
      <c r="Q219" s="8">
        <v>205287</v>
      </c>
      <c r="R219" s="133">
        <f t="shared" si="38"/>
        <v>491</v>
      </c>
      <c r="S219" s="8">
        <v>173184</v>
      </c>
      <c r="T219" s="8">
        <v>173234</v>
      </c>
      <c r="U219" s="133">
        <f t="shared" si="40"/>
        <v>50</v>
      </c>
      <c r="V219" s="8">
        <v>258110</v>
      </c>
      <c r="W219" s="8">
        <v>258516</v>
      </c>
      <c r="X219" s="13">
        <f t="shared" si="46"/>
        <v>406</v>
      </c>
      <c r="Y219" s="8">
        <v>11226</v>
      </c>
      <c r="Z219" s="8">
        <v>11275</v>
      </c>
      <c r="AA219" s="13">
        <f t="shared" si="39"/>
        <v>49</v>
      </c>
      <c r="AB219" s="8">
        <v>180804</v>
      </c>
      <c r="AC219" s="8">
        <v>180831</v>
      </c>
      <c r="AD219" s="13">
        <f t="shared" si="36"/>
        <v>27</v>
      </c>
      <c r="AE219" s="135"/>
      <c r="AF219" s="135"/>
      <c r="AG219" s="135"/>
      <c r="AH219" s="136"/>
      <c r="AI219" s="50">
        <f t="shared" si="42"/>
        <v>996</v>
      </c>
    </row>
    <row r="220" spans="1:35">
      <c r="A220" s="12">
        <v>44595</v>
      </c>
      <c r="B220" s="8">
        <v>1610132</v>
      </c>
      <c r="C220" s="8">
        <v>1610931</v>
      </c>
      <c r="D220" s="13">
        <f t="shared" si="41"/>
        <v>799</v>
      </c>
      <c r="E220" s="46">
        <v>8967</v>
      </c>
      <c r="F220" s="56">
        <v>9167</v>
      </c>
      <c r="G220" s="133">
        <f t="shared" si="44"/>
        <v>200</v>
      </c>
      <c r="H220" s="8">
        <v>166535</v>
      </c>
      <c r="I220" s="8">
        <v>166535</v>
      </c>
      <c r="J220" s="13">
        <f t="shared" si="47"/>
        <v>0</v>
      </c>
      <c r="K220" s="138"/>
      <c r="L220" s="8">
        <v>301988</v>
      </c>
      <c r="M220" s="8">
        <v>303000</v>
      </c>
      <c r="N220" s="13">
        <f t="shared" si="43"/>
        <v>1012</v>
      </c>
      <c r="O220" s="136"/>
      <c r="P220" s="8">
        <v>205287</v>
      </c>
      <c r="Q220" s="8">
        <v>205652</v>
      </c>
      <c r="R220" s="133">
        <f t="shared" si="38"/>
        <v>365</v>
      </c>
      <c r="S220" s="8">
        <v>173234</v>
      </c>
      <c r="T220" s="8">
        <v>173282</v>
      </c>
      <c r="U220" s="133">
        <f t="shared" si="40"/>
        <v>48</v>
      </c>
      <c r="V220" s="8">
        <v>258516</v>
      </c>
      <c r="W220" s="8">
        <v>258870</v>
      </c>
      <c r="X220" s="13">
        <f t="shared" si="46"/>
        <v>354</v>
      </c>
      <c r="Y220" s="8">
        <v>11275</v>
      </c>
      <c r="Z220" s="8">
        <v>11323</v>
      </c>
      <c r="AA220" s="13">
        <f t="shared" si="39"/>
        <v>48</v>
      </c>
      <c r="AB220" s="8">
        <v>180831</v>
      </c>
      <c r="AC220" s="8">
        <v>180899</v>
      </c>
      <c r="AD220" s="13">
        <f t="shared" si="36"/>
        <v>68</v>
      </c>
      <c r="AE220" s="135"/>
      <c r="AF220" s="135"/>
      <c r="AG220" s="135"/>
      <c r="AH220" s="136"/>
      <c r="AI220" s="50">
        <f t="shared" si="42"/>
        <v>815</v>
      </c>
    </row>
    <row r="221" spans="1:35">
      <c r="A221" s="12">
        <v>44596</v>
      </c>
      <c r="B221" s="8">
        <v>1610931</v>
      </c>
      <c r="C221" s="8">
        <v>1612179</v>
      </c>
      <c r="D221" s="13">
        <f t="shared" si="41"/>
        <v>1248</v>
      </c>
      <c r="E221" s="46">
        <v>8967</v>
      </c>
      <c r="F221" s="56">
        <v>9167</v>
      </c>
      <c r="G221" s="133">
        <f t="shared" si="44"/>
        <v>200</v>
      </c>
      <c r="H221" s="8">
        <v>166535</v>
      </c>
      <c r="I221" s="8">
        <v>166535</v>
      </c>
      <c r="J221" s="13">
        <f t="shared" si="47"/>
        <v>0</v>
      </c>
      <c r="K221" s="138"/>
      <c r="L221" s="8">
        <v>303000</v>
      </c>
      <c r="M221" s="8">
        <v>304072</v>
      </c>
      <c r="N221" s="13">
        <f t="shared" si="43"/>
        <v>1072</v>
      </c>
      <c r="O221" s="136"/>
      <c r="P221" s="8">
        <v>205652</v>
      </c>
      <c r="Q221" s="8">
        <v>205997</v>
      </c>
      <c r="R221" s="133">
        <f t="shared" si="38"/>
        <v>345</v>
      </c>
      <c r="S221" s="8">
        <v>173282</v>
      </c>
      <c r="T221" s="8">
        <v>173312</v>
      </c>
      <c r="U221" s="133">
        <f t="shared" si="40"/>
        <v>30</v>
      </c>
      <c r="V221" s="8">
        <v>258870</v>
      </c>
      <c r="W221" s="8">
        <v>259347</v>
      </c>
      <c r="X221" s="13">
        <f t="shared" si="46"/>
        <v>477</v>
      </c>
      <c r="Y221" s="8">
        <v>11323</v>
      </c>
      <c r="Z221" s="8">
        <v>11349</v>
      </c>
      <c r="AA221" s="13">
        <f t="shared" si="39"/>
        <v>26</v>
      </c>
      <c r="AB221" s="8">
        <v>180899</v>
      </c>
      <c r="AC221" s="8">
        <v>180981</v>
      </c>
      <c r="AD221" s="13">
        <f t="shared" si="36"/>
        <v>82</v>
      </c>
      <c r="AE221" s="135"/>
      <c r="AF221" s="135"/>
      <c r="AG221" s="135"/>
      <c r="AH221" s="136"/>
      <c r="AI221" s="50">
        <f t="shared" si="42"/>
        <v>878</v>
      </c>
    </row>
    <row r="222" spans="1:35">
      <c r="A222" s="12">
        <v>44597</v>
      </c>
      <c r="B222" s="8">
        <v>1612179</v>
      </c>
      <c r="C222" s="8">
        <v>1612934</v>
      </c>
      <c r="D222" s="13">
        <f t="shared" si="41"/>
        <v>755</v>
      </c>
      <c r="E222" s="54">
        <v>9167</v>
      </c>
      <c r="F222" s="70">
        <v>9812</v>
      </c>
      <c r="G222" s="133">
        <f t="shared" si="44"/>
        <v>645</v>
      </c>
      <c r="H222" s="8">
        <v>166535</v>
      </c>
      <c r="I222" s="8">
        <v>166535</v>
      </c>
      <c r="J222" s="13">
        <f t="shared" si="47"/>
        <v>0</v>
      </c>
      <c r="K222" s="138"/>
      <c r="L222" s="8">
        <v>304072</v>
      </c>
      <c r="M222" s="8">
        <v>305183</v>
      </c>
      <c r="N222" s="13">
        <f t="shared" si="43"/>
        <v>1111</v>
      </c>
      <c r="O222" s="136"/>
      <c r="P222" s="8">
        <v>205997</v>
      </c>
      <c r="Q222" s="8">
        <v>206674</v>
      </c>
      <c r="R222" s="133">
        <f t="shared" si="38"/>
        <v>677</v>
      </c>
      <c r="S222" s="8">
        <v>173312</v>
      </c>
      <c r="T222" s="8">
        <v>173352</v>
      </c>
      <c r="U222" s="133">
        <f t="shared" si="40"/>
        <v>40</v>
      </c>
      <c r="V222" s="8">
        <v>259347</v>
      </c>
      <c r="W222" s="8">
        <v>259871</v>
      </c>
      <c r="X222" s="13">
        <f t="shared" si="46"/>
        <v>524</v>
      </c>
      <c r="Y222" s="8">
        <v>11349</v>
      </c>
      <c r="Z222" s="8">
        <v>11386</v>
      </c>
      <c r="AA222" s="13">
        <f t="shared" si="39"/>
        <v>37</v>
      </c>
      <c r="AB222" s="8">
        <v>180981</v>
      </c>
      <c r="AC222" s="8">
        <v>181005</v>
      </c>
      <c r="AD222" s="13">
        <f t="shared" si="36"/>
        <v>24</v>
      </c>
      <c r="AE222" s="135"/>
      <c r="AF222" s="135"/>
      <c r="AG222" s="135"/>
      <c r="AH222" s="136"/>
      <c r="AI222" s="50">
        <f t="shared" si="42"/>
        <v>1278</v>
      </c>
    </row>
    <row r="223" spans="1:35">
      <c r="A223" s="12">
        <v>44598</v>
      </c>
      <c r="B223" s="8">
        <v>1612934</v>
      </c>
      <c r="C223" s="8">
        <v>1613750</v>
      </c>
      <c r="D223" s="13">
        <f t="shared" si="41"/>
        <v>816</v>
      </c>
      <c r="E223" s="46">
        <v>9812</v>
      </c>
      <c r="F223" s="70">
        <v>10373</v>
      </c>
      <c r="G223" s="133">
        <f t="shared" si="44"/>
        <v>561</v>
      </c>
      <c r="H223" s="8">
        <v>166535</v>
      </c>
      <c r="I223" s="8">
        <v>166535</v>
      </c>
      <c r="J223" s="13">
        <f t="shared" si="47"/>
        <v>0</v>
      </c>
      <c r="K223" s="138"/>
      <c r="L223" s="8">
        <v>305183</v>
      </c>
      <c r="M223" s="8">
        <v>306107</v>
      </c>
      <c r="N223" s="13">
        <f t="shared" si="43"/>
        <v>924</v>
      </c>
      <c r="O223" s="136"/>
      <c r="P223" s="8">
        <v>206674</v>
      </c>
      <c r="Q223" s="8">
        <v>207053</v>
      </c>
      <c r="R223" s="133">
        <f t="shared" si="38"/>
        <v>379</v>
      </c>
      <c r="S223" s="8">
        <v>173352</v>
      </c>
      <c r="T223" s="8">
        <v>173394</v>
      </c>
      <c r="U223" s="133">
        <f t="shared" si="40"/>
        <v>42</v>
      </c>
      <c r="V223" s="8">
        <v>259871</v>
      </c>
      <c r="W223" s="8">
        <v>259998</v>
      </c>
      <c r="X223" s="13">
        <f t="shared" si="46"/>
        <v>127</v>
      </c>
      <c r="Y223" s="8">
        <v>11386</v>
      </c>
      <c r="Z223" s="8">
        <v>11398</v>
      </c>
      <c r="AA223" s="13">
        <f t="shared" si="39"/>
        <v>12</v>
      </c>
      <c r="AB223" s="8">
        <v>181005</v>
      </c>
      <c r="AC223" s="8">
        <v>181104</v>
      </c>
      <c r="AD223" s="13">
        <f t="shared" si="36"/>
        <v>99</v>
      </c>
      <c r="AE223" s="135"/>
      <c r="AF223" s="135"/>
      <c r="AG223" s="135"/>
      <c r="AH223" s="136"/>
      <c r="AI223" s="50">
        <f t="shared" si="42"/>
        <v>560</v>
      </c>
    </row>
    <row r="224" spans="1:35">
      <c r="A224" s="12">
        <v>44599</v>
      </c>
      <c r="B224" s="8">
        <v>1613750</v>
      </c>
      <c r="C224" s="8">
        <v>1614826</v>
      </c>
      <c r="D224" s="13">
        <f t="shared" si="41"/>
        <v>1076</v>
      </c>
      <c r="E224" s="46">
        <v>10373</v>
      </c>
      <c r="F224" s="70">
        <v>10373</v>
      </c>
      <c r="G224" s="133">
        <f t="shared" si="44"/>
        <v>0</v>
      </c>
      <c r="H224" s="8">
        <v>166535</v>
      </c>
      <c r="I224" s="8">
        <v>166535</v>
      </c>
      <c r="J224" s="13">
        <f t="shared" si="47"/>
        <v>0</v>
      </c>
      <c r="K224" s="138"/>
      <c r="L224" s="8">
        <v>306107</v>
      </c>
      <c r="M224" s="8">
        <v>307242</v>
      </c>
      <c r="N224" s="13">
        <f t="shared" si="43"/>
        <v>1135</v>
      </c>
      <c r="O224" s="136"/>
      <c r="P224" s="8">
        <v>207053</v>
      </c>
      <c r="Q224" s="8">
        <v>207466</v>
      </c>
      <c r="R224" s="133">
        <f t="shared" si="38"/>
        <v>413</v>
      </c>
      <c r="S224" s="8">
        <v>173394</v>
      </c>
      <c r="T224" s="8">
        <v>173445</v>
      </c>
      <c r="U224" s="133">
        <f t="shared" si="40"/>
        <v>51</v>
      </c>
      <c r="V224" s="8">
        <v>259998</v>
      </c>
      <c r="W224" s="8">
        <v>260396</v>
      </c>
      <c r="X224" s="13">
        <f t="shared" si="46"/>
        <v>398</v>
      </c>
      <c r="Y224" s="8">
        <v>11398</v>
      </c>
      <c r="Z224" s="8">
        <v>11446</v>
      </c>
      <c r="AA224" s="13">
        <f t="shared" si="39"/>
        <v>48</v>
      </c>
      <c r="AB224" s="8">
        <v>181104</v>
      </c>
      <c r="AC224" s="8">
        <v>181199</v>
      </c>
      <c r="AD224" s="13">
        <f t="shared" si="36"/>
        <v>95</v>
      </c>
      <c r="AE224" s="135"/>
      <c r="AF224" s="135"/>
      <c r="AG224" s="135"/>
      <c r="AH224" s="136"/>
      <c r="AI224" s="50">
        <f t="shared" si="42"/>
        <v>910</v>
      </c>
    </row>
    <row r="225" spans="1:35">
      <c r="A225" s="12">
        <v>44600</v>
      </c>
      <c r="B225" s="8">
        <v>1614826</v>
      </c>
      <c r="C225" s="8">
        <v>1615170</v>
      </c>
      <c r="D225" s="13">
        <f t="shared" si="41"/>
        <v>344</v>
      </c>
      <c r="E225" s="46">
        <v>10373</v>
      </c>
      <c r="F225" s="56">
        <v>11126</v>
      </c>
      <c r="G225" s="133">
        <f t="shared" si="44"/>
        <v>753</v>
      </c>
      <c r="H225" s="8">
        <v>166535</v>
      </c>
      <c r="I225" s="8">
        <v>166535</v>
      </c>
      <c r="J225" s="13">
        <f t="shared" si="47"/>
        <v>0</v>
      </c>
      <c r="K225" s="138"/>
      <c r="L225" s="8">
        <v>307242</v>
      </c>
      <c r="M225" s="8">
        <v>308222</v>
      </c>
      <c r="N225" s="13">
        <f t="shared" si="43"/>
        <v>980</v>
      </c>
      <c r="O225" s="136"/>
      <c r="P225" s="8">
        <v>207466</v>
      </c>
      <c r="Q225" s="8">
        <v>207691</v>
      </c>
      <c r="R225" s="133">
        <f t="shared" si="38"/>
        <v>225</v>
      </c>
      <c r="S225" s="8">
        <v>173445</v>
      </c>
      <c r="T225" s="8">
        <v>173530</v>
      </c>
      <c r="U225" s="133">
        <f t="shared" si="40"/>
        <v>85</v>
      </c>
      <c r="V225" s="8">
        <v>260396</v>
      </c>
      <c r="W225" s="8">
        <v>260796</v>
      </c>
      <c r="X225" s="13">
        <f t="shared" si="46"/>
        <v>400</v>
      </c>
      <c r="Y225" s="8">
        <v>11446</v>
      </c>
      <c r="Z225" s="8">
        <v>11498</v>
      </c>
      <c r="AA225" s="13">
        <f t="shared" si="39"/>
        <v>52</v>
      </c>
      <c r="AB225" s="8">
        <v>181199</v>
      </c>
      <c r="AC225" s="8">
        <v>181259</v>
      </c>
      <c r="AD225" s="13">
        <f t="shared" si="36"/>
        <v>60</v>
      </c>
      <c r="AE225" s="135"/>
      <c r="AF225" s="135"/>
      <c r="AG225" s="135"/>
      <c r="AH225" s="136"/>
      <c r="AI225" s="50">
        <f t="shared" si="42"/>
        <v>762</v>
      </c>
    </row>
    <row r="226" spans="1:35">
      <c r="A226" s="12">
        <v>44601</v>
      </c>
      <c r="B226" s="8">
        <v>1615170</v>
      </c>
      <c r="C226" s="8">
        <v>1615935</v>
      </c>
      <c r="D226" s="13">
        <f t="shared" si="41"/>
        <v>765</v>
      </c>
      <c r="E226" s="54">
        <v>11126</v>
      </c>
      <c r="F226" s="70">
        <v>11873</v>
      </c>
      <c r="G226" s="133">
        <f t="shared" si="44"/>
        <v>747</v>
      </c>
      <c r="H226" s="8">
        <v>166535</v>
      </c>
      <c r="I226" s="8">
        <v>166535</v>
      </c>
      <c r="J226" s="13">
        <f t="shared" si="47"/>
        <v>0</v>
      </c>
      <c r="K226" s="138"/>
      <c r="L226" s="8">
        <v>308222</v>
      </c>
      <c r="M226" s="8">
        <v>309351</v>
      </c>
      <c r="N226" s="13">
        <f t="shared" si="43"/>
        <v>1129</v>
      </c>
      <c r="O226" s="136"/>
      <c r="P226" s="8">
        <v>207691</v>
      </c>
      <c r="Q226" s="8">
        <v>208417</v>
      </c>
      <c r="R226" s="133">
        <f t="shared" si="38"/>
        <v>726</v>
      </c>
      <c r="S226" s="8">
        <v>173530</v>
      </c>
      <c r="T226" s="8">
        <v>173552</v>
      </c>
      <c r="U226" s="133">
        <f t="shared" si="40"/>
        <v>22</v>
      </c>
      <c r="V226" s="8">
        <v>260796</v>
      </c>
      <c r="W226" s="8">
        <v>261101</v>
      </c>
      <c r="X226" s="13">
        <f t="shared" si="46"/>
        <v>305</v>
      </c>
      <c r="Y226" s="8">
        <v>11498</v>
      </c>
      <c r="Z226" s="8">
        <v>11522</v>
      </c>
      <c r="AA226" s="13">
        <f t="shared" si="39"/>
        <v>24</v>
      </c>
      <c r="AB226" s="8">
        <v>181259</v>
      </c>
      <c r="AC226" s="8">
        <v>181325</v>
      </c>
      <c r="AD226" s="13">
        <f t="shared" si="36"/>
        <v>66</v>
      </c>
      <c r="AE226" s="135"/>
      <c r="AF226" s="135"/>
      <c r="AG226" s="135"/>
      <c r="AH226" s="136"/>
      <c r="AI226" s="50">
        <f t="shared" si="42"/>
        <v>1077</v>
      </c>
    </row>
    <row r="227" spans="1:35">
      <c r="A227" s="12">
        <v>44602</v>
      </c>
      <c r="B227" s="8">
        <v>1615935</v>
      </c>
      <c r="C227" s="8">
        <v>1617013</v>
      </c>
      <c r="D227" s="13">
        <f t="shared" si="41"/>
        <v>1078</v>
      </c>
      <c r="E227" s="46">
        <v>11873</v>
      </c>
      <c r="F227" s="70">
        <v>12557</v>
      </c>
      <c r="G227" s="133">
        <f t="shared" si="44"/>
        <v>684</v>
      </c>
      <c r="H227" s="8">
        <v>166535</v>
      </c>
      <c r="I227" s="8">
        <v>166535</v>
      </c>
      <c r="J227" s="13">
        <f t="shared" si="47"/>
        <v>0</v>
      </c>
      <c r="K227" s="138"/>
      <c r="L227" s="8">
        <v>309351</v>
      </c>
      <c r="M227" s="8">
        <v>310503</v>
      </c>
      <c r="N227" s="13">
        <f t="shared" si="43"/>
        <v>1152</v>
      </c>
      <c r="O227" s="136"/>
      <c r="P227" s="8">
        <v>208417</v>
      </c>
      <c r="Q227" s="8">
        <v>208881</v>
      </c>
      <c r="R227" s="133">
        <f t="shared" si="38"/>
        <v>464</v>
      </c>
      <c r="S227" s="8">
        <v>173552</v>
      </c>
      <c r="T227" s="8">
        <v>173624</v>
      </c>
      <c r="U227" s="133">
        <f t="shared" si="40"/>
        <v>72</v>
      </c>
      <c r="V227" s="8">
        <v>261101</v>
      </c>
      <c r="W227" s="8">
        <v>261419</v>
      </c>
      <c r="X227" s="13">
        <f t="shared" si="46"/>
        <v>318</v>
      </c>
      <c r="Y227" s="8">
        <v>11522</v>
      </c>
      <c r="Z227" s="8">
        <v>11536</v>
      </c>
      <c r="AA227" s="13">
        <f t="shared" si="39"/>
        <v>14</v>
      </c>
      <c r="AB227" s="8">
        <v>181325</v>
      </c>
      <c r="AC227" s="8">
        <v>181401</v>
      </c>
      <c r="AD227" s="13">
        <f t="shared" si="36"/>
        <v>76</v>
      </c>
      <c r="AE227" s="135"/>
      <c r="AF227" s="135"/>
      <c r="AG227" s="135"/>
      <c r="AH227" s="136"/>
      <c r="AI227" s="50">
        <f t="shared" si="42"/>
        <v>868</v>
      </c>
    </row>
    <row r="228" spans="1:35">
      <c r="A228" s="12">
        <v>44603</v>
      </c>
      <c r="B228" s="8">
        <v>1617013</v>
      </c>
      <c r="C228" s="8">
        <v>1617885</v>
      </c>
      <c r="D228" s="13">
        <f t="shared" si="41"/>
        <v>872</v>
      </c>
      <c r="E228" s="46">
        <v>12557</v>
      </c>
      <c r="F228" s="70">
        <v>13145</v>
      </c>
      <c r="G228" s="133">
        <f t="shared" si="44"/>
        <v>588</v>
      </c>
      <c r="H228" s="8">
        <v>166535</v>
      </c>
      <c r="I228" s="8">
        <v>166535</v>
      </c>
      <c r="J228" s="13">
        <f t="shared" si="47"/>
        <v>0</v>
      </c>
      <c r="K228" s="138"/>
      <c r="L228" s="8">
        <v>310503</v>
      </c>
      <c r="M228" s="8">
        <v>311704</v>
      </c>
      <c r="N228" s="13">
        <f t="shared" si="43"/>
        <v>1201</v>
      </c>
      <c r="O228" s="136"/>
      <c r="P228" s="8">
        <v>208881</v>
      </c>
      <c r="Q228" s="8">
        <v>209341</v>
      </c>
      <c r="R228" s="133">
        <f t="shared" si="38"/>
        <v>460</v>
      </c>
      <c r="S228" s="8">
        <v>173624</v>
      </c>
      <c r="T228" s="8">
        <v>173680</v>
      </c>
      <c r="U228" s="133">
        <f t="shared" si="40"/>
        <v>56</v>
      </c>
      <c r="V228" s="8">
        <v>261419</v>
      </c>
      <c r="W228" s="8">
        <v>261912</v>
      </c>
      <c r="X228" s="13">
        <f t="shared" si="46"/>
        <v>493</v>
      </c>
      <c r="Y228" s="8">
        <v>11536</v>
      </c>
      <c r="Z228" s="8">
        <v>11567</v>
      </c>
      <c r="AA228" s="13">
        <f t="shared" si="39"/>
        <v>31</v>
      </c>
      <c r="AB228" s="8">
        <v>181401</v>
      </c>
      <c r="AC228" s="8">
        <v>181482</v>
      </c>
      <c r="AD228" s="13">
        <f t="shared" si="36"/>
        <v>81</v>
      </c>
      <c r="AE228" s="135"/>
      <c r="AF228" s="135"/>
      <c r="AG228" s="135"/>
      <c r="AH228" s="136"/>
      <c r="AI228" s="50">
        <f t="shared" si="42"/>
        <v>1040</v>
      </c>
    </row>
    <row r="229" spans="1:35">
      <c r="A229" s="12">
        <v>44604</v>
      </c>
      <c r="B229" s="8">
        <v>1617885</v>
      </c>
      <c r="C229" s="8">
        <v>1618905</v>
      </c>
      <c r="D229" s="13">
        <f t="shared" si="41"/>
        <v>1020</v>
      </c>
      <c r="E229" s="46">
        <v>13145</v>
      </c>
      <c r="F229" s="70">
        <v>13400</v>
      </c>
      <c r="G229" s="133">
        <f t="shared" si="44"/>
        <v>255</v>
      </c>
      <c r="H229" s="8">
        <v>166535</v>
      </c>
      <c r="I229" s="8">
        <v>166535</v>
      </c>
      <c r="J229" s="13">
        <f t="shared" si="47"/>
        <v>0</v>
      </c>
      <c r="K229" s="138"/>
      <c r="L229" s="8">
        <v>311704</v>
      </c>
      <c r="M229" s="8">
        <v>312999</v>
      </c>
      <c r="N229" s="13">
        <f t="shared" si="43"/>
        <v>1295</v>
      </c>
      <c r="O229" s="136"/>
      <c r="P229" s="8">
        <v>209341</v>
      </c>
      <c r="Q229" s="8">
        <v>209576</v>
      </c>
      <c r="R229" s="133">
        <f t="shared" si="38"/>
        <v>235</v>
      </c>
      <c r="S229" s="8">
        <v>173680</v>
      </c>
      <c r="T229" s="8">
        <v>173732</v>
      </c>
      <c r="U229" s="133">
        <f t="shared" si="40"/>
        <v>52</v>
      </c>
      <c r="V229" s="8">
        <v>261912</v>
      </c>
      <c r="W229" s="8">
        <v>262373</v>
      </c>
      <c r="X229" s="13">
        <f t="shared" si="46"/>
        <v>461</v>
      </c>
      <c r="Y229" s="8">
        <v>11567</v>
      </c>
      <c r="Z229" s="8">
        <v>11575</v>
      </c>
      <c r="AA229" s="13">
        <f t="shared" si="39"/>
        <v>8</v>
      </c>
      <c r="AB229" s="8">
        <v>181482</v>
      </c>
      <c r="AC229" s="8">
        <v>181551</v>
      </c>
      <c r="AD229" s="13">
        <f t="shared" ref="AD229:AD292" si="48">AC229-AB229</f>
        <v>69</v>
      </c>
      <c r="AE229" s="135"/>
      <c r="AF229" s="135"/>
      <c r="AG229" s="135"/>
      <c r="AH229" s="136"/>
      <c r="AI229" s="50">
        <f t="shared" si="42"/>
        <v>756</v>
      </c>
    </row>
    <row r="230" spans="1:35">
      <c r="A230" s="12">
        <v>44605</v>
      </c>
      <c r="B230" s="8">
        <v>1618905</v>
      </c>
      <c r="C230" s="8">
        <v>1619900</v>
      </c>
      <c r="D230" s="13">
        <f t="shared" si="41"/>
        <v>995</v>
      </c>
      <c r="E230" s="46">
        <v>13400</v>
      </c>
      <c r="F230" s="56">
        <v>13459</v>
      </c>
      <c r="G230" s="133">
        <f t="shared" si="44"/>
        <v>59</v>
      </c>
      <c r="H230" s="8">
        <v>166535</v>
      </c>
      <c r="I230" s="8">
        <v>166535</v>
      </c>
      <c r="J230" s="13">
        <f t="shared" si="47"/>
        <v>0</v>
      </c>
      <c r="K230" s="138"/>
      <c r="L230" s="8">
        <v>312999</v>
      </c>
      <c r="M230" s="8">
        <v>313832</v>
      </c>
      <c r="N230" s="13">
        <f t="shared" si="43"/>
        <v>833</v>
      </c>
      <c r="O230" s="136"/>
      <c r="P230" s="8">
        <v>209576</v>
      </c>
      <c r="Q230" s="8">
        <v>210328</v>
      </c>
      <c r="R230" s="133">
        <f t="shared" si="38"/>
        <v>752</v>
      </c>
      <c r="S230" s="8">
        <v>173732</v>
      </c>
      <c r="T230" s="8">
        <v>173781</v>
      </c>
      <c r="U230" s="133">
        <f t="shared" si="40"/>
        <v>49</v>
      </c>
      <c r="V230" s="8">
        <v>262373</v>
      </c>
      <c r="W230" s="8">
        <v>262784</v>
      </c>
      <c r="X230" s="13">
        <f t="shared" si="46"/>
        <v>411</v>
      </c>
      <c r="Y230" s="8">
        <v>11575</v>
      </c>
      <c r="Z230" s="8">
        <v>11581</v>
      </c>
      <c r="AA230" s="13">
        <f t="shared" si="39"/>
        <v>6</v>
      </c>
      <c r="AB230" s="8">
        <v>181551</v>
      </c>
      <c r="AC230" s="8">
        <v>181617</v>
      </c>
      <c r="AD230" s="13">
        <f t="shared" si="48"/>
        <v>66</v>
      </c>
      <c r="AE230" s="135"/>
      <c r="AF230" s="135"/>
      <c r="AG230" s="135"/>
      <c r="AH230" s="136"/>
      <c r="AI230" s="50">
        <f t="shared" si="42"/>
        <v>1218</v>
      </c>
    </row>
    <row r="231" spans="1:35">
      <c r="A231" s="12">
        <v>44606</v>
      </c>
      <c r="B231" s="8">
        <v>1619900</v>
      </c>
      <c r="C231" s="8">
        <v>1620807</v>
      </c>
      <c r="D231" s="13">
        <f t="shared" si="41"/>
        <v>907</v>
      </c>
      <c r="E231" s="54">
        <v>13459</v>
      </c>
      <c r="F231" s="70">
        <v>13859</v>
      </c>
      <c r="G231" s="133">
        <f t="shared" si="44"/>
        <v>400</v>
      </c>
      <c r="H231" s="8">
        <v>166535</v>
      </c>
      <c r="I231" s="8">
        <v>166535</v>
      </c>
      <c r="J231" s="13">
        <f t="shared" si="47"/>
        <v>0</v>
      </c>
      <c r="K231" s="138"/>
      <c r="L231" s="8">
        <v>313832</v>
      </c>
      <c r="M231" s="8">
        <v>314977</v>
      </c>
      <c r="N231" s="13">
        <f t="shared" si="43"/>
        <v>1145</v>
      </c>
      <c r="O231" s="136"/>
      <c r="P231" s="8">
        <v>210328</v>
      </c>
      <c r="Q231" s="8">
        <v>210753</v>
      </c>
      <c r="R231" s="133">
        <f t="shared" si="38"/>
        <v>425</v>
      </c>
      <c r="S231" s="8">
        <v>173781</v>
      </c>
      <c r="T231" s="8">
        <v>173835</v>
      </c>
      <c r="U231" s="133">
        <f t="shared" si="40"/>
        <v>54</v>
      </c>
      <c r="V231" s="8">
        <v>262784</v>
      </c>
      <c r="W231" s="8">
        <v>262997</v>
      </c>
      <c r="X231" s="13">
        <f t="shared" si="46"/>
        <v>213</v>
      </c>
      <c r="Y231" s="8">
        <v>11581</v>
      </c>
      <c r="Z231" s="8">
        <v>11588</v>
      </c>
      <c r="AA231" s="13">
        <f t="shared" si="39"/>
        <v>7</v>
      </c>
      <c r="AB231" s="8">
        <v>181617</v>
      </c>
      <c r="AC231" s="8">
        <v>181693</v>
      </c>
      <c r="AD231" s="13">
        <f t="shared" si="48"/>
        <v>76</v>
      </c>
      <c r="AE231" s="135"/>
      <c r="AF231" s="135"/>
      <c r="AG231" s="135"/>
      <c r="AH231" s="136"/>
      <c r="AI231" s="50">
        <f t="shared" si="42"/>
        <v>699</v>
      </c>
    </row>
    <row r="232" spans="1:35">
      <c r="A232" s="12">
        <v>44607</v>
      </c>
      <c r="B232" s="8">
        <v>1620807</v>
      </c>
      <c r="C232" s="8">
        <v>1621766</v>
      </c>
      <c r="D232" s="13">
        <f t="shared" si="41"/>
        <v>959</v>
      </c>
      <c r="E232" s="56">
        <v>13859</v>
      </c>
      <c r="F232" s="56">
        <v>14546</v>
      </c>
      <c r="G232" s="133">
        <f t="shared" si="44"/>
        <v>687</v>
      </c>
      <c r="H232" s="8">
        <v>166535</v>
      </c>
      <c r="I232" s="8">
        <v>166535</v>
      </c>
      <c r="J232" s="13">
        <f t="shared" si="47"/>
        <v>0</v>
      </c>
      <c r="K232" s="138"/>
      <c r="L232" s="8">
        <v>314977</v>
      </c>
      <c r="M232" s="8">
        <v>316033</v>
      </c>
      <c r="N232" s="13">
        <f t="shared" si="43"/>
        <v>1056</v>
      </c>
      <c r="O232" s="136"/>
      <c r="P232" s="8">
        <v>210753</v>
      </c>
      <c r="Q232" s="8">
        <v>211190</v>
      </c>
      <c r="R232" s="133">
        <f t="shared" si="38"/>
        <v>437</v>
      </c>
      <c r="S232" s="8">
        <v>173835</v>
      </c>
      <c r="T232" s="8">
        <v>173885</v>
      </c>
      <c r="U232" s="133">
        <f t="shared" si="40"/>
        <v>50</v>
      </c>
      <c r="V232" s="8">
        <v>262997</v>
      </c>
      <c r="W232" s="8">
        <v>263325</v>
      </c>
      <c r="X232" s="13">
        <f t="shared" si="46"/>
        <v>328</v>
      </c>
      <c r="Y232" s="8">
        <v>11588</v>
      </c>
      <c r="Z232" s="8">
        <v>11597</v>
      </c>
      <c r="AA232" s="13">
        <f t="shared" si="39"/>
        <v>9</v>
      </c>
      <c r="AB232" s="8">
        <v>181693</v>
      </c>
      <c r="AC232" s="8">
        <v>181766</v>
      </c>
      <c r="AD232" s="13">
        <f t="shared" si="48"/>
        <v>73</v>
      </c>
      <c r="AE232" s="135"/>
      <c r="AF232" s="135"/>
      <c r="AG232" s="135"/>
      <c r="AH232" s="136"/>
      <c r="AI232" s="50">
        <f t="shared" si="42"/>
        <v>824</v>
      </c>
    </row>
    <row r="233" spans="1:35">
      <c r="A233" s="12">
        <v>44608</v>
      </c>
      <c r="B233" s="8">
        <v>1621766</v>
      </c>
      <c r="C233" s="8">
        <v>1622378</v>
      </c>
      <c r="D233" s="13">
        <f t="shared" si="41"/>
        <v>612</v>
      </c>
      <c r="E233" s="56">
        <v>14546</v>
      </c>
      <c r="F233" s="56">
        <v>15294</v>
      </c>
      <c r="G233" s="133">
        <f t="shared" si="44"/>
        <v>748</v>
      </c>
      <c r="H233" s="8">
        <v>166535</v>
      </c>
      <c r="I233" s="8">
        <v>166535</v>
      </c>
      <c r="J233" s="13">
        <f t="shared" si="47"/>
        <v>0</v>
      </c>
      <c r="K233" s="138"/>
      <c r="L233" s="8">
        <v>316033</v>
      </c>
      <c r="M233" s="8">
        <v>317099</v>
      </c>
      <c r="N233" s="13">
        <f t="shared" si="43"/>
        <v>1066</v>
      </c>
      <c r="O233" s="136"/>
      <c r="P233" s="8">
        <v>211190</v>
      </c>
      <c r="Q233" s="8">
        <v>211705</v>
      </c>
      <c r="R233" s="133">
        <f t="shared" si="38"/>
        <v>515</v>
      </c>
      <c r="S233" s="8">
        <v>173885</v>
      </c>
      <c r="T233" s="8">
        <v>173957</v>
      </c>
      <c r="U233" s="133">
        <f t="shared" si="40"/>
        <v>72</v>
      </c>
      <c r="V233" s="8">
        <v>263325</v>
      </c>
      <c r="W233" s="8">
        <v>263727</v>
      </c>
      <c r="X233" s="13">
        <f t="shared" si="46"/>
        <v>402</v>
      </c>
      <c r="Y233" s="8">
        <v>11597</v>
      </c>
      <c r="Z233" s="8">
        <v>11610</v>
      </c>
      <c r="AA233" s="13">
        <f t="shared" si="39"/>
        <v>13</v>
      </c>
      <c r="AB233" s="8">
        <v>181766</v>
      </c>
      <c r="AC233" s="8">
        <v>181820</v>
      </c>
      <c r="AD233" s="13">
        <f t="shared" si="48"/>
        <v>54</v>
      </c>
      <c r="AE233" s="135"/>
      <c r="AF233" s="135"/>
      <c r="AG233" s="135"/>
      <c r="AH233" s="136"/>
      <c r="AI233" s="50">
        <f t="shared" si="42"/>
        <v>1002</v>
      </c>
    </row>
    <row r="234" spans="1:35">
      <c r="A234" s="12">
        <v>44609</v>
      </c>
      <c r="B234" s="8">
        <v>1622378</v>
      </c>
      <c r="C234" s="8">
        <v>1623213</v>
      </c>
      <c r="D234" s="13">
        <f t="shared" si="41"/>
        <v>835</v>
      </c>
      <c r="E234" s="56">
        <v>15294</v>
      </c>
      <c r="F234" s="56">
        <v>15720</v>
      </c>
      <c r="G234" s="133">
        <f t="shared" si="44"/>
        <v>426</v>
      </c>
      <c r="H234" s="8">
        <v>166535</v>
      </c>
      <c r="I234" s="8">
        <v>166535</v>
      </c>
      <c r="J234" s="13">
        <f t="shared" si="47"/>
        <v>0</v>
      </c>
      <c r="K234" s="138"/>
      <c r="L234" s="8">
        <v>317099</v>
      </c>
      <c r="M234" s="8">
        <v>318117</v>
      </c>
      <c r="N234" s="13">
        <f t="shared" si="43"/>
        <v>1018</v>
      </c>
      <c r="O234" s="136"/>
      <c r="P234" s="8">
        <v>211705</v>
      </c>
      <c r="Q234" s="8">
        <v>212134</v>
      </c>
      <c r="R234" s="133">
        <f t="shared" si="38"/>
        <v>429</v>
      </c>
      <c r="S234" s="8">
        <v>173957</v>
      </c>
      <c r="T234" s="8">
        <v>174005</v>
      </c>
      <c r="U234" s="133">
        <f t="shared" si="40"/>
        <v>48</v>
      </c>
      <c r="V234" s="8">
        <v>263727</v>
      </c>
      <c r="W234" s="8">
        <v>263997</v>
      </c>
      <c r="X234" s="13">
        <f t="shared" si="46"/>
        <v>270</v>
      </c>
      <c r="Y234" s="8">
        <v>11610</v>
      </c>
      <c r="Z234" s="8">
        <v>11625</v>
      </c>
      <c r="AA234" s="13">
        <f t="shared" si="39"/>
        <v>15</v>
      </c>
      <c r="AB234" s="8">
        <v>181820</v>
      </c>
      <c r="AC234" s="8">
        <v>181896</v>
      </c>
      <c r="AD234" s="13">
        <f t="shared" si="48"/>
        <v>76</v>
      </c>
      <c r="AE234" s="135"/>
      <c r="AF234" s="135"/>
      <c r="AG234" s="135"/>
      <c r="AH234" s="136"/>
      <c r="AI234" s="50">
        <f t="shared" si="42"/>
        <v>762</v>
      </c>
    </row>
    <row r="235" spans="1:35">
      <c r="A235" s="12">
        <v>44610</v>
      </c>
      <c r="B235" s="8">
        <v>1623213</v>
      </c>
      <c r="C235" s="8">
        <v>1624245</v>
      </c>
      <c r="D235" s="13">
        <f t="shared" si="41"/>
        <v>1032</v>
      </c>
      <c r="E235" s="56">
        <v>15720</v>
      </c>
      <c r="F235" s="56">
        <v>16096</v>
      </c>
      <c r="G235" s="133">
        <f t="shared" si="44"/>
        <v>376</v>
      </c>
      <c r="H235" s="8">
        <v>166535</v>
      </c>
      <c r="I235" s="8">
        <v>166535</v>
      </c>
      <c r="J235" s="13">
        <f t="shared" si="47"/>
        <v>0</v>
      </c>
      <c r="K235" s="138"/>
      <c r="L235" s="8">
        <v>318117</v>
      </c>
      <c r="M235" s="8">
        <v>319062</v>
      </c>
      <c r="N235" s="13">
        <f t="shared" si="43"/>
        <v>945</v>
      </c>
      <c r="O235" s="136"/>
      <c r="P235" s="8">
        <v>212134</v>
      </c>
      <c r="Q235" s="8">
        <v>212531</v>
      </c>
      <c r="R235" s="133">
        <f t="shared" si="38"/>
        <v>397</v>
      </c>
      <c r="S235" s="8">
        <v>174005</v>
      </c>
      <c r="T235" s="8">
        <v>174054</v>
      </c>
      <c r="U235" s="133">
        <f t="shared" si="40"/>
        <v>49</v>
      </c>
      <c r="V235" s="8">
        <v>263997</v>
      </c>
      <c r="W235" s="8">
        <v>264447</v>
      </c>
      <c r="X235" s="13">
        <f t="shared" si="46"/>
        <v>450</v>
      </c>
      <c r="Y235" s="8">
        <v>11625</v>
      </c>
      <c r="Z235" s="8">
        <v>11629</v>
      </c>
      <c r="AA235" s="13">
        <f t="shared" si="39"/>
        <v>4</v>
      </c>
      <c r="AB235" s="8">
        <v>181896</v>
      </c>
      <c r="AC235" s="8">
        <v>181982</v>
      </c>
      <c r="AD235" s="13">
        <f t="shared" si="48"/>
        <v>86</v>
      </c>
      <c r="AE235" s="135"/>
      <c r="AF235" s="135"/>
      <c r="AG235" s="135"/>
      <c r="AH235" s="136"/>
      <c r="AI235" s="50">
        <f t="shared" si="42"/>
        <v>900</v>
      </c>
    </row>
    <row r="236" spans="1:35">
      <c r="A236" s="12">
        <v>44611</v>
      </c>
      <c r="B236" s="8">
        <v>1624245</v>
      </c>
      <c r="C236" s="8">
        <v>1624845</v>
      </c>
      <c r="D236" s="13">
        <f t="shared" si="41"/>
        <v>600</v>
      </c>
      <c r="E236" s="56">
        <v>16096</v>
      </c>
      <c r="F236" s="56">
        <v>16551</v>
      </c>
      <c r="G236" s="133">
        <f t="shared" si="44"/>
        <v>455</v>
      </c>
      <c r="H236" s="8">
        <v>166535</v>
      </c>
      <c r="I236" s="8">
        <v>166535</v>
      </c>
      <c r="J236" s="13">
        <f t="shared" si="47"/>
        <v>0</v>
      </c>
      <c r="K236" s="138"/>
      <c r="L236" s="8">
        <v>319062</v>
      </c>
      <c r="M236" s="8">
        <v>320165</v>
      </c>
      <c r="N236" s="13">
        <f t="shared" si="43"/>
        <v>1103</v>
      </c>
      <c r="O236" s="136"/>
      <c r="P236" s="8">
        <v>212531</v>
      </c>
      <c r="Q236" s="8">
        <v>213044</v>
      </c>
      <c r="R236" s="133">
        <f>Q236-P236</f>
        <v>513</v>
      </c>
      <c r="S236" s="8">
        <v>174054</v>
      </c>
      <c r="T236" s="8">
        <v>174114</v>
      </c>
      <c r="U236" s="133">
        <f t="shared" si="40"/>
        <v>60</v>
      </c>
      <c r="V236" s="8">
        <v>264447</v>
      </c>
      <c r="W236" s="8">
        <v>265041</v>
      </c>
      <c r="X236" s="13">
        <f t="shared" si="46"/>
        <v>594</v>
      </c>
      <c r="Y236" s="8">
        <v>11629</v>
      </c>
      <c r="Z236" s="8">
        <v>11638</v>
      </c>
      <c r="AA236" s="13">
        <f t="shared" si="39"/>
        <v>9</v>
      </c>
      <c r="AB236" s="8">
        <v>181982</v>
      </c>
      <c r="AC236" s="8">
        <v>182042</v>
      </c>
      <c r="AD236" s="13">
        <f t="shared" si="48"/>
        <v>60</v>
      </c>
      <c r="AE236" s="135"/>
      <c r="AF236" s="135"/>
      <c r="AG236" s="135"/>
      <c r="AH236" s="136"/>
      <c r="AI236" s="50">
        <f t="shared" si="42"/>
        <v>1176</v>
      </c>
    </row>
    <row r="237" spans="1:35">
      <c r="A237" s="12">
        <v>44612</v>
      </c>
      <c r="B237" s="8">
        <v>1624845</v>
      </c>
      <c r="C237" s="8">
        <v>1625611</v>
      </c>
      <c r="D237" s="13">
        <f t="shared" si="41"/>
        <v>766</v>
      </c>
      <c r="E237" s="56">
        <v>16551</v>
      </c>
      <c r="F237" s="70">
        <v>16937</v>
      </c>
      <c r="G237" s="133">
        <f t="shared" si="44"/>
        <v>386</v>
      </c>
      <c r="H237" s="8">
        <v>166535</v>
      </c>
      <c r="I237" s="8">
        <v>166535</v>
      </c>
      <c r="J237" s="13">
        <f t="shared" si="47"/>
        <v>0</v>
      </c>
      <c r="K237" s="138"/>
      <c r="L237" s="8">
        <v>320165</v>
      </c>
      <c r="M237" s="8">
        <v>321154</v>
      </c>
      <c r="N237" s="13">
        <f t="shared" si="43"/>
        <v>989</v>
      </c>
      <c r="O237" s="136"/>
      <c r="P237" s="8">
        <v>213044</v>
      </c>
      <c r="Q237" s="8">
        <v>213448</v>
      </c>
      <c r="R237" s="133">
        <f>Q237-P237</f>
        <v>404</v>
      </c>
      <c r="S237" s="8">
        <v>174114</v>
      </c>
      <c r="T237" s="8">
        <v>174153</v>
      </c>
      <c r="U237" s="133">
        <f t="shared" si="40"/>
        <v>39</v>
      </c>
      <c r="V237" s="8">
        <v>265041</v>
      </c>
      <c r="W237" s="8">
        <v>265341</v>
      </c>
      <c r="X237" s="13">
        <f t="shared" si="46"/>
        <v>300</v>
      </c>
      <c r="Y237" s="8">
        <v>11638</v>
      </c>
      <c r="Z237" s="8">
        <v>11646</v>
      </c>
      <c r="AA237" s="13">
        <f t="shared" si="39"/>
        <v>8</v>
      </c>
      <c r="AB237" s="8">
        <v>182042</v>
      </c>
      <c r="AC237" s="8">
        <v>182088</v>
      </c>
      <c r="AD237" s="13">
        <f t="shared" si="48"/>
        <v>46</v>
      </c>
      <c r="AE237" s="135"/>
      <c r="AF237" s="135"/>
      <c r="AG237" s="135"/>
      <c r="AH237" s="136"/>
      <c r="AI237" s="50">
        <f t="shared" si="42"/>
        <v>751</v>
      </c>
    </row>
    <row r="238" spans="1:35">
      <c r="A238" s="12">
        <v>44613</v>
      </c>
      <c r="B238" s="8">
        <v>1625611</v>
      </c>
      <c r="C238" s="8">
        <v>1626551</v>
      </c>
      <c r="D238" s="13">
        <f t="shared" si="41"/>
        <v>940</v>
      </c>
      <c r="E238" s="46">
        <v>16937</v>
      </c>
      <c r="F238" s="71">
        <v>17506</v>
      </c>
      <c r="G238" s="133">
        <f t="shared" si="44"/>
        <v>569</v>
      </c>
      <c r="H238" s="8">
        <v>166535</v>
      </c>
      <c r="I238" s="8">
        <v>166535</v>
      </c>
      <c r="J238" s="13">
        <f t="shared" si="47"/>
        <v>0</v>
      </c>
      <c r="K238" s="138"/>
      <c r="L238" s="8">
        <v>321154</v>
      </c>
      <c r="M238" s="8">
        <v>322239</v>
      </c>
      <c r="N238" s="13">
        <f t="shared" si="43"/>
        <v>1085</v>
      </c>
      <c r="O238" s="136"/>
      <c r="P238" s="8">
        <v>213448</v>
      </c>
      <c r="Q238" s="8">
        <v>213887</v>
      </c>
      <c r="R238" s="133">
        <f t="shared" ref="R238:R301" si="49">Q238-P238</f>
        <v>439</v>
      </c>
      <c r="S238" s="8">
        <v>174153</v>
      </c>
      <c r="T238" s="8">
        <v>174198</v>
      </c>
      <c r="U238" s="133">
        <f t="shared" si="40"/>
        <v>45</v>
      </c>
      <c r="V238" s="8">
        <v>265341</v>
      </c>
      <c r="W238" s="8">
        <v>265739</v>
      </c>
      <c r="X238" s="13">
        <f t="shared" si="46"/>
        <v>398</v>
      </c>
      <c r="Y238" s="8">
        <v>11646</v>
      </c>
      <c r="Z238" s="8">
        <v>11659</v>
      </c>
      <c r="AA238" s="13">
        <f t="shared" si="39"/>
        <v>13</v>
      </c>
      <c r="AB238" s="8">
        <v>182088</v>
      </c>
      <c r="AC238" s="8">
        <v>182154</v>
      </c>
      <c r="AD238" s="13">
        <f t="shared" si="48"/>
        <v>66</v>
      </c>
      <c r="AE238" s="135"/>
      <c r="AF238" s="135"/>
      <c r="AG238" s="135"/>
      <c r="AH238" s="136"/>
      <c r="AI238" s="50">
        <f t="shared" si="42"/>
        <v>895</v>
      </c>
    </row>
    <row r="239" spans="1:35">
      <c r="A239" s="12">
        <v>44614</v>
      </c>
      <c r="B239" s="8">
        <v>1626551</v>
      </c>
      <c r="C239" s="8">
        <v>1626561</v>
      </c>
      <c r="D239" s="13">
        <f t="shared" si="41"/>
        <v>10</v>
      </c>
      <c r="E239" s="8">
        <v>17506</v>
      </c>
      <c r="F239" s="70">
        <v>17729</v>
      </c>
      <c r="G239" s="133">
        <f t="shared" si="44"/>
        <v>223</v>
      </c>
      <c r="H239" s="8">
        <v>166535</v>
      </c>
      <c r="I239" s="8">
        <v>166535</v>
      </c>
      <c r="J239" s="13">
        <f t="shared" si="47"/>
        <v>0</v>
      </c>
      <c r="K239" s="138"/>
      <c r="L239" s="8">
        <v>322239</v>
      </c>
      <c r="M239" s="8">
        <v>323323</v>
      </c>
      <c r="N239" s="13">
        <f t="shared" si="43"/>
        <v>1084</v>
      </c>
      <c r="O239" s="136"/>
      <c r="P239" s="8">
        <v>213887</v>
      </c>
      <c r="Q239" s="8">
        <v>214344</v>
      </c>
      <c r="R239" s="133">
        <f t="shared" si="49"/>
        <v>457</v>
      </c>
      <c r="S239" s="8">
        <v>174198</v>
      </c>
      <c r="T239" s="8">
        <v>174242</v>
      </c>
      <c r="U239" s="133">
        <f t="shared" si="40"/>
        <v>44</v>
      </c>
      <c r="V239" s="8">
        <v>265739</v>
      </c>
      <c r="W239" s="8">
        <v>265992</v>
      </c>
      <c r="X239" s="13">
        <f t="shared" si="46"/>
        <v>253</v>
      </c>
      <c r="Y239" s="8">
        <v>11659</v>
      </c>
      <c r="Z239" s="8">
        <v>11663</v>
      </c>
      <c r="AA239" s="13">
        <f t="shared" si="39"/>
        <v>4</v>
      </c>
      <c r="AB239" s="8">
        <v>182154</v>
      </c>
      <c r="AC239" s="8">
        <v>182205</v>
      </c>
      <c r="AD239" s="13">
        <f t="shared" si="48"/>
        <v>51</v>
      </c>
      <c r="AE239" s="135"/>
      <c r="AF239" s="135"/>
      <c r="AG239" s="135"/>
      <c r="AH239" s="136"/>
      <c r="AI239" s="50">
        <f t="shared" si="42"/>
        <v>758</v>
      </c>
    </row>
    <row r="240" spans="1:35">
      <c r="A240" s="12">
        <v>44615</v>
      </c>
      <c r="B240" s="8">
        <v>1626561</v>
      </c>
      <c r="C240" s="8">
        <v>1626562</v>
      </c>
      <c r="D240" s="13">
        <f t="shared" si="41"/>
        <v>1</v>
      </c>
      <c r="E240" s="46">
        <v>17729</v>
      </c>
      <c r="F240" s="56">
        <v>18530</v>
      </c>
      <c r="G240" s="133">
        <f t="shared" si="44"/>
        <v>801</v>
      </c>
      <c r="H240" s="8">
        <v>166535</v>
      </c>
      <c r="I240" s="8">
        <v>166535</v>
      </c>
      <c r="J240" s="13">
        <f t="shared" si="47"/>
        <v>0</v>
      </c>
      <c r="K240" s="138"/>
      <c r="L240" s="8">
        <v>323323</v>
      </c>
      <c r="M240" s="8">
        <v>323908</v>
      </c>
      <c r="N240" s="13">
        <f t="shared" si="43"/>
        <v>585</v>
      </c>
      <c r="O240" s="136"/>
      <c r="P240" s="8">
        <v>214344</v>
      </c>
      <c r="Q240" s="8">
        <v>214626</v>
      </c>
      <c r="R240" s="133">
        <f t="shared" si="49"/>
        <v>282</v>
      </c>
      <c r="S240" s="8">
        <v>174242</v>
      </c>
      <c r="T240" s="8">
        <v>174273</v>
      </c>
      <c r="U240" s="133">
        <f t="shared" si="40"/>
        <v>31</v>
      </c>
      <c r="V240" s="8">
        <v>265992</v>
      </c>
      <c r="W240" s="8">
        <v>265999</v>
      </c>
      <c r="X240" s="13">
        <f t="shared" si="46"/>
        <v>7</v>
      </c>
      <c r="Y240" s="8">
        <v>11663</v>
      </c>
      <c r="Z240" s="8">
        <v>11668</v>
      </c>
      <c r="AA240" s="13">
        <f t="shared" si="39"/>
        <v>5</v>
      </c>
      <c r="AB240" s="8">
        <v>182205</v>
      </c>
      <c r="AC240" s="8">
        <v>182211</v>
      </c>
      <c r="AD240" s="13">
        <f t="shared" si="48"/>
        <v>6</v>
      </c>
      <c r="AE240" s="135"/>
      <c r="AF240" s="135"/>
      <c r="AG240" s="135"/>
      <c r="AH240" s="136"/>
      <c r="AI240" s="50">
        <f t="shared" si="42"/>
        <v>325</v>
      </c>
    </row>
    <row r="241" spans="1:35">
      <c r="A241" s="12">
        <v>44616</v>
      </c>
      <c r="B241" s="8">
        <v>1626562</v>
      </c>
      <c r="C241" s="8">
        <v>1626562</v>
      </c>
      <c r="D241" s="13">
        <f t="shared" si="41"/>
        <v>0</v>
      </c>
      <c r="E241" s="56">
        <v>18530</v>
      </c>
      <c r="F241" s="56">
        <v>19318</v>
      </c>
      <c r="G241" s="133">
        <f t="shared" si="44"/>
        <v>788</v>
      </c>
      <c r="H241" s="8">
        <v>166535</v>
      </c>
      <c r="I241" s="8">
        <v>166830</v>
      </c>
      <c r="J241" s="13">
        <f t="shared" si="47"/>
        <v>295</v>
      </c>
      <c r="K241" s="138"/>
      <c r="L241" s="8">
        <v>323908</v>
      </c>
      <c r="M241" s="8">
        <v>324148</v>
      </c>
      <c r="N241" s="13">
        <f t="shared" si="43"/>
        <v>240</v>
      </c>
      <c r="O241" s="136"/>
      <c r="P241" s="8">
        <v>214626</v>
      </c>
      <c r="Q241" s="8">
        <v>214842</v>
      </c>
      <c r="R241" s="133">
        <f t="shared" si="49"/>
        <v>216</v>
      </c>
      <c r="S241" s="8">
        <v>174273</v>
      </c>
      <c r="T241" s="8">
        <v>174315</v>
      </c>
      <c r="U241" s="133">
        <f>T241-S241</f>
        <v>42</v>
      </c>
      <c r="V241" s="8">
        <v>265999</v>
      </c>
      <c r="W241" s="8">
        <v>266106</v>
      </c>
      <c r="X241" s="13">
        <f t="shared" si="46"/>
        <v>107</v>
      </c>
      <c r="Y241" s="8">
        <v>11668</v>
      </c>
      <c r="Z241" s="8">
        <v>11677</v>
      </c>
      <c r="AA241" s="13">
        <f t="shared" si="39"/>
        <v>9</v>
      </c>
      <c r="AB241" s="8">
        <v>182211</v>
      </c>
      <c r="AC241" s="8">
        <v>182213</v>
      </c>
      <c r="AD241" s="13">
        <f t="shared" si="48"/>
        <v>2</v>
      </c>
      <c r="AE241" s="135"/>
      <c r="AF241" s="135"/>
      <c r="AG241" s="135"/>
      <c r="AH241" s="136"/>
      <c r="AI241" s="50">
        <f t="shared" si="42"/>
        <v>374</v>
      </c>
    </row>
    <row r="242" spans="1:35">
      <c r="A242" s="12">
        <v>44617</v>
      </c>
      <c r="B242" s="8">
        <v>1626562</v>
      </c>
      <c r="C242" s="8">
        <v>1626562</v>
      </c>
      <c r="D242" s="13">
        <f t="shared" si="41"/>
        <v>0</v>
      </c>
      <c r="E242" s="56">
        <v>19318</v>
      </c>
      <c r="F242" s="70">
        <v>19997</v>
      </c>
      <c r="G242" s="133">
        <f t="shared" si="44"/>
        <v>679</v>
      </c>
      <c r="H242" s="8">
        <v>166830</v>
      </c>
      <c r="I242" s="8">
        <v>166961</v>
      </c>
      <c r="J242" s="13">
        <f t="shared" si="47"/>
        <v>131</v>
      </c>
      <c r="K242" s="138"/>
      <c r="L242" s="8">
        <v>324148</v>
      </c>
      <c r="M242" s="8">
        <v>324472</v>
      </c>
      <c r="N242" s="13">
        <f t="shared" si="43"/>
        <v>324</v>
      </c>
      <c r="O242" s="136"/>
      <c r="P242" s="8">
        <v>214842</v>
      </c>
      <c r="Q242" s="8">
        <v>214931</v>
      </c>
      <c r="R242" s="133">
        <f t="shared" si="49"/>
        <v>89</v>
      </c>
      <c r="S242" s="8">
        <v>174315</v>
      </c>
      <c r="T242" s="8">
        <v>174353</v>
      </c>
      <c r="U242" s="133">
        <f t="shared" si="40"/>
        <v>38</v>
      </c>
      <c r="V242" s="8">
        <v>266106</v>
      </c>
      <c r="W242" s="8">
        <v>266451</v>
      </c>
      <c r="X242" s="13">
        <f t="shared" si="46"/>
        <v>345</v>
      </c>
      <c r="Y242" s="8">
        <v>11677</v>
      </c>
      <c r="Z242" s="8">
        <v>11850</v>
      </c>
      <c r="AA242" s="13">
        <f t="shared" si="39"/>
        <v>173</v>
      </c>
      <c r="AB242" s="8">
        <v>182213</v>
      </c>
      <c r="AC242" s="8">
        <v>182214</v>
      </c>
      <c r="AD242" s="13">
        <f t="shared" si="48"/>
        <v>1</v>
      </c>
      <c r="AE242" s="135"/>
      <c r="AF242" s="135"/>
      <c r="AG242" s="135"/>
      <c r="AH242" s="136"/>
      <c r="AI242" s="50">
        <f t="shared" si="42"/>
        <v>645</v>
      </c>
    </row>
    <row r="243" spans="1:35">
      <c r="A243" s="12">
        <v>44618</v>
      </c>
      <c r="B243" s="8">
        <v>1626562</v>
      </c>
      <c r="C243" s="8">
        <v>1626562</v>
      </c>
      <c r="D243" s="13">
        <f t="shared" si="41"/>
        <v>0</v>
      </c>
      <c r="E243" s="46">
        <v>19997</v>
      </c>
      <c r="F243" s="70">
        <v>20780</v>
      </c>
      <c r="G243" s="133">
        <f t="shared" si="44"/>
        <v>783</v>
      </c>
      <c r="H243" s="8">
        <v>166961</v>
      </c>
      <c r="I243" s="8">
        <v>167423</v>
      </c>
      <c r="J243" s="13">
        <f t="shared" si="47"/>
        <v>462</v>
      </c>
      <c r="K243" s="138"/>
      <c r="L243" s="8">
        <v>324472</v>
      </c>
      <c r="M243" s="8">
        <v>325423</v>
      </c>
      <c r="N243" s="13">
        <f t="shared" si="43"/>
        <v>951</v>
      </c>
      <c r="O243" s="136"/>
      <c r="P243" s="8">
        <v>214931</v>
      </c>
      <c r="Q243" s="8">
        <v>215672</v>
      </c>
      <c r="R243" s="133">
        <f t="shared" si="49"/>
        <v>741</v>
      </c>
      <c r="S243" s="8">
        <v>174353</v>
      </c>
      <c r="T243" s="8">
        <v>174396</v>
      </c>
      <c r="U243" s="133">
        <f t="shared" si="40"/>
        <v>43</v>
      </c>
      <c r="V243" s="8">
        <v>266451</v>
      </c>
      <c r="W243" s="8">
        <v>266612</v>
      </c>
      <c r="X243" s="13">
        <f t="shared" si="46"/>
        <v>161</v>
      </c>
      <c r="Y243" s="8">
        <v>11850</v>
      </c>
      <c r="Z243" s="8">
        <v>11908</v>
      </c>
      <c r="AA243" s="13">
        <f t="shared" si="39"/>
        <v>58</v>
      </c>
      <c r="AB243" s="8">
        <v>182214</v>
      </c>
      <c r="AC243" s="8">
        <v>182214</v>
      </c>
      <c r="AD243" s="13">
        <f t="shared" si="48"/>
        <v>0</v>
      </c>
      <c r="AE243" s="135"/>
      <c r="AF243" s="135"/>
      <c r="AG243" s="135"/>
      <c r="AH243" s="136"/>
      <c r="AI243" s="50">
        <f t="shared" si="42"/>
        <v>1003</v>
      </c>
    </row>
    <row r="244" spans="1:35">
      <c r="A244" s="12">
        <v>44619</v>
      </c>
      <c r="B244" s="8">
        <v>1626562</v>
      </c>
      <c r="C244" s="8">
        <v>1626562</v>
      </c>
      <c r="D244" s="13">
        <f t="shared" si="41"/>
        <v>0</v>
      </c>
      <c r="E244" s="46">
        <v>20780</v>
      </c>
      <c r="F244" s="70">
        <v>21558</v>
      </c>
      <c r="G244" s="133">
        <f t="shared" si="44"/>
        <v>778</v>
      </c>
      <c r="H244" s="8">
        <v>167423</v>
      </c>
      <c r="I244" s="8">
        <v>168173</v>
      </c>
      <c r="J244" s="13">
        <f t="shared" si="47"/>
        <v>750</v>
      </c>
      <c r="K244" s="138"/>
      <c r="L244" s="8">
        <v>325423</v>
      </c>
      <c r="M244" s="8">
        <v>325642</v>
      </c>
      <c r="N244" s="13">
        <f t="shared" si="43"/>
        <v>219</v>
      </c>
      <c r="O244" s="136"/>
      <c r="P244" s="8">
        <v>215672</v>
      </c>
      <c r="Q244" s="8">
        <v>216086</v>
      </c>
      <c r="R244" s="133">
        <f t="shared" si="49"/>
        <v>414</v>
      </c>
      <c r="S244" s="8">
        <v>174396</v>
      </c>
      <c r="T244" s="8">
        <v>174439</v>
      </c>
      <c r="U244" s="133">
        <f>T244-S244</f>
        <v>43</v>
      </c>
      <c r="V244" s="8">
        <v>266612</v>
      </c>
      <c r="W244" s="8">
        <v>266790</v>
      </c>
      <c r="X244" s="13">
        <f t="shared" si="46"/>
        <v>178</v>
      </c>
      <c r="Y244" s="8">
        <v>11908</v>
      </c>
      <c r="Z244" s="8">
        <v>11933</v>
      </c>
      <c r="AA244" s="13">
        <f t="shared" si="39"/>
        <v>25</v>
      </c>
      <c r="AB244" s="8">
        <v>182214</v>
      </c>
      <c r="AC244" s="8">
        <v>182369</v>
      </c>
      <c r="AD244" s="13">
        <f t="shared" si="48"/>
        <v>155</v>
      </c>
      <c r="AE244" s="135"/>
      <c r="AF244" s="135"/>
      <c r="AG244" s="135"/>
      <c r="AH244" s="136"/>
      <c r="AI244" s="50">
        <f t="shared" si="42"/>
        <v>660</v>
      </c>
    </row>
    <row r="245" spans="1:35">
      <c r="A245" s="12">
        <v>44620</v>
      </c>
      <c r="B245" s="8">
        <v>1626562</v>
      </c>
      <c r="C245" s="8">
        <v>1626562</v>
      </c>
      <c r="D245" s="13">
        <f t="shared" si="41"/>
        <v>0</v>
      </c>
      <c r="E245" s="46">
        <v>21558</v>
      </c>
      <c r="F245" s="70">
        <v>22328</v>
      </c>
      <c r="G245" s="133">
        <f t="shared" si="44"/>
        <v>770</v>
      </c>
      <c r="H245" s="8">
        <v>168173</v>
      </c>
      <c r="I245" s="8">
        <v>168173</v>
      </c>
      <c r="J245" s="13">
        <f t="shared" si="47"/>
        <v>0</v>
      </c>
      <c r="K245" s="138"/>
      <c r="L245" s="8">
        <v>325642</v>
      </c>
      <c r="M245" s="8">
        <v>326291</v>
      </c>
      <c r="N245" s="13">
        <f t="shared" si="43"/>
        <v>649</v>
      </c>
      <c r="O245" s="136"/>
      <c r="P245" s="8">
        <v>216086</v>
      </c>
      <c r="Q245" s="8">
        <v>216366</v>
      </c>
      <c r="R245" s="133">
        <f t="shared" si="49"/>
        <v>280</v>
      </c>
      <c r="S245" s="8">
        <v>174439</v>
      </c>
      <c r="T245" s="8">
        <v>174483</v>
      </c>
      <c r="U245" s="133">
        <f t="shared" ref="U245:U280" si="50">T245-S245</f>
        <v>44</v>
      </c>
      <c r="V245" s="8">
        <v>266790</v>
      </c>
      <c r="W245" s="8">
        <v>266920</v>
      </c>
      <c r="X245" s="13">
        <f t="shared" si="46"/>
        <v>130</v>
      </c>
      <c r="Y245" s="8">
        <v>11933</v>
      </c>
      <c r="Z245" s="8">
        <v>11956</v>
      </c>
      <c r="AA245" s="13">
        <f t="shared" si="39"/>
        <v>23</v>
      </c>
      <c r="AB245" s="8">
        <v>182369</v>
      </c>
      <c r="AC245" s="8">
        <v>182440</v>
      </c>
      <c r="AD245" s="13">
        <f t="shared" si="48"/>
        <v>71</v>
      </c>
      <c r="AE245" s="135"/>
      <c r="AF245" s="135"/>
      <c r="AG245" s="135"/>
      <c r="AH245" s="136"/>
      <c r="AI245" s="50">
        <f t="shared" si="42"/>
        <v>477</v>
      </c>
    </row>
    <row r="246" spans="1:35">
      <c r="A246" s="12">
        <v>44621</v>
      </c>
      <c r="B246" s="8">
        <v>1626562</v>
      </c>
      <c r="C246" s="8">
        <v>1626562</v>
      </c>
      <c r="D246" s="13">
        <f t="shared" si="41"/>
        <v>0</v>
      </c>
      <c r="E246" s="46">
        <v>22328</v>
      </c>
      <c r="F246" s="70">
        <v>22587</v>
      </c>
      <c r="G246" s="133">
        <f t="shared" si="44"/>
        <v>259</v>
      </c>
      <c r="H246" s="8">
        <v>168173</v>
      </c>
      <c r="I246" s="8">
        <v>168173</v>
      </c>
      <c r="J246" s="13">
        <f t="shared" si="47"/>
        <v>0</v>
      </c>
      <c r="K246" s="138"/>
      <c r="L246" s="8">
        <v>326291</v>
      </c>
      <c r="M246" s="8">
        <v>327020</v>
      </c>
      <c r="N246" s="13">
        <f t="shared" si="43"/>
        <v>729</v>
      </c>
      <c r="O246" s="136"/>
      <c r="P246" s="8">
        <v>216366</v>
      </c>
      <c r="Q246" s="8">
        <v>216657</v>
      </c>
      <c r="R246" s="133">
        <f t="shared" si="49"/>
        <v>291</v>
      </c>
      <c r="S246" s="8">
        <v>174483</v>
      </c>
      <c r="T246" s="8">
        <v>174517</v>
      </c>
      <c r="U246" s="133">
        <f t="shared" si="50"/>
        <v>34</v>
      </c>
      <c r="V246" s="8">
        <v>266920</v>
      </c>
      <c r="W246" s="8">
        <v>267040</v>
      </c>
      <c r="X246" s="13">
        <f t="shared" si="46"/>
        <v>120</v>
      </c>
      <c r="Y246" s="8">
        <v>11956</v>
      </c>
      <c r="Z246" s="8">
        <v>11997</v>
      </c>
      <c r="AA246" s="13">
        <f t="shared" si="39"/>
        <v>41</v>
      </c>
      <c r="AB246" s="8">
        <v>182440</v>
      </c>
      <c r="AC246" s="8">
        <v>182508</v>
      </c>
      <c r="AD246" s="13">
        <f t="shared" si="48"/>
        <v>68</v>
      </c>
      <c r="AE246" s="135"/>
      <c r="AF246" s="135"/>
      <c r="AG246" s="135"/>
      <c r="AH246" s="136"/>
      <c r="AI246" s="50">
        <f t="shared" si="42"/>
        <v>486</v>
      </c>
    </row>
    <row r="247" spans="1:35">
      <c r="A247" s="12">
        <v>44622</v>
      </c>
      <c r="B247" s="8">
        <v>1626562</v>
      </c>
      <c r="C247" s="8">
        <v>1626562</v>
      </c>
      <c r="D247" s="13">
        <f t="shared" si="41"/>
        <v>0</v>
      </c>
      <c r="E247" s="46">
        <v>22587</v>
      </c>
      <c r="F247" s="70">
        <v>23209</v>
      </c>
      <c r="G247" s="133">
        <f t="shared" si="44"/>
        <v>622</v>
      </c>
      <c r="H247" s="8">
        <v>168173</v>
      </c>
      <c r="I247" s="8">
        <v>168173</v>
      </c>
      <c r="J247" s="13">
        <f t="shared" si="47"/>
        <v>0</v>
      </c>
      <c r="K247" s="138"/>
      <c r="L247" s="8">
        <v>327020</v>
      </c>
      <c r="M247" s="8">
        <v>327892</v>
      </c>
      <c r="N247" s="13">
        <f t="shared" si="43"/>
        <v>872</v>
      </c>
      <c r="O247" s="136"/>
      <c r="P247" s="8">
        <v>216657</v>
      </c>
      <c r="Q247" s="8">
        <v>217040</v>
      </c>
      <c r="R247" s="133">
        <f t="shared" si="49"/>
        <v>383</v>
      </c>
      <c r="S247" s="8">
        <v>174517</v>
      </c>
      <c r="T247" s="8">
        <v>174517</v>
      </c>
      <c r="U247" s="133">
        <f t="shared" si="50"/>
        <v>0</v>
      </c>
      <c r="V247" s="8">
        <v>267040</v>
      </c>
      <c r="W247" s="8">
        <v>267125</v>
      </c>
      <c r="X247" s="13">
        <f t="shared" si="46"/>
        <v>85</v>
      </c>
      <c r="Y247" s="8">
        <v>11997</v>
      </c>
      <c r="Z247" s="8">
        <v>12076</v>
      </c>
      <c r="AA247" s="13">
        <f t="shared" si="39"/>
        <v>79</v>
      </c>
      <c r="AB247" s="8">
        <v>182508</v>
      </c>
      <c r="AC247" s="8">
        <v>182578</v>
      </c>
      <c r="AD247" s="13">
        <f t="shared" si="48"/>
        <v>70</v>
      </c>
      <c r="AE247" s="135"/>
      <c r="AF247" s="135"/>
      <c r="AG247" s="135"/>
      <c r="AH247" s="136"/>
      <c r="AI247" s="50">
        <f t="shared" si="42"/>
        <v>547</v>
      </c>
    </row>
    <row r="248" spans="1:35">
      <c r="A248" s="12">
        <v>44623</v>
      </c>
      <c r="B248" s="8">
        <v>1626562</v>
      </c>
      <c r="C248" s="8">
        <v>1626562</v>
      </c>
      <c r="D248" s="13">
        <f t="shared" si="41"/>
        <v>0</v>
      </c>
      <c r="E248" s="46">
        <v>23209</v>
      </c>
      <c r="F248" s="70">
        <v>23970</v>
      </c>
      <c r="G248" s="133">
        <f t="shared" si="44"/>
        <v>761</v>
      </c>
      <c r="H248" s="8">
        <v>168173</v>
      </c>
      <c r="I248" s="8">
        <v>168492</v>
      </c>
      <c r="J248" s="13">
        <f t="shared" si="47"/>
        <v>319</v>
      </c>
      <c r="K248" s="138"/>
      <c r="L248" s="8">
        <v>327892</v>
      </c>
      <c r="M248" s="8">
        <v>328112</v>
      </c>
      <c r="N248" s="13">
        <f t="shared" si="43"/>
        <v>220</v>
      </c>
      <c r="O248" s="136"/>
      <c r="P248" s="8">
        <v>217040</v>
      </c>
      <c r="Q248" s="8">
        <v>217359</v>
      </c>
      <c r="R248" s="133">
        <f t="shared" si="49"/>
        <v>319</v>
      </c>
      <c r="S248" s="8">
        <v>174517</v>
      </c>
      <c r="T248" s="8">
        <v>174532</v>
      </c>
      <c r="U248" s="133">
        <f t="shared" si="50"/>
        <v>15</v>
      </c>
      <c r="V248" s="8">
        <v>267125</v>
      </c>
      <c r="W248" s="8">
        <v>267280</v>
      </c>
      <c r="X248" s="13">
        <f t="shared" si="46"/>
        <v>155</v>
      </c>
      <c r="Y248" s="8">
        <v>12076</v>
      </c>
      <c r="Z248" s="8">
        <v>12098</v>
      </c>
      <c r="AA248" s="13">
        <f t="shared" ref="AA248:AA311" si="51">Z248-Y248</f>
        <v>22</v>
      </c>
      <c r="AB248" s="8">
        <v>182578</v>
      </c>
      <c r="AC248" s="8">
        <v>182652</v>
      </c>
      <c r="AD248" s="13">
        <f t="shared" si="48"/>
        <v>74</v>
      </c>
      <c r="AE248" s="135"/>
      <c r="AF248" s="135"/>
      <c r="AG248" s="135"/>
      <c r="AH248" s="136"/>
      <c r="AI248" s="50">
        <f t="shared" si="42"/>
        <v>511</v>
      </c>
    </row>
    <row r="249" spans="1:35">
      <c r="A249" s="12">
        <v>44624</v>
      </c>
      <c r="B249" s="8">
        <v>1626562</v>
      </c>
      <c r="C249" s="8">
        <v>1626614</v>
      </c>
      <c r="D249" s="13">
        <f t="shared" si="41"/>
        <v>52</v>
      </c>
      <c r="E249" s="46">
        <v>23970</v>
      </c>
      <c r="F249" s="56">
        <v>24836</v>
      </c>
      <c r="G249" s="133">
        <f t="shared" si="44"/>
        <v>866</v>
      </c>
      <c r="H249" s="8">
        <v>168492</v>
      </c>
      <c r="I249" s="8">
        <v>169172</v>
      </c>
      <c r="J249" s="13">
        <f t="shared" si="47"/>
        <v>680</v>
      </c>
      <c r="K249" s="138"/>
      <c r="L249" s="8">
        <v>328112</v>
      </c>
      <c r="M249" s="8">
        <v>328616</v>
      </c>
      <c r="N249" s="13">
        <f t="shared" si="43"/>
        <v>504</v>
      </c>
      <c r="O249" s="136"/>
      <c r="P249" s="8">
        <v>217359</v>
      </c>
      <c r="Q249" s="8">
        <v>217885</v>
      </c>
      <c r="R249" s="133">
        <f t="shared" si="49"/>
        <v>526</v>
      </c>
      <c r="S249" s="8">
        <v>174532</v>
      </c>
      <c r="T249" s="8">
        <v>174724</v>
      </c>
      <c r="U249" s="133">
        <f t="shared" si="50"/>
        <v>192</v>
      </c>
      <c r="V249" s="8">
        <v>267280</v>
      </c>
      <c r="W249" s="8">
        <v>267435</v>
      </c>
      <c r="X249" s="13">
        <f t="shared" si="46"/>
        <v>155</v>
      </c>
      <c r="Y249" s="8">
        <v>12098</v>
      </c>
      <c r="Z249" s="8">
        <v>12147</v>
      </c>
      <c r="AA249" s="13">
        <f t="shared" si="51"/>
        <v>49</v>
      </c>
      <c r="AB249" s="8">
        <v>182652</v>
      </c>
      <c r="AC249" s="8">
        <v>182702</v>
      </c>
      <c r="AD249" s="13">
        <f t="shared" si="48"/>
        <v>50</v>
      </c>
      <c r="AE249" s="135"/>
      <c r="AF249" s="135"/>
      <c r="AG249" s="135"/>
      <c r="AH249" s="136"/>
      <c r="AI249" s="50">
        <f t="shared" si="42"/>
        <v>922</v>
      </c>
    </row>
    <row r="250" spans="1:35">
      <c r="A250" s="12">
        <v>44625</v>
      </c>
      <c r="B250" s="8">
        <v>1626614</v>
      </c>
      <c r="C250" s="8">
        <v>1627018</v>
      </c>
      <c r="D250" s="13">
        <f t="shared" si="41"/>
        <v>404</v>
      </c>
      <c r="E250" s="56">
        <v>24836</v>
      </c>
      <c r="F250" s="70">
        <v>25642</v>
      </c>
      <c r="G250" s="133">
        <f t="shared" si="44"/>
        <v>806</v>
      </c>
      <c r="H250" s="8">
        <v>169172</v>
      </c>
      <c r="I250" s="8">
        <v>169172</v>
      </c>
      <c r="J250" s="13">
        <f t="shared" si="47"/>
        <v>0</v>
      </c>
      <c r="K250" s="138"/>
      <c r="L250" s="8">
        <v>328616</v>
      </c>
      <c r="M250" s="8">
        <v>330118</v>
      </c>
      <c r="N250" s="13">
        <f t="shared" si="43"/>
        <v>1502</v>
      </c>
      <c r="O250" s="136"/>
      <c r="P250" s="8">
        <v>217885</v>
      </c>
      <c r="Q250" s="8">
        <v>218516</v>
      </c>
      <c r="R250" s="133">
        <f t="shared" si="49"/>
        <v>631</v>
      </c>
      <c r="S250" s="8">
        <v>174724</v>
      </c>
      <c r="T250" s="8">
        <v>174764</v>
      </c>
      <c r="U250" s="133">
        <f t="shared" si="50"/>
        <v>40</v>
      </c>
      <c r="V250" s="8">
        <v>267435</v>
      </c>
      <c r="W250" s="8">
        <v>268097</v>
      </c>
      <c r="X250" s="13">
        <f t="shared" si="46"/>
        <v>662</v>
      </c>
      <c r="Y250" s="8">
        <v>12147</v>
      </c>
      <c r="Z250" s="8">
        <v>12177</v>
      </c>
      <c r="AA250" s="13">
        <f t="shared" si="51"/>
        <v>30</v>
      </c>
      <c r="AB250" s="8">
        <v>182702</v>
      </c>
      <c r="AC250" s="8">
        <v>182790</v>
      </c>
      <c r="AD250" s="13">
        <f t="shared" si="48"/>
        <v>88</v>
      </c>
      <c r="AE250" s="135"/>
      <c r="AF250" s="135"/>
      <c r="AG250" s="135"/>
      <c r="AH250" s="136"/>
      <c r="AI250" s="50">
        <f t="shared" si="42"/>
        <v>1363</v>
      </c>
    </row>
    <row r="251" spans="1:35">
      <c r="A251" s="12">
        <v>44626</v>
      </c>
      <c r="B251" s="8">
        <v>1627018</v>
      </c>
      <c r="C251" s="8">
        <v>1627324</v>
      </c>
      <c r="D251" s="13">
        <f t="shared" si="41"/>
        <v>306</v>
      </c>
      <c r="E251" s="46">
        <v>25642</v>
      </c>
      <c r="F251" s="70">
        <v>26352</v>
      </c>
      <c r="G251" s="133">
        <f t="shared" si="44"/>
        <v>710</v>
      </c>
      <c r="H251" s="8">
        <v>169172</v>
      </c>
      <c r="I251" s="8">
        <v>169172</v>
      </c>
      <c r="J251" s="13">
        <f t="shared" si="47"/>
        <v>0</v>
      </c>
      <c r="K251" s="138"/>
      <c r="L251" s="8">
        <v>330118</v>
      </c>
      <c r="M251" s="8">
        <v>330912</v>
      </c>
      <c r="N251" s="13">
        <f t="shared" si="43"/>
        <v>794</v>
      </c>
      <c r="O251" s="136"/>
      <c r="P251" s="8">
        <v>218516</v>
      </c>
      <c r="Q251" s="8">
        <v>218884</v>
      </c>
      <c r="R251" s="133">
        <f t="shared" si="49"/>
        <v>368</v>
      </c>
      <c r="S251" s="8">
        <v>174764</v>
      </c>
      <c r="T251" s="8">
        <v>174781</v>
      </c>
      <c r="U251" s="133">
        <f t="shared" si="50"/>
        <v>17</v>
      </c>
      <c r="V251" s="8">
        <v>268097</v>
      </c>
      <c r="W251" s="8">
        <v>268528</v>
      </c>
      <c r="X251" s="13">
        <f t="shared" si="46"/>
        <v>431</v>
      </c>
      <c r="Y251" s="8">
        <v>12177</v>
      </c>
      <c r="Z251" s="8">
        <v>12198</v>
      </c>
      <c r="AA251" s="13">
        <f t="shared" si="51"/>
        <v>21</v>
      </c>
      <c r="AB251" s="8">
        <v>182790</v>
      </c>
      <c r="AC251" s="8">
        <v>182884</v>
      </c>
      <c r="AD251" s="13">
        <f t="shared" si="48"/>
        <v>94</v>
      </c>
      <c r="AE251" s="135"/>
      <c r="AF251" s="135"/>
      <c r="AG251" s="135"/>
      <c r="AH251" s="136"/>
      <c r="AI251" s="50">
        <f t="shared" si="42"/>
        <v>837</v>
      </c>
    </row>
    <row r="252" spans="1:35">
      <c r="A252" s="12">
        <v>44627</v>
      </c>
      <c r="B252" s="8">
        <v>1627324</v>
      </c>
      <c r="C252" s="8">
        <v>1628855</v>
      </c>
      <c r="D252" s="13">
        <f t="shared" si="41"/>
        <v>1531</v>
      </c>
      <c r="E252" s="46">
        <v>26352</v>
      </c>
      <c r="F252" s="70">
        <v>27083</v>
      </c>
      <c r="G252" s="133">
        <f t="shared" si="44"/>
        <v>731</v>
      </c>
      <c r="H252" s="8">
        <v>169172</v>
      </c>
      <c r="I252" s="8">
        <v>169172</v>
      </c>
      <c r="J252" s="13">
        <f t="shared" si="47"/>
        <v>0</v>
      </c>
      <c r="K252" s="138"/>
      <c r="L252" s="8">
        <v>330912</v>
      </c>
      <c r="M252" s="8">
        <v>331984</v>
      </c>
      <c r="N252" s="13">
        <f t="shared" si="43"/>
        <v>1072</v>
      </c>
      <c r="O252" s="136"/>
      <c r="P252" s="8">
        <v>218884</v>
      </c>
      <c r="Q252" s="8">
        <v>219321</v>
      </c>
      <c r="R252" s="133">
        <f t="shared" si="49"/>
        <v>437</v>
      </c>
      <c r="S252" s="8">
        <v>174781</v>
      </c>
      <c r="T252" s="8">
        <v>174856</v>
      </c>
      <c r="U252" s="133">
        <f t="shared" si="50"/>
        <v>75</v>
      </c>
      <c r="V252" s="8">
        <v>268528</v>
      </c>
      <c r="W252" s="8">
        <v>269002</v>
      </c>
      <c r="X252" s="13">
        <f t="shared" si="46"/>
        <v>474</v>
      </c>
      <c r="Y252" s="8">
        <v>12198</v>
      </c>
      <c r="Z252" s="8">
        <v>12230</v>
      </c>
      <c r="AA252" s="13">
        <f t="shared" si="51"/>
        <v>32</v>
      </c>
      <c r="AB252" s="8">
        <v>182884</v>
      </c>
      <c r="AC252" s="8">
        <v>182959</v>
      </c>
      <c r="AD252" s="13">
        <f t="shared" si="48"/>
        <v>75</v>
      </c>
      <c r="AE252" s="135"/>
      <c r="AF252" s="135"/>
      <c r="AG252" s="135"/>
      <c r="AH252" s="136"/>
      <c r="AI252" s="50">
        <f t="shared" si="42"/>
        <v>1018</v>
      </c>
    </row>
    <row r="253" spans="1:35">
      <c r="A253" s="12">
        <v>44628</v>
      </c>
      <c r="B253" s="8">
        <v>1628855</v>
      </c>
      <c r="C253" s="8">
        <v>1628855</v>
      </c>
      <c r="D253" s="13">
        <f t="shared" si="41"/>
        <v>0</v>
      </c>
      <c r="E253" s="46">
        <v>27083</v>
      </c>
      <c r="F253" s="70">
        <v>27240</v>
      </c>
      <c r="G253" s="133">
        <f t="shared" si="44"/>
        <v>157</v>
      </c>
      <c r="H253" s="8">
        <v>169172</v>
      </c>
      <c r="I253" s="8">
        <v>169619</v>
      </c>
      <c r="J253" s="13">
        <f t="shared" si="47"/>
        <v>447</v>
      </c>
      <c r="K253" s="138"/>
      <c r="L253" s="8">
        <v>331984</v>
      </c>
      <c r="M253" s="8">
        <v>332602</v>
      </c>
      <c r="N253" s="13">
        <f t="shared" si="43"/>
        <v>618</v>
      </c>
      <c r="O253" s="136"/>
      <c r="P253" s="8">
        <v>219321</v>
      </c>
      <c r="Q253" s="8">
        <v>219832</v>
      </c>
      <c r="R253" s="133">
        <f t="shared" si="49"/>
        <v>511</v>
      </c>
      <c r="S253" s="8">
        <v>174856</v>
      </c>
      <c r="T253" s="8">
        <v>174904</v>
      </c>
      <c r="U253" s="133">
        <f t="shared" si="50"/>
        <v>48</v>
      </c>
      <c r="V253" s="8">
        <v>269002</v>
      </c>
      <c r="W253" s="8">
        <v>269129</v>
      </c>
      <c r="X253" s="13">
        <f t="shared" si="46"/>
        <v>127</v>
      </c>
      <c r="Y253" s="8">
        <v>12230</v>
      </c>
      <c r="Z253" s="8">
        <v>12278</v>
      </c>
      <c r="AA253" s="13">
        <f t="shared" si="51"/>
        <v>48</v>
      </c>
      <c r="AB253" s="8">
        <v>182959</v>
      </c>
      <c r="AC253" s="8">
        <v>183023</v>
      </c>
      <c r="AD253" s="13">
        <f t="shared" si="48"/>
        <v>64</v>
      </c>
      <c r="AE253" s="135"/>
      <c r="AF253" s="135"/>
      <c r="AG253" s="135"/>
      <c r="AH253" s="136"/>
      <c r="AI253" s="50">
        <f t="shared" si="42"/>
        <v>734</v>
      </c>
    </row>
    <row r="254" spans="1:35">
      <c r="A254" s="12">
        <v>44629</v>
      </c>
      <c r="B254" s="8">
        <v>1628855</v>
      </c>
      <c r="C254" s="8">
        <v>1629100</v>
      </c>
      <c r="D254" s="13">
        <f t="shared" si="41"/>
        <v>245</v>
      </c>
      <c r="E254" s="46">
        <v>27240</v>
      </c>
      <c r="F254" s="70">
        <v>27966</v>
      </c>
      <c r="G254" s="133">
        <f t="shared" si="44"/>
        <v>726</v>
      </c>
      <c r="H254" s="8">
        <v>169619</v>
      </c>
      <c r="I254" s="8">
        <v>170232</v>
      </c>
      <c r="J254" s="13">
        <f t="shared" si="47"/>
        <v>613</v>
      </c>
      <c r="K254" s="138"/>
      <c r="L254" s="8">
        <v>332602</v>
      </c>
      <c r="M254" s="8">
        <v>333017</v>
      </c>
      <c r="N254" s="13">
        <f t="shared" si="43"/>
        <v>415</v>
      </c>
      <c r="O254" s="136"/>
      <c r="P254" s="8">
        <v>219832</v>
      </c>
      <c r="Q254" s="8">
        <v>220036</v>
      </c>
      <c r="R254" s="133">
        <f t="shared" si="49"/>
        <v>204</v>
      </c>
      <c r="S254" s="8">
        <v>174904</v>
      </c>
      <c r="T254" s="8">
        <v>174960</v>
      </c>
      <c r="U254" s="133">
        <f t="shared" si="50"/>
        <v>56</v>
      </c>
      <c r="V254" s="8">
        <v>269129</v>
      </c>
      <c r="W254" s="8">
        <v>269231</v>
      </c>
      <c r="X254" s="13">
        <f t="shared" si="46"/>
        <v>102</v>
      </c>
      <c r="Y254" s="8">
        <v>12278</v>
      </c>
      <c r="Z254" s="8">
        <v>12297</v>
      </c>
      <c r="AA254" s="13">
        <f t="shared" si="51"/>
        <v>19</v>
      </c>
      <c r="AB254" s="8">
        <v>183023</v>
      </c>
      <c r="AC254" s="8">
        <v>183076</v>
      </c>
      <c r="AD254" s="13">
        <f t="shared" si="48"/>
        <v>53</v>
      </c>
      <c r="AE254" s="135"/>
      <c r="AF254" s="135"/>
      <c r="AG254" s="135"/>
      <c r="AH254" s="136"/>
      <c r="AI254" s="50">
        <f t="shared" si="42"/>
        <v>381</v>
      </c>
    </row>
    <row r="255" spans="1:35">
      <c r="A255" s="12">
        <v>44630</v>
      </c>
      <c r="B255" s="8">
        <v>1629100</v>
      </c>
      <c r="C255" s="8">
        <v>1629100</v>
      </c>
      <c r="D255" s="13">
        <f t="shared" si="41"/>
        <v>0</v>
      </c>
      <c r="E255" s="46">
        <v>27966</v>
      </c>
      <c r="F255" s="70">
        <v>28376</v>
      </c>
      <c r="G255" s="133">
        <f t="shared" si="44"/>
        <v>410</v>
      </c>
      <c r="H255" s="8">
        <v>170232</v>
      </c>
      <c r="I255" s="8">
        <v>170232</v>
      </c>
      <c r="J255" s="13">
        <f t="shared" si="47"/>
        <v>0</v>
      </c>
      <c r="K255" s="138"/>
      <c r="L255" s="8">
        <v>333017</v>
      </c>
      <c r="M255" s="8">
        <v>334020</v>
      </c>
      <c r="N255" s="13">
        <f t="shared" si="43"/>
        <v>1003</v>
      </c>
      <c r="O255" s="136"/>
      <c r="P255" s="8">
        <v>220036</v>
      </c>
      <c r="Q255" s="8">
        <v>220586</v>
      </c>
      <c r="R255" s="133">
        <f t="shared" si="49"/>
        <v>550</v>
      </c>
      <c r="S255" s="8">
        <v>174960</v>
      </c>
      <c r="T255" s="8">
        <v>175001</v>
      </c>
      <c r="U255" s="133">
        <f t="shared" si="50"/>
        <v>41</v>
      </c>
      <c r="V255" s="8">
        <v>269231</v>
      </c>
      <c r="W255" s="8">
        <v>269460</v>
      </c>
      <c r="X255" s="13">
        <f t="shared" si="46"/>
        <v>229</v>
      </c>
      <c r="Y255" s="8">
        <v>12297</v>
      </c>
      <c r="Z255" s="8">
        <v>12310</v>
      </c>
      <c r="AA255" s="13">
        <f t="shared" si="51"/>
        <v>13</v>
      </c>
      <c r="AB255" s="8">
        <v>183076</v>
      </c>
      <c r="AC255" s="8">
        <v>183100</v>
      </c>
      <c r="AD255" s="13">
        <f t="shared" si="48"/>
        <v>24</v>
      </c>
      <c r="AE255" s="135"/>
      <c r="AF255" s="135"/>
      <c r="AG255" s="135"/>
      <c r="AH255" s="136"/>
      <c r="AI255" s="50">
        <f t="shared" si="42"/>
        <v>833</v>
      </c>
    </row>
    <row r="256" spans="1:35">
      <c r="A256" s="12">
        <v>44631</v>
      </c>
      <c r="B256" s="8">
        <v>1629100</v>
      </c>
      <c r="C256" s="8">
        <v>1629302</v>
      </c>
      <c r="D256" s="13">
        <f t="shared" si="41"/>
        <v>202</v>
      </c>
      <c r="E256" s="46">
        <v>28376</v>
      </c>
      <c r="F256" s="70">
        <v>29248</v>
      </c>
      <c r="G256" s="133">
        <f t="shared" si="44"/>
        <v>872</v>
      </c>
      <c r="H256" s="8">
        <v>170232</v>
      </c>
      <c r="I256" s="8">
        <v>170540</v>
      </c>
      <c r="J256" s="13">
        <f t="shared" si="47"/>
        <v>308</v>
      </c>
      <c r="K256" s="138"/>
      <c r="L256" s="8">
        <v>334020</v>
      </c>
      <c r="M256" s="8">
        <v>334751</v>
      </c>
      <c r="N256" s="13">
        <f t="shared" si="43"/>
        <v>731</v>
      </c>
      <c r="O256" s="136"/>
      <c r="P256" s="8">
        <v>220586</v>
      </c>
      <c r="Q256" s="8">
        <v>221062</v>
      </c>
      <c r="R256" s="133">
        <f t="shared" si="49"/>
        <v>476</v>
      </c>
      <c r="S256" s="8">
        <v>175001</v>
      </c>
      <c r="T256" s="8">
        <v>175032</v>
      </c>
      <c r="U256" s="133">
        <f t="shared" si="50"/>
        <v>31</v>
      </c>
      <c r="V256" s="8">
        <v>269460</v>
      </c>
      <c r="W256" s="8">
        <v>269934</v>
      </c>
      <c r="X256" s="13">
        <f t="shared" si="46"/>
        <v>474</v>
      </c>
      <c r="Y256" s="8">
        <v>12310</v>
      </c>
      <c r="Z256" s="8">
        <v>12339</v>
      </c>
      <c r="AA256" s="13">
        <f t="shared" si="51"/>
        <v>29</v>
      </c>
      <c r="AB256" s="8">
        <v>183100</v>
      </c>
      <c r="AC256" s="8">
        <v>183177</v>
      </c>
      <c r="AD256" s="13">
        <f t="shared" si="48"/>
        <v>77</v>
      </c>
      <c r="AE256" s="135"/>
      <c r="AF256" s="135"/>
      <c r="AG256" s="135"/>
      <c r="AH256" s="136"/>
      <c r="AI256" s="50">
        <f t="shared" si="42"/>
        <v>1010</v>
      </c>
    </row>
    <row r="257" spans="1:35">
      <c r="A257" s="12">
        <v>44632</v>
      </c>
      <c r="B257" s="8">
        <v>1629302</v>
      </c>
      <c r="C257" s="8">
        <v>1629407</v>
      </c>
      <c r="D257" s="13">
        <f t="shared" ref="D257:D320" si="52">C257-B257</f>
        <v>105</v>
      </c>
      <c r="E257" s="46">
        <v>29248</v>
      </c>
      <c r="F257" s="70">
        <v>29783</v>
      </c>
      <c r="G257" s="133">
        <f t="shared" si="44"/>
        <v>535</v>
      </c>
      <c r="H257" s="8">
        <v>170540</v>
      </c>
      <c r="I257" s="8">
        <v>171029</v>
      </c>
      <c r="J257" s="13">
        <f t="shared" si="47"/>
        <v>489</v>
      </c>
      <c r="K257" s="138"/>
      <c r="L257" s="8">
        <v>334751</v>
      </c>
      <c r="M257" s="8">
        <v>335243</v>
      </c>
      <c r="N257" s="13">
        <f t="shared" si="43"/>
        <v>492</v>
      </c>
      <c r="O257" s="136"/>
      <c r="P257" s="8">
        <v>221062</v>
      </c>
      <c r="Q257" s="8">
        <v>221543</v>
      </c>
      <c r="R257" s="133">
        <f t="shared" si="49"/>
        <v>481</v>
      </c>
      <c r="S257" s="8">
        <v>175032</v>
      </c>
      <c r="T257" s="8">
        <v>175032</v>
      </c>
      <c r="U257" s="133">
        <f t="shared" si="50"/>
        <v>0</v>
      </c>
      <c r="V257" s="8">
        <v>269934</v>
      </c>
      <c r="W257" s="8">
        <v>270110</v>
      </c>
      <c r="X257" s="13">
        <f t="shared" si="46"/>
        <v>176</v>
      </c>
      <c r="Y257" s="8">
        <v>12339</v>
      </c>
      <c r="Z257" s="8">
        <v>12367</v>
      </c>
      <c r="AA257" s="13">
        <f t="shared" si="51"/>
        <v>28</v>
      </c>
      <c r="AB257" s="8">
        <v>183177</v>
      </c>
      <c r="AC257" s="8">
        <v>183240</v>
      </c>
      <c r="AD257" s="13">
        <f t="shared" si="48"/>
        <v>63</v>
      </c>
      <c r="AE257" s="135"/>
      <c r="AF257" s="135"/>
      <c r="AG257" s="135"/>
      <c r="AH257" s="136"/>
      <c r="AI257" s="50">
        <f t="shared" ref="AI257:AI320" si="53">AA257+U257+R257+O257+X257</f>
        <v>685</v>
      </c>
    </row>
    <row r="258" spans="1:35">
      <c r="A258" s="12">
        <v>44633</v>
      </c>
      <c r="B258" s="8">
        <v>1629407</v>
      </c>
      <c r="C258" s="8">
        <v>1629407</v>
      </c>
      <c r="D258" s="13">
        <f t="shared" si="52"/>
        <v>0</v>
      </c>
      <c r="E258" s="46">
        <v>29783</v>
      </c>
      <c r="F258" s="70">
        <v>30452</v>
      </c>
      <c r="G258" s="133">
        <f t="shared" si="44"/>
        <v>669</v>
      </c>
      <c r="H258" s="8">
        <v>171029</v>
      </c>
      <c r="I258" s="8">
        <v>171916</v>
      </c>
      <c r="J258" s="13">
        <f t="shared" si="47"/>
        <v>887</v>
      </c>
      <c r="K258" s="138"/>
      <c r="L258" s="8">
        <v>335243</v>
      </c>
      <c r="M258" s="8">
        <v>335243</v>
      </c>
      <c r="N258" s="13">
        <f t="shared" ref="N258:N280" si="54">M258-L258</f>
        <v>0</v>
      </c>
      <c r="O258" s="136"/>
      <c r="P258" s="8">
        <v>221543</v>
      </c>
      <c r="Q258" s="8">
        <v>221971</v>
      </c>
      <c r="R258" s="133">
        <f t="shared" si="49"/>
        <v>428</v>
      </c>
      <c r="S258" s="8">
        <v>175032</v>
      </c>
      <c r="T258" s="8">
        <v>175032</v>
      </c>
      <c r="U258" s="133">
        <f t="shared" si="50"/>
        <v>0</v>
      </c>
      <c r="V258" s="8">
        <v>270110</v>
      </c>
      <c r="W258" s="8">
        <v>270150</v>
      </c>
      <c r="X258" s="13">
        <f t="shared" si="46"/>
        <v>40</v>
      </c>
      <c r="Y258" s="8">
        <v>12367</v>
      </c>
      <c r="Z258" s="8">
        <v>12391</v>
      </c>
      <c r="AA258" s="13">
        <f t="shared" si="51"/>
        <v>24</v>
      </c>
      <c r="AB258" s="8">
        <v>183240</v>
      </c>
      <c r="AC258" s="8">
        <v>183290</v>
      </c>
      <c r="AD258" s="13">
        <f t="shared" si="48"/>
        <v>50</v>
      </c>
      <c r="AE258" s="135"/>
      <c r="AF258" s="135"/>
      <c r="AG258" s="135"/>
      <c r="AH258" s="136"/>
      <c r="AI258" s="50">
        <f t="shared" si="53"/>
        <v>492</v>
      </c>
    </row>
    <row r="259" spans="1:35">
      <c r="A259" s="12">
        <v>44634</v>
      </c>
      <c r="B259" s="8">
        <v>1629407</v>
      </c>
      <c r="C259" s="8">
        <v>1629413</v>
      </c>
      <c r="D259" s="13">
        <f t="shared" si="52"/>
        <v>6</v>
      </c>
      <c r="E259" s="46">
        <v>30452</v>
      </c>
      <c r="F259" s="70">
        <v>31235</v>
      </c>
      <c r="G259" s="133">
        <f t="shared" ref="G259:G322" si="55">F259-E259</f>
        <v>783</v>
      </c>
      <c r="H259" s="8">
        <v>171916</v>
      </c>
      <c r="I259" s="8">
        <v>171916</v>
      </c>
      <c r="J259" s="13">
        <f t="shared" si="47"/>
        <v>0</v>
      </c>
      <c r="K259" s="138"/>
      <c r="L259" s="8">
        <v>335243</v>
      </c>
      <c r="M259" s="8">
        <v>335959</v>
      </c>
      <c r="N259" s="13">
        <f t="shared" si="54"/>
        <v>716</v>
      </c>
      <c r="O259" s="136"/>
      <c r="P259" s="8">
        <v>221971</v>
      </c>
      <c r="Q259" s="8">
        <v>222348</v>
      </c>
      <c r="R259" s="133">
        <f t="shared" si="49"/>
        <v>377</v>
      </c>
      <c r="S259" s="8">
        <v>175032</v>
      </c>
      <c r="T259" s="8">
        <v>175032</v>
      </c>
      <c r="U259" s="133">
        <f t="shared" si="50"/>
        <v>0</v>
      </c>
      <c r="V259" s="8">
        <v>270150</v>
      </c>
      <c r="W259" s="8">
        <v>270196</v>
      </c>
      <c r="X259" s="13">
        <f t="shared" si="46"/>
        <v>46</v>
      </c>
      <c r="Y259" s="8">
        <v>12391</v>
      </c>
      <c r="Z259" s="8">
        <v>12405</v>
      </c>
      <c r="AA259" s="13">
        <f t="shared" si="51"/>
        <v>14</v>
      </c>
      <c r="AB259" s="8">
        <v>183290</v>
      </c>
      <c r="AC259" s="8">
        <v>183304</v>
      </c>
      <c r="AD259" s="13">
        <f t="shared" si="48"/>
        <v>14</v>
      </c>
      <c r="AE259" s="135"/>
      <c r="AF259" s="135"/>
      <c r="AG259" s="135"/>
      <c r="AH259" s="136"/>
      <c r="AI259" s="50">
        <f t="shared" si="53"/>
        <v>437</v>
      </c>
    </row>
    <row r="260" spans="1:35">
      <c r="A260" s="12">
        <v>44635</v>
      </c>
      <c r="B260" s="8">
        <v>1629413</v>
      </c>
      <c r="C260" s="8">
        <v>1629413</v>
      </c>
      <c r="D260" s="13">
        <f t="shared" si="52"/>
        <v>0</v>
      </c>
      <c r="E260" s="46">
        <v>31235</v>
      </c>
      <c r="F260" s="70">
        <v>32025</v>
      </c>
      <c r="G260" s="133">
        <f t="shared" si="55"/>
        <v>790</v>
      </c>
      <c r="H260" s="8">
        <v>171916</v>
      </c>
      <c r="I260" s="8">
        <v>172929</v>
      </c>
      <c r="J260" s="13">
        <f t="shared" si="47"/>
        <v>1013</v>
      </c>
      <c r="K260" s="138"/>
      <c r="L260" s="8">
        <v>335959</v>
      </c>
      <c r="M260" s="8">
        <v>336624</v>
      </c>
      <c r="N260" s="13">
        <f t="shared" si="54"/>
        <v>665</v>
      </c>
      <c r="O260" s="136"/>
      <c r="P260" s="8">
        <v>222348</v>
      </c>
      <c r="Q260" s="8">
        <v>222926</v>
      </c>
      <c r="R260" s="133">
        <f t="shared" si="49"/>
        <v>578</v>
      </c>
      <c r="S260" s="8">
        <v>175032</v>
      </c>
      <c r="T260" s="8">
        <v>175032</v>
      </c>
      <c r="U260" s="133">
        <f t="shared" si="50"/>
        <v>0</v>
      </c>
      <c r="V260" s="8">
        <v>270196</v>
      </c>
      <c r="W260" s="8">
        <v>270383</v>
      </c>
      <c r="X260" s="13">
        <f t="shared" si="46"/>
        <v>187</v>
      </c>
      <c r="Y260" s="8">
        <v>12405</v>
      </c>
      <c r="Z260" s="8">
        <v>12428</v>
      </c>
      <c r="AA260" s="13">
        <f t="shared" si="51"/>
        <v>23</v>
      </c>
      <c r="AB260" s="8">
        <v>183304</v>
      </c>
      <c r="AC260" s="8">
        <v>183304</v>
      </c>
      <c r="AD260" s="13">
        <f t="shared" si="48"/>
        <v>0</v>
      </c>
      <c r="AE260" s="135"/>
      <c r="AF260" s="135"/>
      <c r="AG260" s="135"/>
      <c r="AH260" s="136"/>
      <c r="AI260" s="50">
        <f t="shared" si="53"/>
        <v>788</v>
      </c>
    </row>
    <row r="261" spans="1:35">
      <c r="A261" s="12">
        <v>44636</v>
      </c>
      <c r="B261" s="8">
        <v>1629413</v>
      </c>
      <c r="C261" s="8">
        <v>1629413</v>
      </c>
      <c r="D261" s="13">
        <f t="shared" si="52"/>
        <v>0</v>
      </c>
      <c r="E261" s="46">
        <v>32025</v>
      </c>
      <c r="F261" s="70">
        <v>32767</v>
      </c>
      <c r="G261" s="133">
        <f t="shared" si="55"/>
        <v>742</v>
      </c>
      <c r="H261" s="8">
        <v>172929</v>
      </c>
      <c r="I261" s="8">
        <v>173671</v>
      </c>
      <c r="J261" s="13">
        <f t="shared" si="47"/>
        <v>742</v>
      </c>
      <c r="K261" s="138"/>
      <c r="L261" s="8">
        <v>336624</v>
      </c>
      <c r="M261" s="8">
        <v>336842</v>
      </c>
      <c r="N261" s="13">
        <f t="shared" si="54"/>
        <v>218</v>
      </c>
      <c r="O261" s="136"/>
      <c r="P261" s="8">
        <v>222926</v>
      </c>
      <c r="Q261" s="8">
        <v>223414</v>
      </c>
      <c r="R261" s="133">
        <f t="shared" si="49"/>
        <v>488</v>
      </c>
      <c r="S261" s="8">
        <v>0</v>
      </c>
      <c r="T261" s="8">
        <v>240</v>
      </c>
      <c r="U261" s="133">
        <f t="shared" si="50"/>
        <v>240</v>
      </c>
      <c r="V261" s="8">
        <v>270383</v>
      </c>
      <c r="W261" s="8">
        <v>270740</v>
      </c>
      <c r="X261" s="13">
        <f t="shared" si="46"/>
        <v>357</v>
      </c>
      <c r="Y261" s="8">
        <v>12428</v>
      </c>
      <c r="Z261" s="8">
        <v>12450</v>
      </c>
      <c r="AA261" s="13">
        <f t="shared" si="51"/>
        <v>22</v>
      </c>
      <c r="AB261" s="8">
        <v>183304</v>
      </c>
      <c r="AC261" s="8">
        <v>183439</v>
      </c>
      <c r="AD261" s="13">
        <f t="shared" si="48"/>
        <v>135</v>
      </c>
      <c r="AE261" s="135"/>
      <c r="AF261" s="135"/>
      <c r="AG261" s="135"/>
      <c r="AH261" s="136"/>
      <c r="AI261" s="50">
        <f t="shared" si="53"/>
        <v>1107</v>
      </c>
    </row>
    <row r="262" spans="1:35">
      <c r="A262" s="12">
        <v>44637</v>
      </c>
      <c r="B262" s="8">
        <v>1629413</v>
      </c>
      <c r="C262" s="8">
        <v>1629413</v>
      </c>
      <c r="D262" s="13">
        <f t="shared" si="52"/>
        <v>0</v>
      </c>
      <c r="E262" s="46">
        <v>32767</v>
      </c>
      <c r="F262" s="70">
        <v>33493</v>
      </c>
      <c r="G262" s="133">
        <f t="shared" si="55"/>
        <v>726</v>
      </c>
      <c r="H262" s="8">
        <v>173671</v>
      </c>
      <c r="I262" s="8">
        <v>174425</v>
      </c>
      <c r="J262" s="13">
        <f t="shared" si="47"/>
        <v>754</v>
      </c>
      <c r="K262" s="138"/>
      <c r="L262" s="8">
        <v>336842</v>
      </c>
      <c r="M262" s="8">
        <v>336853</v>
      </c>
      <c r="N262" s="13">
        <f t="shared" si="54"/>
        <v>11</v>
      </c>
      <c r="O262" s="136"/>
      <c r="P262" s="8">
        <v>223414</v>
      </c>
      <c r="Q262" s="8">
        <v>223761</v>
      </c>
      <c r="R262" s="133">
        <f t="shared" si="49"/>
        <v>347</v>
      </c>
      <c r="S262" s="8">
        <v>240</v>
      </c>
      <c r="T262" s="8">
        <v>254</v>
      </c>
      <c r="U262" s="133">
        <f t="shared" si="50"/>
        <v>14</v>
      </c>
      <c r="V262" s="8">
        <v>270740</v>
      </c>
      <c r="W262" s="8">
        <v>271150</v>
      </c>
      <c r="X262" s="13">
        <f t="shared" si="46"/>
        <v>410</v>
      </c>
      <c r="Y262" s="8">
        <v>12450</v>
      </c>
      <c r="Z262" s="8">
        <v>12476</v>
      </c>
      <c r="AA262" s="13">
        <f t="shared" si="51"/>
        <v>26</v>
      </c>
      <c r="AB262" s="8">
        <v>183439</v>
      </c>
      <c r="AC262" s="8">
        <v>183511</v>
      </c>
      <c r="AD262" s="13">
        <f t="shared" si="48"/>
        <v>72</v>
      </c>
      <c r="AE262" s="135"/>
      <c r="AF262" s="135"/>
      <c r="AG262" s="135"/>
      <c r="AH262" s="136"/>
      <c r="AI262" s="50">
        <f t="shared" si="53"/>
        <v>797</v>
      </c>
    </row>
    <row r="263" spans="1:35">
      <c r="A263" s="12">
        <v>44638</v>
      </c>
      <c r="B263" s="8">
        <v>1629413</v>
      </c>
      <c r="C263" s="8">
        <v>1629604</v>
      </c>
      <c r="D263" s="13">
        <f t="shared" si="52"/>
        <v>191</v>
      </c>
      <c r="E263" s="46">
        <v>33493</v>
      </c>
      <c r="F263" s="70">
        <v>34233</v>
      </c>
      <c r="G263" s="133">
        <f t="shared" si="55"/>
        <v>740</v>
      </c>
      <c r="H263" s="8">
        <v>174425</v>
      </c>
      <c r="I263" s="8">
        <v>174973</v>
      </c>
      <c r="J263" s="13">
        <f t="shared" si="47"/>
        <v>548</v>
      </c>
      <c r="K263" s="138"/>
      <c r="L263" s="8">
        <v>336853</v>
      </c>
      <c r="M263" s="8">
        <v>337685</v>
      </c>
      <c r="N263" s="13">
        <f t="shared" si="54"/>
        <v>832</v>
      </c>
      <c r="O263" s="136"/>
      <c r="P263" s="8">
        <v>223761</v>
      </c>
      <c r="Q263" s="8">
        <v>224375</v>
      </c>
      <c r="R263" s="133">
        <f t="shared" si="49"/>
        <v>614</v>
      </c>
      <c r="S263" s="8">
        <v>254</v>
      </c>
      <c r="T263" s="8">
        <v>254</v>
      </c>
      <c r="U263" s="133">
        <f t="shared" si="50"/>
        <v>0</v>
      </c>
      <c r="V263" s="8">
        <v>271150</v>
      </c>
      <c r="W263" s="8">
        <v>271441</v>
      </c>
      <c r="X263" s="13">
        <f t="shared" si="46"/>
        <v>291</v>
      </c>
      <c r="Y263" s="8">
        <v>12476</v>
      </c>
      <c r="Z263" s="8">
        <v>12556</v>
      </c>
      <c r="AA263" s="13">
        <f t="shared" si="51"/>
        <v>80</v>
      </c>
      <c r="AB263" s="8">
        <v>183511</v>
      </c>
      <c r="AC263" s="8">
        <v>183584</v>
      </c>
      <c r="AD263" s="13">
        <f t="shared" si="48"/>
        <v>73</v>
      </c>
      <c r="AE263" s="135"/>
      <c r="AF263" s="135"/>
      <c r="AG263" s="135"/>
      <c r="AH263" s="136"/>
      <c r="AI263" s="50">
        <f t="shared" si="53"/>
        <v>985</v>
      </c>
    </row>
    <row r="264" spans="1:35">
      <c r="A264" s="12">
        <v>44639</v>
      </c>
      <c r="B264" s="8">
        <v>1629604</v>
      </c>
      <c r="C264" s="8">
        <v>1629849</v>
      </c>
      <c r="D264" s="13">
        <f t="shared" si="52"/>
        <v>245</v>
      </c>
      <c r="E264" s="46">
        <v>34233</v>
      </c>
      <c r="F264" s="70">
        <v>35038</v>
      </c>
      <c r="G264" s="133">
        <f t="shared" si="55"/>
        <v>805</v>
      </c>
      <c r="H264" s="8">
        <v>174973</v>
      </c>
      <c r="I264" s="8">
        <v>175452</v>
      </c>
      <c r="J264" s="13">
        <f t="shared" si="47"/>
        <v>479</v>
      </c>
      <c r="K264" s="138"/>
      <c r="L264" s="8">
        <v>337685</v>
      </c>
      <c r="M264" s="8">
        <v>338569</v>
      </c>
      <c r="N264" s="13">
        <f t="shared" si="54"/>
        <v>884</v>
      </c>
      <c r="O264" s="136"/>
      <c r="P264" s="8">
        <v>224375</v>
      </c>
      <c r="Q264" s="8">
        <v>224931</v>
      </c>
      <c r="R264" s="133">
        <f t="shared" si="49"/>
        <v>556</v>
      </c>
      <c r="S264" s="8">
        <v>254</v>
      </c>
      <c r="T264" s="8">
        <v>302</v>
      </c>
      <c r="U264" s="133">
        <f t="shared" si="50"/>
        <v>48</v>
      </c>
      <c r="V264" s="8">
        <v>271441</v>
      </c>
      <c r="W264" s="8">
        <v>271798</v>
      </c>
      <c r="X264" s="13">
        <f t="shared" si="46"/>
        <v>357</v>
      </c>
      <c r="Y264" s="8">
        <v>12556</v>
      </c>
      <c r="Z264" s="8">
        <v>12580</v>
      </c>
      <c r="AA264" s="13">
        <f t="shared" si="51"/>
        <v>24</v>
      </c>
      <c r="AB264" s="8">
        <v>183584</v>
      </c>
      <c r="AC264" s="8">
        <v>183714</v>
      </c>
      <c r="AD264" s="13">
        <f t="shared" si="48"/>
        <v>130</v>
      </c>
      <c r="AE264" s="135"/>
      <c r="AF264" s="135"/>
      <c r="AG264" s="135"/>
      <c r="AH264" s="136"/>
      <c r="AI264" s="50">
        <f t="shared" si="53"/>
        <v>985</v>
      </c>
    </row>
    <row r="265" spans="1:35">
      <c r="A265" s="12">
        <v>44640</v>
      </c>
      <c r="B265" s="8">
        <v>1629849</v>
      </c>
      <c r="C265" s="8">
        <v>1629991</v>
      </c>
      <c r="D265" s="13">
        <f t="shared" si="52"/>
        <v>142</v>
      </c>
      <c r="E265" s="46">
        <v>35038</v>
      </c>
      <c r="F265" s="70">
        <v>35840</v>
      </c>
      <c r="G265" s="133">
        <f t="shared" si="55"/>
        <v>802</v>
      </c>
      <c r="H265" s="8">
        <v>175452</v>
      </c>
      <c r="I265" s="8">
        <v>176079</v>
      </c>
      <c r="J265" s="13">
        <f t="shared" si="47"/>
        <v>627</v>
      </c>
      <c r="K265" s="138"/>
      <c r="L265" s="8">
        <v>338569</v>
      </c>
      <c r="M265" s="8">
        <v>339383</v>
      </c>
      <c r="N265" s="13">
        <f t="shared" si="54"/>
        <v>814</v>
      </c>
      <c r="O265" s="136"/>
      <c r="P265" s="8">
        <v>224931</v>
      </c>
      <c r="Q265" s="8">
        <v>225524</v>
      </c>
      <c r="R265" s="133">
        <f t="shared" si="49"/>
        <v>593</v>
      </c>
      <c r="S265" s="8">
        <v>302</v>
      </c>
      <c r="T265" s="8">
        <v>353</v>
      </c>
      <c r="U265" s="133">
        <f t="shared" si="50"/>
        <v>51</v>
      </c>
      <c r="V265" s="8">
        <v>271798</v>
      </c>
      <c r="W265" s="8">
        <v>272087</v>
      </c>
      <c r="X265" s="13">
        <f t="shared" si="46"/>
        <v>289</v>
      </c>
      <c r="Y265" s="8">
        <v>12580</v>
      </c>
      <c r="Z265" s="8">
        <v>12599</v>
      </c>
      <c r="AA265" s="13">
        <f t="shared" si="51"/>
        <v>19</v>
      </c>
      <c r="AB265" s="8">
        <v>183714</v>
      </c>
      <c r="AC265" s="8">
        <v>183791</v>
      </c>
      <c r="AD265" s="13">
        <f t="shared" si="48"/>
        <v>77</v>
      </c>
      <c r="AE265" s="135"/>
      <c r="AF265" s="135"/>
      <c r="AG265" s="135"/>
      <c r="AH265" s="136"/>
      <c r="AI265" s="50">
        <f t="shared" si="53"/>
        <v>952</v>
      </c>
    </row>
    <row r="266" spans="1:35">
      <c r="A266" s="12">
        <v>44641</v>
      </c>
      <c r="B266" s="8">
        <v>1629991</v>
      </c>
      <c r="C266" s="8">
        <v>1630541</v>
      </c>
      <c r="D266" s="13">
        <f t="shared" si="52"/>
        <v>550</v>
      </c>
      <c r="E266" s="46">
        <v>35840</v>
      </c>
      <c r="F266" s="70">
        <v>36569</v>
      </c>
      <c r="G266" s="133">
        <f t="shared" si="55"/>
        <v>729</v>
      </c>
      <c r="H266" s="8">
        <v>176079</v>
      </c>
      <c r="I266" s="8">
        <v>176079</v>
      </c>
      <c r="J266" s="13">
        <f t="shared" si="47"/>
        <v>0</v>
      </c>
      <c r="K266" s="138"/>
      <c r="L266" s="8">
        <v>339383</v>
      </c>
      <c r="M266" s="8">
        <v>340500</v>
      </c>
      <c r="N266" s="13">
        <f t="shared" si="54"/>
        <v>1117</v>
      </c>
      <c r="O266" s="136"/>
      <c r="P266" s="8">
        <v>225524</v>
      </c>
      <c r="Q266" s="8">
        <v>225969</v>
      </c>
      <c r="R266" s="133">
        <f t="shared" si="49"/>
        <v>445</v>
      </c>
      <c r="S266" s="8">
        <v>353</v>
      </c>
      <c r="T266" s="8">
        <v>387</v>
      </c>
      <c r="U266" s="133">
        <f t="shared" si="50"/>
        <v>34</v>
      </c>
      <c r="V266" s="8">
        <v>272087</v>
      </c>
      <c r="W266" s="8">
        <v>273054</v>
      </c>
      <c r="X266" s="13">
        <f t="shared" si="46"/>
        <v>967</v>
      </c>
      <c r="Y266" s="8">
        <v>12599</v>
      </c>
      <c r="Z266" s="8">
        <v>12638</v>
      </c>
      <c r="AA266" s="13">
        <f t="shared" si="51"/>
        <v>39</v>
      </c>
      <c r="AB266" s="8">
        <v>183791</v>
      </c>
      <c r="AC266" s="8">
        <v>183881</v>
      </c>
      <c r="AD266" s="13">
        <f t="shared" si="48"/>
        <v>90</v>
      </c>
      <c r="AE266" s="135"/>
      <c r="AF266" s="135"/>
      <c r="AG266" s="135"/>
      <c r="AH266" s="136"/>
      <c r="AI266" s="50">
        <f t="shared" si="53"/>
        <v>1485</v>
      </c>
    </row>
    <row r="267" spans="1:35">
      <c r="A267" s="12">
        <v>44642</v>
      </c>
      <c r="B267" s="8">
        <v>1630541</v>
      </c>
      <c r="C267" s="8">
        <v>1630675</v>
      </c>
      <c r="D267" s="13">
        <f t="shared" si="52"/>
        <v>134</v>
      </c>
      <c r="E267" s="46">
        <v>36569</v>
      </c>
      <c r="F267" s="70">
        <v>37300</v>
      </c>
      <c r="G267" s="133">
        <f t="shared" si="55"/>
        <v>731</v>
      </c>
      <c r="H267" s="8">
        <v>176079</v>
      </c>
      <c r="I267" s="8">
        <v>176090</v>
      </c>
      <c r="J267" s="13">
        <f t="shared" si="47"/>
        <v>11</v>
      </c>
      <c r="K267" s="138"/>
      <c r="L267" s="8">
        <v>340500</v>
      </c>
      <c r="M267" s="8">
        <v>341098</v>
      </c>
      <c r="N267" s="13">
        <f t="shared" si="54"/>
        <v>598</v>
      </c>
      <c r="O267" s="136"/>
      <c r="P267" s="8">
        <v>225969</v>
      </c>
      <c r="Q267" s="8">
        <v>226249</v>
      </c>
      <c r="R267" s="133">
        <f t="shared" si="49"/>
        <v>280</v>
      </c>
      <c r="S267" s="8">
        <v>387</v>
      </c>
      <c r="T267" s="8">
        <v>407</v>
      </c>
      <c r="U267" s="133">
        <f t="shared" si="50"/>
        <v>20</v>
      </c>
      <c r="V267" s="8">
        <v>273054</v>
      </c>
      <c r="W267" s="8">
        <v>273447</v>
      </c>
      <c r="X267" s="13">
        <f t="shared" si="46"/>
        <v>393</v>
      </c>
      <c r="Y267" s="8">
        <v>12638</v>
      </c>
      <c r="Z267" s="8">
        <v>12680</v>
      </c>
      <c r="AA267" s="13">
        <f t="shared" si="51"/>
        <v>42</v>
      </c>
      <c r="AB267" s="8">
        <v>183881</v>
      </c>
      <c r="AC267" s="8">
        <v>183975</v>
      </c>
      <c r="AD267" s="13">
        <f t="shared" si="48"/>
        <v>94</v>
      </c>
      <c r="AE267" s="135"/>
      <c r="AF267" s="135"/>
      <c r="AG267" s="135"/>
      <c r="AH267" s="136"/>
      <c r="AI267" s="50">
        <f t="shared" si="53"/>
        <v>735</v>
      </c>
    </row>
    <row r="268" spans="1:35">
      <c r="A268" s="12">
        <v>44643</v>
      </c>
      <c r="B268" s="8">
        <v>1630675</v>
      </c>
      <c r="C268" s="8">
        <v>1631286</v>
      </c>
      <c r="D268" s="13">
        <f t="shared" si="52"/>
        <v>611</v>
      </c>
      <c r="E268" s="46">
        <v>37300</v>
      </c>
      <c r="F268" s="70">
        <v>38086</v>
      </c>
      <c r="G268" s="133">
        <f t="shared" si="55"/>
        <v>786</v>
      </c>
      <c r="H268" s="8">
        <v>176090</v>
      </c>
      <c r="I268" s="8">
        <v>176090</v>
      </c>
      <c r="J268" s="13">
        <f t="shared" si="47"/>
        <v>0</v>
      </c>
      <c r="K268" s="138"/>
      <c r="L268" s="8">
        <v>341098</v>
      </c>
      <c r="M268" s="8">
        <v>341811</v>
      </c>
      <c r="N268" s="13">
        <f t="shared" si="54"/>
        <v>713</v>
      </c>
      <c r="O268" s="136"/>
      <c r="P268" s="8">
        <v>226249</v>
      </c>
      <c r="Q268" s="8">
        <v>226483</v>
      </c>
      <c r="R268" s="133">
        <f t="shared" si="49"/>
        <v>234</v>
      </c>
      <c r="S268" s="8">
        <v>407</v>
      </c>
      <c r="T268" s="8">
        <v>446</v>
      </c>
      <c r="U268" s="133">
        <f t="shared" si="50"/>
        <v>39</v>
      </c>
      <c r="V268" s="8">
        <v>273447</v>
      </c>
      <c r="W268" s="8">
        <v>273783</v>
      </c>
      <c r="X268" s="13">
        <f t="shared" si="46"/>
        <v>336</v>
      </c>
      <c r="Y268" s="8">
        <v>12680</v>
      </c>
      <c r="Z268" s="8">
        <v>12702</v>
      </c>
      <c r="AA268" s="13">
        <f t="shared" si="51"/>
        <v>22</v>
      </c>
      <c r="AB268" s="8">
        <v>183975</v>
      </c>
      <c r="AC268" s="8">
        <v>184073</v>
      </c>
      <c r="AD268" s="13">
        <f t="shared" si="48"/>
        <v>98</v>
      </c>
      <c r="AE268" s="135"/>
      <c r="AF268" s="135"/>
      <c r="AG268" s="135"/>
      <c r="AH268" s="136"/>
      <c r="AI268" s="50">
        <f t="shared" si="53"/>
        <v>631</v>
      </c>
    </row>
    <row r="269" spans="1:35">
      <c r="A269" s="12">
        <v>44644</v>
      </c>
      <c r="B269" s="8">
        <v>1631286</v>
      </c>
      <c r="C269" s="8">
        <v>1631344</v>
      </c>
      <c r="D269" s="13">
        <f t="shared" si="52"/>
        <v>58</v>
      </c>
      <c r="E269" s="46">
        <v>38086</v>
      </c>
      <c r="F269" s="70">
        <v>38681</v>
      </c>
      <c r="G269" s="133">
        <f t="shared" si="55"/>
        <v>595</v>
      </c>
      <c r="H269" s="8">
        <v>176090</v>
      </c>
      <c r="I269" s="8">
        <v>176090</v>
      </c>
      <c r="J269" s="13">
        <f t="shared" si="47"/>
        <v>0</v>
      </c>
      <c r="K269" s="138"/>
      <c r="L269" s="8">
        <v>341811</v>
      </c>
      <c r="M269" s="8">
        <v>343147</v>
      </c>
      <c r="N269" s="13">
        <f t="shared" si="54"/>
        <v>1336</v>
      </c>
      <c r="O269" s="136"/>
      <c r="P269" s="8">
        <v>226483</v>
      </c>
      <c r="Q269" s="8">
        <v>227017</v>
      </c>
      <c r="R269" s="133">
        <f t="shared" si="49"/>
        <v>534</v>
      </c>
      <c r="S269" s="8">
        <v>446</v>
      </c>
      <c r="T269" s="8">
        <v>493</v>
      </c>
      <c r="U269" s="133">
        <f t="shared" si="50"/>
        <v>47</v>
      </c>
      <c r="V269" s="8">
        <v>273783</v>
      </c>
      <c r="W269" s="8">
        <v>274248</v>
      </c>
      <c r="X269" s="13">
        <f t="shared" ref="X269:X286" si="56">W269-V269</f>
        <v>465</v>
      </c>
      <c r="Y269" s="8">
        <v>12702</v>
      </c>
      <c r="Z269" s="8">
        <v>12738</v>
      </c>
      <c r="AA269" s="13">
        <f t="shared" si="51"/>
        <v>36</v>
      </c>
      <c r="AB269" s="8">
        <v>184073</v>
      </c>
      <c r="AC269" s="8">
        <v>184163</v>
      </c>
      <c r="AD269" s="13">
        <f t="shared" si="48"/>
        <v>90</v>
      </c>
      <c r="AE269" s="135"/>
      <c r="AF269" s="135"/>
      <c r="AG269" s="135"/>
      <c r="AH269" s="136"/>
      <c r="AI269" s="50">
        <f t="shared" si="53"/>
        <v>1082</v>
      </c>
    </row>
    <row r="270" spans="1:35">
      <c r="A270" s="12">
        <v>44645</v>
      </c>
      <c r="B270" s="8">
        <v>1631344</v>
      </c>
      <c r="C270" s="8">
        <v>1631471</v>
      </c>
      <c r="D270" s="13">
        <f t="shared" si="52"/>
        <v>127</v>
      </c>
      <c r="E270" s="46">
        <v>38681</v>
      </c>
      <c r="F270" s="70">
        <v>39325</v>
      </c>
      <c r="G270" s="133">
        <f t="shared" si="55"/>
        <v>644</v>
      </c>
      <c r="H270" s="8">
        <v>176090</v>
      </c>
      <c r="I270" s="8">
        <v>176557</v>
      </c>
      <c r="J270" s="13">
        <f t="shared" si="47"/>
        <v>467</v>
      </c>
      <c r="K270" s="138"/>
      <c r="L270" s="8">
        <v>343147</v>
      </c>
      <c r="M270" s="8">
        <v>343658</v>
      </c>
      <c r="N270" s="13">
        <f t="shared" si="54"/>
        <v>511</v>
      </c>
      <c r="O270" s="136"/>
      <c r="P270" s="8">
        <v>227017</v>
      </c>
      <c r="Q270" s="8">
        <v>227461</v>
      </c>
      <c r="R270" s="133">
        <f t="shared" si="49"/>
        <v>444</v>
      </c>
      <c r="S270" s="8">
        <v>493</v>
      </c>
      <c r="T270" s="8">
        <v>530</v>
      </c>
      <c r="U270" s="133">
        <f t="shared" si="50"/>
        <v>37</v>
      </c>
      <c r="V270" s="8">
        <v>274248</v>
      </c>
      <c r="W270" s="8">
        <v>274375</v>
      </c>
      <c r="X270" s="13">
        <f t="shared" si="56"/>
        <v>127</v>
      </c>
      <c r="Y270" s="8">
        <v>12738</v>
      </c>
      <c r="Z270" s="8">
        <v>12758</v>
      </c>
      <c r="AA270" s="13">
        <f t="shared" si="51"/>
        <v>20</v>
      </c>
      <c r="AB270" s="8">
        <v>184163</v>
      </c>
      <c r="AC270" s="8">
        <v>184283</v>
      </c>
      <c r="AD270" s="13">
        <f t="shared" si="48"/>
        <v>120</v>
      </c>
      <c r="AE270" s="135"/>
      <c r="AF270" s="135"/>
      <c r="AG270" s="135"/>
      <c r="AH270" s="136"/>
      <c r="AI270" s="50">
        <f t="shared" si="53"/>
        <v>628</v>
      </c>
    </row>
    <row r="271" spans="1:35">
      <c r="A271" s="12">
        <v>44646</v>
      </c>
      <c r="B271" s="8">
        <v>1631471</v>
      </c>
      <c r="C271" s="8">
        <v>1631988</v>
      </c>
      <c r="D271" s="13">
        <f t="shared" si="52"/>
        <v>517</v>
      </c>
      <c r="E271" s="46">
        <v>39325</v>
      </c>
      <c r="F271" s="70">
        <v>40176</v>
      </c>
      <c r="G271" s="133">
        <f t="shared" si="55"/>
        <v>851</v>
      </c>
      <c r="H271" s="8">
        <v>176557</v>
      </c>
      <c r="I271" s="8">
        <v>177446</v>
      </c>
      <c r="J271" s="13">
        <f t="shared" si="47"/>
        <v>889</v>
      </c>
      <c r="K271" s="138"/>
      <c r="L271" s="8">
        <v>343658</v>
      </c>
      <c r="M271" s="8">
        <v>344134</v>
      </c>
      <c r="N271" s="13">
        <f t="shared" si="54"/>
        <v>476</v>
      </c>
      <c r="O271" s="136"/>
      <c r="P271" s="8">
        <v>227461</v>
      </c>
      <c r="Q271" s="8">
        <v>227966</v>
      </c>
      <c r="R271" s="133">
        <f t="shared" si="49"/>
        <v>505</v>
      </c>
      <c r="S271" s="8">
        <v>530</v>
      </c>
      <c r="T271" s="8">
        <v>542</v>
      </c>
      <c r="U271" s="133">
        <f t="shared" si="50"/>
        <v>12</v>
      </c>
      <c r="V271" s="8">
        <v>274375</v>
      </c>
      <c r="W271" s="8">
        <v>274680</v>
      </c>
      <c r="X271" s="13">
        <f t="shared" si="56"/>
        <v>305</v>
      </c>
      <c r="Y271" s="8">
        <v>12758</v>
      </c>
      <c r="Z271" s="8">
        <v>12773</v>
      </c>
      <c r="AA271" s="13">
        <f t="shared" si="51"/>
        <v>15</v>
      </c>
      <c r="AB271" s="8">
        <v>184283</v>
      </c>
      <c r="AC271" s="8">
        <v>184351</v>
      </c>
      <c r="AD271" s="13">
        <f t="shared" si="48"/>
        <v>68</v>
      </c>
      <c r="AE271" s="135"/>
      <c r="AF271" s="135"/>
      <c r="AG271" s="135"/>
      <c r="AH271" s="136"/>
      <c r="AI271" s="50">
        <f t="shared" si="53"/>
        <v>837</v>
      </c>
    </row>
    <row r="272" spans="1:35">
      <c r="A272" s="12">
        <v>44647</v>
      </c>
      <c r="B272" s="8">
        <v>1631988</v>
      </c>
      <c r="C272" s="8">
        <v>1632198</v>
      </c>
      <c r="D272" s="13">
        <f t="shared" si="52"/>
        <v>210</v>
      </c>
      <c r="E272" s="46">
        <v>40176</v>
      </c>
      <c r="F272" s="70">
        <v>40959</v>
      </c>
      <c r="G272" s="133">
        <f t="shared" si="55"/>
        <v>783</v>
      </c>
      <c r="H272" s="8">
        <v>177446</v>
      </c>
      <c r="I272" s="8">
        <v>177446</v>
      </c>
      <c r="J272" s="13">
        <f t="shared" si="47"/>
        <v>0</v>
      </c>
      <c r="K272" s="138"/>
      <c r="L272" s="8">
        <v>344134</v>
      </c>
      <c r="M272" s="8">
        <v>345195</v>
      </c>
      <c r="N272" s="13">
        <f t="shared" si="54"/>
        <v>1061</v>
      </c>
      <c r="O272" s="136"/>
      <c r="P272" s="8">
        <v>227966</v>
      </c>
      <c r="Q272" s="8">
        <v>228420</v>
      </c>
      <c r="R272" s="133">
        <f t="shared" si="49"/>
        <v>454</v>
      </c>
      <c r="S272" s="8">
        <v>542</v>
      </c>
      <c r="T272" s="8">
        <v>558</v>
      </c>
      <c r="U272" s="133">
        <f t="shared" si="50"/>
        <v>16</v>
      </c>
      <c r="V272" s="8">
        <v>274680</v>
      </c>
      <c r="W272" s="8">
        <v>274792</v>
      </c>
      <c r="X272" s="13">
        <f t="shared" si="56"/>
        <v>112</v>
      </c>
      <c r="Y272" s="8">
        <v>12773</v>
      </c>
      <c r="Z272" s="8">
        <v>12791</v>
      </c>
      <c r="AA272" s="13">
        <f t="shared" si="51"/>
        <v>18</v>
      </c>
      <c r="AB272" s="8">
        <v>184351</v>
      </c>
      <c r="AC272" s="8">
        <v>184449</v>
      </c>
      <c r="AD272" s="13">
        <f t="shared" si="48"/>
        <v>98</v>
      </c>
      <c r="AE272" s="135"/>
      <c r="AF272" s="135"/>
      <c r="AG272" s="135"/>
      <c r="AH272" s="136"/>
      <c r="AI272" s="50">
        <f t="shared" si="53"/>
        <v>600</v>
      </c>
    </row>
    <row r="273" spans="1:35">
      <c r="A273" s="12">
        <v>44648</v>
      </c>
      <c r="B273" s="8">
        <v>1632198</v>
      </c>
      <c r="C273" s="8">
        <v>1632198</v>
      </c>
      <c r="D273" s="13">
        <f t="shared" si="52"/>
        <v>0</v>
      </c>
      <c r="E273" s="46">
        <v>40959</v>
      </c>
      <c r="F273" s="70">
        <v>41758</v>
      </c>
      <c r="G273" s="133">
        <f t="shared" si="55"/>
        <v>799</v>
      </c>
      <c r="H273" s="8">
        <v>177446</v>
      </c>
      <c r="I273" s="8">
        <v>177801</v>
      </c>
      <c r="J273" s="13">
        <f t="shared" si="47"/>
        <v>355</v>
      </c>
      <c r="K273" s="138"/>
      <c r="L273" s="8">
        <v>345195</v>
      </c>
      <c r="M273" s="8">
        <v>345872</v>
      </c>
      <c r="N273" s="13">
        <f t="shared" si="54"/>
        <v>677</v>
      </c>
      <c r="O273" s="136"/>
      <c r="P273" s="8">
        <v>228420</v>
      </c>
      <c r="Q273" s="8">
        <v>228788</v>
      </c>
      <c r="R273" s="133">
        <f t="shared" si="49"/>
        <v>368</v>
      </c>
      <c r="S273" s="8">
        <v>558</v>
      </c>
      <c r="T273" s="8">
        <v>580</v>
      </c>
      <c r="U273" s="133">
        <f t="shared" si="50"/>
        <v>22</v>
      </c>
      <c r="V273" s="8">
        <v>274792</v>
      </c>
      <c r="W273" s="8">
        <v>274810</v>
      </c>
      <c r="X273" s="13">
        <f t="shared" si="56"/>
        <v>18</v>
      </c>
      <c r="Y273" s="8">
        <v>12791</v>
      </c>
      <c r="Z273" s="8">
        <v>12815</v>
      </c>
      <c r="AA273" s="13">
        <f t="shared" si="51"/>
        <v>24</v>
      </c>
      <c r="AB273" s="8">
        <v>184449</v>
      </c>
      <c r="AC273" s="8">
        <v>184544</v>
      </c>
      <c r="AD273" s="13">
        <f t="shared" si="48"/>
        <v>95</v>
      </c>
      <c r="AE273" s="135"/>
      <c r="AF273" s="135"/>
      <c r="AG273" s="135"/>
      <c r="AH273" s="136"/>
      <c r="AI273" s="50">
        <f t="shared" si="53"/>
        <v>432</v>
      </c>
    </row>
    <row r="274" spans="1:35">
      <c r="A274" s="12">
        <v>44649</v>
      </c>
      <c r="B274" s="8">
        <v>1632198</v>
      </c>
      <c r="C274" s="8">
        <v>1632198</v>
      </c>
      <c r="D274" s="13">
        <f t="shared" si="52"/>
        <v>0</v>
      </c>
      <c r="E274" s="46">
        <v>41758</v>
      </c>
      <c r="F274" s="70">
        <v>42475</v>
      </c>
      <c r="G274" s="133">
        <f t="shared" si="55"/>
        <v>717</v>
      </c>
      <c r="H274" s="8">
        <v>177801</v>
      </c>
      <c r="I274" s="8">
        <v>177904</v>
      </c>
      <c r="J274" s="13">
        <f t="shared" ref="J274:J337" si="57">I274-H274</f>
        <v>103</v>
      </c>
      <c r="K274" s="138"/>
      <c r="L274" s="8">
        <v>345872</v>
      </c>
      <c r="M274" s="8">
        <v>346773</v>
      </c>
      <c r="N274" s="13">
        <f t="shared" si="54"/>
        <v>901</v>
      </c>
      <c r="O274" s="136"/>
      <c r="P274" s="8">
        <v>228788</v>
      </c>
      <c r="Q274" s="8">
        <v>229161</v>
      </c>
      <c r="R274" s="133">
        <f t="shared" si="49"/>
        <v>373</v>
      </c>
      <c r="S274" s="8">
        <v>580</v>
      </c>
      <c r="T274" s="8">
        <v>587</v>
      </c>
      <c r="U274" s="133">
        <f t="shared" si="50"/>
        <v>7</v>
      </c>
      <c r="V274" s="8">
        <v>274810</v>
      </c>
      <c r="W274" s="8">
        <v>274867</v>
      </c>
      <c r="X274" s="13">
        <f t="shared" si="56"/>
        <v>57</v>
      </c>
      <c r="Y274" s="8">
        <v>12815</v>
      </c>
      <c r="Z274" s="8">
        <v>12825</v>
      </c>
      <c r="AA274" s="13">
        <f t="shared" si="51"/>
        <v>10</v>
      </c>
      <c r="AB274" s="8">
        <v>184544</v>
      </c>
      <c r="AC274" s="8">
        <v>184588</v>
      </c>
      <c r="AD274" s="13">
        <f t="shared" si="48"/>
        <v>44</v>
      </c>
      <c r="AE274" s="135"/>
      <c r="AF274" s="135"/>
      <c r="AG274" s="135"/>
      <c r="AH274" s="136"/>
      <c r="AI274" s="50">
        <f t="shared" si="53"/>
        <v>447</v>
      </c>
    </row>
    <row r="275" spans="1:35">
      <c r="A275" s="12">
        <v>44650</v>
      </c>
      <c r="B275" s="8">
        <v>1632198</v>
      </c>
      <c r="C275" s="8">
        <v>1632209</v>
      </c>
      <c r="D275" s="13">
        <f t="shared" si="52"/>
        <v>11</v>
      </c>
      <c r="E275" s="46">
        <v>42475</v>
      </c>
      <c r="F275" s="70">
        <v>43292</v>
      </c>
      <c r="G275" s="133">
        <f t="shared" si="55"/>
        <v>817</v>
      </c>
      <c r="H275" s="8">
        <v>177904</v>
      </c>
      <c r="I275" s="8">
        <v>178308</v>
      </c>
      <c r="J275" s="13">
        <f t="shared" si="57"/>
        <v>404</v>
      </c>
      <c r="K275" s="138"/>
      <c r="L275" s="8">
        <v>346773</v>
      </c>
      <c r="M275" s="8">
        <v>347482</v>
      </c>
      <c r="N275" s="13">
        <f t="shared" si="54"/>
        <v>709</v>
      </c>
      <c r="O275" s="136"/>
      <c r="P275" s="8">
        <v>229161</v>
      </c>
      <c r="Q275" s="8">
        <v>229555</v>
      </c>
      <c r="R275" s="133">
        <f t="shared" si="49"/>
        <v>394</v>
      </c>
      <c r="S275" s="8">
        <v>587</v>
      </c>
      <c r="T275" s="8">
        <v>615</v>
      </c>
      <c r="U275" s="133">
        <f t="shared" si="50"/>
        <v>28</v>
      </c>
      <c r="V275" s="8">
        <v>274867</v>
      </c>
      <c r="W275" s="8">
        <v>274940</v>
      </c>
      <c r="X275" s="13">
        <f t="shared" si="56"/>
        <v>73</v>
      </c>
      <c r="Y275" s="8">
        <v>12825</v>
      </c>
      <c r="Z275" s="8">
        <v>12853</v>
      </c>
      <c r="AA275" s="13">
        <f t="shared" si="51"/>
        <v>28</v>
      </c>
      <c r="AB275" s="8">
        <v>184588</v>
      </c>
      <c r="AC275" s="8">
        <v>184674</v>
      </c>
      <c r="AD275" s="13">
        <f t="shared" si="48"/>
        <v>86</v>
      </c>
      <c r="AE275" s="135"/>
      <c r="AF275" s="135"/>
      <c r="AG275" s="135"/>
      <c r="AH275" s="136"/>
      <c r="AI275" s="50">
        <f t="shared" si="53"/>
        <v>523</v>
      </c>
    </row>
    <row r="276" spans="1:35">
      <c r="A276" s="12">
        <v>44651</v>
      </c>
      <c r="B276" s="8">
        <v>1632209</v>
      </c>
      <c r="C276" s="8">
        <v>1632209</v>
      </c>
      <c r="D276" s="13">
        <f t="shared" si="52"/>
        <v>0</v>
      </c>
      <c r="E276" s="46">
        <v>43292</v>
      </c>
      <c r="F276" s="70">
        <v>44046</v>
      </c>
      <c r="G276" s="133">
        <f t="shared" si="55"/>
        <v>754</v>
      </c>
      <c r="H276" s="8">
        <v>178308</v>
      </c>
      <c r="I276" s="8">
        <v>178744</v>
      </c>
      <c r="J276" s="13">
        <f t="shared" si="57"/>
        <v>436</v>
      </c>
      <c r="K276" s="138"/>
      <c r="L276" s="8">
        <v>347482</v>
      </c>
      <c r="M276" s="8">
        <v>348330</v>
      </c>
      <c r="N276" s="13">
        <f t="shared" si="54"/>
        <v>848</v>
      </c>
      <c r="O276" s="136"/>
      <c r="P276" s="8">
        <v>229555</v>
      </c>
      <c r="Q276" s="8">
        <v>230012</v>
      </c>
      <c r="R276" s="133">
        <f t="shared" si="49"/>
        <v>457</v>
      </c>
      <c r="S276" s="8">
        <v>615</v>
      </c>
      <c r="T276" s="8">
        <v>646</v>
      </c>
      <c r="U276" s="133">
        <f t="shared" si="50"/>
        <v>31</v>
      </c>
      <c r="V276" s="8">
        <v>274940</v>
      </c>
      <c r="W276" s="8">
        <v>274996</v>
      </c>
      <c r="X276" s="13">
        <f t="shared" si="56"/>
        <v>56</v>
      </c>
      <c r="Y276" s="8">
        <v>12853</v>
      </c>
      <c r="Z276" s="8">
        <v>12864</v>
      </c>
      <c r="AA276" s="13">
        <f>Z276-Y276</f>
        <v>11</v>
      </c>
      <c r="AB276" s="8">
        <v>184674</v>
      </c>
      <c r="AC276" s="8">
        <v>184698</v>
      </c>
      <c r="AD276" s="13">
        <f t="shared" si="48"/>
        <v>24</v>
      </c>
      <c r="AE276" s="135"/>
      <c r="AF276" s="135"/>
      <c r="AG276" s="135"/>
      <c r="AH276" s="136"/>
      <c r="AI276" s="50">
        <f t="shared" si="53"/>
        <v>555</v>
      </c>
    </row>
    <row r="277" spans="1:35">
      <c r="A277" s="12">
        <v>44652</v>
      </c>
      <c r="B277" s="8">
        <v>1632209</v>
      </c>
      <c r="C277" s="8">
        <v>1632209</v>
      </c>
      <c r="D277" s="13">
        <f t="shared" si="52"/>
        <v>0</v>
      </c>
      <c r="E277" s="46">
        <v>44046</v>
      </c>
      <c r="F277" s="70">
        <v>44914</v>
      </c>
      <c r="G277" s="133">
        <f t="shared" si="55"/>
        <v>868</v>
      </c>
      <c r="H277" s="8">
        <v>178744</v>
      </c>
      <c r="I277" s="8">
        <v>179007</v>
      </c>
      <c r="J277" s="13">
        <f t="shared" si="57"/>
        <v>263</v>
      </c>
      <c r="K277" s="138"/>
      <c r="L277" s="8">
        <v>348330</v>
      </c>
      <c r="M277" s="8">
        <v>348782</v>
      </c>
      <c r="N277" s="13">
        <f t="shared" si="54"/>
        <v>452</v>
      </c>
      <c r="O277" s="136"/>
      <c r="P277" s="8">
        <v>230012</v>
      </c>
      <c r="Q277" s="8">
        <v>230431</v>
      </c>
      <c r="R277" s="133">
        <f t="shared" si="49"/>
        <v>419</v>
      </c>
      <c r="S277" s="8">
        <v>646</v>
      </c>
      <c r="T277" s="8">
        <v>682</v>
      </c>
      <c r="U277" s="133">
        <f t="shared" si="50"/>
        <v>36</v>
      </c>
      <c r="V277" s="8">
        <v>274996</v>
      </c>
      <c r="W277" s="8">
        <v>275230</v>
      </c>
      <c r="X277" s="13">
        <f t="shared" si="56"/>
        <v>234</v>
      </c>
      <c r="Y277" s="8">
        <v>12864</v>
      </c>
      <c r="Z277" s="8">
        <v>12895</v>
      </c>
      <c r="AA277" s="13">
        <f t="shared" ref="AA277:AA287" si="58">Z277-Y277</f>
        <v>31</v>
      </c>
      <c r="AB277" s="8">
        <v>184698</v>
      </c>
      <c r="AC277" s="8">
        <v>184731</v>
      </c>
      <c r="AD277" s="13">
        <f t="shared" si="48"/>
        <v>33</v>
      </c>
      <c r="AE277" s="135"/>
      <c r="AF277" s="135"/>
      <c r="AG277" s="135"/>
      <c r="AH277" s="136"/>
      <c r="AI277" s="50">
        <f t="shared" si="53"/>
        <v>720</v>
      </c>
    </row>
    <row r="278" spans="1:35">
      <c r="A278" s="12">
        <v>44653</v>
      </c>
      <c r="B278" s="8">
        <v>1632209</v>
      </c>
      <c r="C278" s="8">
        <v>1632209</v>
      </c>
      <c r="D278" s="13">
        <f t="shared" si="52"/>
        <v>0</v>
      </c>
      <c r="E278" s="46">
        <v>44914</v>
      </c>
      <c r="F278" s="70">
        <v>45647</v>
      </c>
      <c r="G278" s="133">
        <f t="shared" si="55"/>
        <v>733</v>
      </c>
      <c r="H278" s="8">
        <v>179007</v>
      </c>
      <c r="I278" s="8">
        <v>179279</v>
      </c>
      <c r="J278" s="13">
        <f t="shared" si="57"/>
        <v>272</v>
      </c>
      <c r="K278" s="138"/>
      <c r="L278" s="8">
        <v>348782</v>
      </c>
      <c r="M278" s="8">
        <v>349176</v>
      </c>
      <c r="N278" s="13">
        <f t="shared" si="54"/>
        <v>394</v>
      </c>
      <c r="O278" s="136"/>
      <c r="P278" s="8">
        <v>230431</v>
      </c>
      <c r="Q278" s="8">
        <v>230871</v>
      </c>
      <c r="R278" s="133">
        <f t="shared" si="49"/>
        <v>440</v>
      </c>
      <c r="S278" s="8">
        <v>682</v>
      </c>
      <c r="T278" s="8">
        <v>715</v>
      </c>
      <c r="U278" s="133">
        <f t="shared" si="50"/>
        <v>33</v>
      </c>
      <c r="V278" s="8">
        <v>275230</v>
      </c>
      <c r="W278" s="8">
        <v>275335</v>
      </c>
      <c r="X278" s="13">
        <f t="shared" si="56"/>
        <v>105</v>
      </c>
      <c r="Y278" s="8">
        <v>12895</v>
      </c>
      <c r="Z278" s="8">
        <v>12912</v>
      </c>
      <c r="AA278" s="13">
        <f t="shared" si="58"/>
        <v>17</v>
      </c>
      <c r="AB278" s="8">
        <v>184731</v>
      </c>
      <c r="AC278" s="8">
        <v>184779</v>
      </c>
      <c r="AD278" s="13">
        <f t="shared" si="48"/>
        <v>48</v>
      </c>
      <c r="AE278" s="135"/>
      <c r="AF278" s="135"/>
      <c r="AG278" s="135"/>
      <c r="AH278" s="136"/>
      <c r="AI278" s="50">
        <f t="shared" si="53"/>
        <v>595</v>
      </c>
    </row>
    <row r="279" spans="1:35">
      <c r="A279" s="12">
        <v>44654</v>
      </c>
      <c r="B279" s="8">
        <v>1632209</v>
      </c>
      <c r="C279" s="8">
        <v>1632209</v>
      </c>
      <c r="D279" s="13">
        <f t="shared" si="52"/>
        <v>0</v>
      </c>
      <c r="E279" s="46">
        <v>45647</v>
      </c>
      <c r="F279" s="70">
        <v>46417</v>
      </c>
      <c r="G279" s="133">
        <f t="shared" si="55"/>
        <v>770</v>
      </c>
      <c r="H279" s="8">
        <v>179279</v>
      </c>
      <c r="I279" s="8">
        <v>180087</v>
      </c>
      <c r="J279" s="13">
        <f t="shared" si="57"/>
        <v>808</v>
      </c>
      <c r="K279" s="138"/>
      <c r="L279" s="8">
        <v>349176</v>
      </c>
      <c r="M279" s="8">
        <v>349665</v>
      </c>
      <c r="N279" s="13">
        <f t="shared" si="54"/>
        <v>489</v>
      </c>
      <c r="O279" s="136"/>
      <c r="P279" s="8">
        <v>230871</v>
      </c>
      <c r="Q279" s="8">
        <v>231272</v>
      </c>
      <c r="R279" s="133">
        <f t="shared" si="49"/>
        <v>401</v>
      </c>
      <c r="S279" s="8">
        <v>715</v>
      </c>
      <c r="T279" s="8">
        <v>751</v>
      </c>
      <c r="U279" s="133">
        <f t="shared" si="50"/>
        <v>36</v>
      </c>
      <c r="V279" s="8">
        <v>275335</v>
      </c>
      <c r="W279" s="8">
        <v>275413</v>
      </c>
      <c r="X279" s="13">
        <f t="shared" si="56"/>
        <v>78</v>
      </c>
      <c r="Y279" s="8">
        <v>12912</v>
      </c>
      <c r="Z279" s="8">
        <v>12935</v>
      </c>
      <c r="AA279" s="13">
        <f t="shared" si="58"/>
        <v>23</v>
      </c>
      <c r="AB279" s="8">
        <v>184779</v>
      </c>
      <c r="AC279" s="8">
        <v>184831</v>
      </c>
      <c r="AD279" s="13">
        <f t="shared" si="48"/>
        <v>52</v>
      </c>
      <c r="AE279" s="135"/>
      <c r="AF279" s="135"/>
      <c r="AG279" s="135"/>
      <c r="AH279" s="136"/>
      <c r="AI279" s="50">
        <f t="shared" si="53"/>
        <v>538</v>
      </c>
    </row>
    <row r="280" spans="1:35">
      <c r="A280" s="12">
        <v>44655</v>
      </c>
      <c r="B280" s="8">
        <v>1632209</v>
      </c>
      <c r="C280" s="8">
        <v>1632209</v>
      </c>
      <c r="D280" s="13">
        <f t="shared" si="52"/>
        <v>0</v>
      </c>
      <c r="E280" s="46">
        <v>46417</v>
      </c>
      <c r="F280" s="70">
        <v>47171</v>
      </c>
      <c r="G280" s="133">
        <f t="shared" si="55"/>
        <v>754</v>
      </c>
      <c r="H280" s="8">
        <v>180087</v>
      </c>
      <c r="I280" s="8">
        <v>180591</v>
      </c>
      <c r="J280" s="13">
        <f t="shared" si="57"/>
        <v>504</v>
      </c>
      <c r="K280" s="138"/>
      <c r="L280" s="8">
        <v>349176</v>
      </c>
      <c r="M280" s="8">
        <v>349665</v>
      </c>
      <c r="N280" s="13">
        <f t="shared" si="54"/>
        <v>489</v>
      </c>
      <c r="O280" s="136"/>
      <c r="P280" s="8">
        <v>231272</v>
      </c>
      <c r="Q280" s="8">
        <v>231702</v>
      </c>
      <c r="R280" s="133">
        <f t="shared" si="49"/>
        <v>430</v>
      </c>
      <c r="S280" s="8">
        <v>751</v>
      </c>
      <c r="T280" s="8">
        <v>780</v>
      </c>
      <c r="U280" s="133">
        <f t="shared" si="50"/>
        <v>29</v>
      </c>
      <c r="V280" s="8">
        <v>275413</v>
      </c>
      <c r="W280" s="8">
        <v>275554</v>
      </c>
      <c r="X280" s="13">
        <f t="shared" si="56"/>
        <v>141</v>
      </c>
      <c r="Y280" s="8">
        <v>12935</v>
      </c>
      <c r="Z280" s="8">
        <v>12953</v>
      </c>
      <c r="AA280" s="13">
        <f t="shared" si="58"/>
        <v>18</v>
      </c>
      <c r="AB280" s="8">
        <v>184831</v>
      </c>
      <c r="AC280" s="8">
        <v>184905</v>
      </c>
      <c r="AD280" s="13">
        <f t="shared" si="48"/>
        <v>74</v>
      </c>
      <c r="AE280" s="135"/>
      <c r="AF280" s="135"/>
      <c r="AG280" s="135"/>
      <c r="AH280" s="136"/>
      <c r="AI280" s="50">
        <f t="shared" si="53"/>
        <v>618</v>
      </c>
    </row>
    <row r="281" spans="1:35">
      <c r="A281" s="12">
        <v>44656</v>
      </c>
      <c r="B281" s="8">
        <v>1632209</v>
      </c>
      <c r="C281" s="8">
        <v>1632209</v>
      </c>
      <c r="D281" s="13">
        <f t="shared" si="52"/>
        <v>0</v>
      </c>
      <c r="E281" s="46">
        <v>47171</v>
      </c>
      <c r="F281" s="70">
        <v>47959</v>
      </c>
      <c r="G281" s="133">
        <f t="shared" si="55"/>
        <v>788</v>
      </c>
      <c r="H281" s="8">
        <v>180597</v>
      </c>
      <c r="I281" s="8">
        <v>181008</v>
      </c>
      <c r="J281" s="13">
        <f t="shared" si="57"/>
        <v>411</v>
      </c>
      <c r="K281" s="138"/>
      <c r="L281" s="8">
        <v>349665</v>
      </c>
      <c r="M281" s="8">
        <v>350952</v>
      </c>
      <c r="N281" s="13">
        <f>M281-L281</f>
        <v>1287</v>
      </c>
      <c r="O281" s="136"/>
      <c r="P281" s="8">
        <v>231702</v>
      </c>
      <c r="Q281" s="8">
        <v>231898</v>
      </c>
      <c r="R281" s="133">
        <f t="shared" si="49"/>
        <v>196</v>
      </c>
      <c r="S281" s="8">
        <v>780</v>
      </c>
      <c r="T281" s="8">
        <v>810</v>
      </c>
      <c r="U281" s="133">
        <f>T281-S281</f>
        <v>30</v>
      </c>
      <c r="V281" s="8">
        <v>275554</v>
      </c>
      <c r="W281" s="8">
        <v>275837</v>
      </c>
      <c r="X281" s="13">
        <f t="shared" si="56"/>
        <v>283</v>
      </c>
      <c r="Y281" s="8">
        <v>12953</v>
      </c>
      <c r="Z281" s="8">
        <v>12973</v>
      </c>
      <c r="AA281" s="13">
        <f t="shared" si="58"/>
        <v>20</v>
      </c>
      <c r="AB281" s="8">
        <v>184905</v>
      </c>
      <c r="AC281" s="8">
        <v>184968</v>
      </c>
      <c r="AD281" s="13">
        <f t="shared" si="48"/>
        <v>63</v>
      </c>
      <c r="AE281" s="135"/>
      <c r="AF281" s="135"/>
      <c r="AG281" s="135"/>
      <c r="AH281" s="136"/>
      <c r="AI281" s="50">
        <f t="shared" si="53"/>
        <v>529</v>
      </c>
    </row>
    <row r="282" spans="1:35">
      <c r="A282" s="12">
        <v>44657</v>
      </c>
      <c r="B282" s="8">
        <v>1632209</v>
      </c>
      <c r="C282" s="8">
        <v>1632250</v>
      </c>
      <c r="D282" s="13">
        <f t="shared" si="52"/>
        <v>41</v>
      </c>
      <c r="E282" s="46">
        <v>47959</v>
      </c>
      <c r="F282" s="70">
        <v>48722</v>
      </c>
      <c r="G282" s="133">
        <f t="shared" si="55"/>
        <v>763</v>
      </c>
      <c r="H282" s="8">
        <v>181008</v>
      </c>
      <c r="I282" s="8">
        <v>181458</v>
      </c>
      <c r="J282" s="13">
        <f t="shared" si="57"/>
        <v>450</v>
      </c>
      <c r="K282" s="138"/>
      <c r="L282" s="8">
        <v>350952</v>
      </c>
      <c r="M282" s="8">
        <v>351628</v>
      </c>
      <c r="N282" s="13">
        <f t="shared" ref="N282:N345" si="59">M282-L282</f>
        <v>676</v>
      </c>
      <c r="O282" s="136"/>
      <c r="P282" s="8">
        <v>231898</v>
      </c>
      <c r="Q282" s="8">
        <v>232317</v>
      </c>
      <c r="R282" s="133">
        <f t="shared" si="49"/>
        <v>419</v>
      </c>
      <c r="S282" s="8">
        <v>810</v>
      </c>
      <c r="T282" s="8">
        <v>831</v>
      </c>
      <c r="U282" s="133">
        <f t="shared" ref="U282:U345" si="60">T282-S282</f>
        <v>21</v>
      </c>
      <c r="V282" s="8">
        <v>275837</v>
      </c>
      <c r="W282" s="8">
        <v>276052</v>
      </c>
      <c r="X282" s="13">
        <f t="shared" si="56"/>
        <v>215</v>
      </c>
      <c r="Y282" s="8">
        <v>12973</v>
      </c>
      <c r="Z282" s="8">
        <v>12990</v>
      </c>
      <c r="AA282" s="13">
        <f t="shared" si="58"/>
        <v>17</v>
      </c>
      <c r="AB282" s="8">
        <v>184968</v>
      </c>
      <c r="AC282" s="8">
        <v>185047</v>
      </c>
      <c r="AD282" s="13">
        <f t="shared" si="48"/>
        <v>79</v>
      </c>
      <c r="AE282" s="135"/>
      <c r="AF282" s="135"/>
      <c r="AG282" s="135"/>
      <c r="AH282" s="136"/>
      <c r="AI282" s="50">
        <f t="shared" si="53"/>
        <v>672</v>
      </c>
    </row>
    <row r="283" spans="1:35">
      <c r="A283" s="12">
        <v>44658</v>
      </c>
      <c r="B283" s="8">
        <v>1632250</v>
      </c>
      <c r="C283" s="8">
        <v>1632260</v>
      </c>
      <c r="D283" s="13">
        <f t="shared" si="52"/>
        <v>10</v>
      </c>
      <c r="E283" s="46">
        <v>48722</v>
      </c>
      <c r="F283" s="70">
        <v>49516</v>
      </c>
      <c r="G283" s="133">
        <f t="shared" si="55"/>
        <v>794</v>
      </c>
      <c r="H283" s="8">
        <v>181458</v>
      </c>
      <c r="I283" s="8">
        <v>181756</v>
      </c>
      <c r="J283" s="13">
        <f t="shared" si="57"/>
        <v>298</v>
      </c>
      <c r="K283" s="138"/>
      <c r="L283" s="8">
        <v>351628</v>
      </c>
      <c r="M283" s="8">
        <v>352419</v>
      </c>
      <c r="N283" s="13">
        <f t="shared" si="59"/>
        <v>791</v>
      </c>
      <c r="O283" s="136"/>
      <c r="P283" s="8">
        <v>232317</v>
      </c>
      <c r="Q283" s="8">
        <v>232736</v>
      </c>
      <c r="R283" s="133">
        <f t="shared" si="49"/>
        <v>419</v>
      </c>
      <c r="S283" s="8">
        <v>831</v>
      </c>
      <c r="T283" s="8">
        <v>874</v>
      </c>
      <c r="U283" s="133">
        <f t="shared" si="60"/>
        <v>43</v>
      </c>
      <c r="V283" s="8">
        <v>276052</v>
      </c>
      <c r="W283" s="8">
        <v>276127</v>
      </c>
      <c r="X283" s="13">
        <f t="shared" si="56"/>
        <v>75</v>
      </c>
      <c r="Y283" s="8">
        <v>12990</v>
      </c>
      <c r="Z283" s="8">
        <v>13012</v>
      </c>
      <c r="AA283" s="13">
        <f t="shared" si="58"/>
        <v>22</v>
      </c>
      <c r="AB283" s="8">
        <v>185047</v>
      </c>
      <c r="AC283" s="8">
        <v>185073</v>
      </c>
      <c r="AD283" s="13">
        <f t="shared" si="48"/>
        <v>26</v>
      </c>
      <c r="AE283" s="135"/>
      <c r="AF283" s="135"/>
      <c r="AG283" s="135"/>
      <c r="AH283" s="136"/>
      <c r="AI283" s="50">
        <f t="shared" si="53"/>
        <v>559</v>
      </c>
    </row>
    <row r="284" spans="1:35">
      <c r="A284" s="12">
        <v>44659</v>
      </c>
      <c r="B284" s="8">
        <v>1632260</v>
      </c>
      <c r="C284" s="8">
        <v>1632440</v>
      </c>
      <c r="D284" s="13">
        <f t="shared" si="52"/>
        <v>180</v>
      </c>
      <c r="E284" s="46">
        <v>49516</v>
      </c>
      <c r="F284" s="70">
        <v>50204</v>
      </c>
      <c r="G284" s="133">
        <f t="shared" si="55"/>
        <v>688</v>
      </c>
      <c r="H284" s="8">
        <v>181756</v>
      </c>
      <c r="I284" s="8">
        <v>182225</v>
      </c>
      <c r="J284" s="13">
        <f t="shared" si="57"/>
        <v>469</v>
      </c>
      <c r="K284" s="138"/>
      <c r="L284" s="8">
        <v>352419</v>
      </c>
      <c r="M284" s="8">
        <v>353409</v>
      </c>
      <c r="N284" s="13">
        <f t="shared" si="59"/>
        <v>990</v>
      </c>
      <c r="O284" s="136"/>
      <c r="P284" s="8">
        <v>232736</v>
      </c>
      <c r="Q284" s="8">
        <v>233336</v>
      </c>
      <c r="R284" s="133">
        <f t="shared" si="49"/>
        <v>600</v>
      </c>
      <c r="S284" s="8">
        <v>874</v>
      </c>
      <c r="T284" s="8">
        <v>901</v>
      </c>
      <c r="U284" s="133">
        <f t="shared" si="60"/>
        <v>27</v>
      </c>
      <c r="V284" s="8">
        <v>276127</v>
      </c>
      <c r="W284" s="8">
        <v>276161</v>
      </c>
      <c r="X284" s="13">
        <f t="shared" si="56"/>
        <v>34</v>
      </c>
      <c r="Y284" s="8">
        <v>13012</v>
      </c>
      <c r="Z284" s="8">
        <v>13252</v>
      </c>
      <c r="AA284" s="13">
        <f t="shared" si="58"/>
        <v>240</v>
      </c>
      <c r="AB284" s="8">
        <v>185073</v>
      </c>
      <c r="AC284" s="8">
        <v>185136</v>
      </c>
      <c r="AD284" s="13">
        <f t="shared" si="48"/>
        <v>63</v>
      </c>
      <c r="AE284" s="135"/>
      <c r="AF284" s="135"/>
      <c r="AG284" s="135"/>
      <c r="AH284" s="136"/>
      <c r="AI284" s="50">
        <f t="shared" si="53"/>
        <v>901</v>
      </c>
    </row>
    <row r="285" spans="1:35">
      <c r="A285" s="12">
        <v>44660</v>
      </c>
      <c r="B285" s="8">
        <v>1632440</v>
      </c>
      <c r="C285" s="8">
        <v>1632577</v>
      </c>
      <c r="D285" s="13">
        <f t="shared" si="52"/>
        <v>137</v>
      </c>
      <c r="E285" s="46">
        <v>50204</v>
      </c>
      <c r="F285" s="70">
        <v>50891</v>
      </c>
      <c r="G285" s="133">
        <f t="shared" si="55"/>
        <v>687</v>
      </c>
      <c r="H285" s="8">
        <v>182225</v>
      </c>
      <c r="I285" s="8">
        <v>182424</v>
      </c>
      <c r="J285" s="13">
        <f t="shared" si="57"/>
        <v>199</v>
      </c>
      <c r="K285" s="138"/>
      <c r="L285" s="8">
        <v>353409</v>
      </c>
      <c r="M285" s="8">
        <v>354343</v>
      </c>
      <c r="N285" s="13">
        <f t="shared" si="59"/>
        <v>934</v>
      </c>
      <c r="O285" s="136"/>
      <c r="P285" s="8">
        <v>233336</v>
      </c>
      <c r="Q285" s="8">
        <v>233820</v>
      </c>
      <c r="R285" s="133">
        <f t="shared" si="49"/>
        <v>484</v>
      </c>
      <c r="S285" s="8">
        <v>901</v>
      </c>
      <c r="T285" s="8">
        <v>971</v>
      </c>
      <c r="U285" s="133">
        <f t="shared" si="60"/>
        <v>70</v>
      </c>
      <c r="V285" s="8">
        <v>276161</v>
      </c>
      <c r="W285" s="8">
        <v>276245</v>
      </c>
      <c r="X285" s="13">
        <f t="shared" si="56"/>
        <v>84</v>
      </c>
      <c r="Y285" s="8">
        <v>13252</v>
      </c>
      <c r="Z285" s="8">
        <v>13267</v>
      </c>
      <c r="AA285" s="13">
        <f t="shared" si="58"/>
        <v>15</v>
      </c>
      <c r="AB285" s="8">
        <v>185136</v>
      </c>
      <c r="AC285" s="8">
        <v>185245</v>
      </c>
      <c r="AD285" s="13">
        <f t="shared" si="48"/>
        <v>109</v>
      </c>
      <c r="AE285" s="135"/>
      <c r="AF285" s="135"/>
      <c r="AG285" s="135"/>
      <c r="AH285" s="136"/>
      <c r="AI285" s="50">
        <f t="shared" si="53"/>
        <v>653</v>
      </c>
    </row>
    <row r="286" spans="1:35">
      <c r="A286" s="12">
        <v>44661</v>
      </c>
      <c r="B286" s="8">
        <v>1632577</v>
      </c>
      <c r="C286" s="8">
        <v>1632889</v>
      </c>
      <c r="D286" s="13">
        <f t="shared" si="52"/>
        <v>312</v>
      </c>
      <c r="E286" s="46">
        <v>50891</v>
      </c>
      <c r="F286" s="70">
        <v>51645</v>
      </c>
      <c r="G286" s="133">
        <f t="shared" si="55"/>
        <v>754</v>
      </c>
      <c r="H286" s="8">
        <v>182424</v>
      </c>
      <c r="I286" s="8">
        <v>183242</v>
      </c>
      <c r="J286" s="13">
        <f t="shared" si="57"/>
        <v>818</v>
      </c>
      <c r="K286" s="138"/>
      <c r="L286" s="8">
        <v>354343</v>
      </c>
      <c r="M286" s="8">
        <v>354343</v>
      </c>
      <c r="N286" s="13">
        <f t="shared" si="59"/>
        <v>0</v>
      </c>
      <c r="O286" s="136"/>
      <c r="P286" s="8">
        <v>233820</v>
      </c>
      <c r="Q286" s="8">
        <v>234160</v>
      </c>
      <c r="R286" s="133">
        <f t="shared" si="49"/>
        <v>340</v>
      </c>
      <c r="S286" s="8">
        <v>971</v>
      </c>
      <c r="T286" s="8">
        <v>1010</v>
      </c>
      <c r="U286" s="133">
        <f t="shared" si="60"/>
        <v>39</v>
      </c>
      <c r="V286" s="8">
        <v>276245</v>
      </c>
      <c r="W286" s="8">
        <v>276349</v>
      </c>
      <c r="X286" s="13">
        <f t="shared" si="56"/>
        <v>104</v>
      </c>
      <c r="Y286" s="8">
        <v>13267</v>
      </c>
      <c r="Z286" s="8">
        <v>13279</v>
      </c>
      <c r="AA286" s="13">
        <f t="shared" si="58"/>
        <v>12</v>
      </c>
      <c r="AB286" s="8">
        <v>185245</v>
      </c>
      <c r="AC286" s="8">
        <v>185256</v>
      </c>
      <c r="AD286" s="13">
        <f t="shared" si="48"/>
        <v>11</v>
      </c>
      <c r="AE286" s="135"/>
      <c r="AF286" s="135"/>
      <c r="AG286" s="135"/>
      <c r="AH286" s="136"/>
      <c r="AI286" s="50">
        <f t="shared" si="53"/>
        <v>495</v>
      </c>
    </row>
    <row r="287" spans="1:35">
      <c r="A287" s="12">
        <v>44662</v>
      </c>
      <c r="B287" s="8">
        <v>1632889</v>
      </c>
      <c r="C287" s="8">
        <v>1632889</v>
      </c>
      <c r="D287" s="13">
        <f t="shared" si="52"/>
        <v>0</v>
      </c>
      <c r="E287" s="46">
        <v>51645</v>
      </c>
      <c r="F287" s="70">
        <v>52266</v>
      </c>
      <c r="G287" s="133">
        <f t="shared" si="55"/>
        <v>621</v>
      </c>
      <c r="H287" s="8">
        <v>183242</v>
      </c>
      <c r="I287" s="8">
        <v>183242</v>
      </c>
      <c r="J287" s="13">
        <f t="shared" si="57"/>
        <v>0</v>
      </c>
      <c r="K287" s="138"/>
      <c r="L287" s="8">
        <v>354343</v>
      </c>
      <c r="M287" s="8">
        <v>355599</v>
      </c>
      <c r="N287" s="13">
        <f t="shared" si="59"/>
        <v>1256</v>
      </c>
      <c r="O287" s="136"/>
      <c r="P287" s="8">
        <v>234160</v>
      </c>
      <c r="Q287" s="8">
        <v>234641</v>
      </c>
      <c r="R287" s="133">
        <f t="shared" si="49"/>
        <v>481</v>
      </c>
      <c r="S287" s="8">
        <v>1010</v>
      </c>
      <c r="T287" s="8">
        <v>1066</v>
      </c>
      <c r="U287" s="133">
        <f t="shared" si="60"/>
        <v>56</v>
      </c>
      <c r="V287" s="8">
        <v>276349</v>
      </c>
      <c r="W287" s="8">
        <v>276788</v>
      </c>
      <c r="X287" s="13">
        <f>W287-V287</f>
        <v>439</v>
      </c>
      <c r="Y287" s="8">
        <v>13279</v>
      </c>
      <c r="Z287" s="8">
        <v>13324</v>
      </c>
      <c r="AA287" s="13">
        <f t="shared" si="58"/>
        <v>45</v>
      </c>
      <c r="AB287" s="8">
        <v>185256</v>
      </c>
      <c r="AC287" s="8">
        <v>185256</v>
      </c>
      <c r="AD287" s="13">
        <f t="shared" si="48"/>
        <v>0</v>
      </c>
      <c r="AE287" s="135"/>
      <c r="AF287" s="135"/>
      <c r="AG287" s="135"/>
      <c r="AH287" s="136"/>
      <c r="AI287" s="50">
        <f t="shared" si="53"/>
        <v>1021</v>
      </c>
    </row>
    <row r="288" spans="1:35">
      <c r="A288" s="12">
        <v>44663</v>
      </c>
      <c r="B288" s="8">
        <v>1632889</v>
      </c>
      <c r="C288" s="8">
        <v>1632889</v>
      </c>
      <c r="D288" s="13">
        <f t="shared" si="52"/>
        <v>0</v>
      </c>
      <c r="E288" s="46">
        <v>52266</v>
      </c>
      <c r="F288" s="70">
        <v>52928</v>
      </c>
      <c r="G288" s="133">
        <f t="shared" si="55"/>
        <v>662</v>
      </c>
      <c r="H288" s="8">
        <v>183242</v>
      </c>
      <c r="I288" s="8">
        <v>183242</v>
      </c>
      <c r="J288" s="13">
        <f t="shared" si="57"/>
        <v>0</v>
      </c>
      <c r="K288" s="138"/>
      <c r="L288" s="8">
        <v>355599</v>
      </c>
      <c r="M288" s="8">
        <v>355994</v>
      </c>
      <c r="N288" s="13">
        <f t="shared" si="59"/>
        <v>395</v>
      </c>
      <c r="O288" s="136"/>
      <c r="P288" s="8">
        <v>234641</v>
      </c>
      <c r="Q288" s="8">
        <v>234704</v>
      </c>
      <c r="R288" s="133">
        <f t="shared" si="49"/>
        <v>63</v>
      </c>
      <c r="S288" s="8">
        <v>1066</v>
      </c>
      <c r="T288" s="8">
        <v>1107</v>
      </c>
      <c r="U288" s="133">
        <f t="shared" si="60"/>
        <v>41</v>
      </c>
      <c r="V288" s="8">
        <v>276788</v>
      </c>
      <c r="W288" s="8">
        <v>276864</v>
      </c>
      <c r="X288" s="13">
        <f t="shared" ref="X288:X330" si="61">W288-V288</f>
        <v>76</v>
      </c>
      <c r="Y288" s="8">
        <v>13324</v>
      </c>
      <c r="Z288" s="8">
        <v>13347</v>
      </c>
      <c r="AA288" s="13">
        <f t="shared" si="51"/>
        <v>23</v>
      </c>
      <c r="AB288" s="8">
        <v>185256</v>
      </c>
      <c r="AC288" s="8">
        <v>185256</v>
      </c>
      <c r="AD288" s="13">
        <f t="shared" si="48"/>
        <v>0</v>
      </c>
      <c r="AE288" s="135"/>
      <c r="AF288" s="135"/>
      <c r="AG288" s="135"/>
      <c r="AH288" s="136"/>
      <c r="AI288" s="50">
        <f t="shared" si="53"/>
        <v>203</v>
      </c>
    </row>
    <row r="289" spans="1:35">
      <c r="A289" s="12">
        <v>44664</v>
      </c>
      <c r="B289" s="8">
        <v>1632889</v>
      </c>
      <c r="C289" s="8">
        <v>1633429</v>
      </c>
      <c r="D289" s="13">
        <f t="shared" si="52"/>
        <v>540</v>
      </c>
      <c r="E289" s="46">
        <v>52928</v>
      </c>
      <c r="F289" s="70">
        <v>53700</v>
      </c>
      <c r="G289" s="133">
        <f t="shared" si="55"/>
        <v>772</v>
      </c>
      <c r="H289" s="8">
        <v>183242</v>
      </c>
      <c r="I289" s="8">
        <v>183242</v>
      </c>
      <c r="J289" s="13">
        <f t="shared" si="57"/>
        <v>0</v>
      </c>
      <c r="K289" s="138"/>
      <c r="L289" s="8">
        <v>355994</v>
      </c>
      <c r="M289" s="8">
        <v>357293</v>
      </c>
      <c r="N289" s="13">
        <f t="shared" si="59"/>
        <v>1299</v>
      </c>
      <c r="O289" s="136"/>
      <c r="P289" s="8">
        <v>234704</v>
      </c>
      <c r="Q289" s="8">
        <v>235328</v>
      </c>
      <c r="R289" s="133">
        <f t="shared" si="49"/>
        <v>624</v>
      </c>
      <c r="S289" s="8">
        <v>1107</v>
      </c>
      <c r="T289" s="8">
        <v>1166</v>
      </c>
      <c r="U289" s="133">
        <f t="shared" si="60"/>
        <v>59</v>
      </c>
      <c r="V289" s="8">
        <v>276864</v>
      </c>
      <c r="W289" s="8">
        <v>276940</v>
      </c>
      <c r="X289" s="13">
        <f t="shared" si="61"/>
        <v>76</v>
      </c>
      <c r="Y289" s="8">
        <v>13347</v>
      </c>
      <c r="Z289" s="8">
        <v>13364</v>
      </c>
      <c r="AA289" s="13">
        <f t="shared" si="51"/>
        <v>17</v>
      </c>
      <c r="AB289" s="8">
        <v>185256</v>
      </c>
      <c r="AC289" s="8">
        <v>185256</v>
      </c>
      <c r="AD289" s="13">
        <f t="shared" si="48"/>
        <v>0</v>
      </c>
      <c r="AE289" s="135"/>
      <c r="AF289" s="135"/>
      <c r="AG289" s="135"/>
      <c r="AH289" s="136"/>
      <c r="AI289" s="50">
        <f t="shared" si="53"/>
        <v>776</v>
      </c>
    </row>
    <row r="290" spans="1:35">
      <c r="A290" s="12">
        <v>44665</v>
      </c>
      <c r="B290" s="8">
        <v>1633429</v>
      </c>
      <c r="C290" s="8">
        <v>1633979</v>
      </c>
      <c r="D290" s="13">
        <f t="shared" si="52"/>
        <v>550</v>
      </c>
      <c r="E290" s="46">
        <v>53700</v>
      </c>
      <c r="F290" s="70">
        <v>54375</v>
      </c>
      <c r="G290" s="133">
        <f t="shared" si="55"/>
        <v>675</v>
      </c>
      <c r="H290" s="8">
        <v>183242</v>
      </c>
      <c r="I290" s="8">
        <v>184060</v>
      </c>
      <c r="J290" s="13">
        <f t="shared" si="57"/>
        <v>818</v>
      </c>
      <c r="K290" s="138"/>
      <c r="L290" s="8">
        <v>357293</v>
      </c>
      <c r="M290" s="8">
        <v>357562</v>
      </c>
      <c r="N290" s="13">
        <f t="shared" si="59"/>
        <v>269</v>
      </c>
      <c r="O290" s="136"/>
      <c r="P290" s="8">
        <v>235328</v>
      </c>
      <c r="Q290" s="8">
        <v>235713</v>
      </c>
      <c r="R290" s="133">
        <f t="shared" si="49"/>
        <v>385</v>
      </c>
      <c r="S290" s="8">
        <v>1166</v>
      </c>
      <c r="T290" s="8">
        <v>1181</v>
      </c>
      <c r="U290" s="133">
        <f t="shared" si="60"/>
        <v>15</v>
      </c>
      <c r="V290" s="8">
        <v>276940</v>
      </c>
      <c r="W290" s="8">
        <v>277023</v>
      </c>
      <c r="X290" s="13">
        <f t="shared" si="61"/>
        <v>83</v>
      </c>
      <c r="Y290" s="8">
        <v>13364</v>
      </c>
      <c r="Z290" s="8">
        <v>13385</v>
      </c>
      <c r="AA290" s="13">
        <f t="shared" si="51"/>
        <v>21</v>
      </c>
      <c r="AB290" s="8">
        <v>185256</v>
      </c>
      <c r="AC290" s="8">
        <v>185338</v>
      </c>
      <c r="AD290" s="13">
        <f t="shared" si="48"/>
        <v>82</v>
      </c>
      <c r="AE290" s="135"/>
      <c r="AF290" s="135"/>
      <c r="AG290" s="135"/>
      <c r="AH290" s="136"/>
      <c r="AI290" s="50">
        <f t="shared" si="53"/>
        <v>504</v>
      </c>
    </row>
    <row r="291" spans="1:35">
      <c r="A291" s="12">
        <v>44666</v>
      </c>
      <c r="B291" s="8">
        <v>1633979</v>
      </c>
      <c r="C291" s="8">
        <v>1634332</v>
      </c>
      <c r="D291" s="13">
        <f t="shared" si="52"/>
        <v>353</v>
      </c>
      <c r="E291" s="46">
        <v>54375</v>
      </c>
      <c r="F291" s="70">
        <v>55149</v>
      </c>
      <c r="G291" s="133">
        <f t="shared" si="55"/>
        <v>774</v>
      </c>
      <c r="H291" s="8">
        <v>184060</v>
      </c>
      <c r="I291" s="8">
        <v>184060</v>
      </c>
      <c r="J291" s="13">
        <f t="shared" si="57"/>
        <v>0</v>
      </c>
      <c r="K291" s="138"/>
      <c r="L291" s="8">
        <v>357562</v>
      </c>
      <c r="M291" s="8">
        <v>358281</v>
      </c>
      <c r="N291" s="13">
        <f t="shared" si="59"/>
        <v>719</v>
      </c>
      <c r="O291" s="136"/>
      <c r="P291" s="8">
        <v>235713</v>
      </c>
      <c r="Q291" s="8">
        <v>235914</v>
      </c>
      <c r="R291" s="133">
        <f t="shared" si="49"/>
        <v>201</v>
      </c>
      <c r="S291" s="8">
        <v>1181</v>
      </c>
      <c r="T291" s="8">
        <v>1238</v>
      </c>
      <c r="U291" s="133">
        <f t="shared" si="60"/>
        <v>57</v>
      </c>
      <c r="V291" s="8">
        <v>277023</v>
      </c>
      <c r="W291" s="8">
        <v>277109</v>
      </c>
      <c r="X291" s="13">
        <f t="shared" si="61"/>
        <v>86</v>
      </c>
      <c r="Y291" s="8">
        <v>13385</v>
      </c>
      <c r="Z291" s="8">
        <v>13400</v>
      </c>
      <c r="AA291" s="13">
        <f t="shared" si="51"/>
        <v>15</v>
      </c>
      <c r="AB291" s="8">
        <v>185338</v>
      </c>
      <c r="AC291" s="8">
        <v>185448</v>
      </c>
      <c r="AD291" s="13">
        <f t="shared" si="48"/>
        <v>110</v>
      </c>
      <c r="AE291" s="135"/>
      <c r="AF291" s="135"/>
      <c r="AG291" s="135"/>
      <c r="AH291" s="136"/>
      <c r="AI291" s="50">
        <f t="shared" si="53"/>
        <v>359</v>
      </c>
    </row>
    <row r="292" spans="1:35">
      <c r="A292" s="12">
        <v>44667</v>
      </c>
      <c r="B292" s="8">
        <v>1634332</v>
      </c>
      <c r="C292" s="8">
        <v>1634751</v>
      </c>
      <c r="D292" s="13">
        <f t="shared" si="52"/>
        <v>419</v>
      </c>
      <c r="E292" s="46">
        <v>55149</v>
      </c>
      <c r="F292" s="70">
        <v>55949</v>
      </c>
      <c r="G292" s="133">
        <f t="shared" si="55"/>
        <v>800</v>
      </c>
      <c r="H292" s="8">
        <v>184060</v>
      </c>
      <c r="I292" s="8">
        <v>184060</v>
      </c>
      <c r="J292" s="13">
        <f t="shared" si="57"/>
        <v>0</v>
      </c>
      <c r="K292" s="138"/>
      <c r="L292" s="8">
        <v>358281</v>
      </c>
      <c r="M292" s="8">
        <v>360011</v>
      </c>
      <c r="N292" s="13">
        <f t="shared" si="59"/>
        <v>1730</v>
      </c>
      <c r="O292" s="136"/>
      <c r="P292" s="8">
        <v>235914</v>
      </c>
      <c r="Q292" s="8">
        <v>236233</v>
      </c>
      <c r="R292" s="133">
        <f t="shared" si="49"/>
        <v>319</v>
      </c>
      <c r="S292" s="8">
        <v>1238</v>
      </c>
      <c r="T292" s="8">
        <v>1295</v>
      </c>
      <c r="U292" s="133">
        <f t="shared" si="60"/>
        <v>57</v>
      </c>
      <c r="V292" s="8">
        <v>277109</v>
      </c>
      <c r="W292" s="8">
        <v>277200</v>
      </c>
      <c r="X292" s="13">
        <f t="shared" si="61"/>
        <v>91</v>
      </c>
      <c r="Y292" s="8">
        <v>13400</v>
      </c>
      <c r="Z292" s="8">
        <v>13418</v>
      </c>
      <c r="AA292" s="13">
        <f t="shared" si="51"/>
        <v>18</v>
      </c>
      <c r="AB292" s="8">
        <v>185448</v>
      </c>
      <c r="AC292" s="8">
        <v>185547</v>
      </c>
      <c r="AD292" s="13">
        <f t="shared" si="48"/>
        <v>99</v>
      </c>
      <c r="AE292" s="135"/>
      <c r="AF292" s="135"/>
      <c r="AG292" s="135"/>
      <c r="AH292" s="136"/>
      <c r="AI292" s="50">
        <f t="shared" si="53"/>
        <v>485</v>
      </c>
    </row>
    <row r="293" spans="1:35">
      <c r="A293" s="12">
        <v>44668</v>
      </c>
      <c r="B293" s="8">
        <v>1634751</v>
      </c>
      <c r="C293" s="8">
        <v>1635516</v>
      </c>
      <c r="D293" s="13">
        <f t="shared" si="52"/>
        <v>765</v>
      </c>
      <c r="E293" s="46">
        <v>55949</v>
      </c>
      <c r="F293" s="70">
        <v>56700</v>
      </c>
      <c r="G293" s="133">
        <f t="shared" si="55"/>
        <v>751</v>
      </c>
      <c r="H293" s="8">
        <v>184060</v>
      </c>
      <c r="I293" s="8">
        <v>184352</v>
      </c>
      <c r="J293" s="13">
        <f t="shared" si="57"/>
        <v>292</v>
      </c>
      <c r="K293" s="138"/>
      <c r="L293" s="8">
        <v>360011</v>
      </c>
      <c r="M293" s="8">
        <v>360665</v>
      </c>
      <c r="N293" s="13">
        <f t="shared" si="59"/>
        <v>654</v>
      </c>
      <c r="O293" s="136"/>
      <c r="P293" s="8">
        <v>236233</v>
      </c>
      <c r="Q293" s="8">
        <v>236842</v>
      </c>
      <c r="R293" s="133">
        <f t="shared" si="49"/>
        <v>609</v>
      </c>
      <c r="S293" s="8">
        <v>1295</v>
      </c>
      <c r="T293" s="8">
        <v>1300</v>
      </c>
      <c r="U293" s="133">
        <f t="shared" si="60"/>
        <v>5</v>
      </c>
      <c r="V293" s="8">
        <v>277200</v>
      </c>
      <c r="W293" s="8">
        <v>277748</v>
      </c>
      <c r="X293" s="13">
        <f t="shared" si="61"/>
        <v>548</v>
      </c>
      <c r="Y293" s="8">
        <v>13418</v>
      </c>
      <c r="Z293" s="8">
        <v>13443</v>
      </c>
      <c r="AA293" s="13">
        <f t="shared" si="51"/>
        <v>25</v>
      </c>
      <c r="AB293" s="8">
        <v>185547</v>
      </c>
      <c r="AC293" s="8">
        <v>185603</v>
      </c>
      <c r="AD293" s="13">
        <f t="shared" ref="AD293:AD356" si="62">AC293-AB293</f>
        <v>56</v>
      </c>
      <c r="AE293" s="135"/>
      <c r="AF293" s="135"/>
      <c r="AG293" s="135"/>
      <c r="AH293" s="136"/>
      <c r="AI293" s="50">
        <f t="shared" si="53"/>
        <v>1187</v>
      </c>
    </row>
    <row r="294" spans="1:35">
      <c r="A294" s="12">
        <v>44669</v>
      </c>
      <c r="B294" s="8">
        <v>1635516</v>
      </c>
      <c r="C294" s="8">
        <v>1635516</v>
      </c>
      <c r="D294" s="13">
        <f t="shared" si="52"/>
        <v>0</v>
      </c>
      <c r="E294" s="46">
        <v>56700</v>
      </c>
      <c r="F294" s="70">
        <v>57306</v>
      </c>
      <c r="G294" s="133">
        <f t="shared" si="55"/>
        <v>606</v>
      </c>
      <c r="H294" s="8">
        <v>184352</v>
      </c>
      <c r="I294" s="8">
        <v>184352</v>
      </c>
      <c r="J294" s="13">
        <f t="shared" si="57"/>
        <v>0</v>
      </c>
      <c r="K294" s="138"/>
      <c r="L294" s="8">
        <v>360665</v>
      </c>
      <c r="M294" s="8">
        <v>361744</v>
      </c>
      <c r="N294" s="13">
        <f t="shared" si="59"/>
        <v>1079</v>
      </c>
      <c r="O294" s="136"/>
      <c r="P294" s="8">
        <v>236842</v>
      </c>
      <c r="Q294" s="8">
        <v>237534</v>
      </c>
      <c r="R294" s="133">
        <f t="shared" si="49"/>
        <v>692</v>
      </c>
      <c r="S294" s="8">
        <v>1300</v>
      </c>
      <c r="T294" s="8">
        <v>1330</v>
      </c>
      <c r="U294" s="133">
        <f t="shared" si="60"/>
        <v>30</v>
      </c>
      <c r="V294" s="8">
        <v>277748</v>
      </c>
      <c r="W294" s="8">
        <v>277823</v>
      </c>
      <c r="X294" s="13">
        <f t="shared" si="61"/>
        <v>75</v>
      </c>
      <c r="Y294" s="8">
        <v>13443</v>
      </c>
      <c r="Z294" s="8">
        <v>13463</v>
      </c>
      <c r="AA294" s="13">
        <f t="shared" si="51"/>
        <v>20</v>
      </c>
      <c r="AB294" s="8">
        <v>185603</v>
      </c>
      <c r="AC294" s="8">
        <v>185665</v>
      </c>
      <c r="AD294" s="13">
        <f t="shared" si="62"/>
        <v>62</v>
      </c>
      <c r="AE294" s="135"/>
      <c r="AF294" s="135"/>
      <c r="AG294" s="135"/>
      <c r="AH294" s="136"/>
      <c r="AI294" s="50">
        <f t="shared" si="53"/>
        <v>817</v>
      </c>
    </row>
    <row r="295" spans="1:35">
      <c r="A295" s="12">
        <v>44670</v>
      </c>
      <c r="B295" s="8">
        <v>1635516</v>
      </c>
      <c r="C295" s="8">
        <v>1636351</v>
      </c>
      <c r="D295" s="13">
        <f t="shared" si="52"/>
        <v>835</v>
      </c>
      <c r="E295" s="46">
        <v>57306</v>
      </c>
      <c r="F295" s="70">
        <v>58085</v>
      </c>
      <c r="G295" s="133">
        <f t="shared" si="55"/>
        <v>779</v>
      </c>
      <c r="H295" s="8">
        <v>184352</v>
      </c>
      <c r="I295" s="8">
        <v>184568</v>
      </c>
      <c r="J295" s="13">
        <f t="shared" si="57"/>
        <v>216</v>
      </c>
      <c r="K295" s="138"/>
      <c r="L295" s="8">
        <v>361744</v>
      </c>
      <c r="M295" s="8">
        <v>362482</v>
      </c>
      <c r="N295" s="13">
        <f t="shared" si="59"/>
        <v>738</v>
      </c>
      <c r="O295" s="136"/>
      <c r="P295" s="8">
        <v>237534</v>
      </c>
      <c r="Q295" s="8">
        <v>237888</v>
      </c>
      <c r="R295" s="133">
        <f t="shared" si="49"/>
        <v>354</v>
      </c>
      <c r="S295" s="8">
        <v>1330</v>
      </c>
      <c r="T295" s="8">
        <v>1355</v>
      </c>
      <c r="U295" s="133">
        <f t="shared" si="60"/>
        <v>25</v>
      </c>
      <c r="V295" s="8">
        <v>277823</v>
      </c>
      <c r="W295" s="8">
        <v>278461</v>
      </c>
      <c r="X295" s="13">
        <f t="shared" si="61"/>
        <v>638</v>
      </c>
      <c r="Y295" s="8">
        <v>13463</v>
      </c>
      <c r="Z295" s="8">
        <v>13477</v>
      </c>
      <c r="AA295" s="13">
        <f t="shared" si="51"/>
        <v>14</v>
      </c>
      <c r="AB295" s="8">
        <v>185665</v>
      </c>
      <c r="AC295" s="8">
        <v>185724</v>
      </c>
      <c r="AD295" s="13">
        <f t="shared" si="62"/>
        <v>59</v>
      </c>
      <c r="AE295" s="135"/>
      <c r="AF295" s="135"/>
      <c r="AG295" s="135"/>
      <c r="AH295" s="136"/>
      <c r="AI295" s="50">
        <f t="shared" si="53"/>
        <v>1031</v>
      </c>
    </row>
    <row r="296" spans="1:35">
      <c r="A296" s="12">
        <v>44671</v>
      </c>
      <c r="B296" s="8">
        <v>1636351</v>
      </c>
      <c r="C296" s="8">
        <v>1636352</v>
      </c>
      <c r="D296" s="13">
        <f t="shared" si="52"/>
        <v>1</v>
      </c>
      <c r="E296" s="46">
        <v>58085</v>
      </c>
      <c r="F296" s="70">
        <v>58844</v>
      </c>
      <c r="G296" s="133">
        <f t="shared" si="55"/>
        <v>759</v>
      </c>
      <c r="H296" s="8">
        <v>184568</v>
      </c>
      <c r="I296" s="8">
        <v>184568</v>
      </c>
      <c r="J296" s="13">
        <f t="shared" si="57"/>
        <v>0</v>
      </c>
      <c r="K296" s="138"/>
      <c r="L296" s="8">
        <v>362482</v>
      </c>
      <c r="M296" s="8">
        <v>363637</v>
      </c>
      <c r="N296" s="13">
        <f t="shared" si="59"/>
        <v>1155</v>
      </c>
      <c r="O296" s="136"/>
      <c r="P296" s="8">
        <v>237888</v>
      </c>
      <c r="Q296" s="8">
        <v>238350</v>
      </c>
      <c r="R296" s="133">
        <f t="shared" si="49"/>
        <v>462</v>
      </c>
      <c r="S296" s="8">
        <v>1355</v>
      </c>
      <c r="T296" s="8">
        <v>1376</v>
      </c>
      <c r="U296" s="133">
        <f t="shared" si="60"/>
        <v>21</v>
      </c>
      <c r="V296" s="8">
        <v>278461</v>
      </c>
      <c r="W296" s="8">
        <v>278547</v>
      </c>
      <c r="X296" s="13">
        <f t="shared" si="61"/>
        <v>86</v>
      </c>
      <c r="Y296" s="8">
        <v>13477</v>
      </c>
      <c r="Z296" s="8">
        <v>13494</v>
      </c>
      <c r="AA296" s="13">
        <f t="shared" si="51"/>
        <v>17</v>
      </c>
      <c r="AB296" s="8">
        <v>185724</v>
      </c>
      <c r="AC296" s="8">
        <v>185800</v>
      </c>
      <c r="AD296" s="13">
        <f t="shared" si="62"/>
        <v>76</v>
      </c>
      <c r="AE296" s="135"/>
      <c r="AF296" s="135"/>
      <c r="AG296" s="135"/>
      <c r="AH296" s="136"/>
      <c r="AI296" s="50">
        <f t="shared" si="53"/>
        <v>586</v>
      </c>
    </row>
    <row r="297" spans="1:35">
      <c r="A297" s="12">
        <v>44672</v>
      </c>
      <c r="B297" s="8">
        <v>1636352</v>
      </c>
      <c r="C297" s="8">
        <v>1636691</v>
      </c>
      <c r="D297" s="13">
        <f t="shared" si="52"/>
        <v>339</v>
      </c>
      <c r="E297" s="46">
        <v>58844</v>
      </c>
      <c r="F297" s="70">
        <v>59624</v>
      </c>
      <c r="G297" s="133">
        <f t="shared" si="55"/>
        <v>780</v>
      </c>
      <c r="H297" s="8">
        <v>184568</v>
      </c>
      <c r="I297" s="8">
        <v>184656</v>
      </c>
      <c r="J297" s="13">
        <f t="shared" si="57"/>
        <v>88</v>
      </c>
      <c r="K297" s="138"/>
      <c r="L297" s="8">
        <v>363637</v>
      </c>
      <c r="M297" s="8">
        <v>364569</v>
      </c>
      <c r="N297" s="13">
        <f t="shared" si="59"/>
        <v>932</v>
      </c>
      <c r="O297" s="136"/>
      <c r="P297" s="8">
        <v>238350</v>
      </c>
      <c r="Q297" s="8">
        <v>238770</v>
      </c>
      <c r="R297" s="133">
        <f t="shared" si="49"/>
        <v>420</v>
      </c>
      <c r="S297" s="8">
        <v>1376</v>
      </c>
      <c r="T297" s="8">
        <v>1405</v>
      </c>
      <c r="U297" s="133">
        <f t="shared" si="60"/>
        <v>29</v>
      </c>
      <c r="V297" s="8">
        <v>278547</v>
      </c>
      <c r="W297" s="8">
        <v>278649</v>
      </c>
      <c r="X297" s="13">
        <f t="shared" si="61"/>
        <v>102</v>
      </c>
      <c r="Y297" s="8">
        <v>13494</v>
      </c>
      <c r="Z297" s="8">
        <v>13518</v>
      </c>
      <c r="AA297" s="13">
        <f t="shared" si="51"/>
        <v>24</v>
      </c>
      <c r="AB297" s="8">
        <v>185800</v>
      </c>
      <c r="AC297" s="8">
        <v>185866</v>
      </c>
      <c r="AD297" s="13">
        <f t="shared" si="62"/>
        <v>66</v>
      </c>
      <c r="AE297" s="135"/>
      <c r="AF297" s="135"/>
      <c r="AG297" s="135"/>
      <c r="AH297" s="136"/>
      <c r="AI297" s="50">
        <f t="shared" si="53"/>
        <v>575</v>
      </c>
    </row>
    <row r="298" spans="1:35">
      <c r="A298" s="12">
        <v>44673</v>
      </c>
      <c r="B298" s="8">
        <v>1636691</v>
      </c>
      <c r="C298" s="8">
        <v>1637225</v>
      </c>
      <c r="D298" s="13">
        <f t="shared" si="52"/>
        <v>534</v>
      </c>
      <c r="E298" s="46">
        <v>59624</v>
      </c>
      <c r="F298" s="70">
        <v>60381</v>
      </c>
      <c r="G298" s="133">
        <f t="shared" si="55"/>
        <v>757</v>
      </c>
      <c r="H298" s="8">
        <v>184656</v>
      </c>
      <c r="I298" s="8">
        <v>184656</v>
      </c>
      <c r="J298" s="13">
        <f t="shared" si="57"/>
        <v>0</v>
      </c>
      <c r="K298" s="138"/>
      <c r="L298" s="8">
        <v>364569</v>
      </c>
      <c r="M298" s="8">
        <v>365589</v>
      </c>
      <c r="N298" s="13">
        <f t="shared" si="59"/>
        <v>1020</v>
      </c>
      <c r="O298" s="136"/>
      <c r="P298" s="8">
        <v>238770</v>
      </c>
      <c r="Q298" s="8">
        <v>239192</v>
      </c>
      <c r="R298" s="133">
        <f t="shared" si="49"/>
        <v>422</v>
      </c>
      <c r="S298" s="8">
        <v>1405</v>
      </c>
      <c r="T298" s="8">
        <v>1422</v>
      </c>
      <c r="U298" s="133">
        <f t="shared" si="60"/>
        <v>17</v>
      </c>
      <c r="V298" s="8">
        <v>278649</v>
      </c>
      <c r="W298" s="8">
        <v>279051</v>
      </c>
      <c r="X298" s="13">
        <f t="shared" si="61"/>
        <v>402</v>
      </c>
      <c r="Y298" s="8">
        <v>13518</v>
      </c>
      <c r="Z298" s="8">
        <v>13536</v>
      </c>
      <c r="AA298" s="13">
        <f t="shared" si="51"/>
        <v>18</v>
      </c>
      <c r="AB298" s="8">
        <v>185866</v>
      </c>
      <c r="AC298" s="8">
        <v>185966</v>
      </c>
      <c r="AD298" s="13">
        <f t="shared" si="62"/>
        <v>100</v>
      </c>
      <c r="AE298" s="135"/>
      <c r="AF298" s="135"/>
      <c r="AG298" s="135"/>
      <c r="AH298" s="136"/>
      <c r="AI298" s="50">
        <f t="shared" si="53"/>
        <v>859</v>
      </c>
    </row>
    <row r="299" spans="1:35">
      <c r="A299" s="12">
        <v>44674</v>
      </c>
      <c r="B299" s="8">
        <v>1637225</v>
      </c>
      <c r="C299" s="8">
        <v>1637619</v>
      </c>
      <c r="D299" s="13">
        <f t="shared" si="52"/>
        <v>394</v>
      </c>
      <c r="E299" s="46">
        <v>60381</v>
      </c>
      <c r="F299" s="70">
        <v>61179</v>
      </c>
      <c r="G299" s="133">
        <f t="shared" si="55"/>
        <v>798</v>
      </c>
      <c r="H299" s="8">
        <v>184656</v>
      </c>
      <c r="I299" s="8">
        <v>184656</v>
      </c>
      <c r="J299" s="13">
        <f t="shared" si="57"/>
        <v>0</v>
      </c>
      <c r="K299" s="138"/>
      <c r="L299" s="8">
        <v>365589</v>
      </c>
      <c r="M299" s="8">
        <v>366725</v>
      </c>
      <c r="N299" s="13">
        <f t="shared" si="59"/>
        <v>1136</v>
      </c>
      <c r="O299" s="136"/>
      <c r="P299" s="8">
        <v>239192</v>
      </c>
      <c r="Q299" s="8">
        <v>239760</v>
      </c>
      <c r="R299" s="133">
        <f t="shared" si="49"/>
        <v>568</v>
      </c>
      <c r="S299" s="8">
        <v>1422</v>
      </c>
      <c r="T299" s="8">
        <v>1455</v>
      </c>
      <c r="U299" s="133">
        <f t="shared" si="60"/>
        <v>33</v>
      </c>
      <c r="V299" s="8">
        <v>279051</v>
      </c>
      <c r="W299" s="8">
        <v>279181</v>
      </c>
      <c r="X299" s="13">
        <f t="shared" si="61"/>
        <v>130</v>
      </c>
      <c r="Y299" s="8">
        <v>13536</v>
      </c>
      <c r="Z299" s="8">
        <v>13560</v>
      </c>
      <c r="AA299" s="13">
        <f t="shared" si="51"/>
        <v>24</v>
      </c>
      <c r="AB299" s="8">
        <v>185966</v>
      </c>
      <c r="AC299" s="8">
        <v>186021</v>
      </c>
      <c r="AD299" s="13">
        <f t="shared" si="62"/>
        <v>55</v>
      </c>
      <c r="AE299" s="135"/>
      <c r="AF299" s="135"/>
      <c r="AG299" s="135"/>
      <c r="AH299" s="136"/>
      <c r="AI299" s="50">
        <f t="shared" si="53"/>
        <v>755</v>
      </c>
    </row>
    <row r="300" spans="1:35">
      <c r="A300" s="12">
        <v>44675</v>
      </c>
      <c r="B300" s="8">
        <v>1637619</v>
      </c>
      <c r="C300" s="8">
        <v>1638339</v>
      </c>
      <c r="D300" s="13">
        <f t="shared" si="52"/>
        <v>720</v>
      </c>
      <c r="E300" s="46">
        <v>61179</v>
      </c>
      <c r="F300" s="70">
        <v>61877</v>
      </c>
      <c r="G300" s="133">
        <f t="shared" si="55"/>
        <v>698</v>
      </c>
      <c r="H300" s="8">
        <v>184656</v>
      </c>
      <c r="I300" s="8">
        <v>184656</v>
      </c>
      <c r="J300" s="13">
        <f t="shared" si="57"/>
        <v>0</v>
      </c>
      <c r="K300" s="138"/>
      <c r="L300" s="8">
        <v>366725</v>
      </c>
      <c r="M300" s="8">
        <v>367647</v>
      </c>
      <c r="N300" s="13">
        <f t="shared" si="59"/>
        <v>922</v>
      </c>
      <c r="O300" s="136"/>
      <c r="P300" s="8">
        <v>239760</v>
      </c>
      <c r="Q300" s="8">
        <v>240110</v>
      </c>
      <c r="R300" s="133">
        <f t="shared" si="49"/>
        <v>350</v>
      </c>
      <c r="S300" s="8">
        <v>1455</v>
      </c>
      <c r="T300" s="8">
        <v>1479</v>
      </c>
      <c r="U300" s="133">
        <f t="shared" si="60"/>
        <v>24</v>
      </c>
      <c r="V300" s="8">
        <v>279181</v>
      </c>
      <c r="W300" s="8">
        <v>279235</v>
      </c>
      <c r="X300" s="13">
        <f t="shared" si="61"/>
        <v>54</v>
      </c>
      <c r="Y300" s="8">
        <v>13560</v>
      </c>
      <c r="Z300" s="8">
        <v>13579</v>
      </c>
      <c r="AA300" s="13">
        <f t="shared" si="51"/>
        <v>19</v>
      </c>
      <c r="AB300" s="8">
        <v>186021</v>
      </c>
      <c r="AC300" s="8">
        <v>186069</v>
      </c>
      <c r="AD300" s="13">
        <f t="shared" si="62"/>
        <v>48</v>
      </c>
      <c r="AE300" s="135"/>
      <c r="AF300" s="135"/>
      <c r="AG300" s="135"/>
      <c r="AH300" s="136"/>
      <c r="AI300" s="50">
        <f t="shared" si="53"/>
        <v>447</v>
      </c>
    </row>
    <row r="301" spans="1:35">
      <c r="A301" s="12">
        <v>44676</v>
      </c>
      <c r="B301" s="8">
        <v>1638339</v>
      </c>
      <c r="C301" s="8">
        <v>1638819</v>
      </c>
      <c r="D301" s="13">
        <f t="shared" si="52"/>
        <v>480</v>
      </c>
      <c r="E301" s="46">
        <v>61877</v>
      </c>
      <c r="F301" s="70">
        <v>62634</v>
      </c>
      <c r="G301" s="133">
        <f t="shared" si="55"/>
        <v>757</v>
      </c>
      <c r="H301" s="8">
        <v>184656</v>
      </c>
      <c r="I301" s="8">
        <v>184656</v>
      </c>
      <c r="J301" s="13">
        <f t="shared" si="57"/>
        <v>0</v>
      </c>
      <c r="K301" s="138"/>
      <c r="L301" s="8">
        <v>367647</v>
      </c>
      <c r="M301" s="8">
        <v>368779</v>
      </c>
      <c r="N301" s="13">
        <f t="shared" si="59"/>
        <v>1132</v>
      </c>
      <c r="O301" s="136"/>
      <c r="P301" s="8">
        <v>240110</v>
      </c>
      <c r="Q301" s="8">
        <v>240574</v>
      </c>
      <c r="R301" s="133">
        <f t="shared" si="49"/>
        <v>464</v>
      </c>
      <c r="S301" s="8">
        <v>1479</v>
      </c>
      <c r="T301" s="8">
        <v>1516</v>
      </c>
      <c r="U301" s="133">
        <f t="shared" si="60"/>
        <v>37</v>
      </c>
      <c r="V301" s="8">
        <v>279235</v>
      </c>
      <c r="W301" s="8">
        <v>279486</v>
      </c>
      <c r="X301" s="13">
        <f t="shared" si="61"/>
        <v>251</v>
      </c>
      <c r="Y301" s="8">
        <v>13579</v>
      </c>
      <c r="Z301" s="8">
        <v>13590</v>
      </c>
      <c r="AA301" s="13">
        <f t="shared" si="51"/>
        <v>11</v>
      </c>
      <c r="AB301" s="8">
        <v>186069</v>
      </c>
      <c r="AC301" s="8">
        <v>186120</v>
      </c>
      <c r="AD301" s="13">
        <f t="shared" si="62"/>
        <v>51</v>
      </c>
      <c r="AE301" s="135"/>
      <c r="AF301" s="135"/>
      <c r="AG301" s="135"/>
      <c r="AH301" s="136"/>
      <c r="AI301" s="50">
        <f t="shared" si="53"/>
        <v>763</v>
      </c>
    </row>
    <row r="302" spans="1:35">
      <c r="A302" s="12">
        <v>44677</v>
      </c>
      <c r="B302" s="8">
        <v>1638819</v>
      </c>
      <c r="C302" s="8">
        <v>1639264</v>
      </c>
      <c r="D302" s="13">
        <f t="shared" si="52"/>
        <v>445</v>
      </c>
      <c r="E302" s="46">
        <v>62634</v>
      </c>
      <c r="F302" s="70">
        <v>63352</v>
      </c>
      <c r="G302" s="133">
        <f t="shared" si="55"/>
        <v>718</v>
      </c>
      <c r="H302" s="8">
        <v>184656</v>
      </c>
      <c r="I302" s="8">
        <v>184656</v>
      </c>
      <c r="J302" s="13">
        <f t="shared" si="57"/>
        <v>0</v>
      </c>
      <c r="K302" s="138"/>
      <c r="L302" s="8">
        <v>368779</v>
      </c>
      <c r="M302" s="8">
        <v>369726</v>
      </c>
      <c r="N302" s="13">
        <f t="shared" si="59"/>
        <v>947</v>
      </c>
      <c r="O302" s="136"/>
      <c r="P302" s="8">
        <v>240574</v>
      </c>
      <c r="Q302" s="8">
        <v>240911</v>
      </c>
      <c r="R302" s="133">
        <f t="shared" ref="R302:R365" si="63">Q302-P302</f>
        <v>337</v>
      </c>
      <c r="S302" s="8">
        <v>1516</v>
      </c>
      <c r="T302" s="8">
        <v>1551</v>
      </c>
      <c r="U302" s="133">
        <f t="shared" si="60"/>
        <v>35</v>
      </c>
      <c r="V302" s="8">
        <v>279486</v>
      </c>
      <c r="W302" s="8">
        <v>279644</v>
      </c>
      <c r="X302" s="13">
        <f t="shared" si="61"/>
        <v>158</v>
      </c>
      <c r="Y302" s="8">
        <v>13590</v>
      </c>
      <c r="Z302" s="8">
        <v>13613</v>
      </c>
      <c r="AA302" s="13">
        <f t="shared" si="51"/>
        <v>23</v>
      </c>
      <c r="AB302" s="8">
        <v>186120</v>
      </c>
      <c r="AC302" s="8">
        <v>186159</v>
      </c>
      <c r="AD302" s="13">
        <f t="shared" si="62"/>
        <v>39</v>
      </c>
      <c r="AE302" s="135"/>
      <c r="AF302" s="135"/>
      <c r="AG302" s="135"/>
      <c r="AH302" s="136"/>
      <c r="AI302" s="50">
        <f t="shared" si="53"/>
        <v>553</v>
      </c>
    </row>
    <row r="303" spans="1:35">
      <c r="A303" s="12">
        <v>44678</v>
      </c>
      <c r="B303" s="8">
        <v>1639264</v>
      </c>
      <c r="C303" s="8">
        <v>1639752</v>
      </c>
      <c r="D303" s="13">
        <f t="shared" si="52"/>
        <v>488</v>
      </c>
      <c r="E303" s="46">
        <v>63352</v>
      </c>
      <c r="F303" s="70">
        <v>64250</v>
      </c>
      <c r="G303" s="133">
        <f t="shared" si="55"/>
        <v>898</v>
      </c>
      <c r="H303" s="8">
        <v>184656</v>
      </c>
      <c r="I303" s="8">
        <v>184656</v>
      </c>
      <c r="J303" s="13">
        <f t="shared" si="57"/>
        <v>0</v>
      </c>
      <c r="K303" s="138"/>
      <c r="L303" s="8">
        <v>369726</v>
      </c>
      <c r="M303" s="8">
        <v>370828</v>
      </c>
      <c r="N303" s="13">
        <f t="shared" si="59"/>
        <v>1102</v>
      </c>
      <c r="O303" s="136"/>
      <c r="P303" s="8">
        <v>240911</v>
      </c>
      <c r="Q303" s="8">
        <v>241419</v>
      </c>
      <c r="R303" s="133">
        <f t="shared" si="63"/>
        <v>508</v>
      </c>
      <c r="S303" s="8">
        <v>1551</v>
      </c>
      <c r="T303" s="8">
        <v>1579</v>
      </c>
      <c r="U303" s="133">
        <f t="shared" si="60"/>
        <v>28</v>
      </c>
      <c r="V303" s="8">
        <v>279644</v>
      </c>
      <c r="W303" s="8">
        <v>279813</v>
      </c>
      <c r="X303" s="13">
        <f t="shared" si="61"/>
        <v>169</v>
      </c>
      <c r="Y303" s="8">
        <v>13613</v>
      </c>
      <c r="Z303" s="8">
        <v>13630</v>
      </c>
      <c r="AA303" s="13">
        <f t="shared" si="51"/>
        <v>17</v>
      </c>
      <c r="AB303" s="8">
        <v>186159</v>
      </c>
      <c r="AC303" s="8">
        <v>186228</v>
      </c>
      <c r="AD303" s="13">
        <f t="shared" si="62"/>
        <v>69</v>
      </c>
      <c r="AE303" s="135"/>
      <c r="AF303" s="135"/>
      <c r="AG303" s="135"/>
      <c r="AH303" s="136"/>
      <c r="AI303" s="50">
        <f t="shared" si="53"/>
        <v>722</v>
      </c>
    </row>
    <row r="304" spans="1:35">
      <c r="A304" s="12">
        <v>44679</v>
      </c>
      <c r="B304" s="8">
        <v>1639752</v>
      </c>
      <c r="C304" s="8">
        <v>1640358</v>
      </c>
      <c r="D304" s="13">
        <f t="shared" si="52"/>
        <v>606</v>
      </c>
      <c r="E304" s="46">
        <v>64250</v>
      </c>
      <c r="F304" s="70">
        <v>64828</v>
      </c>
      <c r="G304" s="133">
        <f t="shared" si="55"/>
        <v>578</v>
      </c>
      <c r="H304" s="8">
        <v>184656</v>
      </c>
      <c r="I304" s="8">
        <v>184656</v>
      </c>
      <c r="J304" s="13">
        <f t="shared" si="57"/>
        <v>0</v>
      </c>
      <c r="K304" s="138"/>
      <c r="L304" s="8">
        <v>370828</v>
      </c>
      <c r="M304" s="8">
        <v>371841</v>
      </c>
      <c r="N304" s="13">
        <f t="shared" si="59"/>
        <v>1013</v>
      </c>
      <c r="O304" s="136"/>
      <c r="P304" s="8">
        <v>241419</v>
      </c>
      <c r="Q304" s="8">
        <v>241857</v>
      </c>
      <c r="R304" s="133">
        <f t="shared" si="63"/>
        <v>438</v>
      </c>
      <c r="S304" s="8">
        <v>1579</v>
      </c>
      <c r="T304" s="8">
        <v>1600</v>
      </c>
      <c r="U304" s="133">
        <f t="shared" si="60"/>
        <v>21</v>
      </c>
      <c r="V304" s="8">
        <v>279813</v>
      </c>
      <c r="W304" s="8">
        <v>280090</v>
      </c>
      <c r="X304" s="13">
        <f t="shared" si="61"/>
        <v>277</v>
      </c>
      <c r="Y304" s="8">
        <v>13630</v>
      </c>
      <c r="Z304" s="8">
        <v>13648</v>
      </c>
      <c r="AA304" s="13">
        <f t="shared" si="51"/>
        <v>18</v>
      </c>
      <c r="AB304" s="8">
        <v>186228</v>
      </c>
      <c r="AC304" s="8">
        <v>186292</v>
      </c>
      <c r="AD304" s="13">
        <f t="shared" si="62"/>
        <v>64</v>
      </c>
      <c r="AE304" s="135"/>
      <c r="AF304" s="135"/>
      <c r="AG304" s="135"/>
      <c r="AH304" s="136"/>
      <c r="AI304" s="50">
        <f t="shared" si="53"/>
        <v>754</v>
      </c>
    </row>
    <row r="305" spans="1:35">
      <c r="A305" s="12">
        <v>44680</v>
      </c>
      <c r="B305" s="8">
        <v>1640358</v>
      </c>
      <c r="C305" s="8">
        <v>1640358</v>
      </c>
      <c r="D305" s="13">
        <f t="shared" si="52"/>
        <v>0</v>
      </c>
      <c r="E305" s="46">
        <v>64828</v>
      </c>
      <c r="F305" s="70">
        <v>65518</v>
      </c>
      <c r="G305" s="133">
        <f t="shared" si="55"/>
        <v>690</v>
      </c>
      <c r="H305" s="8">
        <v>184656</v>
      </c>
      <c r="I305" s="8">
        <v>184656</v>
      </c>
      <c r="J305" s="13">
        <f t="shared" si="57"/>
        <v>0</v>
      </c>
      <c r="K305" s="138"/>
      <c r="L305" s="8">
        <v>371841</v>
      </c>
      <c r="M305" s="8">
        <v>372951</v>
      </c>
      <c r="N305" s="13">
        <f t="shared" si="59"/>
        <v>1110</v>
      </c>
      <c r="O305" s="136"/>
      <c r="P305" s="8">
        <v>241857</v>
      </c>
      <c r="Q305" s="8">
        <v>242298</v>
      </c>
      <c r="R305" s="133">
        <f t="shared" si="63"/>
        <v>441</v>
      </c>
      <c r="S305" s="8">
        <v>1600</v>
      </c>
      <c r="T305" s="8">
        <v>1627</v>
      </c>
      <c r="U305" s="133">
        <f t="shared" si="60"/>
        <v>27</v>
      </c>
      <c r="V305" s="8">
        <v>280090</v>
      </c>
      <c r="W305" s="8">
        <v>280194</v>
      </c>
      <c r="X305" s="13">
        <f t="shared" si="61"/>
        <v>104</v>
      </c>
      <c r="Y305" s="8">
        <v>13648</v>
      </c>
      <c r="Z305" s="8">
        <v>13667</v>
      </c>
      <c r="AA305" s="13">
        <f t="shared" si="51"/>
        <v>19</v>
      </c>
      <c r="AB305" s="8">
        <v>186292</v>
      </c>
      <c r="AC305" s="8">
        <v>186370</v>
      </c>
      <c r="AD305" s="13">
        <f t="shared" si="62"/>
        <v>78</v>
      </c>
      <c r="AE305" s="135"/>
      <c r="AF305" s="135"/>
      <c r="AG305" s="135"/>
      <c r="AH305" s="136"/>
      <c r="AI305" s="50">
        <f t="shared" si="53"/>
        <v>591</v>
      </c>
    </row>
    <row r="306" spans="1:35">
      <c r="A306" s="12">
        <v>44681</v>
      </c>
      <c r="B306" s="8">
        <v>1640358</v>
      </c>
      <c r="C306" s="8">
        <v>1640669</v>
      </c>
      <c r="D306" s="13">
        <f t="shared" si="52"/>
        <v>311</v>
      </c>
      <c r="E306" s="46">
        <v>65518</v>
      </c>
      <c r="F306" s="70">
        <v>66268</v>
      </c>
      <c r="G306" s="133">
        <f t="shared" si="55"/>
        <v>750</v>
      </c>
      <c r="H306" s="8">
        <v>184656</v>
      </c>
      <c r="I306" s="8">
        <v>184656</v>
      </c>
      <c r="J306" s="13">
        <f t="shared" si="57"/>
        <v>0</v>
      </c>
      <c r="K306" s="138"/>
      <c r="L306" s="8">
        <v>372951</v>
      </c>
      <c r="M306" s="8">
        <v>373962</v>
      </c>
      <c r="N306" s="13">
        <f t="shared" si="59"/>
        <v>1011</v>
      </c>
      <c r="O306" s="136"/>
      <c r="P306" s="8">
        <v>242298</v>
      </c>
      <c r="Q306" s="8">
        <v>242654</v>
      </c>
      <c r="R306" s="133">
        <f t="shared" si="63"/>
        <v>356</v>
      </c>
      <c r="S306" s="8">
        <v>1627</v>
      </c>
      <c r="T306" s="8">
        <v>1664</v>
      </c>
      <c r="U306" s="133">
        <f t="shared" si="60"/>
        <v>37</v>
      </c>
      <c r="V306" s="8">
        <v>280194</v>
      </c>
      <c r="W306" s="8">
        <v>280387</v>
      </c>
      <c r="X306" s="13">
        <f t="shared" si="61"/>
        <v>193</v>
      </c>
      <c r="Y306" s="8">
        <v>13667</v>
      </c>
      <c r="Z306" s="8">
        <v>13696</v>
      </c>
      <c r="AA306" s="13">
        <f t="shared" si="51"/>
        <v>29</v>
      </c>
      <c r="AB306" s="8">
        <v>186370</v>
      </c>
      <c r="AC306" s="8">
        <v>186431</v>
      </c>
      <c r="AD306" s="13">
        <f t="shared" si="62"/>
        <v>61</v>
      </c>
      <c r="AE306" s="135"/>
      <c r="AF306" s="135"/>
      <c r="AG306" s="135"/>
      <c r="AH306" s="136"/>
      <c r="AI306" s="50">
        <f t="shared" si="53"/>
        <v>615</v>
      </c>
    </row>
    <row r="307" spans="1:35">
      <c r="A307" s="12">
        <v>44682</v>
      </c>
      <c r="B307" s="8">
        <v>1641159</v>
      </c>
      <c r="C307" s="8">
        <v>1641624</v>
      </c>
      <c r="D307" s="13">
        <f t="shared" si="52"/>
        <v>465</v>
      </c>
      <c r="E307" s="46">
        <v>66268</v>
      </c>
      <c r="F307" s="70">
        <v>66844</v>
      </c>
      <c r="G307" s="133">
        <f t="shared" si="55"/>
        <v>576</v>
      </c>
      <c r="H307" s="8">
        <v>184656</v>
      </c>
      <c r="I307" s="8">
        <v>184656</v>
      </c>
      <c r="J307" s="13">
        <f t="shared" si="57"/>
        <v>0</v>
      </c>
      <c r="K307" s="138"/>
      <c r="L307" s="8">
        <v>373962</v>
      </c>
      <c r="M307" s="8">
        <v>374861</v>
      </c>
      <c r="N307" s="13">
        <f t="shared" si="59"/>
        <v>899</v>
      </c>
      <c r="O307" s="136"/>
      <c r="P307" s="8">
        <v>242654</v>
      </c>
      <c r="Q307" s="8">
        <v>242857</v>
      </c>
      <c r="R307" s="133">
        <f t="shared" si="63"/>
        <v>203</v>
      </c>
      <c r="S307" s="8">
        <v>1664</v>
      </c>
      <c r="T307" s="8">
        <v>1689</v>
      </c>
      <c r="U307" s="133">
        <f t="shared" si="60"/>
        <v>25</v>
      </c>
      <c r="V307" s="8">
        <v>280387</v>
      </c>
      <c r="W307" s="8">
        <v>280486</v>
      </c>
      <c r="X307" s="13">
        <f t="shared" si="61"/>
        <v>99</v>
      </c>
      <c r="Y307" s="8">
        <v>13696</v>
      </c>
      <c r="Z307" s="8">
        <v>13707</v>
      </c>
      <c r="AA307" s="13">
        <f t="shared" si="51"/>
        <v>11</v>
      </c>
      <c r="AB307" s="8">
        <v>186431</v>
      </c>
      <c r="AC307" s="8">
        <v>186517</v>
      </c>
      <c r="AD307" s="13">
        <f t="shared" si="62"/>
        <v>86</v>
      </c>
      <c r="AE307" s="135"/>
      <c r="AF307" s="135"/>
      <c r="AG307" s="135"/>
      <c r="AH307" s="136"/>
      <c r="AI307" s="50">
        <f t="shared" si="53"/>
        <v>338</v>
      </c>
    </row>
    <row r="308" spans="1:35">
      <c r="A308" s="12">
        <v>44683</v>
      </c>
      <c r="B308" s="8">
        <v>1641624</v>
      </c>
      <c r="C308" s="8">
        <v>1642675</v>
      </c>
      <c r="D308" s="13">
        <f t="shared" si="52"/>
        <v>1051</v>
      </c>
      <c r="E308" s="46">
        <v>66844</v>
      </c>
      <c r="F308" s="70">
        <v>66899</v>
      </c>
      <c r="G308" s="133">
        <f t="shared" si="55"/>
        <v>55</v>
      </c>
      <c r="H308" s="8">
        <v>184656</v>
      </c>
      <c r="I308" s="8">
        <v>184656</v>
      </c>
      <c r="J308" s="13">
        <f t="shared" si="57"/>
        <v>0</v>
      </c>
      <c r="K308" s="138"/>
      <c r="L308" s="8">
        <v>374861</v>
      </c>
      <c r="M308" s="8">
        <v>375819</v>
      </c>
      <c r="N308" s="13">
        <f t="shared" si="59"/>
        <v>958</v>
      </c>
      <c r="O308" s="136"/>
      <c r="P308" s="8">
        <v>242857</v>
      </c>
      <c r="Q308" s="8">
        <v>243354</v>
      </c>
      <c r="R308" s="133">
        <f t="shared" si="63"/>
        <v>497</v>
      </c>
      <c r="S308" s="8">
        <v>1689</v>
      </c>
      <c r="T308" s="8">
        <v>1722</v>
      </c>
      <c r="U308" s="133">
        <f t="shared" si="60"/>
        <v>33</v>
      </c>
      <c r="V308" s="8">
        <v>280486</v>
      </c>
      <c r="W308" s="8">
        <v>280671</v>
      </c>
      <c r="X308" s="13">
        <f t="shared" si="61"/>
        <v>185</v>
      </c>
      <c r="Y308" s="8">
        <v>13707</v>
      </c>
      <c r="Z308" s="8">
        <v>13718</v>
      </c>
      <c r="AA308" s="13">
        <f t="shared" si="51"/>
        <v>11</v>
      </c>
      <c r="AB308" s="8">
        <v>186517</v>
      </c>
      <c r="AC308" s="8">
        <v>186584</v>
      </c>
      <c r="AD308" s="13">
        <f t="shared" si="62"/>
        <v>67</v>
      </c>
      <c r="AE308" s="135"/>
      <c r="AF308" s="135"/>
      <c r="AG308" s="135"/>
      <c r="AH308" s="136"/>
      <c r="AI308" s="50">
        <f t="shared" si="53"/>
        <v>726</v>
      </c>
    </row>
    <row r="309" spans="1:35">
      <c r="A309" s="12">
        <v>44684</v>
      </c>
      <c r="B309" s="8">
        <v>1642675</v>
      </c>
      <c r="C309" s="8">
        <v>1643405</v>
      </c>
      <c r="D309" s="13">
        <f t="shared" si="52"/>
        <v>730</v>
      </c>
      <c r="E309" s="46">
        <v>66899</v>
      </c>
      <c r="F309" s="70">
        <v>67336</v>
      </c>
      <c r="G309" s="133">
        <f t="shared" si="55"/>
        <v>437</v>
      </c>
      <c r="H309" s="8">
        <v>184656</v>
      </c>
      <c r="I309" s="8">
        <v>184656</v>
      </c>
      <c r="J309" s="13">
        <f t="shared" si="57"/>
        <v>0</v>
      </c>
      <c r="K309" s="138"/>
      <c r="L309" s="8">
        <v>375819</v>
      </c>
      <c r="M309" s="8">
        <v>376824</v>
      </c>
      <c r="N309" s="13">
        <f t="shared" si="59"/>
        <v>1005</v>
      </c>
      <c r="O309" s="136"/>
      <c r="P309" s="8">
        <v>243354</v>
      </c>
      <c r="Q309" s="8">
        <v>243998</v>
      </c>
      <c r="R309" s="133">
        <f t="shared" si="63"/>
        <v>644</v>
      </c>
      <c r="S309" s="8">
        <v>1722</v>
      </c>
      <c r="T309" s="8">
        <v>1748</v>
      </c>
      <c r="U309" s="133">
        <f t="shared" si="60"/>
        <v>26</v>
      </c>
      <c r="V309" s="8">
        <v>280671</v>
      </c>
      <c r="W309" s="8">
        <v>280998</v>
      </c>
      <c r="X309" s="13">
        <f t="shared" si="61"/>
        <v>327</v>
      </c>
      <c r="Y309" s="8">
        <v>13718</v>
      </c>
      <c r="Z309" s="8">
        <v>13746</v>
      </c>
      <c r="AA309" s="13">
        <f t="shared" si="51"/>
        <v>28</v>
      </c>
      <c r="AB309" s="8">
        <v>186584</v>
      </c>
      <c r="AC309" s="8">
        <v>186649</v>
      </c>
      <c r="AD309" s="13">
        <f t="shared" si="62"/>
        <v>65</v>
      </c>
      <c r="AE309" s="135"/>
      <c r="AF309" s="135"/>
      <c r="AG309" s="135"/>
      <c r="AH309" s="136"/>
      <c r="AI309" s="50">
        <f t="shared" si="53"/>
        <v>1025</v>
      </c>
    </row>
    <row r="310" spans="1:35">
      <c r="A310" s="12">
        <v>44685</v>
      </c>
      <c r="B310" s="8">
        <v>1643405</v>
      </c>
      <c r="C310" s="8">
        <v>1644066</v>
      </c>
      <c r="D310" s="13">
        <f t="shared" si="52"/>
        <v>661</v>
      </c>
      <c r="E310" s="46">
        <v>67336</v>
      </c>
      <c r="F310" s="70">
        <v>68021</v>
      </c>
      <c r="G310" s="133">
        <f t="shared" si="55"/>
        <v>685</v>
      </c>
      <c r="H310" s="8">
        <v>184656</v>
      </c>
      <c r="I310" s="8">
        <v>184656</v>
      </c>
      <c r="J310" s="13">
        <f t="shared" si="57"/>
        <v>0</v>
      </c>
      <c r="K310" s="138"/>
      <c r="L310" s="8">
        <v>376824</v>
      </c>
      <c r="M310" s="8">
        <v>377901</v>
      </c>
      <c r="N310" s="13">
        <v>1</v>
      </c>
      <c r="O310" s="136"/>
      <c r="P310" s="8">
        <v>243998</v>
      </c>
      <c r="Q310" s="8">
        <v>244469</v>
      </c>
      <c r="R310" s="133">
        <f t="shared" si="63"/>
        <v>471</v>
      </c>
      <c r="S310" s="8">
        <v>1748</v>
      </c>
      <c r="T310" s="8">
        <v>1752</v>
      </c>
      <c r="U310" s="133">
        <f t="shared" si="60"/>
        <v>4</v>
      </c>
      <c r="V310" s="8">
        <v>280998</v>
      </c>
      <c r="W310" s="8">
        <v>281269</v>
      </c>
      <c r="X310" s="13">
        <f t="shared" si="61"/>
        <v>271</v>
      </c>
      <c r="Y310" s="8">
        <v>13746</v>
      </c>
      <c r="Z310" s="8">
        <v>13782</v>
      </c>
      <c r="AA310" s="13">
        <f t="shared" si="51"/>
        <v>36</v>
      </c>
      <c r="AB310" s="8">
        <v>186649</v>
      </c>
      <c r="AC310" s="8">
        <v>186721</v>
      </c>
      <c r="AD310" s="13">
        <f t="shared" si="62"/>
        <v>72</v>
      </c>
      <c r="AE310" s="135"/>
      <c r="AF310" s="135"/>
      <c r="AG310" s="135"/>
      <c r="AH310" s="136"/>
      <c r="AI310" s="50">
        <f t="shared" si="53"/>
        <v>782</v>
      </c>
    </row>
    <row r="311" spans="1:35">
      <c r="A311" s="12">
        <v>44686</v>
      </c>
      <c r="B311" s="8">
        <v>1644066</v>
      </c>
      <c r="C311" s="8">
        <v>1644526</v>
      </c>
      <c r="D311" s="13">
        <f t="shared" si="52"/>
        <v>460</v>
      </c>
      <c r="E311" s="46">
        <v>68021</v>
      </c>
      <c r="F311" s="70">
        <v>68681</v>
      </c>
      <c r="G311" s="133">
        <f t="shared" si="55"/>
        <v>660</v>
      </c>
      <c r="H311" s="8">
        <v>184656</v>
      </c>
      <c r="I311" s="8">
        <v>184656</v>
      </c>
      <c r="J311" s="13">
        <f t="shared" si="57"/>
        <v>0</v>
      </c>
      <c r="K311" s="138"/>
      <c r="L311" s="8">
        <v>377901</v>
      </c>
      <c r="M311" s="8">
        <v>378853</v>
      </c>
      <c r="N311" s="13">
        <f t="shared" si="59"/>
        <v>952</v>
      </c>
      <c r="O311" s="136"/>
      <c r="P311" s="8">
        <v>244469</v>
      </c>
      <c r="Q311" s="8">
        <v>244833</v>
      </c>
      <c r="R311" s="133">
        <f t="shared" si="63"/>
        <v>364</v>
      </c>
      <c r="S311" s="8">
        <v>1752</v>
      </c>
      <c r="T311" s="8">
        <v>1782</v>
      </c>
      <c r="U311" s="133">
        <f t="shared" si="60"/>
        <v>30</v>
      </c>
      <c r="V311" s="8">
        <v>281269</v>
      </c>
      <c r="W311" s="8">
        <v>281436</v>
      </c>
      <c r="X311" s="13">
        <f t="shared" si="61"/>
        <v>167</v>
      </c>
      <c r="Y311" s="8">
        <v>13782</v>
      </c>
      <c r="Z311" s="8">
        <v>13797</v>
      </c>
      <c r="AA311" s="13">
        <f t="shared" si="51"/>
        <v>15</v>
      </c>
      <c r="AB311" s="8">
        <v>186721</v>
      </c>
      <c r="AC311" s="8">
        <v>186781</v>
      </c>
      <c r="AD311" s="13">
        <f t="shared" si="62"/>
        <v>60</v>
      </c>
      <c r="AE311" s="135"/>
      <c r="AF311" s="135"/>
      <c r="AG311" s="135"/>
      <c r="AH311" s="136"/>
      <c r="AI311" s="50">
        <f t="shared" si="53"/>
        <v>576</v>
      </c>
    </row>
    <row r="312" spans="1:35">
      <c r="A312" s="12">
        <v>44687</v>
      </c>
      <c r="B312" s="8">
        <v>1644526</v>
      </c>
      <c r="C312" s="8">
        <v>1644526</v>
      </c>
      <c r="D312" s="13">
        <f t="shared" si="52"/>
        <v>0</v>
      </c>
      <c r="E312" s="46">
        <v>68681</v>
      </c>
      <c r="F312" s="70">
        <v>69404</v>
      </c>
      <c r="G312" s="133">
        <f t="shared" si="55"/>
        <v>723</v>
      </c>
      <c r="H312" s="8">
        <v>184656</v>
      </c>
      <c r="I312" s="8">
        <v>184656</v>
      </c>
      <c r="J312" s="13">
        <f t="shared" si="57"/>
        <v>0</v>
      </c>
      <c r="K312" s="138"/>
      <c r="L312" s="8">
        <v>378853</v>
      </c>
      <c r="M312" s="8">
        <v>379781</v>
      </c>
      <c r="N312" s="13">
        <f t="shared" si="59"/>
        <v>928</v>
      </c>
      <c r="O312" s="136"/>
      <c r="P312" s="8">
        <v>244833</v>
      </c>
      <c r="Q312" s="8">
        <v>245158</v>
      </c>
      <c r="R312" s="133">
        <f t="shared" si="63"/>
        <v>325</v>
      </c>
      <c r="S312" s="8">
        <v>1782</v>
      </c>
      <c r="T312" s="8">
        <v>1810</v>
      </c>
      <c r="U312" s="133">
        <f t="shared" si="60"/>
        <v>28</v>
      </c>
      <c r="V312" s="8">
        <v>281436</v>
      </c>
      <c r="W312" s="8">
        <v>281608</v>
      </c>
      <c r="X312" s="13">
        <f t="shared" si="61"/>
        <v>172</v>
      </c>
      <c r="Y312" s="8">
        <v>13797</v>
      </c>
      <c r="Z312" s="8">
        <v>13819</v>
      </c>
      <c r="AA312" s="13">
        <f t="shared" ref="AA312:AA376" si="64">Z312-Y312</f>
        <v>22</v>
      </c>
      <c r="AB312" s="8">
        <v>186781</v>
      </c>
      <c r="AC312" s="8">
        <v>186868</v>
      </c>
      <c r="AD312" s="13">
        <f t="shared" si="62"/>
        <v>87</v>
      </c>
      <c r="AE312" s="135"/>
      <c r="AF312" s="135"/>
      <c r="AG312" s="135"/>
      <c r="AH312" s="136"/>
      <c r="AI312" s="50">
        <f t="shared" si="53"/>
        <v>547</v>
      </c>
    </row>
    <row r="313" spans="1:35">
      <c r="A313" s="12">
        <v>44688</v>
      </c>
      <c r="B313" s="8">
        <v>1644526</v>
      </c>
      <c r="C313" s="8">
        <v>1645351</v>
      </c>
      <c r="D313" s="13">
        <f t="shared" si="52"/>
        <v>825</v>
      </c>
      <c r="E313" s="46">
        <v>69404</v>
      </c>
      <c r="F313" s="70">
        <v>70150</v>
      </c>
      <c r="G313" s="133">
        <f t="shared" si="55"/>
        <v>746</v>
      </c>
      <c r="H313" s="8">
        <v>184656</v>
      </c>
      <c r="I313" s="8">
        <v>184656</v>
      </c>
      <c r="J313" s="13">
        <f t="shared" si="57"/>
        <v>0</v>
      </c>
      <c r="K313" s="138"/>
      <c r="L313" s="8">
        <v>379781</v>
      </c>
      <c r="M313" s="8">
        <v>380995</v>
      </c>
      <c r="N313" s="13">
        <f t="shared" si="59"/>
        <v>1214</v>
      </c>
      <c r="O313" s="136"/>
      <c r="P313" s="8">
        <v>245158</v>
      </c>
      <c r="Q313" s="8">
        <v>245737</v>
      </c>
      <c r="R313" s="133">
        <f t="shared" si="63"/>
        <v>579</v>
      </c>
      <c r="S313" s="8">
        <v>1810</v>
      </c>
      <c r="T313" s="8">
        <v>1842</v>
      </c>
      <c r="U313" s="133">
        <f t="shared" si="60"/>
        <v>32</v>
      </c>
      <c r="V313" s="8">
        <v>281608</v>
      </c>
      <c r="W313" s="8">
        <v>281713</v>
      </c>
      <c r="X313" s="13">
        <f t="shared" si="61"/>
        <v>105</v>
      </c>
      <c r="Y313" s="8">
        <v>13819</v>
      </c>
      <c r="Z313" s="8">
        <v>14010</v>
      </c>
      <c r="AA313" s="13">
        <f t="shared" si="64"/>
        <v>191</v>
      </c>
      <c r="AB313" s="8">
        <v>186868</v>
      </c>
      <c r="AC313" s="8">
        <v>186920</v>
      </c>
      <c r="AD313" s="13">
        <f t="shared" si="62"/>
        <v>52</v>
      </c>
      <c r="AE313" s="135"/>
      <c r="AF313" s="135"/>
      <c r="AG313" s="135"/>
      <c r="AH313" s="136"/>
      <c r="AI313" s="50">
        <f t="shared" si="53"/>
        <v>907</v>
      </c>
    </row>
    <row r="314" spans="1:35">
      <c r="A314" s="12">
        <v>44689</v>
      </c>
      <c r="B314" s="8">
        <v>1645351</v>
      </c>
      <c r="C314" s="8">
        <v>1645941</v>
      </c>
      <c r="D314" s="13">
        <f t="shared" si="52"/>
        <v>590</v>
      </c>
      <c r="E314" s="46">
        <v>70150</v>
      </c>
      <c r="F314" s="70">
        <v>70503</v>
      </c>
      <c r="G314" s="133">
        <f t="shared" si="55"/>
        <v>353</v>
      </c>
      <c r="H314" s="8">
        <v>184656</v>
      </c>
      <c r="I314" s="8">
        <v>184656</v>
      </c>
      <c r="J314" s="13">
        <f t="shared" si="57"/>
        <v>0</v>
      </c>
      <c r="K314" s="138"/>
      <c r="L314" s="8">
        <v>380995</v>
      </c>
      <c r="M314" s="8">
        <v>381910</v>
      </c>
      <c r="N314" s="13">
        <f t="shared" si="59"/>
        <v>915</v>
      </c>
      <c r="O314" s="136"/>
      <c r="P314" s="8">
        <v>245737</v>
      </c>
      <c r="Q314" s="8">
        <v>246087</v>
      </c>
      <c r="R314" s="133">
        <f t="shared" si="63"/>
        <v>350</v>
      </c>
      <c r="S314" s="8">
        <v>1842</v>
      </c>
      <c r="T314" s="8">
        <v>1863</v>
      </c>
      <c r="U314" s="133">
        <f t="shared" si="60"/>
        <v>21</v>
      </c>
      <c r="V314" s="8">
        <v>281713</v>
      </c>
      <c r="W314" s="8">
        <v>281794</v>
      </c>
      <c r="X314" s="13">
        <f t="shared" si="61"/>
        <v>81</v>
      </c>
      <c r="Y314" s="8">
        <v>14010</v>
      </c>
      <c r="Z314" s="8">
        <v>14056</v>
      </c>
      <c r="AA314" s="13">
        <f t="shared" si="64"/>
        <v>46</v>
      </c>
      <c r="AB314" s="8">
        <v>186920</v>
      </c>
      <c r="AC314" s="8">
        <v>186920</v>
      </c>
      <c r="AD314" s="13">
        <f t="shared" si="62"/>
        <v>0</v>
      </c>
      <c r="AE314" s="135"/>
      <c r="AF314" s="135"/>
      <c r="AG314" s="135"/>
      <c r="AH314" s="136"/>
      <c r="AI314" s="50">
        <f t="shared" si="53"/>
        <v>498</v>
      </c>
    </row>
    <row r="315" spans="1:35">
      <c r="A315" s="12">
        <v>44690</v>
      </c>
      <c r="B315" s="8">
        <v>1645941</v>
      </c>
      <c r="C315" s="8">
        <v>1646414</v>
      </c>
      <c r="D315" s="13">
        <f t="shared" si="52"/>
        <v>473</v>
      </c>
      <c r="E315" s="46">
        <v>70503</v>
      </c>
      <c r="F315" s="70">
        <v>70866</v>
      </c>
      <c r="G315" s="133">
        <f t="shared" si="55"/>
        <v>363</v>
      </c>
      <c r="H315" s="8">
        <v>184656</v>
      </c>
      <c r="I315" s="8">
        <v>184656</v>
      </c>
      <c r="J315" s="13">
        <f t="shared" si="57"/>
        <v>0</v>
      </c>
      <c r="K315" s="138"/>
      <c r="L315" s="8">
        <v>381910</v>
      </c>
      <c r="M315" s="8">
        <v>382861</v>
      </c>
      <c r="N315" s="13">
        <f t="shared" si="59"/>
        <v>951</v>
      </c>
      <c r="O315" s="136"/>
      <c r="P315" s="8">
        <v>246087</v>
      </c>
      <c r="Q315" s="8">
        <v>246423</v>
      </c>
      <c r="R315" s="133">
        <f t="shared" si="63"/>
        <v>336</v>
      </c>
      <c r="S315" s="8">
        <v>1863</v>
      </c>
      <c r="T315" s="8">
        <v>1886</v>
      </c>
      <c r="U315" s="133">
        <f t="shared" si="60"/>
        <v>23</v>
      </c>
      <c r="V315" s="8">
        <v>281794</v>
      </c>
      <c r="W315" s="8">
        <v>281876</v>
      </c>
      <c r="X315" s="13">
        <f t="shared" si="61"/>
        <v>82</v>
      </c>
      <c r="Y315" s="8">
        <v>14056</v>
      </c>
      <c r="Z315" s="8">
        <v>14077</v>
      </c>
      <c r="AA315" s="13">
        <f t="shared" si="64"/>
        <v>21</v>
      </c>
      <c r="AB315" s="8">
        <v>186920</v>
      </c>
      <c r="AC315" s="8">
        <v>187012</v>
      </c>
      <c r="AD315" s="13">
        <f t="shared" si="62"/>
        <v>92</v>
      </c>
      <c r="AE315" s="135"/>
      <c r="AF315" s="135"/>
      <c r="AG315" s="135"/>
      <c r="AH315" s="136"/>
      <c r="AI315" s="50">
        <f t="shared" si="53"/>
        <v>462</v>
      </c>
    </row>
    <row r="316" spans="1:35">
      <c r="A316" s="12">
        <v>44691</v>
      </c>
      <c r="B316" s="8">
        <v>1646414</v>
      </c>
      <c r="C316" s="8">
        <v>1646609</v>
      </c>
      <c r="D316" s="13">
        <f t="shared" si="52"/>
        <v>195</v>
      </c>
      <c r="E316" s="46">
        <v>70866</v>
      </c>
      <c r="F316" s="70">
        <v>71308</v>
      </c>
      <c r="G316" s="133">
        <f t="shared" si="55"/>
        <v>442</v>
      </c>
      <c r="H316" s="8">
        <v>184656</v>
      </c>
      <c r="I316" s="8">
        <v>184656</v>
      </c>
      <c r="J316" s="13">
        <f t="shared" si="57"/>
        <v>0</v>
      </c>
      <c r="K316" s="138"/>
      <c r="L316" s="8">
        <v>382861</v>
      </c>
      <c r="M316" s="8">
        <v>383931</v>
      </c>
      <c r="N316" s="13">
        <f t="shared" si="59"/>
        <v>1070</v>
      </c>
      <c r="O316" s="136"/>
      <c r="P316" s="8">
        <v>246423</v>
      </c>
      <c r="Q316" s="8">
        <v>246865</v>
      </c>
      <c r="R316" s="133">
        <f t="shared" si="63"/>
        <v>442</v>
      </c>
      <c r="S316" s="8">
        <v>1886</v>
      </c>
      <c r="T316" s="8">
        <v>1916</v>
      </c>
      <c r="U316" s="133">
        <f t="shared" si="60"/>
        <v>30</v>
      </c>
      <c r="V316" s="8">
        <v>281876</v>
      </c>
      <c r="W316" s="8">
        <v>281967</v>
      </c>
      <c r="X316" s="13">
        <f t="shared" si="61"/>
        <v>91</v>
      </c>
      <c r="Y316" s="8">
        <v>14077</v>
      </c>
      <c r="Z316" s="8">
        <v>14094</v>
      </c>
      <c r="AA316" s="13">
        <f t="shared" si="64"/>
        <v>17</v>
      </c>
      <c r="AB316" s="8">
        <v>187012</v>
      </c>
      <c r="AC316" s="8">
        <v>187050</v>
      </c>
      <c r="AD316" s="13">
        <f t="shared" si="62"/>
        <v>38</v>
      </c>
      <c r="AE316" s="135"/>
      <c r="AF316" s="135"/>
      <c r="AG316" s="135"/>
      <c r="AH316" s="136"/>
      <c r="AI316" s="50">
        <f t="shared" si="53"/>
        <v>580</v>
      </c>
    </row>
    <row r="317" spans="1:35">
      <c r="A317" s="12">
        <v>44692</v>
      </c>
      <c r="B317" s="8">
        <v>1646609</v>
      </c>
      <c r="C317" s="8">
        <v>1647393</v>
      </c>
      <c r="D317" s="13">
        <f t="shared" si="52"/>
        <v>784</v>
      </c>
      <c r="E317" s="46">
        <v>71308</v>
      </c>
      <c r="F317" s="70">
        <v>71718</v>
      </c>
      <c r="G317" s="133">
        <f t="shared" si="55"/>
        <v>410</v>
      </c>
      <c r="H317" s="8">
        <v>184656</v>
      </c>
      <c r="I317" s="8">
        <v>184656</v>
      </c>
      <c r="J317" s="13">
        <f t="shared" si="57"/>
        <v>0</v>
      </c>
      <c r="K317" s="138"/>
      <c r="L317" s="8">
        <v>383931</v>
      </c>
      <c r="M317" s="8">
        <v>384924</v>
      </c>
      <c r="N317" s="13">
        <f t="shared" si="59"/>
        <v>993</v>
      </c>
      <c r="O317" s="136"/>
      <c r="P317" s="8">
        <v>246865</v>
      </c>
      <c r="Q317" s="8">
        <v>247260</v>
      </c>
      <c r="R317" s="133">
        <f t="shared" si="63"/>
        <v>395</v>
      </c>
      <c r="S317" s="8">
        <v>1916</v>
      </c>
      <c r="T317" s="8">
        <v>1944</v>
      </c>
      <c r="U317" s="133">
        <f t="shared" si="60"/>
        <v>28</v>
      </c>
      <c r="V317" s="8">
        <v>281967</v>
      </c>
      <c r="W317" s="8">
        <v>282046</v>
      </c>
      <c r="X317" s="13">
        <f t="shared" si="61"/>
        <v>79</v>
      </c>
      <c r="Y317" s="8">
        <v>14094</v>
      </c>
      <c r="Z317" s="8">
        <v>14105</v>
      </c>
      <c r="AA317" s="13">
        <f t="shared" si="64"/>
        <v>11</v>
      </c>
      <c r="AB317" s="8">
        <v>187050</v>
      </c>
      <c r="AC317" s="8">
        <v>187103</v>
      </c>
      <c r="AD317" s="13">
        <f t="shared" si="62"/>
        <v>53</v>
      </c>
      <c r="AE317" s="135"/>
      <c r="AF317" s="135"/>
      <c r="AG317" s="135"/>
      <c r="AH317" s="136"/>
      <c r="AI317" s="50">
        <f t="shared" si="53"/>
        <v>513</v>
      </c>
    </row>
    <row r="318" spans="1:35">
      <c r="A318" s="12">
        <v>44693</v>
      </c>
      <c r="B318" s="8">
        <v>1647393</v>
      </c>
      <c r="C318" s="8">
        <v>1648124</v>
      </c>
      <c r="D318" s="13">
        <f t="shared" si="52"/>
        <v>731</v>
      </c>
      <c r="E318" s="46">
        <v>71718</v>
      </c>
      <c r="F318" s="70">
        <v>72336</v>
      </c>
      <c r="G318" s="133">
        <f t="shared" si="55"/>
        <v>618</v>
      </c>
      <c r="H318" s="8">
        <v>184656</v>
      </c>
      <c r="I318" s="8">
        <v>184656</v>
      </c>
      <c r="J318" s="13">
        <f t="shared" si="57"/>
        <v>0</v>
      </c>
      <c r="K318" s="138"/>
      <c r="L318" s="8">
        <v>384924</v>
      </c>
      <c r="M318" s="8">
        <v>385759</v>
      </c>
      <c r="N318" s="13">
        <f t="shared" si="59"/>
        <v>835</v>
      </c>
      <c r="O318" s="136"/>
      <c r="P318" s="8">
        <v>247260</v>
      </c>
      <c r="Q318" s="8">
        <v>247626</v>
      </c>
      <c r="R318" s="133">
        <f t="shared" si="63"/>
        <v>366</v>
      </c>
      <c r="S318" s="8">
        <v>1944</v>
      </c>
      <c r="T318" s="8">
        <v>1956</v>
      </c>
      <c r="U318" s="133">
        <f t="shared" si="60"/>
        <v>12</v>
      </c>
      <c r="V318" s="8">
        <v>282046</v>
      </c>
      <c r="W318" s="8">
        <v>282117</v>
      </c>
      <c r="X318" s="13">
        <f t="shared" si="61"/>
        <v>71</v>
      </c>
      <c r="Y318" s="8">
        <v>14105</v>
      </c>
      <c r="Z318" s="8">
        <v>14117</v>
      </c>
      <c r="AA318" s="13">
        <f t="shared" si="64"/>
        <v>12</v>
      </c>
      <c r="AB318" s="8">
        <v>187103</v>
      </c>
      <c r="AC318" s="8">
        <v>187145</v>
      </c>
      <c r="AD318" s="13">
        <f t="shared" si="62"/>
        <v>42</v>
      </c>
      <c r="AE318" s="135"/>
      <c r="AF318" s="135"/>
      <c r="AG318" s="135"/>
      <c r="AH318" s="136"/>
      <c r="AI318" s="50">
        <f t="shared" si="53"/>
        <v>461</v>
      </c>
    </row>
    <row r="319" spans="1:35">
      <c r="A319" s="12">
        <v>44694</v>
      </c>
      <c r="B319" s="8">
        <v>1648124</v>
      </c>
      <c r="C319" s="8">
        <v>1648314</v>
      </c>
      <c r="D319" s="13">
        <f t="shared" si="52"/>
        <v>190</v>
      </c>
      <c r="E319" s="46">
        <v>72336</v>
      </c>
      <c r="F319" s="70">
        <v>72509</v>
      </c>
      <c r="G319" s="133">
        <f t="shared" si="55"/>
        <v>173</v>
      </c>
      <c r="H319" s="8">
        <v>184656</v>
      </c>
      <c r="I319" s="8">
        <v>184656</v>
      </c>
      <c r="J319" s="13">
        <f t="shared" si="57"/>
        <v>0</v>
      </c>
      <c r="K319" s="138"/>
      <c r="L319" s="8">
        <v>385759</v>
      </c>
      <c r="M319" s="8">
        <v>386479</v>
      </c>
      <c r="N319" s="13">
        <f t="shared" si="59"/>
        <v>720</v>
      </c>
      <c r="O319" s="136"/>
      <c r="P319" s="8">
        <v>247626</v>
      </c>
      <c r="Q319" s="8">
        <v>247909</v>
      </c>
      <c r="R319" s="133">
        <f t="shared" si="63"/>
        <v>283</v>
      </c>
      <c r="S319" s="8">
        <v>1956</v>
      </c>
      <c r="T319" s="8">
        <v>1970</v>
      </c>
      <c r="U319" s="133">
        <f t="shared" si="60"/>
        <v>14</v>
      </c>
      <c r="V319" s="8">
        <v>282117</v>
      </c>
      <c r="W319" s="8">
        <v>282343</v>
      </c>
      <c r="X319" s="13">
        <f t="shared" si="61"/>
        <v>226</v>
      </c>
      <c r="Y319" s="8">
        <v>14117</v>
      </c>
      <c r="Z319" s="8">
        <v>14127</v>
      </c>
      <c r="AA319" s="13">
        <f t="shared" si="64"/>
        <v>10</v>
      </c>
      <c r="AB319" s="8">
        <v>187145</v>
      </c>
      <c r="AC319" s="8">
        <v>187273</v>
      </c>
      <c r="AD319" s="13">
        <f t="shared" si="62"/>
        <v>128</v>
      </c>
      <c r="AE319" s="135"/>
      <c r="AF319" s="135"/>
      <c r="AG319" s="135"/>
      <c r="AH319" s="136"/>
      <c r="AI319" s="50">
        <f t="shared" si="53"/>
        <v>533</v>
      </c>
    </row>
    <row r="320" spans="1:35">
      <c r="A320" s="12">
        <v>44695</v>
      </c>
      <c r="B320" s="8">
        <v>1648314</v>
      </c>
      <c r="C320" s="8">
        <v>1649356</v>
      </c>
      <c r="D320" s="13">
        <f t="shared" si="52"/>
        <v>1042</v>
      </c>
      <c r="E320" s="46">
        <v>72509</v>
      </c>
      <c r="F320" s="70">
        <v>72853</v>
      </c>
      <c r="G320" s="133">
        <f t="shared" si="55"/>
        <v>344</v>
      </c>
      <c r="H320" s="8">
        <v>184656</v>
      </c>
      <c r="I320" s="8">
        <v>184656</v>
      </c>
      <c r="J320" s="13">
        <f t="shared" si="57"/>
        <v>0</v>
      </c>
      <c r="K320" s="138"/>
      <c r="L320" s="8">
        <v>386479</v>
      </c>
      <c r="M320" s="8">
        <v>386849</v>
      </c>
      <c r="N320" s="13">
        <f t="shared" si="59"/>
        <v>370</v>
      </c>
      <c r="O320" s="136"/>
      <c r="P320" s="8">
        <v>247909</v>
      </c>
      <c r="Q320" s="8">
        <v>248627</v>
      </c>
      <c r="R320" s="133">
        <f t="shared" si="63"/>
        <v>718</v>
      </c>
      <c r="S320" s="8">
        <v>1970</v>
      </c>
      <c r="T320" s="8">
        <v>1998</v>
      </c>
      <c r="U320" s="133">
        <f t="shared" si="60"/>
        <v>28</v>
      </c>
      <c r="V320" s="8">
        <v>282343</v>
      </c>
      <c r="W320" s="8">
        <v>282674</v>
      </c>
      <c r="X320" s="13">
        <f t="shared" si="61"/>
        <v>331</v>
      </c>
      <c r="Y320" s="8">
        <v>14127</v>
      </c>
      <c r="Z320" s="8">
        <v>14138</v>
      </c>
      <c r="AA320" s="13">
        <f t="shared" si="64"/>
        <v>11</v>
      </c>
      <c r="AB320" s="8">
        <v>187273</v>
      </c>
      <c r="AC320" s="8">
        <v>187327</v>
      </c>
      <c r="AD320" s="13">
        <f t="shared" si="62"/>
        <v>54</v>
      </c>
      <c r="AE320" s="135"/>
      <c r="AF320" s="135"/>
      <c r="AG320" s="135"/>
      <c r="AH320" s="136"/>
      <c r="AI320" s="50">
        <f t="shared" si="53"/>
        <v>1088</v>
      </c>
    </row>
    <row r="321" spans="1:35">
      <c r="A321" s="12">
        <v>44696</v>
      </c>
      <c r="B321" s="8">
        <v>1649356</v>
      </c>
      <c r="C321" s="8">
        <v>1650063</v>
      </c>
      <c r="D321" s="13">
        <f t="shared" ref="D321:D362" si="65">C321-B321</f>
        <v>707</v>
      </c>
      <c r="E321" s="46">
        <v>72853</v>
      </c>
      <c r="F321" s="70">
        <v>73183</v>
      </c>
      <c r="G321" s="133">
        <f t="shared" si="55"/>
        <v>330</v>
      </c>
      <c r="H321" s="8">
        <v>184656</v>
      </c>
      <c r="I321" s="8">
        <v>184656</v>
      </c>
      <c r="J321" s="13">
        <f t="shared" si="57"/>
        <v>0</v>
      </c>
      <c r="K321" s="138"/>
      <c r="L321" s="8">
        <v>386849</v>
      </c>
      <c r="M321" s="8">
        <v>388111</v>
      </c>
      <c r="N321" s="13">
        <f t="shared" si="59"/>
        <v>1262</v>
      </c>
      <c r="O321" s="136"/>
      <c r="P321" s="8">
        <v>248627</v>
      </c>
      <c r="Q321" s="8">
        <v>248715</v>
      </c>
      <c r="R321" s="133">
        <f t="shared" si="63"/>
        <v>88</v>
      </c>
      <c r="S321" s="8">
        <v>1998</v>
      </c>
      <c r="T321" s="8">
        <v>2026</v>
      </c>
      <c r="U321" s="133">
        <f t="shared" si="60"/>
        <v>28</v>
      </c>
      <c r="V321" s="8">
        <v>282674</v>
      </c>
      <c r="W321" s="8">
        <v>282829</v>
      </c>
      <c r="X321" s="13">
        <f t="shared" si="61"/>
        <v>155</v>
      </c>
      <c r="Y321" s="8">
        <v>14138</v>
      </c>
      <c r="Z321" s="8">
        <v>14149</v>
      </c>
      <c r="AA321" s="13">
        <f t="shared" si="64"/>
        <v>11</v>
      </c>
      <c r="AB321" s="8">
        <v>187327</v>
      </c>
      <c r="AC321" s="8">
        <v>187371</v>
      </c>
      <c r="AD321" s="13">
        <f t="shared" si="62"/>
        <v>44</v>
      </c>
      <c r="AE321" s="135"/>
      <c r="AF321" s="135"/>
      <c r="AG321" s="135"/>
      <c r="AH321" s="136"/>
      <c r="AI321" s="50">
        <f t="shared" ref="AI321:AI384" si="66">AA321+U321+R321+O321+X321</f>
        <v>282</v>
      </c>
    </row>
    <row r="322" spans="1:35">
      <c r="A322" s="12">
        <v>44697</v>
      </c>
      <c r="B322" s="8">
        <v>1650063</v>
      </c>
      <c r="C322" s="8">
        <v>1650631</v>
      </c>
      <c r="D322" s="13">
        <f t="shared" si="65"/>
        <v>568</v>
      </c>
      <c r="E322" s="46">
        <v>73183</v>
      </c>
      <c r="F322" s="70">
        <v>73828</v>
      </c>
      <c r="G322" s="133">
        <f t="shared" si="55"/>
        <v>645</v>
      </c>
      <c r="H322" s="8">
        <v>184656</v>
      </c>
      <c r="I322" s="8">
        <v>184656</v>
      </c>
      <c r="J322" s="13">
        <f t="shared" si="57"/>
        <v>0</v>
      </c>
      <c r="K322" s="138"/>
      <c r="L322" s="8">
        <v>388111</v>
      </c>
      <c r="M322" s="8">
        <v>388607</v>
      </c>
      <c r="N322" s="13">
        <f t="shared" si="59"/>
        <v>496</v>
      </c>
      <c r="O322" s="136"/>
      <c r="P322" s="8">
        <v>248715</v>
      </c>
      <c r="Q322" s="8">
        <v>249045</v>
      </c>
      <c r="R322" s="133">
        <f t="shared" si="63"/>
        <v>330</v>
      </c>
      <c r="S322" s="8">
        <v>2026</v>
      </c>
      <c r="T322" s="8">
        <v>2064</v>
      </c>
      <c r="U322" s="133">
        <f t="shared" si="60"/>
        <v>38</v>
      </c>
      <c r="V322" s="8">
        <v>282829</v>
      </c>
      <c r="W322" s="8">
        <v>282996</v>
      </c>
      <c r="X322" s="13">
        <f t="shared" si="61"/>
        <v>167</v>
      </c>
      <c r="Y322" s="8">
        <v>14149</v>
      </c>
      <c r="Z322" s="8">
        <v>14162</v>
      </c>
      <c r="AA322" s="13">
        <f t="shared" si="64"/>
        <v>13</v>
      </c>
      <c r="AB322" s="8">
        <v>187371</v>
      </c>
      <c r="AC322" s="8">
        <v>187447</v>
      </c>
      <c r="AD322" s="13">
        <f t="shared" si="62"/>
        <v>76</v>
      </c>
      <c r="AE322" s="135"/>
      <c r="AF322" s="135"/>
      <c r="AG322" s="135"/>
      <c r="AH322" s="136"/>
      <c r="AI322" s="50">
        <f t="shared" si="66"/>
        <v>548</v>
      </c>
    </row>
    <row r="323" spans="1:35">
      <c r="A323" s="12">
        <v>44698</v>
      </c>
      <c r="B323" s="8">
        <v>1650631</v>
      </c>
      <c r="C323" s="8">
        <v>1651487</v>
      </c>
      <c r="D323" s="13">
        <f t="shared" si="65"/>
        <v>856</v>
      </c>
      <c r="E323" s="46">
        <v>73828</v>
      </c>
      <c r="F323" s="70">
        <v>73954</v>
      </c>
      <c r="G323" s="133">
        <f t="shared" ref="G323:G386" si="67">F323-E323</f>
        <v>126</v>
      </c>
      <c r="H323" s="8">
        <v>184656</v>
      </c>
      <c r="I323" s="8">
        <v>184656</v>
      </c>
      <c r="J323" s="13">
        <f t="shared" si="57"/>
        <v>0</v>
      </c>
      <c r="K323" s="138"/>
      <c r="L323" s="8">
        <v>388607</v>
      </c>
      <c r="M323" s="8">
        <v>389622</v>
      </c>
      <c r="N323" s="13">
        <f t="shared" si="59"/>
        <v>1015</v>
      </c>
      <c r="O323" s="136"/>
      <c r="P323" s="8">
        <v>249045</v>
      </c>
      <c r="Q323" s="8">
        <v>249546</v>
      </c>
      <c r="R323" s="133">
        <f t="shared" si="63"/>
        <v>501</v>
      </c>
      <c r="S323" s="8">
        <v>2064</v>
      </c>
      <c r="T323" s="8">
        <v>2075</v>
      </c>
      <c r="U323" s="133">
        <f t="shared" si="60"/>
        <v>11</v>
      </c>
      <c r="V323" s="8">
        <v>282996</v>
      </c>
      <c r="W323" s="8">
        <v>283098</v>
      </c>
      <c r="X323" s="13">
        <f t="shared" si="61"/>
        <v>102</v>
      </c>
      <c r="Y323" s="8">
        <v>14162</v>
      </c>
      <c r="Z323" s="8">
        <v>14174</v>
      </c>
      <c r="AA323" s="13">
        <f t="shared" si="64"/>
        <v>12</v>
      </c>
      <c r="AB323" s="8">
        <v>187447</v>
      </c>
      <c r="AC323" s="8">
        <v>187505</v>
      </c>
      <c r="AD323" s="13">
        <f t="shared" si="62"/>
        <v>58</v>
      </c>
      <c r="AE323" s="135"/>
      <c r="AF323" s="135"/>
      <c r="AG323" s="135"/>
      <c r="AH323" s="136"/>
      <c r="AI323" s="50">
        <f t="shared" si="66"/>
        <v>626</v>
      </c>
    </row>
    <row r="324" spans="1:35">
      <c r="A324" s="12">
        <v>44699</v>
      </c>
      <c r="B324" s="8">
        <v>1651487</v>
      </c>
      <c r="C324" s="8">
        <v>1652313</v>
      </c>
      <c r="D324" s="13">
        <f t="shared" si="65"/>
        <v>826</v>
      </c>
      <c r="E324" s="46">
        <v>73954</v>
      </c>
      <c r="F324" s="70">
        <v>73954</v>
      </c>
      <c r="G324" s="133">
        <f t="shared" si="67"/>
        <v>0</v>
      </c>
      <c r="H324" s="8">
        <v>184656</v>
      </c>
      <c r="I324" s="8">
        <v>184656</v>
      </c>
      <c r="J324" s="13">
        <f t="shared" si="57"/>
        <v>0</v>
      </c>
      <c r="K324" s="138"/>
      <c r="L324" s="8">
        <v>389622</v>
      </c>
      <c r="M324" s="8">
        <v>390745</v>
      </c>
      <c r="N324" s="13">
        <f t="shared" si="59"/>
        <v>1123</v>
      </c>
      <c r="O324" s="136"/>
      <c r="P324" s="8">
        <v>249546</v>
      </c>
      <c r="Q324" s="8">
        <v>250022</v>
      </c>
      <c r="R324" s="133">
        <f t="shared" si="63"/>
        <v>476</v>
      </c>
      <c r="S324" s="8">
        <v>2075</v>
      </c>
      <c r="T324" s="8">
        <v>2179</v>
      </c>
      <c r="U324" s="133">
        <f t="shared" si="60"/>
        <v>104</v>
      </c>
      <c r="V324" s="8">
        <v>283098</v>
      </c>
      <c r="W324" s="8">
        <v>283183</v>
      </c>
      <c r="X324" s="13">
        <f t="shared" si="61"/>
        <v>85</v>
      </c>
      <c r="Y324" s="8">
        <v>14174</v>
      </c>
      <c r="Z324" s="8">
        <v>14189</v>
      </c>
      <c r="AA324" s="13">
        <f t="shared" si="64"/>
        <v>15</v>
      </c>
      <c r="AB324" s="8">
        <v>187505</v>
      </c>
      <c r="AC324" s="8">
        <v>187568</v>
      </c>
      <c r="AD324" s="13">
        <f t="shared" si="62"/>
        <v>63</v>
      </c>
      <c r="AE324" s="135"/>
      <c r="AF324" s="135"/>
      <c r="AG324" s="135"/>
      <c r="AH324" s="136"/>
      <c r="AI324" s="50">
        <f t="shared" si="66"/>
        <v>680</v>
      </c>
    </row>
    <row r="325" spans="1:35">
      <c r="A325" s="12">
        <v>44700</v>
      </c>
      <c r="B325" s="8">
        <v>1652313</v>
      </c>
      <c r="C325" s="8">
        <v>1653281</v>
      </c>
      <c r="D325" s="13">
        <f t="shared" si="65"/>
        <v>968</v>
      </c>
      <c r="E325" s="46">
        <v>73954</v>
      </c>
      <c r="F325" s="70">
        <v>74813</v>
      </c>
      <c r="G325" s="133">
        <f t="shared" si="67"/>
        <v>859</v>
      </c>
      <c r="H325" s="8">
        <v>184656</v>
      </c>
      <c r="I325" s="8">
        <v>184656</v>
      </c>
      <c r="J325" s="13">
        <v>0</v>
      </c>
      <c r="K325" s="138"/>
      <c r="L325" s="8">
        <v>390745</v>
      </c>
      <c r="M325" s="8">
        <v>391683</v>
      </c>
      <c r="N325" s="13">
        <f t="shared" si="59"/>
        <v>938</v>
      </c>
      <c r="O325" s="136"/>
      <c r="P325" s="8">
        <v>250022</v>
      </c>
      <c r="Q325" s="8">
        <v>250466</v>
      </c>
      <c r="R325" s="133">
        <f t="shared" si="63"/>
        <v>444</v>
      </c>
      <c r="S325" s="8">
        <v>2179</v>
      </c>
      <c r="T325" s="8">
        <v>2203</v>
      </c>
      <c r="U325" s="133">
        <f t="shared" si="60"/>
        <v>24</v>
      </c>
      <c r="V325" s="8">
        <v>283183</v>
      </c>
      <c r="W325" s="8">
        <v>283304</v>
      </c>
      <c r="X325" s="13">
        <f t="shared" si="61"/>
        <v>121</v>
      </c>
      <c r="Y325" s="8">
        <v>14189</v>
      </c>
      <c r="Z325" s="8">
        <v>14199</v>
      </c>
      <c r="AA325" s="13">
        <f t="shared" si="64"/>
        <v>10</v>
      </c>
      <c r="AB325" s="8">
        <v>187568</v>
      </c>
      <c r="AC325" s="8">
        <v>187622</v>
      </c>
      <c r="AD325" s="13">
        <f t="shared" si="62"/>
        <v>54</v>
      </c>
      <c r="AE325" s="135"/>
      <c r="AF325" s="135"/>
      <c r="AG325" s="135"/>
      <c r="AH325" s="136"/>
      <c r="AI325" s="50">
        <f t="shared" si="66"/>
        <v>599</v>
      </c>
    </row>
    <row r="326" spans="1:35">
      <c r="A326" s="12">
        <v>44701</v>
      </c>
      <c r="B326" s="8">
        <v>1653281</v>
      </c>
      <c r="C326" s="8">
        <v>1653898</v>
      </c>
      <c r="D326" s="13">
        <f t="shared" si="65"/>
        <v>617</v>
      </c>
      <c r="E326" s="46">
        <v>74813</v>
      </c>
      <c r="F326" s="70">
        <v>75205</v>
      </c>
      <c r="G326" s="133">
        <f t="shared" si="67"/>
        <v>392</v>
      </c>
      <c r="H326" s="8">
        <v>184656</v>
      </c>
      <c r="I326" s="8">
        <v>184656</v>
      </c>
      <c r="J326" s="13">
        <f t="shared" si="57"/>
        <v>0</v>
      </c>
      <c r="K326" s="138"/>
      <c r="L326" s="8">
        <v>391683</v>
      </c>
      <c r="M326" s="8">
        <v>392839</v>
      </c>
      <c r="N326" s="13">
        <f t="shared" si="59"/>
        <v>1156</v>
      </c>
      <c r="O326" s="136"/>
      <c r="P326" s="8">
        <v>250466</v>
      </c>
      <c r="Q326" s="8">
        <v>250961</v>
      </c>
      <c r="R326" s="133">
        <f t="shared" si="63"/>
        <v>495</v>
      </c>
      <c r="S326" s="8">
        <v>2203</v>
      </c>
      <c r="T326" s="8">
        <v>2248</v>
      </c>
      <c r="U326" s="133">
        <f t="shared" si="60"/>
        <v>45</v>
      </c>
      <c r="V326" s="8">
        <v>283304</v>
      </c>
      <c r="W326" s="8">
        <v>283479</v>
      </c>
      <c r="X326" s="13">
        <f t="shared" si="61"/>
        <v>175</v>
      </c>
      <c r="Y326" s="8">
        <v>14199</v>
      </c>
      <c r="Z326" s="8">
        <v>14211</v>
      </c>
      <c r="AA326" s="13">
        <f t="shared" si="64"/>
        <v>12</v>
      </c>
      <c r="AB326" s="8">
        <v>187622</v>
      </c>
      <c r="AC326" s="8">
        <v>187689</v>
      </c>
      <c r="AD326" s="13">
        <f t="shared" si="62"/>
        <v>67</v>
      </c>
      <c r="AE326" s="135"/>
      <c r="AF326" s="135"/>
      <c r="AG326" s="135"/>
      <c r="AH326" s="136"/>
      <c r="AI326" s="50">
        <f t="shared" si="66"/>
        <v>727</v>
      </c>
    </row>
    <row r="327" spans="1:35">
      <c r="A327" s="12">
        <v>44702</v>
      </c>
      <c r="B327" s="8">
        <v>1653898</v>
      </c>
      <c r="C327" s="8">
        <v>1654346</v>
      </c>
      <c r="D327" s="13">
        <f t="shared" si="65"/>
        <v>448</v>
      </c>
      <c r="E327" s="46">
        <v>75205</v>
      </c>
      <c r="F327" s="70">
        <v>75536</v>
      </c>
      <c r="G327" s="133">
        <f t="shared" si="67"/>
        <v>331</v>
      </c>
      <c r="H327" s="8">
        <v>184656</v>
      </c>
      <c r="I327" s="8">
        <v>184656</v>
      </c>
      <c r="J327" s="13">
        <f t="shared" si="57"/>
        <v>0</v>
      </c>
      <c r="K327" s="138"/>
      <c r="L327" s="8">
        <v>392839</v>
      </c>
      <c r="M327" s="8">
        <v>393875</v>
      </c>
      <c r="N327" s="13">
        <f t="shared" si="59"/>
        <v>1036</v>
      </c>
      <c r="O327" s="136"/>
      <c r="P327" s="8">
        <v>250961</v>
      </c>
      <c r="Q327" s="8">
        <v>251341</v>
      </c>
      <c r="R327" s="133">
        <f t="shared" si="63"/>
        <v>380</v>
      </c>
      <c r="S327" s="8">
        <v>2248</v>
      </c>
      <c r="T327" s="8">
        <v>2256</v>
      </c>
      <c r="U327" s="133">
        <f t="shared" si="60"/>
        <v>8</v>
      </c>
      <c r="V327" s="8">
        <v>283479</v>
      </c>
      <c r="W327" s="8">
        <v>283588</v>
      </c>
      <c r="X327" s="13">
        <f t="shared" si="61"/>
        <v>109</v>
      </c>
      <c r="Y327" s="8">
        <v>14211</v>
      </c>
      <c r="Z327" s="8">
        <v>14221</v>
      </c>
      <c r="AA327" s="13">
        <f t="shared" si="64"/>
        <v>10</v>
      </c>
      <c r="AB327" s="8">
        <v>187689</v>
      </c>
      <c r="AC327" s="8">
        <v>187734</v>
      </c>
      <c r="AD327" s="13">
        <f t="shared" si="62"/>
        <v>45</v>
      </c>
      <c r="AE327" s="135"/>
      <c r="AF327" s="135"/>
      <c r="AG327" s="135"/>
      <c r="AH327" s="136"/>
      <c r="AI327" s="50">
        <f t="shared" si="66"/>
        <v>507</v>
      </c>
    </row>
    <row r="328" spans="1:35">
      <c r="A328" s="12">
        <v>44703</v>
      </c>
      <c r="B328" s="8">
        <v>1654346</v>
      </c>
      <c r="C328" s="8">
        <v>1654875</v>
      </c>
      <c r="D328" s="13">
        <f t="shared" si="65"/>
        <v>529</v>
      </c>
      <c r="E328" s="46">
        <v>75536</v>
      </c>
      <c r="F328" s="70">
        <v>76168</v>
      </c>
      <c r="G328" s="133">
        <f t="shared" si="67"/>
        <v>632</v>
      </c>
      <c r="H328" s="8">
        <v>184656</v>
      </c>
      <c r="I328" s="8">
        <v>184656</v>
      </c>
      <c r="J328" s="13">
        <f t="shared" si="57"/>
        <v>0</v>
      </c>
      <c r="K328" s="138"/>
      <c r="L328" s="8">
        <v>393875</v>
      </c>
      <c r="M328" s="8">
        <v>394626</v>
      </c>
      <c r="N328" s="13">
        <f t="shared" si="59"/>
        <v>751</v>
      </c>
      <c r="O328" s="136"/>
      <c r="P328" s="8">
        <v>251341</v>
      </c>
      <c r="Q328" s="8">
        <v>251754</v>
      </c>
      <c r="R328" s="133">
        <f t="shared" si="63"/>
        <v>413</v>
      </c>
      <c r="S328" s="8">
        <v>2256</v>
      </c>
      <c r="T328" s="8">
        <v>2263</v>
      </c>
      <c r="U328" s="133">
        <f t="shared" si="60"/>
        <v>7</v>
      </c>
      <c r="V328" s="8">
        <v>283588</v>
      </c>
      <c r="W328" s="8">
        <v>283690</v>
      </c>
      <c r="X328" s="13">
        <f t="shared" si="61"/>
        <v>102</v>
      </c>
      <c r="Y328" s="8">
        <v>14221</v>
      </c>
      <c r="Z328" s="8">
        <v>14232</v>
      </c>
      <c r="AA328" s="13">
        <f t="shared" si="64"/>
        <v>11</v>
      </c>
      <c r="AB328" s="8">
        <v>187734</v>
      </c>
      <c r="AC328" s="8">
        <v>187780</v>
      </c>
      <c r="AD328" s="13">
        <f t="shared" si="62"/>
        <v>46</v>
      </c>
      <c r="AE328" s="135"/>
      <c r="AF328" s="135"/>
      <c r="AG328" s="135"/>
      <c r="AH328" s="136"/>
      <c r="AI328" s="50">
        <f t="shared" si="66"/>
        <v>533</v>
      </c>
    </row>
    <row r="329" spans="1:35">
      <c r="A329" s="12">
        <v>44704</v>
      </c>
      <c r="B329" s="8">
        <v>1654875</v>
      </c>
      <c r="C329" s="8">
        <v>1655324</v>
      </c>
      <c r="D329" s="13">
        <f t="shared" si="65"/>
        <v>449</v>
      </c>
      <c r="E329" s="46">
        <v>76168</v>
      </c>
      <c r="F329" s="69">
        <v>76314</v>
      </c>
      <c r="G329" s="133">
        <f t="shared" si="67"/>
        <v>146</v>
      </c>
      <c r="H329" s="8">
        <v>184656</v>
      </c>
      <c r="I329" s="8">
        <v>184656</v>
      </c>
      <c r="J329" s="13">
        <f t="shared" si="57"/>
        <v>0</v>
      </c>
      <c r="K329" s="138"/>
      <c r="L329" s="8">
        <v>394626</v>
      </c>
      <c r="M329" s="8">
        <v>395564</v>
      </c>
      <c r="N329" s="13">
        <f t="shared" si="59"/>
        <v>938</v>
      </c>
      <c r="O329" s="136"/>
      <c r="P329" s="8">
        <v>251754</v>
      </c>
      <c r="Q329" s="8">
        <v>252087</v>
      </c>
      <c r="R329" s="133">
        <f t="shared" si="63"/>
        <v>333</v>
      </c>
      <c r="S329" s="8">
        <v>2263</v>
      </c>
      <c r="T329" s="8">
        <v>2323</v>
      </c>
      <c r="U329" s="133">
        <f t="shared" si="60"/>
        <v>60</v>
      </c>
      <c r="V329" s="8">
        <v>283690</v>
      </c>
      <c r="W329" s="8">
        <v>283901</v>
      </c>
      <c r="X329" s="13">
        <f t="shared" si="61"/>
        <v>211</v>
      </c>
      <c r="Y329" s="8">
        <v>14232</v>
      </c>
      <c r="Z329" s="8">
        <v>14254</v>
      </c>
      <c r="AA329" s="13">
        <f t="shared" si="64"/>
        <v>22</v>
      </c>
      <c r="AB329" s="8">
        <v>187780</v>
      </c>
      <c r="AC329" s="8">
        <v>187837</v>
      </c>
      <c r="AD329" s="13">
        <f t="shared" si="62"/>
        <v>57</v>
      </c>
      <c r="AE329" s="135"/>
      <c r="AF329" s="135"/>
      <c r="AG329" s="135"/>
      <c r="AH329" s="136"/>
      <c r="AI329" s="50">
        <f t="shared" si="66"/>
        <v>626</v>
      </c>
    </row>
    <row r="330" spans="1:35">
      <c r="A330" s="12">
        <v>44705</v>
      </c>
      <c r="B330" s="8">
        <v>1655324</v>
      </c>
      <c r="C330" s="8">
        <v>1655709</v>
      </c>
      <c r="D330" s="13">
        <f t="shared" si="65"/>
        <v>385</v>
      </c>
      <c r="E330" s="77">
        <v>76314</v>
      </c>
      <c r="F330" s="70">
        <v>76881</v>
      </c>
      <c r="G330" s="133">
        <f t="shared" si="67"/>
        <v>567</v>
      </c>
      <c r="H330" s="8">
        <v>184656</v>
      </c>
      <c r="I330" s="8">
        <v>184656</v>
      </c>
      <c r="J330" s="13">
        <f t="shared" si="57"/>
        <v>0</v>
      </c>
      <c r="K330" s="138"/>
      <c r="L330" s="8">
        <v>395564</v>
      </c>
      <c r="M330" s="8">
        <v>396052</v>
      </c>
      <c r="N330" s="13">
        <f t="shared" si="59"/>
        <v>488</v>
      </c>
      <c r="O330" s="136"/>
      <c r="P330" s="8">
        <v>252087</v>
      </c>
      <c r="Q330" s="8">
        <v>252366</v>
      </c>
      <c r="R330" s="133">
        <f t="shared" si="63"/>
        <v>279</v>
      </c>
      <c r="S330" s="8">
        <v>2323</v>
      </c>
      <c r="T330" s="8">
        <v>2341</v>
      </c>
      <c r="U330" s="133">
        <f t="shared" si="60"/>
        <v>18</v>
      </c>
      <c r="V330" s="8">
        <v>283901</v>
      </c>
      <c r="W330" s="8">
        <v>284056</v>
      </c>
      <c r="X330" s="13">
        <f t="shared" si="61"/>
        <v>155</v>
      </c>
      <c r="Y330" s="8">
        <v>14254</v>
      </c>
      <c r="Z330" s="8">
        <v>14267</v>
      </c>
      <c r="AA330" s="13">
        <f t="shared" si="64"/>
        <v>13</v>
      </c>
      <c r="AB330" s="8">
        <v>187837</v>
      </c>
      <c r="AC330" s="8">
        <v>187889</v>
      </c>
      <c r="AD330" s="13">
        <f t="shared" si="62"/>
        <v>52</v>
      </c>
      <c r="AE330" s="135"/>
      <c r="AF330" s="135"/>
      <c r="AG330" s="135"/>
      <c r="AH330" s="136"/>
      <c r="AI330" s="50">
        <f t="shared" si="66"/>
        <v>465</v>
      </c>
    </row>
    <row r="331" spans="1:35">
      <c r="A331" s="12">
        <v>44706</v>
      </c>
      <c r="B331" s="8">
        <v>1655709</v>
      </c>
      <c r="C331" s="8">
        <v>1656235</v>
      </c>
      <c r="D331" s="13">
        <f t="shared" si="65"/>
        <v>526</v>
      </c>
      <c r="E331" s="46">
        <v>76881</v>
      </c>
      <c r="F331" s="70">
        <v>77602</v>
      </c>
      <c r="G331" s="133">
        <f t="shared" si="67"/>
        <v>721</v>
      </c>
      <c r="H331" s="8">
        <v>184656</v>
      </c>
      <c r="I331" s="8">
        <v>185463</v>
      </c>
      <c r="J331" s="13">
        <f t="shared" si="57"/>
        <v>807</v>
      </c>
      <c r="K331" s="138"/>
      <c r="L331" s="8">
        <v>396052</v>
      </c>
      <c r="M331" s="8">
        <v>396875</v>
      </c>
      <c r="N331" s="13">
        <f t="shared" si="59"/>
        <v>823</v>
      </c>
      <c r="O331" s="136"/>
      <c r="P331" s="8">
        <v>252366</v>
      </c>
      <c r="Q331" s="8">
        <v>252779</v>
      </c>
      <c r="R331" s="133">
        <f t="shared" si="63"/>
        <v>413</v>
      </c>
      <c r="S331" s="8">
        <v>2341</v>
      </c>
      <c r="T331" s="8">
        <v>2367</v>
      </c>
      <c r="U331" s="133">
        <f t="shared" si="60"/>
        <v>26</v>
      </c>
      <c r="V331" s="8">
        <v>284056</v>
      </c>
      <c r="W331" s="8">
        <v>284204</v>
      </c>
      <c r="X331" s="13">
        <f>W331-V331</f>
        <v>148</v>
      </c>
      <c r="Y331" s="8">
        <v>14267</v>
      </c>
      <c r="Z331" s="8">
        <v>14273</v>
      </c>
      <c r="AA331" s="13">
        <f t="shared" si="64"/>
        <v>6</v>
      </c>
      <c r="AB331" s="8">
        <v>187889</v>
      </c>
      <c r="AC331" s="8">
        <v>187941</v>
      </c>
      <c r="AD331" s="13">
        <f t="shared" si="62"/>
        <v>52</v>
      </c>
      <c r="AE331" s="135"/>
      <c r="AF331" s="135"/>
      <c r="AG331" s="135"/>
      <c r="AH331" s="136"/>
      <c r="AI331" s="50">
        <f t="shared" si="66"/>
        <v>593</v>
      </c>
    </row>
    <row r="332" spans="1:35">
      <c r="A332" s="12">
        <v>44707</v>
      </c>
      <c r="B332" s="8">
        <v>1656235</v>
      </c>
      <c r="C332" s="8">
        <v>1656653</v>
      </c>
      <c r="D332" s="13">
        <f t="shared" si="65"/>
        <v>418</v>
      </c>
      <c r="E332" s="46">
        <v>77602</v>
      </c>
      <c r="F332" s="9">
        <v>78061</v>
      </c>
      <c r="G332" s="133">
        <f t="shared" si="67"/>
        <v>459</v>
      </c>
      <c r="H332" s="8">
        <v>185463</v>
      </c>
      <c r="I332" s="8">
        <v>185463</v>
      </c>
      <c r="J332" s="13">
        <f t="shared" si="57"/>
        <v>0</v>
      </c>
      <c r="K332" s="138"/>
      <c r="L332" s="8">
        <v>396875</v>
      </c>
      <c r="M332" s="8">
        <v>398081</v>
      </c>
      <c r="N332" s="13">
        <f t="shared" si="59"/>
        <v>1206</v>
      </c>
      <c r="O332" s="136"/>
      <c r="P332" s="8">
        <v>252779</v>
      </c>
      <c r="Q332" s="8">
        <v>253304</v>
      </c>
      <c r="R332" s="133">
        <f t="shared" si="63"/>
        <v>525</v>
      </c>
      <c r="S332" s="8">
        <v>2367</v>
      </c>
      <c r="T332" s="8">
        <v>2394</v>
      </c>
      <c r="U332" s="133">
        <f t="shared" si="60"/>
        <v>27</v>
      </c>
      <c r="V332" s="8">
        <v>284204</v>
      </c>
      <c r="W332" s="8">
        <v>284204</v>
      </c>
      <c r="X332" s="13">
        <f t="shared" ref="X332:X395" si="68">W332-V332</f>
        <v>0</v>
      </c>
      <c r="Y332" s="8">
        <v>14273</v>
      </c>
      <c r="Z332" s="8">
        <v>14278</v>
      </c>
      <c r="AA332" s="13">
        <f t="shared" si="64"/>
        <v>5</v>
      </c>
      <c r="AB332" s="8">
        <v>187941</v>
      </c>
      <c r="AC332" s="8">
        <v>187986</v>
      </c>
      <c r="AD332" s="13">
        <f t="shared" si="62"/>
        <v>45</v>
      </c>
      <c r="AE332" s="135"/>
      <c r="AF332" s="135"/>
      <c r="AG332" s="135"/>
      <c r="AH332" s="136"/>
      <c r="AI332" s="50">
        <f t="shared" si="66"/>
        <v>557</v>
      </c>
    </row>
    <row r="333" spans="1:35">
      <c r="A333" s="12">
        <v>44708</v>
      </c>
      <c r="B333" s="8">
        <v>1656653</v>
      </c>
      <c r="C333" s="8">
        <v>1657657</v>
      </c>
      <c r="D333" s="13">
        <f t="shared" si="65"/>
        <v>1004</v>
      </c>
      <c r="E333" s="66">
        <v>78061</v>
      </c>
      <c r="F333" s="70">
        <v>79532</v>
      </c>
      <c r="G333" s="133">
        <f t="shared" si="67"/>
        <v>1471</v>
      </c>
      <c r="H333" s="8">
        <v>185463</v>
      </c>
      <c r="I333" s="8">
        <v>185463</v>
      </c>
      <c r="J333" s="13">
        <f t="shared" si="57"/>
        <v>0</v>
      </c>
      <c r="K333" s="138"/>
      <c r="L333" s="8">
        <v>398081</v>
      </c>
      <c r="M333" s="8">
        <v>399242</v>
      </c>
      <c r="N333" s="13">
        <f t="shared" si="59"/>
        <v>1161</v>
      </c>
      <c r="O333" s="136"/>
      <c r="P333" s="8">
        <v>253304</v>
      </c>
      <c r="Q333" s="8">
        <v>253847</v>
      </c>
      <c r="R333" s="133">
        <f t="shared" si="63"/>
        <v>543</v>
      </c>
      <c r="S333" s="8">
        <v>2394</v>
      </c>
      <c r="T333" s="8">
        <v>2425</v>
      </c>
      <c r="U333" s="133">
        <f t="shared" si="60"/>
        <v>31</v>
      </c>
      <c r="V333" s="8">
        <v>284204</v>
      </c>
      <c r="W333" s="8">
        <v>284204</v>
      </c>
      <c r="X333" s="13">
        <f t="shared" si="68"/>
        <v>0</v>
      </c>
      <c r="Y333" s="8">
        <v>14278</v>
      </c>
      <c r="Z333" s="8">
        <v>14286</v>
      </c>
      <c r="AA333" s="13">
        <f t="shared" si="64"/>
        <v>8</v>
      </c>
      <c r="AB333" s="8">
        <v>187986</v>
      </c>
      <c r="AC333" s="8">
        <v>188051</v>
      </c>
      <c r="AD333" s="13">
        <f t="shared" si="62"/>
        <v>65</v>
      </c>
      <c r="AE333" s="135"/>
      <c r="AF333" s="135"/>
      <c r="AG333" s="135"/>
      <c r="AH333" s="136"/>
      <c r="AI333" s="50">
        <f t="shared" si="66"/>
        <v>582</v>
      </c>
    </row>
    <row r="334" spans="1:35">
      <c r="A334" s="12">
        <v>44709</v>
      </c>
      <c r="B334" s="8">
        <v>1657657</v>
      </c>
      <c r="C334" s="8">
        <v>1658563</v>
      </c>
      <c r="D334" s="13">
        <f t="shared" si="65"/>
        <v>906</v>
      </c>
      <c r="E334" s="46">
        <v>79532</v>
      </c>
      <c r="F334" s="70">
        <v>79532</v>
      </c>
      <c r="G334" s="133">
        <f t="shared" si="67"/>
        <v>0</v>
      </c>
      <c r="H334" s="8">
        <v>185463</v>
      </c>
      <c r="I334" s="8">
        <v>185463</v>
      </c>
      <c r="J334" s="13">
        <f t="shared" si="57"/>
        <v>0</v>
      </c>
      <c r="K334" s="138"/>
      <c r="L334" s="8">
        <v>399242</v>
      </c>
      <c r="M334" s="8">
        <v>400390</v>
      </c>
      <c r="N334" s="13">
        <f t="shared" si="59"/>
        <v>1148</v>
      </c>
      <c r="O334" s="136"/>
      <c r="P334" s="8">
        <v>253847</v>
      </c>
      <c r="Q334" s="8">
        <v>254392</v>
      </c>
      <c r="R334" s="133">
        <f t="shared" si="63"/>
        <v>545</v>
      </c>
      <c r="S334" s="8">
        <v>2425</v>
      </c>
      <c r="T334" s="8">
        <v>2456</v>
      </c>
      <c r="U334" s="133">
        <f t="shared" si="60"/>
        <v>31</v>
      </c>
      <c r="V334" s="8">
        <v>284204</v>
      </c>
      <c r="W334" s="8">
        <v>284204</v>
      </c>
      <c r="X334" s="13">
        <f t="shared" si="68"/>
        <v>0</v>
      </c>
      <c r="Y334" s="8">
        <v>14286</v>
      </c>
      <c r="Z334" s="8">
        <v>14295</v>
      </c>
      <c r="AA334" s="13">
        <f t="shared" si="64"/>
        <v>9</v>
      </c>
      <c r="AB334" s="8">
        <v>188051</v>
      </c>
      <c r="AC334" s="8">
        <v>188090</v>
      </c>
      <c r="AD334" s="13">
        <f t="shared" si="62"/>
        <v>39</v>
      </c>
      <c r="AE334" s="135"/>
      <c r="AF334" s="135"/>
      <c r="AG334" s="135"/>
      <c r="AH334" s="136"/>
      <c r="AI334" s="50">
        <f t="shared" si="66"/>
        <v>585</v>
      </c>
    </row>
    <row r="335" spans="1:35">
      <c r="A335" s="12">
        <v>44710</v>
      </c>
      <c r="B335" s="8">
        <v>1658563</v>
      </c>
      <c r="C335" s="8">
        <v>1659315</v>
      </c>
      <c r="D335" s="13">
        <f t="shared" si="65"/>
        <v>752</v>
      </c>
      <c r="E335" s="46">
        <v>79532</v>
      </c>
      <c r="F335" s="9">
        <v>79977</v>
      </c>
      <c r="G335" s="133">
        <f t="shared" si="67"/>
        <v>445</v>
      </c>
      <c r="H335" s="8">
        <v>185463</v>
      </c>
      <c r="I335" s="8">
        <v>185463</v>
      </c>
      <c r="J335" s="13">
        <f t="shared" si="57"/>
        <v>0</v>
      </c>
      <c r="K335" s="138"/>
      <c r="L335" s="8">
        <v>400390</v>
      </c>
      <c r="M335" s="8">
        <v>401377</v>
      </c>
      <c r="N335" s="13">
        <f t="shared" si="59"/>
        <v>987</v>
      </c>
      <c r="O335" s="136"/>
      <c r="P335" s="8">
        <v>254392</v>
      </c>
      <c r="Q335" s="8">
        <v>254806</v>
      </c>
      <c r="R335" s="133">
        <f t="shared" si="63"/>
        <v>414</v>
      </c>
      <c r="S335" s="8">
        <v>2456</v>
      </c>
      <c r="T335" s="8">
        <v>2483</v>
      </c>
      <c r="U335" s="133">
        <f t="shared" si="60"/>
        <v>27</v>
      </c>
      <c r="V335" s="8">
        <v>284204</v>
      </c>
      <c r="W335" s="8">
        <v>284204</v>
      </c>
      <c r="X335" s="13">
        <f t="shared" si="68"/>
        <v>0</v>
      </c>
      <c r="Y335" s="8">
        <v>14295</v>
      </c>
      <c r="Z335" s="8">
        <v>14306</v>
      </c>
      <c r="AA335" s="13">
        <f t="shared" si="64"/>
        <v>11</v>
      </c>
      <c r="AB335" s="8">
        <v>188090</v>
      </c>
      <c r="AC335" s="8">
        <v>188124</v>
      </c>
      <c r="AD335" s="13">
        <f t="shared" si="62"/>
        <v>34</v>
      </c>
      <c r="AE335" s="135"/>
      <c r="AF335" s="135"/>
      <c r="AG335" s="135"/>
      <c r="AH335" s="136"/>
      <c r="AI335" s="50">
        <f t="shared" si="66"/>
        <v>452</v>
      </c>
    </row>
    <row r="336" spans="1:35">
      <c r="A336" s="12">
        <v>44711</v>
      </c>
      <c r="B336" s="8">
        <v>1659315</v>
      </c>
      <c r="C336" s="8">
        <v>1659734</v>
      </c>
      <c r="D336" s="13">
        <f t="shared" si="65"/>
        <v>419</v>
      </c>
      <c r="E336" s="66">
        <v>79977</v>
      </c>
      <c r="F336" s="9">
        <v>80703</v>
      </c>
      <c r="G336" s="133">
        <f t="shared" si="67"/>
        <v>726</v>
      </c>
      <c r="H336" s="8">
        <v>185463</v>
      </c>
      <c r="I336" s="8">
        <v>185463</v>
      </c>
      <c r="J336" s="13">
        <f t="shared" si="57"/>
        <v>0</v>
      </c>
      <c r="K336" s="138"/>
      <c r="L336" s="8">
        <v>401377</v>
      </c>
      <c r="M336" s="8">
        <v>402417</v>
      </c>
      <c r="N336" s="13">
        <f t="shared" si="59"/>
        <v>1040</v>
      </c>
      <c r="O336" s="136"/>
      <c r="P336" s="8">
        <v>254806</v>
      </c>
      <c r="Q336" s="8">
        <v>255242</v>
      </c>
      <c r="R336" s="133">
        <f t="shared" si="63"/>
        <v>436</v>
      </c>
      <c r="S336" s="8">
        <v>2483</v>
      </c>
      <c r="T336" s="8">
        <v>2524</v>
      </c>
      <c r="U336" s="133">
        <f t="shared" si="60"/>
        <v>41</v>
      </c>
      <c r="V336" s="8">
        <v>284204</v>
      </c>
      <c r="W336" s="8">
        <v>284204</v>
      </c>
      <c r="X336" s="13">
        <f t="shared" si="68"/>
        <v>0</v>
      </c>
      <c r="Y336" s="8">
        <v>14306</v>
      </c>
      <c r="Z336" s="8">
        <v>14325</v>
      </c>
      <c r="AA336" s="13">
        <f t="shared" si="64"/>
        <v>19</v>
      </c>
      <c r="AB336" s="8">
        <v>188124</v>
      </c>
      <c r="AC336" s="8">
        <v>188158</v>
      </c>
      <c r="AD336" s="13">
        <f t="shared" si="62"/>
        <v>34</v>
      </c>
      <c r="AE336" s="135"/>
      <c r="AF336" s="135"/>
      <c r="AG336" s="135"/>
      <c r="AH336" s="136"/>
      <c r="AI336" s="50">
        <f t="shared" si="66"/>
        <v>496</v>
      </c>
    </row>
    <row r="337" spans="1:35">
      <c r="A337" s="12">
        <v>44712</v>
      </c>
      <c r="B337" s="8">
        <v>1659734</v>
      </c>
      <c r="C337" s="8">
        <v>1660454</v>
      </c>
      <c r="D337" s="13">
        <f t="shared" si="65"/>
        <v>720</v>
      </c>
      <c r="E337" s="68">
        <v>80703</v>
      </c>
      <c r="F337" s="9">
        <v>81269</v>
      </c>
      <c r="G337" s="133">
        <f t="shared" si="67"/>
        <v>566</v>
      </c>
      <c r="H337" s="8">
        <v>185463</v>
      </c>
      <c r="I337" s="8">
        <v>185463</v>
      </c>
      <c r="J337" s="13">
        <f t="shared" si="57"/>
        <v>0</v>
      </c>
      <c r="K337" s="138"/>
      <c r="L337" s="8">
        <v>402417</v>
      </c>
      <c r="M337" s="8">
        <v>403539</v>
      </c>
      <c r="N337" s="13">
        <f t="shared" si="59"/>
        <v>1122</v>
      </c>
      <c r="O337" s="136"/>
      <c r="P337" s="8">
        <v>255242</v>
      </c>
      <c r="Q337" s="8">
        <v>255697</v>
      </c>
      <c r="R337" s="133">
        <f t="shared" si="63"/>
        <v>455</v>
      </c>
      <c r="S337" s="8">
        <v>2524</v>
      </c>
      <c r="T337" s="8">
        <v>2568</v>
      </c>
      <c r="U337" s="133">
        <f t="shared" si="60"/>
        <v>44</v>
      </c>
      <c r="V337" s="8">
        <v>284204</v>
      </c>
      <c r="W337" s="8">
        <v>284204</v>
      </c>
      <c r="X337" s="13">
        <f t="shared" si="68"/>
        <v>0</v>
      </c>
      <c r="Y337" s="8">
        <v>14325</v>
      </c>
      <c r="Z337" s="8">
        <v>14326</v>
      </c>
      <c r="AA337" s="13">
        <f t="shared" si="64"/>
        <v>1</v>
      </c>
      <c r="AB337" s="8">
        <v>188158</v>
      </c>
      <c r="AC337" s="8">
        <v>188201</v>
      </c>
      <c r="AD337" s="13">
        <f t="shared" si="62"/>
        <v>43</v>
      </c>
      <c r="AE337" s="135"/>
      <c r="AF337" s="135"/>
      <c r="AG337" s="135"/>
      <c r="AH337" s="136"/>
      <c r="AI337" s="50">
        <f t="shared" si="66"/>
        <v>500</v>
      </c>
    </row>
    <row r="338" spans="1:35">
      <c r="A338" s="12">
        <v>44713</v>
      </c>
      <c r="B338" s="8">
        <v>1660454</v>
      </c>
      <c r="C338" s="8">
        <v>1660454</v>
      </c>
      <c r="D338" s="13">
        <f t="shared" si="65"/>
        <v>0</v>
      </c>
      <c r="E338" s="9">
        <v>81269</v>
      </c>
      <c r="F338" s="9">
        <v>81640</v>
      </c>
      <c r="G338" s="133">
        <f t="shared" si="67"/>
        <v>371</v>
      </c>
      <c r="H338" s="8">
        <v>185463</v>
      </c>
      <c r="I338" s="8">
        <v>185463</v>
      </c>
      <c r="J338" s="13">
        <f t="shared" ref="J338:J362" si="69">I338-H338</f>
        <v>0</v>
      </c>
      <c r="K338" s="138"/>
      <c r="L338" s="8">
        <v>403539</v>
      </c>
      <c r="M338" s="8">
        <v>404635</v>
      </c>
      <c r="N338" s="13">
        <f t="shared" si="59"/>
        <v>1096</v>
      </c>
      <c r="O338" s="136"/>
      <c r="P338" s="8">
        <v>255697</v>
      </c>
      <c r="Q338" s="8">
        <v>256159</v>
      </c>
      <c r="R338" s="133">
        <f t="shared" si="63"/>
        <v>462</v>
      </c>
      <c r="S338" s="8">
        <v>2568</v>
      </c>
      <c r="T338" s="8">
        <v>2604</v>
      </c>
      <c r="U338" s="133">
        <f t="shared" si="60"/>
        <v>36</v>
      </c>
      <c r="V338" s="8">
        <v>284204</v>
      </c>
      <c r="W338" s="8">
        <v>284204</v>
      </c>
      <c r="X338" s="13">
        <f t="shared" si="68"/>
        <v>0</v>
      </c>
      <c r="Y338" s="8">
        <v>14326</v>
      </c>
      <c r="Z338" s="8">
        <v>14326</v>
      </c>
      <c r="AA338" s="13">
        <f t="shared" si="64"/>
        <v>0</v>
      </c>
      <c r="AB338" s="8">
        <v>188201</v>
      </c>
      <c r="AC338" s="8">
        <v>188213</v>
      </c>
      <c r="AD338" s="13">
        <f t="shared" si="62"/>
        <v>12</v>
      </c>
      <c r="AE338" s="135"/>
      <c r="AF338" s="135"/>
      <c r="AG338" s="135"/>
      <c r="AH338" s="136"/>
      <c r="AI338" s="50">
        <f t="shared" si="66"/>
        <v>498</v>
      </c>
    </row>
    <row r="339" spans="1:35">
      <c r="A339" s="12">
        <v>44714</v>
      </c>
      <c r="B339" s="8">
        <v>1660454</v>
      </c>
      <c r="C339" s="8">
        <v>1660684</v>
      </c>
      <c r="D339" s="13">
        <f t="shared" si="65"/>
        <v>230</v>
      </c>
      <c r="E339" s="9">
        <v>81640</v>
      </c>
      <c r="F339" s="9">
        <v>82264</v>
      </c>
      <c r="G339" s="133">
        <f t="shared" si="67"/>
        <v>624</v>
      </c>
      <c r="H339" s="8">
        <v>185463</v>
      </c>
      <c r="I339" s="8">
        <v>185463</v>
      </c>
      <c r="J339" s="13">
        <f t="shared" si="69"/>
        <v>0</v>
      </c>
      <c r="K339" s="138"/>
      <c r="L339" s="8">
        <v>404635</v>
      </c>
      <c r="M339" s="8">
        <v>404635</v>
      </c>
      <c r="N339" s="13">
        <f t="shared" si="59"/>
        <v>0</v>
      </c>
      <c r="O339" s="136"/>
      <c r="P339" s="8">
        <v>256159</v>
      </c>
      <c r="Q339" s="8">
        <v>256170</v>
      </c>
      <c r="R339" s="133">
        <f t="shared" si="63"/>
        <v>11</v>
      </c>
      <c r="S339" s="8">
        <v>2604</v>
      </c>
      <c r="T339" s="8">
        <v>2647</v>
      </c>
      <c r="U339" s="133">
        <f t="shared" si="60"/>
        <v>43</v>
      </c>
      <c r="V339" s="8">
        <v>284204</v>
      </c>
      <c r="W339" s="8">
        <v>284204</v>
      </c>
      <c r="X339" s="13">
        <f t="shared" si="68"/>
        <v>0</v>
      </c>
      <c r="Y339" s="8">
        <v>14326</v>
      </c>
      <c r="Z339" s="8">
        <v>14328</v>
      </c>
      <c r="AA339" s="13">
        <f t="shared" si="64"/>
        <v>2</v>
      </c>
      <c r="AB339" s="8">
        <v>188213</v>
      </c>
      <c r="AC339" s="8">
        <v>188284</v>
      </c>
      <c r="AD339" s="13">
        <f t="shared" si="62"/>
        <v>71</v>
      </c>
      <c r="AE339" s="135"/>
      <c r="AF339" s="135"/>
      <c r="AG339" s="135"/>
      <c r="AH339" s="136"/>
      <c r="AI339" s="50">
        <f t="shared" si="66"/>
        <v>56</v>
      </c>
    </row>
    <row r="340" spans="1:35">
      <c r="A340" s="12">
        <v>44715</v>
      </c>
      <c r="B340" s="8">
        <v>1660684</v>
      </c>
      <c r="C340" s="8">
        <v>1661482</v>
      </c>
      <c r="D340" s="13">
        <f t="shared" si="65"/>
        <v>798</v>
      </c>
      <c r="E340" s="9">
        <v>82264</v>
      </c>
      <c r="F340" s="9">
        <v>82989</v>
      </c>
      <c r="G340" s="133">
        <f t="shared" si="67"/>
        <v>725</v>
      </c>
      <c r="H340" s="8">
        <v>185463</v>
      </c>
      <c r="I340" s="8">
        <v>185463</v>
      </c>
      <c r="J340" s="13">
        <f t="shared" si="69"/>
        <v>0</v>
      </c>
      <c r="K340" s="138"/>
      <c r="L340" s="8">
        <v>404635</v>
      </c>
      <c r="M340" s="8">
        <v>406218</v>
      </c>
      <c r="N340" s="13">
        <f t="shared" si="59"/>
        <v>1583</v>
      </c>
      <c r="O340" s="136"/>
      <c r="P340" s="8">
        <v>256170</v>
      </c>
      <c r="Q340" s="8">
        <v>256793</v>
      </c>
      <c r="R340" s="133">
        <f t="shared" si="63"/>
        <v>623</v>
      </c>
      <c r="S340" s="8">
        <v>2647</v>
      </c>
      <c r="T340" s="8">
        <v>2682</v>
      </c>
      <c r="U340" s="133">
        <f t="shared" si="60"/>
        <v>35</v>
      </c>
      <c r="V340" s="8">
        <v>284204</v>
      </c>
      <c r="W340" s="8">
        <v>284204</v>
      </c>
      <c r="X340" s="13">
        <f t="shared" si="68"/>
        <v>0</v>
      </c>
      <c r="Y340" s="8">
        <v>14328</v>
      </c>
      <c r="Z340" s="8">
        <v>14346</v>
      </c>
      <c r="AA340" s="13">
        <f t="shared" si="64"/>
        <v>18</v>
      </c>
      <c r="AB340" s="8">
        <v>188284</v>
      </c>
      <c r="AC340" s="8">
        <v>188374</v>
      </c>
      <c r="AD340" s="13">
        <f t="shared" si="62"/>
        <v>90</v>
      </c>
      <c r="AE340" s="135"/>
      <c r="AF340" s="135"/>
      <c r="AG340" s="135"/>
      <c r="AH340" s="136"/>
      <c r="AI340" s="50">
        <f t="shared" si="66"/>
        <v>676</v>
      </c>
    </row>
    <row r="341" spans="1:35">
      <c r="A341" s="12">
        <v>44716</v>
      </c>
      <c r="B341" s="8">
        <v>1661482</v>
      </c>
      <c r="C341" s="8">
        <v>1662367</v>
      </c>
      <c r="D341" s="13">
        <f t="shared" si="65"/>
        <v>885</v>
      </c>
      <c r="E341" s="9">
        <v>82989</v>
      </c>
      <c r="F341" s="9">
        <v>83390</v>
      </c>
      <c r="G341" s="133">
        <f t="shared" si="67"/>
        <v>401</v>
      </c>
      <c r="H341" s="8">
        <v>185463</v>
      </c>
      <c r="I341" s="8">
        <v>185463</v>
      </c>
      <c r="J341" s="13">
        <f t="shared" si="69"/>
        <v>0</v>
      </c>
      <c r="K341" s="138"/>
      <c r="L341" s="8">
        <v>406218</v>
      </c>
      <c r="M341" s="8">
        <v>407460</v>
      </c>
      <c r="N341" s="13">
        <f t="shared" si="59"/>
        <v>1242</v>
      </c>
      <c r="O341" s="136"/>
      <c r="P341" s="8">
        <v>256793</v>
      </c>
      <c r="Q341" s="8">
        <v>257413</v>
      </c>
      <c r="R341" s="133">
        <f t="shared" si="63"/>
        <v>620</v>
      </c>
      <c r="S341" s="8">
        <v>2682</v>
      </c>
      <c r="T341" s="8">
        <v>2729</v>
      </c>
      <c r="U341" s="133">
        <f t="shared" si="60"/>
        <v>47</v>
      </c>
      <c r="V341" s="8">
        <v>284204</v>
      </c>
      <c r="W341" s="8">
        <v>284204</v>
      </c>
      <c r="X341" s="13">
        <f t="shared" si="68"/>
        <v>0</v>
      </c>
      <c r="Y341" s="8">
        <v>14346</v>
      </c>
      <c r="Z341" s="8">
        <v>14382</v>
      </c>
      <c r="AA341" s="13">
        <f t="shared" si="64"/>
        <v>36</v>
      </c>
      <c r="AB341" s="8">
        <v>188374</v>
      </c>
      <c r="AC341" s="8">
        <v>188404</v>
      </c>
      <c r="AD341" s="13">
        <f t="shared" si="62"/>
        <v>30</v>
      </c>
      <c r="AE341" s="135"/>
      <c r="AF341" s="135"/>
      <c r="AG341" s="135"/>
      <c r="AH341" s="136"/>
      <c r="AI341" s="50">
        <f t="shared" si="66"/>
        <v>703</v>
      </c>
    </row>
    <row r="342" spans="1:35">
      <c r="A342" s="12">
        <v>44717</v>
      </c>
      <c r="B342" s="8">
        <v>1662367</v>
      </c>
      <c r="C342" s="8">
        <v>1663145</v>
      </c>
      <c r="D342" s="13">
        <f t="shared" si="65"/>
        <v>778</v>
      </c>
      <c r="E342" s="9">
        <v>83390</v>
      </c>
      <c r="F342" s="9">
        <v>84047</v>
      </c>
      <c r="G342" s="133">
        <f t="shared" si="67"/>
        <v>657</v>
      </c>
      <c r="H342" s="8">
        <v>185463</v>
      </c>
      <c r="I342" s="8">
        <v>185463</v>
      </c>
      <c r="J342" s="13">
        <f t="shared" si="69"/>
        <v>0</v>
      </c>
      <c r="K342" s="138"/>
      <c r="L342" s="8">
        <v>407460</v>
      </c>
      <c r="M342" s="8">
        <v>408557</v>
      </c>
      <c r="N342" s="13">
        <f t="shared" si="59"/>
        <v>1097</v>
      </c>
      <c r="O342" s="136"/>
      <c r="P342" s="8">
        <v>257413</v>
      </c>
      <c r="Q342" s="8">
        <v>257845</v>
      </c>
      <c r="R342" s="133">
        <f t="shared" si="63"/>
        <v>432</v>
      </c>
      <c r="S342" s="8">
        <v>2729</v>
      </c>
      <c r="T342" s="8">
        <v>2775</v>
      </c>
      <c r="U342" s="133">
        <f t="shared" si="60"/>
        <v>46</v>
      </c>
      <c r="V342" s="8">
        <v>284204</v>
      </c>
      <c r="W342" s="8">
        <v>284204</v>
      </c>
      <c r="X342" s="13">
        <f t="shared" si="68"/>
        <v>0</v>
      </c>
      <c r="Y342" s="8">
        <v>14382</v>
      </c>
      <c r="Z342" s="8">
        <v>14412</v>
      </c>
      <c r="AA342" s="13">
        <f t="shared" si="64"/>
        <v>30</v>
      </c>
      <c r="AB342" s="8">
        <v>188404</v>
      </c>
      <c r="AC342" s="8">
        <v>188447</v>
      </c>
      <c r="AD342" s="13">
        <f t="shared" si="62"/>
        <v>43</v>
      </c>
      <c r="AE342" s="135"/>
      <c r="AF342" s="135"/>
      <c r="AG342" s="135"/>
      <c r="AH342" s="136"/>
      <c r="AI342" s="50">
        <f t="shared" si="66"/>
        <v>508</v>
      </c>
    </row>
    <row r="343" spans="1:35">
      <c r="A343" s="12">
        <v>44718</v>
      </c>
      <c r="B343" s="8">
        <v>1663145</v>
      </c>
      <c r="C343" s="8">
        <v>1664309</v>
      </c>
      <c r="D343" s="13">
        <f t="shared" si="65"/>
        <v>1164</v>
      </c>
      <c r="E343" s="9">
        <v>84047</v>
      </c>
      <c r="F343" s="9">
        <v>84412</v>
      </c>
      <c r="G343" s="133">
        <f t="shared" si="67"/>
        <v>365</v>
      </c>
      <c r="H343" s="8">
        <v>185463</v>
      </c>
      <c r="I343" s="8">
        <v>185463</v>
      </c>
      <c r="J343" s="13">
        <f t="shared" si="69"/>
        <v>0</v>
      </c>
      <c r="K343" s="138"/>
      <c r="L343" s="8">
        <v>408557</v>
      </c>
      <c r="M343" s="8">
        <v>409685</v>
      </c>
      <c r="N343" s="13">
        <f t="shared" si="59"/>
        <v>1128</v>
      </c>
      <c r="O343" s="136"/>
      <c r="P343" s="8">
        <v>257845</v>
      </c>
      <c r="Q343" s="8">
        <v>258313</v>
      </c>
      <c r="R343" s="133">
        <f t="shared" si="63"/>
        <v>468</v>
      </c>
      <c r="S343" s="8">
        <v>2775</v>
      </c>
      <c r="T343" s="8">
        <v>2822</v>
      </c>
      <c r="U343" s="133">
        <f t="shared" si="60"/>
        <v>47</v>
      </c>
      <c r="V343" s="8">
        <v>284204</v>
      </c>
      <c r="W343" s="8">
        <v>284204</v>
      </c>
      <c r="X343" s="13">
        <f t="shared" si="68"/>
        <v>0</v>
      </c>
      <c r="Y343" s="8">
        <v>14412</v>
      </c>
      <c r="Z343" s="8">
        <v>14445</v>
      </c>
      <c r="AA343" s="13">
        <f t="shared" si="64"/>
        <v>33</v>
      </c>
      <c r="AB343" s="8">
        <v>188447</v>
      </c>
      <c r="AC343" s="8">
        <v>188513</v>
      </c>
      <c r="AD343" s="13">
        <f t="shared" si="62"/>
        <v>66</v>
      </c>
      <c r="AE343" s="135"/>
      <c r="AF343" s="135"/>
      <c r="AG343" s="135"/>
      <c r="AH343" s="136"/>
      <c r="AI343" s="50">
        <f t="shared" si="66"/>
        <v>548</v>
      </c>
    </row>
    <row r="344" spans="1:35">
      <c r="A344" s="12">
        <v>44719</v>
      </c>
      <c r="B344" s="8">
        <v>1664309</v>
      </c>
      <c r="C344" s="8">
        <v>1665655</v>
      </c>
      <c r="D344" s="13">
        <f t="shared" si="65"/>
        <v>1346</v>
      </c>
      <c r="E344" s="9">
        <v>84412</v>
      </c>
      <c r="F344" s="9">
        <v>84641</v>
      </c>
      <c r="G344" s="133">
        <f t="shared" si="67"/>
        <v>229</v>
      </c>
      <c r="H344" s="8">
        <v>185463</v>
      </c>
      <c r="I344" s="8">
        <v>185463</v>
      </c>
      <c r="J344" s="13">
        <f t="shared" si="69"/>
        <v>0</v>
      </c>
      <c r="K344" s="138"/>
      <c r="L344" s="8">
        <v>409685</v>
      </c>
      <c r="M344" s="8">
        <v>410856</v>
      </c>
      <c r="N344" s="13">
        <f t="shared" si="59"/>
        <v>1171</v>
      </c>
      <c r="O344" s="136"/>
      <c r="P344" s="8">
        <v>258313</v>
      </c>
      <c r="Q344" s="8">
        <v>258800</v>
      </c>
      <c r="R344" s="133">
        <f t="shared" si="63"/>
        <v>487</v>
      </c>
      <c r="S344" s="8">
        <v>2822</v>
      </c>
      <c r="T344" s="8">
        <v>2838</v>
      </c>
      <c r="U344" s="133">
        <f t="shared" si="60"/>
        <v>16</v>
      </c>
      <c r="V344" s="8">
        <v>284204</v>
      </c>
      <c r="W344" s="8">
        <v>284204</v>
      </c>
      <c r="X344" s="13">
        <f t="shared" si="68"/>
        <v>0</v>
      </c>
      <c r="Y344" s="8">
        <v>14445</v>
      </c>
      <c r="Z344" s="8">
        <v>14469</v>
      </c>
      <c r="AA344" s="13">
        <f t="shared" si="64"/>
        <v>24</v>
      </c>
      <c r="AB344" s="8">
        <v>188513</v>
      </c>
      <c r="AC344" s="8">
        <v>188579</v>
      </c>
      <c r="AD344" s="13">
        <f t="shared" si="62"/>
        <v>66</v>
      </c>
      <c r="AE344" s="135"/>
      <c r="AF344" s="135"/>
      <c r="AG344" s="135"/>
      <c r="AH344" s="136"/>
      <c r="AI344" s="50">
        <f t="shared" si="66"/>
        <v>527</v>
      </c>
    </row>
    <row r="345" spans="1:35">
      <c r="A345" s="12">
        <v>44720</v>
      </c>
      <c r="B345" s="8">
        <v>1665655</v>
      </c>
      <c r="C345" s="8">
        <v>1665819</v>
      </c>
      <c r="D345" s="13">
        <f t="shared" si="65"/>
        <v>164</v>
      </c>
      <c r="E345" s="9">
        <v>84641</v>
      </c>
      <c r="F345" s="9">
        <v>85030</v>
      </c>
      <c r="G345" s="133">
        <f t="shared" si="67"/>
        <v>389</v>
      </c>
      <c r="H345" s="8">
        <v>185463</v>
      </c>
      <c r="I345" s="8">
        <v>185463</v>
      </c>
      <c r="J345" s="13">
        <f t="shared" si="69"/>
        <v>0</v>
      </c>
      <c r="K345" s="138"/>
      <c r="L345" s="8">
        <v>410856</v>
      </c>
      <c r="M345" s="8">
        <v>411740</v>
      </c>
      <c r="N345" s="13">
        <f t="shared" si="59"/>
        <v>884</v>
      </c>
      <c r="O345" s="136"/>
      <c r="P345" s="8">
        <v>258800</v>
      </c>
      <c r="Q345" s="8">
        <v>259051</v>
      </c>
      <c r="R345" s="133">
        <f t="shared" si="63"/>
        <v>251</v>
      </c>
      <c r="S345" s="8">
        <v>2838</v>
      </c>
      <c r="T345" s="8">
        <v>2852</v>
      </c>
      <c r="U345" s="133">
        <f t="shared" si="60"/>
        <v>14</v>
      </c>
      <c r="V345" s="8">
        <v>284204</v>
      </c>
      <c r="W345" s="8">
        <v>284204</v>
      </c>
      <c r="X345" s="13">
        <f t="shared" si="68"/>
        <v>0</v>
      </c>
      <c r="Y345" s="8">
        <v>14469</v>
      </c>
      <c r="Z345" s="8">
        <v>14498</v>
      </c>
      <c r="AA345" s="13">
        <f t="shared" si="64"/>
        <v>29</v>
      </c>
      <c r="AB345" s="8">
        <v>188579</v>
      </c>
      <c r="AC345" s="8">
        <v>188609</v>
      </c>
      <c r="AD345" s="13">
        <f t="shared" si="62"/>
        <v>30</v>
      </c>
      <c r="AE345" s="135"/>
      <c r="AF345" s="135"/>
      <c r="AG345" s="135"/>
      <c r="AH345" s="136"/>
      <c r="AI345" s="50">
        <f t="shared" si="66"/>
        <v>294</v>
      </c>
    </row>
    <row r="346" spans="1:35">
      <c r="A346" s="12">
        <v>44721</v>
      </c>
      <c r="B346" s="8">
        <v>1665819</v>
      </c>
      <c r="C346" s="8">
        <v>1666261</v>
      </c>
      <c r="D346" s="13">
        <f t="shared" si="65"/>
        <v>442</v>
      </c>
      <c r="E346" s="9">
        <v>85030</v>
      </c>
      <c r="F346" s="9">
        <v>85389</v>
      </c>
      <c r="G346" s="133">
        <f t="shared" si="67"/>
        <v>359</v>
      </c>
      <c r="H346" s="8">
        <v>185463</v>
      </c>
      <c r="I346" s="8">
        <v>185463</v>
      </c>
      <c r="J346" s="13">
        <f t="shared" si="69"/>
        <v>0</v>
      </c>
      <c r="K346" s="138"/>
      <c r="L346" s="8">
        <v>411740</v>
      </c>
      <c r="M346" s="8">
        <v>412872</v>
      </c>
      <c r="N346" s="13">
        <f t="shared" ref="N346:N367" si="70">M346-L346</f>
        <v>1132</v>
      </c>
      <c r="O346" s="136"/>
      <c r="P346" s="8">
        <v>259051</v>
      </c>
      <c r="Q346" s="8">
        <v>259574</v>
      </c>
      <c r="R346" s="133">
        <f t="shared" si="63"/>
        <v>523</v>
      </c>
      <c r="S346" s="8">
        <v>2852</v>
      </c>
      <c r="T346" s="8">
        <v>2895</v>
      </c>
      <c r="U346" s="133">
        <f t="shared" ref="U346:U362" si="71">T346-S346</f>
        <v>43</v>
      </c>
      <c r="V346" s="8">
        <v>284204</v>
      </c>
      <c r="W346" s="8">
        <v>284204</v>
      </c>
      <c r="X346" s="13">
        <f t="shared" si="68"/>
        <v>0</v>
      </c>
      <c r="Y346" s="8">
        <v>14498</v>
      </c>
      <c r="Z346" s="8">
        <v>14509</v>
      </c>
      <c r="AA346" s="13">
        <f t="shared" si="64"/>
        <v>11</v>
      </c>
      <c r="AB346" s="8">
        <v>188609</v>
      </c>
      <c r="AC346" s="8">
        <v>188655</v>
      </c>
      <c r="AD346" s="13">
        <f t="shared" si="62"/>
        <v>46</v>
      </c>
      <c r="AE346" s="135"/>
      <c r="AF346" s="135"/>
      <c r="AG346" s="135"/>
      <c r="AH346" s="136"/>
      <c r="AI346" s="50">
        <f t="shared" si="66"/>
        <v>577</v>
      </c>
    </row>
    <row r="347" spans="1:35">
      <c r="A347" s="12">
        <v>44722</v>
      </c>
      <c r="B347" s="8">
        <v>1666261</v>
      </c>
      <c r="C347" s="8">
        <v>1667210</v>
      </c>
      <c r="D347" s="13">
        <f t="shared" si="65"/>
        <v>949</v>
      </c>
      <c r="E347" s="9">
        <v>85389</v>
      </c>
      <c r="F347" s="9">
        <v>85723</v>
      </c>
      <c r="G347" s="133">
        <f t="shared" si="67"/>
        <v>334</v>
      </c>
      <c r="H347" s="8">
        <v>185463</v>
      </c>
      <c r="I347" s="8">
        <v>186081</v>
      </c>
      <c r="J347" s="13">
        <f t="shared" si="69"/>
        <v>618</v>
      </c>
      <c r="K347" s="138"/>
      <c r="L347" s="8">
        <v>412872</v>
      </c>
      <c r="M347" s="8">
        <v>413063</v>
      </c>
      <c r="N347" s="13">
        <f t="shared" si="70"/>
        <v>191</v>
      </c>
      <c r="O347" s="136"/>
      <c r="P347" s="8">
        <v>259574</v>
      </c>
      <c r="Q347" s="8">
        <v>259911</v>
      </c>
      <c r="R347" s="133">
        <f t="shared" si="63"/>
        <v>337</v>
      </c>
      <c r="S347" s="8">
        <v>2895</v>
      </c>
      <c r="T347" s="8">
        <v>2912</v>
      </c>
      <c r="U347" s="133">
        <f t="shared" si="71"/>
        <v>17</v>
      </c>
      <c r="V347" s="8">
        <v>284204</v>
      </c>
      <c r="W347" s="8">
        <v>284204</v>
      </c>
      <c r="X347" s="13">
        <f t="shared" si="68"/>
        <v>0</v>
      </c>
      <c r="Y347" s="8">
        <v>14509</v>
      </c>
      <c r="Z347" s="8">
        <v>14514</v>
      </c>
      <c r="AA347" s="13">
        <f t="shared" si="64"/>
        <v>5</v>
      </c>
      <c r="AB347" s="8">
        <v>188655</v>
      </c>
      <c r="AC347" s="8">
        <v>188705</v>
      </c>
      <c r="AD347" s="13">
        <f t="shared" si="62"/>
        <v>50</v>
      </c>
      <c r="AE347" s="135"/>
      <c r="AF347" s="135"/>
      <c r="AG347" s="135"/>
      <c r="AH347" s="136"/>
      <c r="AI347" s="50">
        <f t="shared" si="66"/>
        <v>359</v>
      </c>
    </row>
    <row r="348" spans="1:35">
      <c r="A348" s="12">
        <v>44723</v>
      </c>
      <c r="B348" s="8">
        <v>1667210</v>
      </c>
      <c r="C348" s="8">
        <v>1668044</v>
      </c>
      <c r="D348" s="13">
        <f t="shared" si="65"/>
        <v>834</v>
      </c>
      <c r="E348" s="9">
        <v>85723</v>
      </c>
      <c r="F348" s="70">
        <v>86112</v>
      </c>
      <c r="G348" s="133">
        <f t="shared" si="67"/>
        <v>389</v>
      </c>
      <c r="H348" s="8">
        <v>186081</v>
      </c>
      <c r="I348" s="8">
        <v>186081</v>
      </c>
      <c r="J348" s="13">
        <f t="shared" si="69"/>
        <v>0</v>
      </c>
      <c r="K348" s="138"/>
      <c r="L348" s="8">
        <v>413063</v>
      </c>
      <c r="M348" s="8">
        <v>414399</v>
      </c>
      <c r="N348" s="13">
        <f t="shared" si="70"/>
        <v>1336</v>
      </c>
      <c r="O348" s="136"/>
      <c r="P348" s="8">
        <v>259911</v>
      </c>
      <c r="Q348" s="8">
        <v>260539</v>
      </c>
      <c r="R348" s="133">
        <f t="shared" si="63"/>
        <v>628</v>
      </c>
      <c r="S348" s="8">
        <v>2912</v>
      </c>
      <c r="T348" s="8">
        <v>2992</v>
      </c>
      <c r="U348" s="133">
        <f t="shared" si="71"/>
        <v>80</v>
      </c>
      <c r="V348" s="8">
        <v>284204</v>
      </c>
      <c r="W348" s="8">
        <v>284204</v>
      </c>
      <c r="X348" s="13">
        <f t="shared" si="68"/>
        <v>0</v>
      </c>
      <c r="Y348" s="8">
        <v>14514</v>
      </c>
      <c r="Z348" s="8">
        <v>14544</v>
      </c>
      <c r="AA348" s="13">
        <f t="shared" si="64"/>
        <v>30</v>
      </c>
      <c r="AB348" s="8">
        <v>188705</v>
      </c>
      <c r="AC348" s="8">
        <v>188759</v>
      </c>
      <c r="AD348" s="13">
        <f t="shared" si="62"/>
        <v>54</v>
      </c>
      <c r="AE348" s="135"/>
      <c r="AF348" s="135"/>
      <c r="AG348" s="135"/>
      <c r="AH348" s="136"/>
      <c r="AI348" s="50">
        <f t="shared" si="66"/>
        <v>738</v>
      </c>
    </row>
    <row r="349" spans="1:35">
      <c r="A349" s="12">
        <v>44724</v>
      </c>
      <c r="B349" s="8">
        <v>1668044</v>
      </c>
      <c r="C349" s="8">
        <v>1669237</v>
      </c>
      <c r="D349" s="13">
        <f t="shared" si="65"/>
        <v>1193</v>
      </c>
      <c r="E349" s="70">
        <v>86112</v>
      </c>
      <c r="F349" s="70">
        <v>86526</v>
      </c>
      <c r="G349" s="133">
        <f t="shared" si="67"/>
        <v>414</v>
      </c>
      <c r="H349" s="8">
        <v>186081</v>
      </c>
      <c r="I349" s="8">
        <v>186081</v>
      </c>
      <c r="J349" s="13">
        <f t="shared" si="69"/>
        <v>0</v>
      </c>
      <c r="K349" s="138"/>
      <c r="L349" s="8">
        <v>414399</v>
      </c>
      <c r="M349" s="8">
        <v>415417</v>
      </c>
      <c r="N349" s="13">
        <f t="shared" si="70"/>
        <v>1018</v>
      </c>
      <c r="O349" s="136"/>
      <c r="P349" s="8">
        <v>260539</v>
      </c>
      <c r="Q349" s="8">
        <v>261046</v>
      </c>
      <c r="R349" s="133">
        <f t="shared" si="63"/>
        <v>507</v>
      </c>
      <c r="S349" s="8">
        <v>2992</v>
      </c>
      <c r="T349" s="8">
        <v>3059</v>
      </c>
      <c r="U349" s="133">
        <f t="shared" si="71"/>
        <v>67</v>
      </c>
      <c r="V349" s="8">
        <v>284204</v>
      </c>
      <c r="W349" s="8">
        <v>284204</v>
      </c>
      <c r="X349" s="13">
        <f t="shared" si="68"/>
        <v>0</v>
      </c>
      <c r="Y349" s="8">
        <v>14544</v>
      </c>
      <c r="Z349" s="8">
        <v>14584</v>
      </c>
      <c r="AA349" s="13">
        <f t="shared" si="64"/>
        <v>40</v>
      </c>
      <c r="AB349" s="8">
        <v>188759</v>
      </c>
      <c r="AC349" s="8">
        <v>188842</v>
      </c>
      <c r="AD349" s="13">
        <f t="shared" si="62"/>
        <v>83</v>
      </c>
      <c r="AE349" s="135"/>
      <c r="AF349" s="135"/>
      <c r="AG349" s="135"/>
      <c r="AH349" s="136"/>
      <c r="AI349" s="50">
        <f t="shared" si="66"/>
        <v>614</v>
      </c>
    </row>
    <row r="350" spans="1:35">
      <c r="A350" s="12">
        <v>44725</v>
      </c>
      <c r="B350" s="8">
        <v>1669237</v>
      </c>
      <c r="C350" s="8">
        <v>1670423</v>
      </c>
      <c r="D350" s="13">
        <f t="shared" si="65"/>
        <v>1186</v>
      </c>
      <c r="E350" s="70">
        <v>86526</v>
      </c>
      <c r="F350" s="70">
        <v>86526</v>
      </c>
      <c r="G350" s="133">
        <f t="shared" si="67"/>
        <v>0</v>
      </c>
      <c r="H350" s="8">
        <v>186081</v>
      </c>
      <c r="I350" s="8">
        <v>186081</v>
      </c>
      <c r="J350" s="13">
        <f t="shared" si="69"/>
        <v>0</v>
      </c>
      <c r="K350" s="138"/>
      <c r="L350" s="8">
        <v>415417</v>
      </c>
      <c r="M350" s="8">
        <v>416582</v>
      </c>
      <c r="N350" s="13">
        <f t="shared" si="70"/>
        <v>1165</v>
      </c>
      <c r="O350" s="136"/>
      <c r="P350" s="8">
        <v>261046</v>
      </c>
      <c r="Q350" s="8">
        <v>261528</v>
      </c>
      <c r="R350" s="133">
        <f t="shared" si="63"/>
        <v>482</v>
      </c>
      <c r="S350" s="8">
        <v>3059</v>
      </c>
      <c r="T350" s="8">
        <v>3067</v>
      </c>
      <c r="U350" s="133">
        <f t="shared" si="71"/>
        <v>8</v>
      </c>
      <c r="V350" s="8">
        <v>284204</v>
      </c>
      <c r="W350" s="8">
        <v>284204</v>
      </c>
      <c r="X350" s="13">
        <f t="shared" si="68"/>
        <v>0</v>
      </c>
      <c r="Y350" s="8">
        <v>14584</v>
      </c>
      <c r="Z350" s="8">
        <v>14618</v>
      </c>
      <c r="AA350" s="13">
        <f t="shared" si="64"/>
        <v>34</v>
      </c>
      <c r="AB350" s="8">
        <v>188842</v>
      </c>
      <c r="AC350" s="8">
        <v>188908</v>
      </c>
      <c r="AD350" s="13">
        <f t="shared" si="62"/>
        <v>66</v>
      </c>
      <c r="AE350" s="135"/>
      <c r="AF350" s="135"/>
      <c r="AG350" s="135"/>
      <c r="AH350" s="136"/>
      <c r="AI350" s="50">
        <f t="shared" si="66"/>
        <v>524</v>
      </c>
    </row>
    <row r="351" spans="1:35">
      <c r="A351" s="12">
        <v>44726</v>
      </c>
      <c r="B351" s="8">
        <v>1670423</v>
      </c>
      <c r="C351" s="8">
        <v>1671446</v>
      </c>
      <c r="D351" s="13">
        <f t="shared" si="65"/>
        <v>1023</v>
      </c>
      <c r="E351" s="70">
        <v>86526</v>
      </c>
      <c r="F351" s="70">
        <v>87145</v>
      </c>
      <c r="G351" s="133">
        <f t="shared" si="67"/>
        <v>619</v>
      </c>
      <c r="H351" s="8">
        <v>186081</v>
      </c>
      <c r="I351" s="8">
        <v>186081</v>
      </c>
      <c r="J351" s="13">
        <f t="shared" si="69"/>
        <v>0</v>
      </c>
      <c r="K351" s="138"/>
      <c r="L351" s="8">
        <v>416582</v>
      </c>
      <c r="M351" s="8">
        <v>417903</v>
      </c>
      <c r="N351" s="13">
        <f t="shared" si="70"/>
        <v>1321</v>
      </c>
      <c r="O351" s="136"/>
      <c r="P351" s="8">
        <v>261528</v>
      </c>
      <c r="Q351" s="8">
        <v>261966</v>
      </c>
      <c r="R351" s="133">
        <f t="shared" si="63"/>
        <v>438</v>
      </c>
      <c r="S351" s="8">
        <v>3067</v>
      </c>
      <c r="T351" s="8">
        <v>3110</v>
      </c>
      <c r="U351" s="133">
        <f t="shared" si="71"/>
        <v>43</v>
      </c>
      <c r="V351" s="8">
        <v>284204</v>
      </c>
      <c r="W351" s="8">
        <v>284204</v>
      </c>
      <c r="X351" s="13">
        <f t="shared" si="68"/>
        <v>0</v>
      </c>
      <c r="Y351" s="8">
        <v>14618</v>
      </c>
      <c r="Z351" s="8">
        <v>14642</v>
      </c>
      <c r="AA351" s="13">
        <f t="shared" si="64"/>
        <v>24</v>
      </c>
      <c r="AB351" s="8">
        <v>188908</v>
      </c>
      <c r="AC351" s="8">
        <v>188931</v>
      </c>
      <c r="AD351" s="13">
        <f t="shared" si="62"/>
        <v>23</v>
      </c>
      <c r="AE351" s="135"/>
      <c r="AF351" s="135"/>
      <c r="AG351" s="135"/>
      <c r="AH351" s="136"/>
      <c r="AI351" s="50">
        <f t="shared" si="66"/>
        <v>505</v>
      </c>
    </row>
    <row r="352" spans="1:35">
      <c r="A352" s="12">
        <v>44727</v>
      </c>
      <c r="B352" s="8">
        <v>1671446</v>
      </c>
      <c r="C352" s="8">
        <v>1672437</v>
      </c>
      <c r="D352" s="13">
        <f t="shared" si="65"/>
        <v>991</v>
      </c>
      <c r="E352" s="70">
        <v>87145</v>
      </c>
      <c r="F352" s="70">
        <v>87621</v>
      </c>
      <c r="G352" s="133">
        <f t="shared" si="67"/>
        <v>476</v>
      </c>
      <c r="H352" s="8">
        <v>186081</v>
      </c>
      <c r="I352" s="8">
        <v>186081</v>
      </c>
      <c r="J352" s="13">
        <f t="shared" si="69"/>
        <v>0</v>
      </c>
      <c r="K352" s="138"/>
      <c r="L352" s="8">
        <v>417903</v>
      </c>
      <c r="M352" s="8">
        <v>418850</v>
      </c>
      <c r="N352" s="13">
        <f t="shared" si="70"/>
        <v>947</v>
      </c>
      <c r="O352" s="136"/>
      <c r="P352" s="8">
        <v>261966</v>
      </c>
      <c r="Q352" s="8">
        <v>262422</v>
      </c>
      <c r="R352" s="133">
        <f t="shared" si="63"/>
        <v>456</v>
      </c>
      <c r="S352" s="8">
        <v>3110</v>
      </c>
      <c r="T352" s="8">
        <v>3149</v>
      </c>
      <c r="U352" s="133">
        <f t="shared" si="71"/>
        <v>39</v>
      </c>
      <c r="V352" s="8">
        <v>284204</v>
      </c>
      <c r="W352" s="8">
        <v>284204</v>
      </c>
      <c r="X352" s="13">
        <f t="shared" si="68"/>
        <v>0</v>
      </c>
      <c r="Y352" s="8">
        <v>14642</v>
      </c>
      <c r="Z352" s="8">
        <v>14670</v>
      </c>
      <c r="AA352" s="13">
        <f t="shared" si="64"/>
        <v>28</v>
      </c>
      <c r="AB352" s="8">
        <v>188931</v>
      </c>
      <c r="AC352" s="8">
        <v>188994</v>
      </c>
      <c r="AD352" s="13">
        <f t="shared" si="62"/>
        <v>63</v>
      </c>
      <c r="AE352" s="135"/>
      <c r="AF352" s="135"/>
      <c r="AG352" s="135"/>
      <c r="AH352" s="136"/>
      <c r="AI352" s="50">
        <f t="shared" si="66"/>
        <v>523</v>
      </c>
    </row>
    <row r="353" spans="1:35">
      <c r="A353" s="12">
        <v>44728</v>
      </c>
      <c r="B353" s="8">
        <v>1672437</v>
      </c>
      <c r="C353" s="8">
        <v>1673615</v>
      </c>
      <c r="D353" s="13">
        <f t="shared" si="65"/>
        <v>1178</v>
      </c>
      <c r="E353" s="70">
        <v>87621</v>
      </c>
      <c r="F353" s="70">
        <v>87793</v>
      </c>
      <c r="G353" s="133">
        <f t="shared" si="67"/>
        <v>172</v>
      </c>
      <c r="H353" s="8">
        <v>186081</v>
      </c>
      <c r="I353" s="8">
        <v>186081</v>
      </c>
      <c r="J353" s="13">
        <f t="shared" si="69"/>
        <v>0</v>
      </c>
      <c r="K353" s="138"/>
      <c r="L353" s="8">
        <v>418850</v>
      </c>
      <c r="M353" s="8">
        <v>419875</v>
      </c>
      <c r="N353" s="13">
        <f t="shared" si="70"/>
        <v>1025</v>
      </c>
      <c r="O353" s="136"/>
      <c r="P353" s="8">
        <v>262422</v>
      </c>
      <c r="Q353" s="8">
        <v>262825</v>
      </c>
      <c r="R353" s="133">
        <f t="shared" si="63"/>
        <v>403</v>
      </c>
      <c r="S353" s="8">
        <v>3149</v>
      </c>
      <c r="T353" s="8">
        <v>3191</v>
      </c>
      <c r="U353" s="133">
        <f t="shared" si="71"/>
        <v>42</v>
      </c>
      <c r="V353" s="8">
        <v>284204</v>
      </c>
      <c r="W353" s="8">
        <v>284204</v>
      </c>
      <c r="X353" s="13">
        <f t="shared" si="68"/>
        <v>0</v>
      </c>
      <c r="Y353" s="8">
        <v>14670</v>
      </c>
      <c r="Z353" s="8">
        <v>14697</v>
      </c>
      <c r="AA353" s="13">
        <f t="shared" si="64"/>
        <v>27</v>
      </c>
      <c r="AB353" s="8">
        <v>188994</v>
      </c>
      <c r="AC353" s="8">
        <v>189050</v>
      </c>
      <c r="AD353" s="13">
        <f t="shared" si="62"/>
        <v>56</v>
      </c>
      <c r="AE353" s="135"/>
      <c r="AF353" s="135"/>
      <c r="AG353" s="135"/>
      <c r="AH353" s="136"/>
      <c r="AI353" s="50">
        <f t="shared" si="66"/>
        <v>472</v>
      </c>
    </row>
    <row r="354" spans="1:35">
      <c r="A354" s="12">
        <v>44729</v>
      </c>
      <c r="B354" s="8">
        <v>1673615</v>
      </c>
      <c r="C354" s="8">
        <v>1674871</v>
      </c>
      <c r="D354" s="13">
        <f t="shared" si="65"/>
        <v>1256</v>
      </c>
      <c r="E354" s="70">
        <v>87793</v>
      </c>
      <c r="F354" s="70">
        <v>88055</v>
      </c>
      <c r="G354" s="133">
        <f t="shared" si="67"/>
        <v>262</v>
      </c>
      <c r="H354" s="8">
        <v>186081</v>
      </c>
      <c r="I354" s="8">
        <v>186081</v>
      </c>
      <c r="J354" s="13">
        <f t="shared" si="69"/>
        <v>0</v>
      </c>
      <c r="K354" s="138"/>
      <c r="L354" s="8">
        <v>419875</v>
      </c>
      <c r="M354" s="8">
        <v>421013</v>
      </c>
      <c r="N354" s="13">
        <f t="shared" si="70"/>
        <v>1138</v>
      </c>
      <c r="O354" s="136"/>
      <c r="P354" s="8">
        <v>262825</v>
      </c>
      <c r="Q354" s="8">
        <v>263501</v>
      </c>
      <c r="R354" s="133">
        <f t="shared" si="63"/>
        <v>676</v>
      </c>
      <c r="S354" s="8">
        <v>3191</v>
      </c>
      <c r="T354" s="8">
        <v>3251</v>
      </c>
      <c r="U354" s="133">
        <f t="shared" si="71"/>
        <v>60</v>
      </c>
      <c r="V354" s="8">
        <v>284204</v>
      </c>
      <c r="W354" s="8">
        <v>284204</v>
      </c>
      <c r="X354" s="13">
        <f t="shared" si="68"/>
        <v>0</v>
      </c>
      <c r="Y354" s="8">
        <v>14697</v>
      </c>
      <c r="Z354" s="8">
        <v>14727</v>
      </c>
      <c r="AA354" s="13">
        <f t="shared" si="64"/>
        <v>30</v>
      </c>
      <c r="AB354" s="8">
        <v>189050</v>
      </c>
      <c r="AC354" s="8">
        <v>189117</v>
      </c>
      <c r="AD354" s="13">
        <f t="shared" si="62"/>
        <v>67</v>
      </c>
      <c r="AE354" s="135"/>
      <c r="AF354" s="135"/>
      <c r="AG354" s="135"/>
      <c r="AH354" s="136"/>
      <c r="AI354" s="50">
        <f t="shared" si="66"/>
        <v>766</v>
      </c>
    </row>
    <row r="355" spans="1:35">
      <c r="A355" s="12">
        <v>44730</v>
      </c>
      <c r="B355" s="8">
        <v>1674871</v>
      </c>
      <c r="C355" s="8">
        <v>1675825</v>
      </c>
      <c r="D355" s="13">
        <f t="shared" si="65"/>
        <v>954</v>
      </c>
      <c r="E355" s="70">
        <v>88055</v>
      </c>
      <c r="F355" s="70">
        <v>88375</v>
      </c>
      <c r="G355" s="133">
        <f t="shared" si="67"/>
        <v>320</v>
      </c>
      <c r="H355" s="8">
        <v>186081</v>
      </c>
      <c r="I355" s="8">
        <v>186081</v>
      </c>
      <c r="J355" s="13">
        <f t="shared" si="69"/>
        <v>0</v>
      </c>
      <c r="K355" s="138"/>
      <c r="L355" s="8">
        <v>421013</v>
      </c>
      <c r="M355" s="8">
        <v>422264</v>
      </c>
      <c r="N355" s="13">
        <f t="shared" si="70"/>
        <v>1251</v>
      </c>
      <c r="O355" s="136"/>
      <c r="P355" s="8">
        <v>263501</v>
      </c>
      <c r="Q355" s="8">
        <v>263847</v>
      </c>
      <c r="R355" s="133">
        <f t="shared" si="63"/>
        <v>346</v>
      </c>
      <c r="S355" s="8">
        <v>3251</v>
      </c>
      <c r="T355" s="8">
        <v>3293</v>
      </c>
      <c r="U355" s="133">
        <f t="shared" si="71"/>
        <v>42</v>
      </c>
      <c r="V355" s="8">
        <v>284204</v>
      </c>
      <c r="W355" s="8">
        <v>284204</v>
      </c>
      <c r="X355" s="13">
        <f t="shared" si="68"/>
        <v>0</v>
      </c>
      <c r="Y355" s="8">
        <v>14727</v>
      </c>
      <c r="Z355" s="8">
        <v>14753</v>
      </c>
      <c r="AA355" s="13">
        <f t="shared" si="64"/>
        <v>26</v>
      </c>
      <c r="AB355" s="8">
        <v>189117</v>
      </c>
      <c r="AC355" s="8">
        <v>189179</v>
      </c>
      <c r="AD355" s="13">
        <f t="shared" si="62"/>
        <v>62</v>
      </c>
      <c r="AE355" s="135"/>
      <c r="AF355" s="135"/>
      <c r="AG355" s="135"/>
      <c r="AH355" s="136"/>
      <c r="AI355" s="50">
        <f t="shared" si="66"/>
        <v>414</v>
      </c>
    </row>
    <row r="356" spans="1:35">
      <c r="A356" s="12">
        <v>44731</v>
      </c>
      <c r="B356" s="8">
        <v>1675825</v>
      </c>
      <c r="C356" s="8">
        <v>1676935</v>
      </c>
      <c r="D356" s="13">
        <f t="shared" si="65"/>
        <v>1110</v>
      </c>
      <c r="E356" s="70">
        <v>88375</v>
      </c>
      <c r="F356" s="70">
        <v>88621</v>
      </c>
      <c r="G356" s="133">
        <f t="shared" si="67"/>
        <v>246</v>
      </c>
      <c r="H356" s="8">
        <v>186081</v>
      </c>
      <c r="I356" s="8">
        <v>186081</v>
      </c>
      <c r="J356" s="13">
        <f t="shared" si="69"/>
        <v>0</v>
      </c>
      <c r="K356" s="138"/>
      <c r="L356" s="8">
        <v>422264</v>
      </c>
      <c r="M356" s="8">
        <v>423343</v>
      </c>
      <c r="N356" s="13">
        <f t="shared" si="70"/>
        <v>1079</v>
      </c>
      <c r="O356" s="136"/>
      <c r="P356" s="8">
        <v>263847</v>
      </c>
      <c r="Q356" s="8">
        <v>264345</v>
      </c>
      <c r="R356" s="133">
        <f t="shared" si="63"/>
        <v>498</v>
      </c>
      <c r="S356" s="8">
        <v>3293</v>
      </c>
      <c r="T356" s="8">
        <v>3341</v>
      </c>
      <c r="U356" s="133">
        <f t="shared" si="71"/>
        <v>48</v>
      </c>
      <c r="V356" s="8">
        <v>284204</v>
      </c>
      <c r="W356" s="8">
        <v>284204</v>
      </c>
      <c r="X356" s="13">
        <f t="shared" si="68"/>
        <v>0</v>
      </c>
      <c r="Y356" s="8">
        <v>14753</v>
      </c>
      <c r="Z356" s="8">
        <v>14772</v>
      </c>
      <c r="AA356" s="13">
        <f t="shared" si="64"/>
        <v>19</v>
      </c>
      <c r="AB356" s="8">
        <v>189179</v>
      </c>
      <c r="AC356" s="8">
        <v>189240</v>
      </c>
      <c r="AD356" s="13">
        <f t="shared" si="62"/>
        <v>61</v>
      </c>
      <c r="AE356" s="135"/>
      <c r="AF356" s="135"/>
      <c r="AG356" s="135"/>
      <c r="AH356" s="136"/>
      <c r="AI356" s="50">
        <f t="shared" si="66"/>
        <v>565</v>
      </c>
    </row>
    <row r="357" spans="1:35">
      <c r="A357" s="12">
        <v>44732</v>
      </c>
      <c r="B357" s="8">
        <v>1676935</v>
      </c>
      <c r="C357" s="8">
        <v>1678113</v>
      </c>
      <c r="D357" s="13">
        <f t="shared" si="65"/>
        <v>1178</v>
      </c>
      <c r="E357" s="70">
        <v>88621</v>
      </c>
      <c r="F357" s="70">
        <v>88952</v>
      </c>
      <c r="G357" s="133">
        <f t="shared" si="67"/>
        <v>331</v>
      </c>
      <c r="H357" s="8">
        <v>186081</v>
      </c>
      <c r="I357" s="8">
        <v>186081</v>
      </c>
      <c r="J357" s="13">
        <f t="shared" si="69"/>
        <v>0</v>
      </c>
      <c r="K357" s="138"/>
      <c r="L357" s="8">
        <v>423343</v>
      </c>
      <c r="M357" s="8">
        <v>424380</v>
      </c>
      <c r="N357" s="13">
        <f t="shared" si="70"/>
        <v>1037</v>
      </c>
      <c r="O357" s="136"/>
      <c r="P357" s="8">
        <v>264345</v>
      </c>
      <c r="Q357" s="8">
        <v>264820</v>
      </c>
      <c r="R357" s="133">
        <f t="shared" si="63"/>
        <v>475</v>
      </c>
      <c r="S357" s="8">
        <v>3341</v>
      </c>
      <c r="T357" s="8">
        <v>3383</v>
      </c>
      <c r="U357" s="133">
        <f t="shared" si="71"/>
        <v>42</v>
      </c>
      <c r="V357" s="8">
        <v>284204</v>
      </c>
      <c r="W357" s="8">
        <v>284204</v>
      </c>
      <c r="X357" s="13">
        <f t="shared" si="68"/>
        <v>0</v>
      </c>
      <c r="Y357" s="8">
        <v>14772</v>
      </c>
      <c r="Z357" s="8">
        <v>14798</v>
      </c>
      <c r="AA357" s="13">
        <f t="shared" si="64"/>
        <v>26</v>
      </c>
      <c r="AB357" s="8">
        <v>189240</v>
      </c>
      <c r="AC357" s="8">
        <v>189298</v>
      </c>
      <c r="AD357" s="13">
        <f t="shared" ref="AD357:AD390" si="72">AC357-AB357</f>
        <v>58</v>
      </c>
      <c r="AE357" s="135"/>
      <c r="AF357" s="135"/>
      <c r="AG357" s="135"/>
      <c r="AH357" s="136"/>
      <c r="AI357" s="50">
        <f t="shared" si="66"/>
        <v>543</v>
      </c>
    </row>
    <row r="358" spans="1:35">
      <c r="A358" s="12">
        <v>44733</v>
      </c>
      <c r="B358" s="8">
        <v>1678113</v>
      </c>
      <c r="C358" s="8">
        <v>1679252</v>
      </c>
      <c r="D358" s="13">
        <f t="shared" si="65"/>
        <v>1139</v>
      </c>
      <c r="E358" s="70">
        <v>88952</v>
      </c>
      <c r="F358" s="70">
        <v>89322</v>
      </c>
      <c r="G358" s="133">
        <f t="shared" si="67"/>
        <v>370</v>
      </c>
      <c r="H358" s="8">
        <v>186081</v>
      </c>
      <c r="I358" s="8">
        <v>186081</v>
      </c>
      <c r="J358" s="13">
        <f t="shared" si="69"/>
        <v>0</v>
      </c>
      <c r="K358" s="138"/>
      <c r="L358" s="8">
        <v>424380</v>
      </c>
      <c r="M358" s="8">
        <v>425627</v>
      </c>
      <c r="N358" s="13">
        <f t="shared" si="70"/>
        <v>1247</v>
      </c>
      <c r="O358" s="136"/>
      <c r="P358" s="8">
        <v>264820</v>
      </c>
      <c r="Q358" s="8">
        <v>265374</v>
      </c>
      <c r="R358" s="133">
        <f t="shared" si="63"/>
        <v>554</v>
      </c>
      <c r="S358" s="8">
        <v>3383</v>
      </c>
      <c r="T358" s="8">
        <v>3454</v>
      </c>
      <c r="U358" s="133">
        <f t="shared" si="71"/>
        <v>71</v>
      </c>
      <c r="V358" s="8">
        <v>284204</v>
      </c>
      <c r="W358" s="8">
        <v>284204</v>
      </c>
      <c r="X358" s="13">
        <f t="shared" si="68"/>
        <v>0</v>
      </c>
      <c r="Y358" s="8">
        <v>14798</v>
      </c>
      <c r="Z358" s="8">
        <v>14819</v>
      </c>
      <c r="AA358" s="13">
        <f t="shared" si="64"/>
        <v>21</v>
      </c>
      <c r="AB358" s="8">
        <v>189298</v>
      </c>
      <c r="AC358" s="8">
        <v>189345</v>
      </c>
      <c r="AD358" s="13">
        <f t="shared" si="72"/>
        <v>47</v>
      </c>
      <c r="AE358" s="135"/>
      <c r="AF358" s="135"/>
      <c r="AG358" s="135"/>
      <c r="AH358" s="136"/>
      <c r="AI358" s="50">
        <f t="shared" si="66"/>
        <v>646</v>
      </c>
    </row>
    <row r="359" spans="1:35">
      <c r="A359" s="12">
        <v>44734</v>
      </c>
      <c r="B359" s="8">
        <v>1679252</v>
      </c>
      <c r="C359" s="8">
        <v>1680417</v>
      </c>
      <c r="D359" s="13">
        <f t="shared" si="65"/>
        <v>1165</v>
      </c>
      <c r="E359" s="70">
        <v>89322</v>
      </c>
      <c r="F359" s="70">
        <v>89694</v>
      </c>
      <c r="G359" s="133">
        <f t="shared" si="67"/>
        <v>372</v>
      </c>
      <c r="H359" s="8">
        <v>186081</v>
      </c>
      <c r="I359" s="8">
        <v>186081</v>
      </c>
      <c r="J359" s="13">
        <f t="shared" si="69"/>
        <v>0</v>
      </c>
      <c r="K359" s="138"/>
      <c r="L359" s="8">
        <v>425627</v>
      </c>
      <c r="M359" s="8">
        <v>426874</v>
      </c>
      <c r="N359" s="13">
        <f t="shared" si="70"/>
        <v>1247</v>
      </c>
      <c r="O359" s="136"/>
      <c r="P359" s="8">
        <v>265374</v>
      </c>
      <c r="Q359" s="8">
        <v>265912</v>
      </c>
      <c r="R359" s="133">
        <f t="shared" si="63"/>
        <v>538</v>
      </c>
      <c r="S359" s="8">
        <v>3454</v>
      </c>
      <c r="T359" s="8">
        <v>3473</v>
      </c>
      <c r="U359" s="133">
        <f t="shared" si="71"/>
        <v>19</v>
      </c>
      <c r="V359" s="8">
        <v>284204</v>
      </c>
      <c r="W359" s="8">
        <v>284204</v>
      </c>
      <c r="X359" s="13">
        <f t="shared" si="68"/>
        <v>0</v>
      </c>
      <c r="Y359" s="8">
        <v>14819</v>
      </c>
      <c r="Z359" s="8">
        <v>14844</v>
      </c>
      <c r="AA359" s="13">
        <f t="shared" si="64"/>
        <v>25</v>
      </c>
      <c r="AB359" s="8">
        <v>189345</v>
      </c>
      <c r="AC359" s="8">
        <v>189414</v>
      </c>
      <c r="AD359" s="13">
        <f t="shared" si="72"/>
        <v>69</v>
      </c>
      <c r="AE359" s="135"/>
      <c r="AF359" s="135"/>
      <c r="AG359" s="135"/>
      <c r="AH359" s="136"/>
      <c r="AI359" s="50">
        <f t="shared" si="66"/>
        <v>582</v>
      </c>
    </row>
    <row r="360" spans="1:35">
      <c r="A360" s="12">
        <v>44735</v>
      </c>
      <c r="B360" s="8">
        <v>1680417</v>
      </c>
      <c r="C360" s="8">
        <v>1681162</v>
      </c>
      <c r="D360" s="13">
        <f t="shared" si="65"/>
        <v>745</v>
      </c>
      <c r="E360" s="70">
        <v>89694</v>
      </c>
      <c r="F360" s="70">
        <v>89842</v>
      </c>
      <c r="G360" s="133">
        <f t="shared" si="67"/>
        <v>148</v>
      </c>
      <c r="H360" s="8">
        <v>186081</v>
      </c>
      <c r="I360" s="8">
        <v>186081</v>
      </c>
      <c r="J360" s="13">
        <f t="shared" si="69"/>
        <v>0</v>
      </c>
      <c r="K360" s="138"/>
      <c r="L360" s="8">
        <v>426874</v>
      </c>
      <c r="M360" s="8">
        <v>427954</v>
      </c>
      <c r="N360" s="13">
        <f t="shared" si="70"/>
        <v>1080</v>
      </c>
      <c r="O360" s="136"/>
      <c r="P360" s="8">
        <v>265912</v>
      </c>
      <c r="Q360" s="8">
        <v>266334</v>
      </c>
      <c r="R360" s="133">
        <f t="shared" si="63"/>
        <v>422</v>
      </c>
      <c r="S360" s="8">
        <v>3473</v>
      </c>
      <c r="T360" s="8">
        <v>3512</v>
      </c>
      <c r="U360" s="133">
        <f t="shared" si="71"/>
        <v>39</v>
      </c>
      <c r="V360" s="8">
        <v>284204</v>
      </c>
      <c r="W360" s="8">
        <v>284204</v>
      </c>
      <c r="X360" s="13">
        <f t="shared" si="68"/>
        <v>0</v>
      </c>
      <c r="Y360" s="8">
        <v>14844</v>
      </c>
      <c r="Z360" s="8">
        <v>14953</v>
      </c>
      <c r="AA360" s="13">
        <f t="shared" si="64"/>
        <v>109</v>
      </c>
      <c r="AB360" s="8">
        <v>189414</v>
      </c>
      <c r="AC360" s="8">
        <v>189508</v>
      </c>
      <c r="AD360" s="13">
        <f t="shared" si="72"/>
        <v>94</v>
      </c>
      <c r="AE360" s="135"/>
      <c r="AF360" s="135"/>
      <c r="AG360" s="135"/>
      <c r="AH360" s="136"/>
      <c r="AI360" s="50">
        <f t="shared" si="66"/>
        <v>570</v>
      </c>
    </row>
    <row r="361" spans="1:35">
      <c r="A361" s="12">
        <v>44736</v>
      </c>
      <c r="B361" s="8">
        <v>1681162</v>
      </c>
      <c r="C361" s="8">
        <v>1681763</v>
      </c>
      <c r="D361" s="13">
        <f t="shared" si="65"/>
        <v>601</v>
      </c>
      <c r="E361" s="70">
        <v>89842</v>
      </c>
      <c r="F361" s="70">
        <v>90484</v>
      </c>
      <c r="G361" s="133">
        <f t="shared" si="67"/>
        <v>642</v>
      </c>
      <c r="H361" s="8">
        <v>186081</v>
      </c>
      <c r="I361" s="8">
        <v>186081</v>
      </c>
      <c r="J361" s="13">
        <f t="shared" si="69"/>
        <v>0</v>
      </c>
      <c r="K361" s="138"/>
      <c r="L361" s="8">
        <v>427954</v>
      </c>
      <c r="M361" s="8">
        <v>429148</v>
      </c>
      <c r="N361" s="13">
        <f t="shared" si="70"/>
        <v>1194</v>
      </c>
      <c r="O361" s="136"/>
      <c r="P361" s="8">
        <v>266334</v>
      </c>
      <c r="Q361" s="8">
        <v>266865</v>
      </c>
      <c r="R361" s="133">
        <f t="shared" si="63"/>
        <v>531</v>
      </c>
      <c r="S361" s="8">
        <v>3512</v>
      </c>
      <c r="T361" s="8">
        <v>3555</v>
      </c>
      <c r="U361" s="133">
        <f t="shared" si="71"/>
        <v>43</v>
      </c>
      <c r="V361" s="8">
        <v>284204</v>
      </c>
      <c r="W361" s="8">
        <v>284204</v>
      </c>
      <c r="X361" s="13">
        <f t="shared" si="68"/>
        <v>0</v>
      </c>
      <c r="Y361" s="8">
        <v>14953</v>
      </c>
      <c r="Z361" s="8">
        <v>14975</v>
      </c>
      <c r="AA361" s="13">
        <f t="shared" si="64"/>
        <v>22</v>
      </c>
      <c r="AB361" s="8">
        <v>189508</v>
      </c>
      <c r="AC361" s="8">
        <v>189589</v>
      </c>
      <c r="AD361" s="13">
        <f t="shared" si="72"/>
        <v>81</v>
      </c>
      <c r="AE361" s="135"/>
      <c r="AF361" s="135"/>
      <c r="AG361" s="135"/>
      <c r="AH361" s="136"/>
      <c r="AI361" s="50">
        <f t="shared" si="66"/>
        <v>596</v>
      </c>
    </row>
    <row r="362" spans="1:35">
      <c r="A362" s="12">
        <v>44737</v>
      </c>
      <c r="B362" s="8">
        <v>1681763</v>
      </c>
      <c r="C362" s="8">
        <v>1681764</v>
      </c>
      <c r="D362" s="13">
        <f t="shared" si="65"/>
        <v>1</v>
      </c>
      <c r="E362" s="70">
        <v>90484</v>
      </c>
      <c r="F362" s="80">
        <v>90730</v>
      </c>
      <c r="G362" s="133">
        <f t="shared" si="67"/>
        <v>246</v>
      </c>
      <c r="H362" s="8">
        <v>186081</v>
      </c>
      <c r="I362" s="8">
        <v>186081</v>
      </c>
      <c r="J362" s="13">
        <f t="shared" si="69"/>
        <v>0</v>
      </c>
      <c r="K362" s="138"/>
      <c r="L362" s="8">
        <v>429148</v>
      </c>
      <c r="M362" s="77">
        <v>429753</v>
      </c>
      <c r="N362" s="13">
        <f t="shared" si="70"/>
        <v>605</v>
      </c>
      <c r="O362" s="136"/>
      <c r="P362" s="8">
        <v>266865</v>
      </c>
      <c r="Q362" s="8">
        <v>267187</v>
      </c>
      <c r="R362" s="133">
        <f t="shared" si="63"/>
        <v>322</v>
      </c>
      <c r="S362" s="8">
        <v>3555</v>
      </c>
      <c r="T362" s="78">
        <v>3606</v>
      </c>
      <c r="U362" s="133">
        <f t="shared" si="71"/>
        <v>51</v>
      </c>
      <c r="V362" s="8">
        <v>284204</v>
      </c>
      <c r="W362" s="8">
        <v>284204</v>
      </c>
      <c r="X362" s="13">
        <f t="shared" si="68"/>
        <v>0</v>
      </c>
      <c r="Y362" s="8">
        <v>14975</v>
      </c>
      <c r="Z362" s="79">
        <v>14994</v>
      </c>
      <c r="AA362" s="13">
        <f t="shared" si="64"/>
        <v>19</v>
      </c>
      <c r="AB362" s="8">
        <v>189589</v>
      </c>
      <c r="AC362" s="8">
        <v>189653</v>
      </c>
      <c r="AD362" s="13">
        <f t="shared" si="72"/>
        <v>64</v>
      </c>
      <c r="AE362" s="135"/>
      <c r="AF362" s="135"/>
      <c r="AG362" s="135"/>
      <c r="AH362" s="136"/>
      <c r="AI362" s="50">
        <f t="shared" si="66"/>
        <v>392</v>
      </c>
    </row>
    <row r="363" spans="1:35">
      <c r="A363" s="12">
        <v>44738</v>
      </c>
      <c r="B363" s="8">
        <v>1681764</v>
      </c>
      <c r="C363" s="8">
        <v>1682476</v>
      </c>
      <c r="D363" s="13">
        <f t="shared" ref="D363:D382" si="73">C363-B363</f>
        <v>712</v>
      </c>
      <c r="E363" s="80">
        <v>90730</v>
      </c>
      <c r="F363" s="79">
        <v>91350</v>
      </c>
      <c r="G363" s="133">
        <f t="shared" si="67"/>
        <v>620</v>
      </c>
      <c r="H363" s="8">
        <v>186081</v>
      </c>
      <c r="I363" s="8">
        <v>186626</v>
      </c>
      <c r="J363" s="13">
        <f t="shared" ref="J363:J426" si="74">I363-H363</f>
        <v>545</v>
      </c>
      <c r="K363" s="138"/>
      <c r="L363" s="77">
        <v>429753</v>
      </c>
      <c r="M363" s="8">
        <v>430021</v>
      </c>
      <c r="N363" s="13">
        <f t="shared" si="70"/>
        <v>268</v>
      </c>
      <c r="O363" s="136"/>
      <c r="P363" s="8">
        <v>267187</v>
      </c>
      <c r="Q363" s="8">
        <v>267427</v>
      </c>
      <c r="R363" s="133">
        <f t="shared" si="63"/>
        <v>240</v>
      </c>
      <c r="S363" s="78">
        <v>3606</v>
      </c>
      <c r="T363" s="78">
        <v>3652</v>
      </c>
      <c r="U363" s="133">
        <f t="shared" ref="U363:U382" si="75">T363-S363</f>
        <v>46</v>
      </c>
      <c r="V363" s="8">
        <v>284204</v>
      </c>
      <c r="W363" s="8">
        <v>284204</v>
      </c>
      <c r="X363" s="13">
        <f t="shared" si="68"/>
        <v>0</v>
      </c>
      <c r="Y363" s="79">
        <v>14994</v>
      </c>
      <c r="Z363" s="78">
        <v>15010</v>
      </c>
      <c r="AA363" s="13">
        <f t="shared" si="64"/>
        <v>16</v>
      </c>
      <c r="AB363" s="8">
        <v>189653</v>
      </c>
      <c r="AC363" s="8">
        <v>189712</v>
      </c>
      <c r="AD363" s="13">
        <f t="shared" si="72"/>
        <v>59</v>
      </c>
      <c r="AE363" s="135"/>
      <c r="AF363" s="135"/>
      <c r="AG363" s="135"/>
      <c r="AH363" s="136"/>
      <c r="AI363" s="50">
        <f t="shared" si="66"/>
        <v>302</v>
      </c>
    </row>
    <row r="364" spans="1:35">
      <c r="A364" s="12">
        <v>44739</v>
      </c>
      <c r="B364" s="8">
        <v>1682476</v>
      </c>
      <c r="C364" s="8">
        <v>1683511</v>
      </c>
      <c r="D364" s="13">
        <f t="shared" si="73"/>
        <v>1035</v>
      </c>
      <c r="E364" s="79">
        <v>91650</v>
      </c>
      <c r="F364" s="80">
        <v>92002</v>
      </c>
      <c r="G364" s="133">
        <f t="shared" si="67"/>
        <v>352</v>
      </c>
      <c r="H364" s="8">
        <v>186626</v>
      </c>
      <c r="I364" s="8">
        <v>186626</v>
      </c>
      <c r="J364" s="13">
        <f t="shared" si="74"/>
        <v>0</v>
      </c>
      <c r="K364" s="138"/>
      <c r="L364" s="8">
        <v>430021</v>
      </c>
      <c r="M364" s="8">
        <v>431713</v>
      </c>
      <c r="N364" s="13">
        <f t="shared" si="70"/>
        <v>1692</v>
      </c>
      <c r="O364" s="136"/>
      <c r="P364" s="8">
        <v>267427</v>
      </c>
      <c r="Q364" s="78">
        <v>268231</v>
      </c>
      <c r="R364" s="133">
        <f t="shared" si="63"/>
        <v>804</v>
      </c>
      <c r="S364" s="78">
        <v>3652</v>
      </c>
      <c r="T364" s="78">
        <v>3694</v>
      </c>
      <c r="U364" s="133">
        <f t="shared" si="75"/>
        <v>42</v>
      </c>
      <c r="V364" s="8">
        <v>284204</v>
      </c>
      <c r="W364" s="8">
        <v>284204</v>
      </c>
      <c r="X364" s="13">
        <f t="shared" si="68"/>
        <v>0</v>
      </c>
      <c r="Y364" s="78">
        <v>15010</v>
      </c>
      <c r="Z364" s="78">
        <v>15036</v>
      </c>
      <c r="AA364" s="13">
        <f t="shared" si="64"/>
        <v>26</v>
      </c>
      <c r="AB364" s="8">
        <v>189712</v>
      </c>
      <c r="AC364" s="8">
        <v>189772</v>
      </c>
      <c r="AD364" s="13">
        <f t="shared" si="72"/>
        <v>60</v>
      </c>
      <c r="AE364" s="135"/>
      <c r="AF364" s="135"/>
      <c r="AG364" s="135"/>
      <c r="AH364" s="136"/>
      <c r="AI364" s="50">
        <f t="shared" si="66"/>
        <v>872</v>
      </c>
    </row>
    <row r="365" spans="1:35">
      <c r="A365" s="12">
        <v>44740</v>
      </c>
      <c r="B365" s="8">
        <v>1683511</v>
      </c>
      <c r="C365" s="8">
        <v>1684241</v>
      </c>
      <c r="D365" s="13">
        <f t="shared" si="73"/>
        <v>730</v>
      </c>
      <c r="E365" s="79">
        <v>91650</v>
      </c>
      <c r="F365" s="80">
        <v>92002</v>
      </c>
      <c r="G365" s="133">
        <f t="shared" si="67"/>
        <v>352</v>
      </c>
      <c r="H365" s="8">
        <v>186626</v>
      </c>
      <c r="I365" s="8">
        <v>186626</v>
      </c>
      <c r="J365" s="13">
        <f t="shared" si="74"/>
        <v>0</v>
      </c>
      <c r="K365" s="138"/>
      <c r="L365" s="8">
        <v>431713</v>
      </c>
      <c r="M365" s="77">
        <v>432859</v>
      </c>
      <c r="N365" s="13">
        <f t="shared" si="70"/>
        <v>1146</v>
      </c>
      <c r="O365" s="136"/>
      <c r="P365" s="78">
        <v>268231</v>
      </c>
      <c r="Q365" s="78">
        <v>268751</v>
      </c>
      <c r="R365" s="133">
        <f t="shared" si="63"/>
        <v>520</v>
      </c>
      <c r="S365" s="78">
        <v>3694</v>
      </c>
      <c r="T365" s="78">
        <v>3749</v>
      </c>
      <c r="U365" s="133">
        <f t="shared" si="75"/>
        <v>55</v>
      </c>
      <c r="V365" s="8">
        <v>284204</v>
      </c>
      <c r="W365" s="8">
        <v>284204</v>
      </c>
      <c r="X365" s="13">
        <f t="shared" si="68"/>
        <v>0</v>
      </c>
      <c r="Y365" s="78">
        <v>15036</v>
      </c>
      <c r="Z365" s="79">
        <v>15056</v>
      </c>
      <c r="AA365" s="13">
        <f t="shared" si="64"/>
        <v>20</v>
      </c>
      <c r="AB365" s="8">
        <v>189772</v>
      </c>
      <c r="AC365" s="8">
        <v>189810</v>
      </c>
      <c r="AD365" s="13">
        <f t="shared" si="72"/>
        <v>38</v>
      </c>
      <c r="AE365" s="135"/>
      <c r="AF365" s="135"/>
      <c r="AG365" s="135"/>
      <c r="AH365" s="136"/>
      <c r="AI365" s="50">
        <f t="shared" si="66"/>
        <v>595</v>
      </c>
    </row>
    <row r="366" spans="1:35">
      <c r="A366" s="12">
        <v>44741</v>
      </c>
      <c r="B366" s="8">
        <v>1684241</v>
      </c>
      <c r="C366" s="8">
        <v>1685251</v>
      </c>
      <c r="D366" s="13">
        <f t="shared" si="73"/>
        <v>1010</v>
      </c>
      <c r="E366" s="80">
        <v>92002</v>
      </c>
      <c r="F366" s="79">
        <v>92324</v>
      </c>
      <c r="G366" s="133">
        <f t="shared" si="67"/>
        <v>322</v>
      </c>
      <c r="H366" s="8">
        <v>186626</v>
      </c>
      <c r="I366" s="78">
        <v>186895</v>
      </c>
      <c r="J366" s="13">
        <f t="shared" si="74"/>
        <v>269</v>
      </c>
      <c r="K366" s="138"/>
      <c r="L366" s="77">
        <v>432859</v>
      </c>
      <c r="M366" s="8">
        <v>433654</v>
      </c>
      <c r="N366" s="13">
        <f t="shared" si="70"/>
        <v>795</v>
      </c>
      <c r="O366" s="136"/>
      <c r="P366" s="78">
        <v>268751</v>
      </c>
      <c r="Q366" s="78">
        <v>269248</v>
      </c>
      <c r="R366" s="133">
        <f t="shared" ref="R366:R429" si="76">Q366-P366</f>
        <v>497</v>
      </c>
      <c r="S366" s="78">
        <v>3749</v>
      </c>
      <c r="T366" s="78">
        <v>3784</v>
      </c>
      <c r="U366" s="133">
        <f t="shared" si="75"/>
        <v>35</v>
      </c>
      <c r="V366" s="8">
        <v>284204</v>
      </c>
      <c r="W366" s="8">
        <v>284454</v>
      </c>
      <c r="X366" s="13">
        <f>W366-V366</f>
        <v>250</v>
      </c>
      <c r="Y366" s="79">
        <v>15056</v>
      </c>
      <c r="Z366" s="78">
        <v>15078</v>
      </c>
      <c r="AA366" s="13">
        <f t="shared" si="64"/>
        <v>22</v>
      </c>
      <c r="AB366" s="8">
        <v>189810</v>
      </c>
      <c r="AC366" s="8">
        <v>189875</v>
      </c>
      <c r="AD366" s="13">
        <f t="shared" si="72"/>
        <v>65</v>
      </c>
      <c r="AE366" s="135"/>
      <c r="AF366" s="135"/>
      <c r="AG366" s="135"/>
      <c r="AH366" s="136"/>
      <c r="AI366" s="50">
        <f t="shared" si="66"/>
        <v>804</v>
      </c>
    </row>
    <row r="367" spans="1:35">
      <c r="A367" s="12">
        <v>44742</v>
      </c>
      <c r="B367" s="8">
        <v>1685251</v>
      </c>
      <c r="C367" s="8">
        <v>1685702</v>
      </c>
      <c r="D367" s="13">
        <f t="shared" si="73"/>
        <v>451</v>
      </c>
      <c r="E367" s="79">
        <v>92324</v>
      </c>
      <c r="F367" s="80">
        <v>92865</v>
      </c>
      <c r="G367" s="133">
        <f t="shared" si="67"/>
        <v>541</v>
      </c>
      <c r="H367" s="78">
        <v>186895</v>
      </c>
      <c r="I367" s="78">
        <v>186895</v>
      </c>
      <c r="J367" s="13">
        <f t="shared" si="74"/>
        <v>0</v>
      </c>
      <c r="K367" s="138"/>
      <c r="L367" s="8">
        <v>433654</v>
      </c>
      <c r="M367" s="77">
        <v>434738</v>
      </c>
      <c r="N367" s="13">
        <f t="shared" si="70"/>
        <v>1084</v>
      </c>
      <c r="O367" s="136"/>
      <c r="P367" s="78">
        <v>269248</v>
      </c>
      <c r="Q367" s="78">
        <v>269575</v>
      </c>
      <c r="R367" s="133">
        <f t="shared" si="76"/>
        <v>327</v>
      </c>
      <c r="S367" s="78">
        <v>3784</v>
      </c>
      <c r="T367" s="78">
        <v>3830</v>
      </c>
      <c r="U367" s="133">
        <f t="shared" si="75"/>
        <v>46</v>
      </c>
      <c r="V367" s="8">
        <v>284454</v>
      </c>
      <c r="W367" s="8">
        <v>284824</v>
      </c>
      <c r="X367" s="13">
        <f t="shared" si="68"/>
        <v>370</v>
      </c>
      <c r="Y367" s="78">
        <v>15078</v>
      </c>
      <c r="Z367" s="78">
        <v>15112</v>
      </c>
      <c r="AA367" s="13">
        <f t="shared" si="64"/>
        <v>34</v>
      </c>
      <c r="AB367" s="8">
        <v>189875</v>
      </c>
      <c r="AC367" s="8">
        <v>189924</v>
      </c>
      <c r="AD367" s="13">
        <f t="shared" si="72"/>
        <v>49</v>
      </c>
      <c r="AE367" s="135"/>
      <c r="AF367" s="135"/>
      <c r="AG367" s="135"/>
      <c r="AH367" s="136"/>
      <c r="AI367" s="50">
        <f t="shared" si="66"/>
        <v>777</v>
      </c>
    </row>
    <row r="368" spans="1:35">
      <c r="A368" s="12">
        <v>44743</v>
      </c>
      <c r="B368" s="8">
        <v>1685702</v>
      </c>
      <c r="C368" s="8">
        <v>1686489</v>
      </c>
      <c r="D368" s="13">
        <f t="shared" si="73"/>
        <v>787</v>
      </c>
      <c r="E368" s="80">
        <v>92865</v>
      </c>
      <c r="F368" s="79">
        <v>93164</v>
      </c>
      <c r="G368" s="133">
        <f t="shared" si="67"/>
        <v>299</v>
      </c>
      <c r="H368" s="78">
        <v>186895</v>
      </c>
      <c r="I368" s="78">
        <v>186895</v>
      </c>
      <c r="J368" s="13">
        <f t="shared" si="74"/>
        <v>0</v>
      </c>
      <c r="K368" s="138"/>
      <c r="L368" s="77">
        <v>434738</v>
      </c>
      <c r="M368" s="8">
        <v>435816</v>
      </c>
      <c r="N368" s="13">
        <f t="shared" ref="N368:N431" si="77">M368-L368</f>
        <v>1078</v>
      </c>
      <c r="O368" s="136"/>
      <c r="P368" s="78">
        <v>269575</v>
      </c>
      <c r="Q368" s="78">
        <v>270114</v>
      </c>
      <c r="R368" s="133">
        <f t="shared" si="76"/>
        <v>539</v>
      </c>
      <c r="S368" s="78">
        <v>3830</v>
      </c>
      <c r="T368" s="78">
        <v>3875</v>
      </c>
      <c r="U368" s="133">
        <f t="shared" si="75"/>
        <v>45</v>
      </c>
      <c r="V368" s="8">
        <v>284824</v>
      </c>
      <c r="W368" s="8">
        <v>285012</v>
      </c>
      <c r="X368" s="13">
        <f t="shared" si="68"/>
        <v>188</v>
      </c>
      <c r="Y368" s="78">
        <v>15112</v>
      </c>
      <c r="Z368" s="78">
        <v>15157</v>
      </c>
      <c r="AA368" s="13">
        <f t="shared" si="64"/>
        <v>45</v>
      </c>
      <c r="AB368" s="8">
        <v>189924</v>
      </c>
      <c r="AC368" s="8">
        <v>189986</v>
      </c>
      <c r="AD368" s="13">
        <f t="shared" si="72"/>
        <v>62</v>
      </c>
      <c r="AE368" s="135"/>
      <c r="AF368" s="135"/>
      <c r="AG368" s="135"/>
      <c r="AH368" s="136"/>
      <c r="AI368" s="50">
        <f t="shared" si="66"/>
        <v>817</v>
      </c>
    </row>
    <row r="369" spans="1:35">
      <c r="A369" s="12">
        <v>44744</v>
      </c>
      <c r="B369" s="8">
        <v>1686489</v>
      </c>
      <c r="C369" s="8">
        <v>1687086</v>
      </c>
      <c r="D369" s="13">
        <f t="shared" si="73"/>
        <v>597</v>
      </c>
      <c r="E369" s="79">
        <v>93164</v>
      </c>
      <c r="F369" s="79">
        <v>93557</v>
      </c>
      <c r="G369" s="133">
        <f t="shared" si="67"/>
        <v>393</v>
      </c>
      <c r="H369" s="78">
        <v>186895</v>
      </c>
      <c r="I369" s="78">
        <v>186895</v>
      </c>
      <c r="J369" s="13">
        <f t="shared" si="74"/>
        <v>0</v>
      </c>
      <c r="K369" s="138"/>
      <c r="L369" s="8">
        <v>435816</v>
      </c>
      <c r="M369" s="8">
        <v>437049</v>
      </c>
      <c r="N369" s="13">
        <f t="shared" si="77"/>
        <v>1233</v>
      </c>
      <c r="O369" s="136"/>
      <c r="P369" s="78">
        <v>270114</v>
      </c>
      <c r="Q369" s="78">
        <v>270687</v>
      </c>
      <c r="R369" s="133">
        <f t="shared" si="76"/>
        <v>573</v>
      </c>
      <c r="S369" s="78">
        <v>3875</v>
      </c>
      <c r="T369" s="78">
        <v>3935</v>
      </c>
      <c r="U369" s="133">
        <f t="shared" si="75"/>
        <v>60</v>
      </c>
      <c r="V369" s="8">
        <v>285012</v>
      </c>
      <c r="W369" s="8">
        <v>285249</v>
      </c>
      <c r="X369" s="13">
        <f t="shared" si="68"/>
        <v>237</v>
      </c>
      <c r="Y369" s="78">
        <v>15157</v>
      </c>
      <c r="Z369" s="78">
        <v>15194</v>
      </c>
      <c r="AA369" s="13">
        <f t="shared" si="64"/>
        <v>37</v>
      </c>
      <c r="AB369" s="8">
        <v>189986</v>
      </c>
      <c r="AC369" s="8">
        <v>190042</v>
      </c>
      <c r="AD369" s="13">
        <f t="shared" si="72"/>
        <v>56</v>
      </c>
      <c r="AE369" s="135"/>
      <c r="AF369" s="135"/>
      <c r="AG369" s="135"/>
      <c r="AH369" s="136"/>
      <c r="AI369" s="50">
        <f t="shared" si="66"/>
        <v>907</v>
      </c>
    </row>
    <row r="370" spans="1:35">
      <c r="A370" s="12">
        <v>44745</v>
      </c>
      <c r="B370" s="8">
        <v>1687086</v>
      </c>
      <c r="C370" s="8">
        <v>1687881</v>
      </c>
      <c r="D370" s="13">
        <f t="shared" si="73"/>
        <v>795</v>
      </c>
      <c r="E370" s="79">
        <v>93557</v>
      </c>
      <c r="F370" s="70">
        <v>93996</v>
      </c>
      <c r="G370" s="133">
        <f t="shared" si="67"/>
        <v>439</v>
      </c>
      <c r="H370" s="78">
        <v>186895</v>
      </c>
      <c r="I370" s="8">
        <v>186907</v>
      </c>
      <c r="J370" s="13">
        <f t="shared" si="74"/>
        <v>12</v>
      </c>
      <c r="K370" s="138"/>
      <c r="L370" s="8">
        <v>437049</v>
      </c>
      <c r="M370" s="8">
        <v>437742</v>
      </c>
      <c r="N370" s="13">
        <f t="shared" si="77"/>
        <v>693</v>
      </c>
      <c r="O370" s="136"/>
      <c r="P370" s="78">
        <v>270687</v>
      </c>
      <c r="Q370" s="8">
        <v>271090</v>
      </c>
      <c r="R370" s="133">
        <f t="shared" si="76"/>
        <v>403</v>
      </c>
      <c r="S370" s="78">
        <v>3935</v>
      </c>
      <c r="T370" s="8">
        <v>3977</v>
      </c>
      <c r="U370" s="133">
        <f t="shared" si="75"/>
        <v>42</v>
      </c>
      <c r="V370" s="8">
        <v>285249</v>
      </c>
      <c r="W370" s="8">
        <v>285654</v>
      </c>
      <c r="X370" s="13">
        <f t="shared" si="68"/>
        <v>405</v>
      </c>
      <c r="Y370" s="78">
        <v>15194</v>
      </c>
      <c r="Z370" s="8">
        <v>15236</v>
      </c>
      <c r="AA370" s="13">
        <f t="shared" si="64"/>
        <v>42</v>
      </c>
      <c r="AB370" s="8">
        <v>190042</v>
      </c>
      <c r="AC370" s="8">
        <v>190082</v>
      </c>
      <c r="AD370" s="13">
        <f t="shared" si="72"/>
        <v>40</v>
      </c>
      <c r="AE370" s="135"/>
      <c r="AF370" s="135"/>
      <c r="AG370" s="135"/>
      <c r="AH370" s="136"/>
      <c r="AI370" s="50">
        <f t="shared" si="66"/>
        <v>892</v>
      </c>
    </row>
    <row r="371" spans="1:35">
      <c r="A371" s="12">
        <v>44746</v>
      </c>
      <c r="B371" s="8">
        <v>1687881</v>
      </c>
      <c r="C371" s="8">
        <v>1688785</v>
      </c>
      <c r="D371" s="13">
        <f t="shared" si="73"/>
        <v>904</v>
      </c>
      <c r="E371" s="70">
        <v>93996</v>
      </c>
      <c r="F371" s="70">
        <v>94390</v>
      </c>
      <c r="G371" s="133">
        <f t="shared" si="67"/>
        <v>394</v>
      </c>
      <c r="H371" s="8">
        <v>186907</v>
      </c>
      <c r="I371" s="8">
        <v>186907</v>
      </c>
      <c r="J371" s="13">
        <f t="shared" si="74"/>
        <v>0</v>
      </c>
      <c r="K371" s="138"/>
      <c r="L371" s="8">
        <v>437742</v>
      </c>
      <c r="M371" s="8">
        <v>438830</v>
      </c>
      <c r="N371" s="13">
        <f t="shared" si="77"/>
        <v>1088</v>
      </c>
      <c r="O371" s="136"/>
      <c r="P371" s="8">
        <v>271090</v>
      </c>
      <c r="Q371" s="8">
        <v>271630</v>
      </c>
      <c r="R371" s="133">
        <f t="shared" si="76"/>
        <v>540</v>
      </c>
      <c r="S371" s="8">
        <v>3977</v>
      </c>
      <c r="T371" s="8">
        <v>4041</v>
      </c>
      <c r="U371" s="133">
        <f t="shared" si="75"/>
        <v>64</v>
      </c>
      <c r="V371" s="8">
        <v>285654</v>
      </c>
      <c r="W371" s="8">
        <v>286011</v>
      </c>
      <c r="X371" s="13">
        <f t="shared" si="68"/>
        <v>357</v>
      </c>
      <c r="Y371" s="8">
        <v>15236</v>
      </c>
      <c r="Z371" s="8">
        <v>15282</v>
      </c>
      <c r="AA371" s="13">
        <f t="shared" si="64"/>
        <v>46</v>
      </c>
      <c r="AB371" s="8">
        <v>190082</v>
      </c>
      <c r="AC371" s="8">
        <v>190146</v>
      </c>
      <c r="AD371" s="13">
        <f t="shared" si="72"/>
        <v>64</v>
      </c>
      <c r="AE371" s="135"/>
      <c r="AF371" s="135"/>
      <c r="AG371" s="135"/>
      <c r="AH371" s="136"/>
      <c r="AI371" s="50">
        <f t="shared" si="66"/>
        <v>1007</v>
      </c>
    </row>
    <row r="372" spans="1:35">
      <c r="A372" s="12">
        <v>44747</v>
      </c>
      <c r="B372" s="8">
        <v>1688785</v>
      </c>
      <c r="C372" s="8">
        <v>1689643</v>
      </c>
      <c r="D372" s="13">
        <f t="shared" si="73"/>
        <v>858</v>
      </c>
      <c r="E372" s="70">
        <v>94390</v>
      </c>
      <c r="F372" s="70">
        <v>94742</v>
      </c>
      <c r="G372" s="133">
        <f t="shared" si="67"/>
        <v>352</v>
      </c>
      <c r="H372" s="8">
        <v>186907</v>
      </c>
      <c r="I372" s="8">
        <v>186907</v>
      </c>
      <c r="J372" s="13">
        <f t="shared" si="74"/>
        <v>0</v>
      </c>
      <c r="K372" s="138"/>
      <c r="L372" s="8">
        <v>438830</v>
      </c>
      <c r="M372" s="8">
        <v>439969</v>
      </c>
      <c r="N372" s="13">
        <f t="shared" si="77"/>
        <v>1139</v>
      </c>
      <c r="O372" s="136"/>
      <c r="P372" s="8">
        <v>271630</v>
      </c>
      <c r="Q372" s="8">
        <v>272098</v>
      </c>
      <c r="R372" s="133">
        <f t="shared" si="76"/>
        <v>468</v>
      </c>
      <c r="S372" s="8">
        <v>4041</v>
      </c>
      <c r="T372" s="8">
        <v>4090</v>
      </c>
      <c r="U372" s="133">
        <f t="shared" si="75"/>
        <v>49</v>
      </c>
      <c r="V372" s="8">
        <v>286011</v>
      </c>
      <c r="W372" s="8">
        <v>286428</v>
      </c>
      <c r="X372" s="13">
        <f t="shared" si="68"/>
        <v>417</v>
      </c>
      <c r="Y372" s="8">
        <v>15282</v>
      </c>
      <c r="Z372" s="8">
        <v>15327</v>
      </c>
      <c r="AA372" s="13">
        <f t="shared" si="64"/>
        <v>45</v>
      </c>
      <c r="AB372" s="8">
        <v>190146</v>
      </c>
      <c r="AC372" s="8">
        <v>190214</v>
      </c>
      <c r="AD372" s="13">
        <f t="shared" si="72"/>
        <v>68</v>
      </c>
      <c r="AE372" s="135"/>
      <c r="AF372" s="135"/>
      <c r="AG372" s="135"/>
      <c r="AH372" s="136"/>
      <c r="AI372" s="50">
        <f t="shared" si="66"/>
        <v>979</v>
      </c>
    </row>
    <row r="373" spans="1:35">
      <c r="A373" s="12">
        <v>44748</v>
      </c>
      <c r="B373" s="8">
        <v>1689643</v>
      </c>
      <c r="C373" s="82">
        <v>1690632</v>
      </c>
      <c r="D373" s="13">
        <f t="shared" si="73"/>
        <v>989</v>
      </c>
      <c r="E373" s="70">
        <v>94742</v>
      </c>
      <c r="F373" s="70">
        <v>95099</v>
      </c>
      <c r="G373" s="133">
        <f t="shared" si="67"/>
        <v>357</v>
      </c>
      <c r="H373" s="8">
        <v>186907</v>
      </c>
      <c r="I373" s="8">
        <v>186907</v>
      </c>
      <c r="J373" s="13">
        <f t="shared" si="74"/>
        <v>0</v>
      </c>
      <c r="K373" s="138"/>
      <c r="L373" s="8">
        <v>439969</v>
      </c>
      <c r="M373" s="8">
        <v>441123</v>
      </c>
      <c r="N373" s="13">
        <f t="shared" si="77"/>
        <v>1154</v>
      </c>
      <c r="O373" s="136"/>
      <c r="P373" s="8">
        <v>272098</v>
      </c>
      <c r="Q373" s="8">
        <v>272603</v>
      </c>
      <c r="R373" s="133">
        <f t="shared" si="76"/>
        <v>505</v>
      </c>
      <c r="S373" s="8">
        <v>4090</v>
      </c>
      <c r="T373" s="8">
        <v>4148</v>
      </c>
      <c r="U373" s="133">
        <f t="shared" si="75"/>
        <v>58</v>
      </c>
      <c r="V373" s="8">
        <v>286428</v>
      </c>
      <c r="W373" s="8">
        <v>286954</v>
      </c>
      <c r="X373" s="13">
        <f t="shared" si="68"/>
        <v>526</v>
      </c>
      <c r="Y373" s="8">
        <v>15327</v>
      </c>
      <c r="Z373" s="8">
        <v>15369</v>
      </c>
      <c r="AA373" s="13">
        <f t="shared" si="64"/>
        <v>42</v>
      </c>
      <c r="AB373" s="8">
        <v>190214</v>
      </c>
      <c r="AC373" s="8">
        <v>190282</v>
      </c>
      <c r="AD373" s="13">
        <f t="shared" si="72"/>
        <v>68</v>
      </c>
      <c r="AE373" s="135"/>
      <c r="AF373" s="135"/>
      <c r="AG373" s="135"/>
      <c r="AH373" s="136"/>
      <c r="AI373" s="50">
        <f t="shared" si="66"/>
        <v>1131</v>
      </c>
    </row>
    <row r="374" spans="1:35">
      <c r="A374" s="12">
        <v>44749</v>
      </c>
      <c r="B374" s="82">
        <v>1690632</v>
      </c>
      <c r="C374" s="8">
        <v>1691550</v>
      </c>
      <c r="D374" s="13">
        <f t="shared" si="73"/>
        <v>918</v>
      </c>
      <c r="E374" s="70">
        <v>95099</v>
      </c>
      <c r="F374" s="70">
        <v>95501</v>
      </c>
      <c r="G374" s="133">
        <f t="shared" si="67"/>
        <v>402</v>
      </c>
      <c r="H374" s="8">
        <v>186907</v>
      </c>
      <c r="I374" s="8">
        <v>186907</v>
      </c>
      <c r="J374" s="13">
        <f t="shared" si="74"/>
        <v>0</v>
      </c>
      <c r="K374" s="138"/>
      <c r="L374" s="8">
        <v>441123</v>
      </c>
      <c r="M374" s="8">
        <v>442206</v>
      </c>
      <c r="N374" s="13">
        <f t="shared" si="77"/>
        <v>1083</v>
      </c>
      <c r="O374" s="136"/>
      <c r="P374" s="8">
        <v>272603</v>
      </c>
      <c r="Q374" s="8">
        <v>272907</v>
      </c>
      <c r="R374" s="133">
        <f t="shared" si="76"/>
        <v>304</v>
      </c>
      <c r="S374" s="8">
        <v>4148</v>
      </c>
      <c r="T374" s="8">
        <v>4194</v>
      </c>
      <c r="U374" s="133">
        <f t="shared" si="75"/>
        <v>46</v>
      </c>
      <c r="V374" s="8">
        <v>286954</v>
      </c>
      <c r="W374" s="8">
        <v>287357</v>
      </c>
      <c r="X374" s="13">
        <f t="shared" si="68"/>
        <v>403</v>
      </c>
      <c r="Y374" s="8">
        <v>15369</v>
      </c>
      <c r="Z374" s="8">
        <v>15407</v>
      </c>
      <c r="AA374" s="13">
        <f t="shared" si="64"/>
        <v>38</v>
      </c>
      <c r="AB374" s="8">
        <v>190282</v>
      </c>
      <c r="AC374" s="8">
        <v>190357</v>
      </c>
      <c r="AD374" s="13">
        <f t="shared" si="72"/>
        <v>75</v>
      </c>
      <c r="AE374" s="135"/>
      <c r="AF374" s="135"/>
      <c r="AG374" s="135"/>
      <c r="AH374" s="136"/>
      <c r="AI374" s="50">
        <f t="shared" si="66"/>
        <v>791</v>
      </c>
    </row>
    <row r="375" spans="1:35">
      <c r="A375" s="12">
        <v>44750</v>
      </c>
      <c r="B375" s="8">
        <v>1691550</v>
      </c>
      <c r="C375" s="8">
        <v>1692401</v>
      </c>
      <c r="D375" s="13">
        <f t="shared" si="73"/>
        <v>851</v>
      </c>
      <c r="E375" s="70">
        <v>95501</v>
      </c>
      <c r="F375" s="46">
        <v>96073</v>
      </c>
      <c r="G375" s="133">
        <f t="shared" si="67"/>
        <v>572</v>
      </c>
      <c r="H375" s="8">
        <v>186907</v>
      </c>
      <c r="I375" s="8">
        <v>186907</v>
      </c>
      <c r="J375" s="13">
        <f t="shared" si="74"/>
        <v>0</v>
      </c>
      <c r="K375" s="138"/>
      <c r="L375" s="8">
        <v>442206</v>
      </c>
      <c r="M375" s="8">
        <v>443405</v>
      </c>
      <c r="N375" s="13">
        <f t="shared" si="77"/>
        <v>1199</v>
      </c>
      <c r="O375" s="136"/>
      <c r="P375" s="8">
        <v>272907</v>
      </c>
      <c r="Q375" s="8">
        <v>273574</v>
      </c>
      <c r="R375" s="133">
        <f t="shared" si="76"/>
        <v>667</v>
      </c>
      <c r="S375" s="8">
        <v>4194</v>
      </c>
      <c r="T375" s="8">
        <v>4258</v>
      </c>
      <c r="U375" s="133">
        <f t="shared" si="75"/>
        <v>64</v>
      </c>
      <c r="V375" s="8">
        <v>287357</v>
      </c>
      <c r="W375" s="8">
        <v>287826</v>
      </c>
      <c r="X375" s="13">
        <f t="shared" si="68"/>
        <v>469</v>
      </c>
      <c r="Y375" s="8">
        <v>15407</v>
      </c>
      <c r="Z375" s="8">
        <v>15451</v>
      </c>
      <c r="AA375" s="13">
        <f t="shared" si="64"/>
        <v>44</v>
      </c>
      <c r="AB375" s="8">
        <v>190357</v>
      </c>
      <c r="AC375" s="8">
        <v>190466</v>
      </c>
      <c r="AD375" s="13">
        <f t="shared" si="72"/>
        <v>109</v>
      </c>
      <c r="AE375" s="135"/>
      <c r="AF375" s="135"/>
      <c r="AG375" s="135"/>
      <c r="AH375" s="136"/>
      <c r="AI375" s="50">
        <f t="shared" si="66"/>
        <v>1244</v>
      </c>
    </row>
    <row r="376" spans="1:35">
      <c r="A376" s="12">
        <v>44751</v>
      </c>
      <c r="B376" s="8">
        <v>1692401</v>
      </c>
      <c r="C376" s="8">
        <v>1692713</v>
      </c>
      <c r="D376" s="13">
        <f t="shared" si="73"/>
        <v>312</v>
      </c>
      <c r="E376" s="46">
        <v>96073</v>
      </c>
      <c r="F376" s="46">
        <v>96645</v>
      </c>
      <c r="G376" s="133">
        <f t="shared" si="67"/>
        <v>572</v>
      </c>
      <c r="H376" s="8">
        <v>186907</v>
      </c>
      <c r="I376" s="8">
        <v>186907</v>
      </c>
      <c r="J376" s="13">
        <f t="shared" si="74"/>
        <v>0</v>
      </c>
      <c r="K376" s="138"/>
      <c r="L376" s="8">
        <v>443405</v>
      </c>
      <c r="M376" s="8">
        <v>444642</v>
      </c>
      <c r="N376" s="13">
        <f t="shared" si="77"/>
        <v>1237</v>
      </c>
      <c r="O376" s="136"/>
      <c r="P376" s="8">
        <v>273574</v>
      </c>
      <c r="Q376" s="8">
        <v>274174</v>
      </c>
      <c r="R376" s="133">
        <f t="shared" si="76"/>
        <v>600</v>
      </c>
      <c r="S376" s="8">
        <v>4258</v>
      </c>
      <c r="T376" s="8">
        <v>4311</v>
      </c>
      <c r="U376" s="133">
        <f t="shared" si="75"/>
        <v>53</v>
      </c>
      <c r="V376" s="8">
        <v>287826</v>
      </c>
      <c r="W376" s="8">
        <v>288125</v>
      </c>
      <c r="X376" s="13">
        <f t="shared" si="68"/>
        <v>299</v>
      </c>
      <c r="Y376" s="8">
        <v>15451</v>
      </c>
      <c r="Z376" s="8">
        <v>15481</v>
      </c>
      <c r="AA376" s="13">
        <f t="shared" si="64"/>
        <v>30</v>
      </c>
      <c r="AB376" s="8">
        <v>190466</v>
      </c>
      <c r="AC376" s="8">
        <v>190504</v>
      </c>
      <c r="AD376" s="13">
        <f t="shared" si="72"/>
        <v>38</v>
      </c>
      <c r="AE376" s="135"/>
      <c r="AF376" s="135"/>
      <c r="AG376" s="135"/>
      <c r="AH376" s="136"/>
      <c r="AI376" s="50">
        <f t="shared" si="66"/>
        <v>982</v>
      </c>
    </row>
    <row r="377" spans="1:35">
      <c r="A377" s="12">
        <v>44752</v>
      </c>
      <c r="B377" s="8">
        <v>1692713</v>
      </c>
      <c r="C377" s="8">
        <v>1693255</v>
      </c>
      <c r="D377" s="13">
        <f t="shared" si="73"/>
        <v>542</v>
      </c>
      <c r="E377" s="46">
        <v>96645</v>
      </c>
      <c r="F377" s="70">
        <v>97228</v>
      </c>
      <c r="G377" s="133">
        <f t="shared" si="67"/>
        <v>583</v>
      </c>
      <c r="H377" s="8">
        <v>186907</v>
      </c>
      <c r="I377" s="8">
        <v>186907</v>
      </c>
      <c r="J377" s="13">
        <f t="shared" si="74"/>
        <v>0</v>
      </c>
      <c r="K377" s="138"/>
      <c r="L377" s="8">
        <v>444642</v>
      </c>
      <c r="M377" s="8">
        <v>445711</v>
      </c>
      <c r="N377" s="13">
        <f t="shared" si="77"/>
        <v>1069</v>
      </c>
      <c r="O377" s="136"/>
      <c r="P377" s="8">
        <v>274174</v>
      </c>
      <c r="Q377" s="8">
        <v>274670</v>
      </c>
      <c r="R377" s="133">
        <f t="shared" si="76"/>
        <v>496</v>
      </c>
      <c r="S377" s="8">
        <v>4311</v>
      </c>
      <c r="T377" s="8">
        <v>4356</v>
      </c>
      <c r="U377" s="133">
        <f t="shared" si="75"/>
        <v>45</v>
      </c>
      <c r="V377" s="8">
        <v>288125</v>
      </c>
      <c r="W377" s="8">
        <v>288456</v>
      </c>
      <c r="X377" s="13">
        <f t="shared" si="68"/>
        <v>331</v>
      </c>
      <c r="Y377" s="8">
        <v>15481</v>
      </c>
      <c r="Z377" s="8">
        <v>15515</v>
      </c>
      <c r="AA377" s="13">
        <f t="shared" ref="AA377:AA441" si="78">Z377-Y377</f>
        <v>34</v>
      </c>
      <c r="AB377" s="8">
        <v>190504</v>
      </c>
      <c r="AC377" s="8">
        <v>190545</v>
      </c>
      <c r="AD377" s="13">
        <f t="shared" si="72"/>
        <v>41</v>
      </c>
      <c r="AE377" s="135"/>
      <c r="AF377" s="135"/>
      <c r="AG377" s="135"/>
      <c r="AH377" s="136"/>
      <c r="AI377" s="50">
        <f t="shared" si="66"/>
        <v>906</v>
      </c>
    </row>
    <row r="378" spans="1:35">
      <c r="A378" s="12">
        <v>44753</v>
      </c>
      <c r="B378" s="8">
        <v>1693255</v>
      </c>
      <c r="C378" s="8">
        <v>1694001</v>
      </c>
      <c r="D378" s="13">
        <f t="shared" si="73"/>
        <v>746</v>
      </c>
      <c r="E378" s="70">
        <v>97228</v>
      </c>
      <c r="F378" s="70">
        <v>97777</v>
      </c>
      <c r="G378" s="133">
        <f t="shared" si="67"/>
        <v>549</v>
      </c>
      <c r="H378" s="8">
        <v>186907</v>
      </c>
      <c r="I378" s="8">
        <v>186907</v>
      </c>
      <c r="J378" s="13">
        <f t="shared" si="74"/>
        <v>0</v>
      </c>
      <c r="K378" s="138"/>
      <c r="L378" s="8">
        <v>445711</v>
      </c>
      <c r="M378" s="8">
        <v>446841</v>
      </c>
      <c r="N378" s="13">
        <f t="shared" si="77"/>
        <v>1130</v>
      </c>
      <c r="O378" s="136"/>
      <c r="P378" s="8">
        <v>274670</v>
      </c>
      <c r="Q378" s="8">
        <v>275174</v>
      </c>
      <c r="R378" s="133">
        <f t="shared" si="76"/>
        <v>504</v>
      </c>
      <c r="S378" s="8">
        <v>4356</v>
      </c>
      <c r="T378" s="8">
        <v>4427</v>
      </c>
      <c r="U378" s="133">
        <f t="shared" si="75"/>
        <v>71</v>
      </c>
      <c r="V378" s="8">
        <v>288456</v>
      </c>
      <c r="W378" s="8">
        <v>288845</v>
      </c>
      <c r="X378" s="13">
        <f t="shared" si="68"/>
        <v>389</v>
      </c>
      <c r="Y378" s="8">
        <v>15515</v>
      </c>
      <c r="Z378" s="8">
        <v>15545</v>
      </c>
      <c r="AA378" s="13">
        <f t="shared" si="78"/>
        <v>30</v>
      </c>
      <c r="AB378" s="8">
        <v>190545</v>
      </c>
      <c r="AC378" s="8">
        <v>190608</v>
      </c>
      <c r="AD378" s="13">
        <f t="shared" si="72"/>
        <v>63</v>
      </c>
      <c r="AE378" s="135"/>
      <c r="AF378" s="135"/>
      <c r="AG378" s="135"/>
      <c r="AH378" s="136"/>
      <c r="AI378" s="50">
        <f t="shared" si="66"/>
        <v>994</v>
      </c>
    </row>
    <row r="379" spans="1:35">
      <c r="A379" s="12">
        <v>44754</v>
      </c>
      <c r="B379" s="8">
        <v>1694001</v>
      </c>
      <c r="C379" s="8">
        <v>1694967</v>
      </c>
      <c r="D379" s="13">
        <f t="shared" si="73"/>
        <v>966</v>
      </c>
      <c r="E379" s="70">
        <v>97777</v>
      </c>
      <c r="F379" s="70">
        <v>98345</v>
      </c>
      <c r="G379" s="133">
        <f t="shared" si="67"/>
        <v>568</v>
      </c>
      <c r="H379" s="8">
        <v>186907</v>
      </c>
      <c r="I379" s="8">
        <v>186907</v>
      </c>
      <c r="J379" s="13">
        <f t="shared" si="74"/>
        <v>0</v>
      </c>
      <c r="K379" s="138"/>
      <c r="L379" s="8">
        <v>446841</v>
      </c>
      <c r="M379" s="8">
        <v>448077</v>
      </c>
      <c r="N379" s="13">
        <f t="shared" si="77"/>
        <v>1236</v>
      </c>
      <c r="O379" s="136"/>
      <c r="P379" s="8">
        <v>275174</v>
      </c>
      <c r="Q379" s="8">
        <v>275682</v>
      </c>
      <c r="R379" s="133">
        <f t="shared" si="76"/>
        <v>508</v>
      </c>
      <c r="S379" s="8">
        <v>4427</v>
      </c>
      <c r="T379" s="8">
        <v>4469</v>
      </c>
      <c r="U379" s="133">
        <f t="shared" si="75"/>
        <v>42</v>
      </c>
      <c r="V379" s="8">
        <v>288845</v>
      </c>
      <c r="W379" s="8">
        <v>289124</v>
      </c>
      <c r="X379" s="13">
        <f t="shared" si="68"/>
        <v>279</v>
      </c>
      <c r="Y379" s="8">
        <v>15545</v>
      </c>
      <c r="Z379" s="8">
        <v>15584</v>
      </c>
      <c r="AA379" s="13">
        <f t="shared" si="78"/>
        <v>39</v>
      </c>
      <c r="AB379" s="8">
        <v>190608</v>
      </c>
      <c r="AC379" s="8">
        <v>190666</v>
      </c>
      <c r="AD379" s="13">
        <f t="shared" si="72"/>
        <v>58</v>
      </c>
      <c r="AE379" s="135"/>
      <c r="AF379" s="135"/>
      <c r="AG379" s="135"/>
      <c r="AH379" s="136"/>
      <c r="AI379" s="50">
        <f t="shared" si="66"/>
        <v>868</v>
      </c>
    </row>
    <row r="380" spans="1:35">
      <c r="A380" s="12">
        <v>44755</v>
      </c>
      <c r="B380" s="8">
        <v>1694967</v>
      </c>
      <c r="C380" s="8">
        <v>1695766</v>
      </c>
      <c r="D380" s="13">
        <f t="shared" si="73"/>
        <v>799</v>
      </c>
      <c r="E380" s="70">
        <v>98345</v>
      </c>
      <c r="F380" s="70">
        <v>98642</v>
      </c>
      <c r="G380" s="133">
        <f t="shared" si="67"/>
        <v>297</v>
      </c>
      <c r="H380" s="8">
        <v>186907</v>
      </c>
      <c r="I380" s="8">
        <v>186907</v>
      </c>
      <c r="J380" s="13">
        <f t="shared" si="74"/>
        <v>0</v>
      </c>
      <c r="K380" s="138"/>
      <c r="L380" s="8">
        <v>448077</v>
      </c>
      <c r="M380" s="8">
        <v>449267</v>
      </c>
      <c r="N380" s="13">
        <f t="shared" si="77"/>
        <v>1190</v>
      </c>
      <c r="O380" s="136"/>
      <c r="P380" s="8">
        <v>275682</v>
      </c>
      <c r="Q380" s="8">
        <v>276200</v>
      </c>
      <c r="R380" s="133">
        <f t="shared" si="76"/>
        <v>518</v>
      </c>
      <c r="S380" s="8">
        <v>4469</v>
      </c>
      <c r="T380" s="8">
        <v>4529</v>
      </c>
      <c r="U380" s="133">
        <f t="shared" si="75"/>
        <v>60</v>
      </c>
      <c r="V380" s="8">
        <v>289124</v>
      </c>
      <c r="W380" s="8">
        <v>289678</v>
      </c>
      <c r="X380" s="13">
        <f t="shared" si="68"/>
        <v>554</v>
      </c>
      <c r="Y380" s="8">
        <v>15584</v>
      </c>
      <c r="Z380" s="8">
        <v>15605</v>
      </c>
      <c r="AA380" s="13">
        <f t="shared" si="78"/>
        <v>21</v>
      </c>
      <c r="AB380" s="8">
        <v>190666</v>
      </c>
      <c r="AC380" s="8">
        <v>190746</v>
      </c>
      <c r="AD380" s="13">
        <f t="shared" si="72"/>
        <v>80</v>
      </c>
      <c r="AE380" s="135"/>
      <c r="AF380" s="135"/>
      <c r="AG380" s="135"/>
      <c r="AH380" s="136"/>
      <c r="AI380" s="50">
        <f t="shared" si="66"/>
        <v>1153</v>
      </c>
    </row>
    <row r="381" spans="1:35">
      <c r="A381" s="12">
        <v>44756</v>
      </c>
      <c r="B381" s="8">
        <v>1695766</v>
      </c>
      <c r="C381" s="8">
        <v>1696578</v>
      </c>
      <c r="D381" s="13">
        <f t="shared" si="73"/>
        <v>812</v>
      </c>
      <c r="E381" s="70">
        <v>98642</v>
      </c>
      <c r="F381" s="70">
        <v>98982</v>
      </c>
      <c r="G381" s="133">
        <f t="shared" si="67"/>
        <v>340</v>
      </c>
      <c r="H381" s="8">
        <v>186907</v>
      </c>
      <c r="I381" s="8">
        <v>186907</v>
      </c>
      <c r="J381" s="13">
        <f t="shared" si="74"/>
        <v>0</v>
      </c>
      <c r="K381" s="138"/>
      <c r="L381" s="8">
        <v>449267</v>
      </c>
      <c r="M381" s="8">
        <v>450483</v>
      </c>
      <c r="N381" s="13">
        <f t="shared" si="77"/>
        <v>1216</v>
      </c>
      <c r="O381" s="136"/>
      <c r="P381" s="8">
        <v>276200</v>
      </c>
      <c r="Q381" s="8">
        <v>276714</v>
      </c>
      <c r="R381" s="133">
        <f t="shared" si="76"/>
        <v>514</v>
      </c>
      <c r="S381" s="8">
        <v>4529</v>
      </c>
      <c r="T381" s="8">
        <v>4564</v>
      </c>
      <c r="U381" s="133">
        <f t="shared" si="75"/>
        <v>35</v>
      </c>
      <c r="V381" s="8">
        <v>289678</v>
      </c>
      <c r="W381" s="8">
        <v>290108</v>
      </c>
      <c r="X381" s="13">
        <f t="shared" si="68"/>
        <v>430</v>
      </c>
      <c r="Y381" s="8">
        <v>15605</v>
      </c>
      <c r="Z381" s="8">
        <v>15638</v>
      </c>
      <c r="AA381" s="13">
        <f t="shared" si="78"/>
        <v>33</v>
      </c>
      <c r="AB381" s="8">
        <v>190746</v>
      </c>
      <c r="AC381" s="8">
        <v>190796</v>
      </c>
      <c r="AD381" s="13">
        <f t="shared" si="72"/>
        <v>50</v>
      </c>
      <c r="AE381" s="135"/>
      <c r="AF381" s="135"/>
      <c r="AG381" s="135"/>
      <c r="AH381" s="136"/>
      <c r="AI381" s="50">
        <f t="shared" si="66"/>
        <v>1012</v>
      </c>
    </row>
    <row r="382" spans="1:35">
      <c r="A382" s="12">
        <v>44757</v>
      </c>
      <c r="B382" s="8">
        <v>1696578</v>
      </c>
      <c r="C382" s="8">
        <v>1697491</v>
      </c>
      <c r="D382" s="13">
        <f t="shared" si="73"/>
        <v>913</v>
      </c>
      <c r="E382" s="70">
        <v>98982</v>
      </c>
      <c r="F382" s="46">
        <v>99228</v>
      </c>
      <c r="G382" s="133">
        <f t="shared" si="67"/>
        <v>246</v>
      </c>
      <c r="H382" s="8">
        <v>186907</v>
      </c>
      <c r="I382" s="8">
        <v>186907</v>
      </c>
      <c r="J382" s="13">
        <f t="shared" si="74"/>
        <v>0</v>
      </c>
      <c r="K382" s="138"/>
      <c r="L382" s="8">
        <v>450483</v>
      </c>
      <c r="M382" s="8">
        <v>451567</v>
      </c>
      <c r="N382" s="13">
        <f t="shared" si="77"/>
        <v>1084</v>
      </c>
      <c r="O382" s="136"/>
      <c r="P382" s="8">
        <v>276714</v>
      </c>
      <c r="Q382" s="8">
        <v>277196</v>
      </c>
      <c r="R382" s="133">
        <f t="shared" si="76"/>
        <v>482</v>
      </c>
      <c r="S382" s="8">
        <v>4564</v>
      </c>
      <c r="T382" s="8">
        <v>4624</v>
      </c>
      <c r="U382" s="133">
        <f t="shared" si="75"/>
        <v>60</v>
      </c>
      <c r="V382" s="8">
        <v>290108</v>
      </c>
      <c r="W382" s="8">
        <v>290513</v>
      </c>
      <c r="X382" s="13">
        <f t="shared" si="68"/>
        <v>405</v>
      </c>
      <c r="Y382" s="8">
        <v>15638</v>
      </c>
      <c r="Z382" s="8">
        <v>15674</v>
      </c>
      <c r="AA382" s="13">
        <f t="shared" si="78"/>
        <v>36</v>
      </c>
      <c r="AB382" s="8">
        <v>190796</v>
      </c>
      <c r="AC382" s="8">
        <v>190841</v>
      </c>
      <c r="AD382" s="13">
        <f t="shared" si="72"/>
        <v>45</v>
      </c>
      <c r="AE382" s="135"/>
      <c r="AF382" s="135"/>
      <c r="AG382" s="135"/>
      <c r="AH382" s="136"/>
      <c r="AI382" s="50">
        <f t="shared" si="66"/>
        <v>983</v>
      </c>
    </row>
    <row r="383" spans="1:35">
      <c r="A383" s="12">
        <v>44758</v>
      </c>
      <c r="B383" s="8">
        <v>1697491</v>
      </c>
      <c r="C383" s="8">
        <v>1698146</v>
      </c>
      <c r="D383" s="13">
        <f t="shared" ref="D383:D446" si="79">C383-B383</f>
        <v>655</v>
      </c>
      <c r="E383" s="46">
        <v>99228</v>
      </c>
      <c r="F383" s="70">
        <v>99522</v>
      </c>
      <c r="G383" s="133">
        <f t="shared" si="67"/>
        <v>294</v>
      </c>
      <c r="H383" s="8">
        <v>186907</v>
      </c>
      <c r="I383" s="8">
        <v>186907</v>
      </c>
      <c r="J383" s="13">
        <f t="shared" si="74"/>
        <v>0</v>
      </c>
      <c r="K383" s="138"/>
      <c r="L383" s="8">
        <v>451567</v>
      </c>
      <c r="M383" s="8">
        <v>452895</v>
      </c>
      <c r="N383" s="13">
        <f t="shared" si="77"/>
        <v>1328</v>
      </c>
      <c r="O383" s="136"/>
      <c r="P383" s="8">
        <v>277196</v>
      </c>
      <c r="Q383" s="8">
        <v>277852</v>
      </c>
      <c r="R383" s="133">
        <f t="shared" si="76"/>
        <v>656</v>
      </c>
      <c r="S383" s="8">
        <v>4624</v>
      </c>
      <c r="T383" s="8">
        <v>4701</v>
      </c>
      <c r="U383" s="133">
        <f t="shared" ref="U383:U446" si="80">T383-S383</f>
        <v>77</v>
      </c>
      <c r="V383" s="8">
        <v>290513</v>
      </c>
      <c r="W383" s="8">
        <v>290884</v>
      </c>
      <c r="X383" s="13">
        <f t="shared" si="68"/>
        <v>371</v>
      </c>
      <c r="Y383" s="8">
        <v>15674</v>
      </c>
      <c r="Z383" s="8">
        <v>15715</v>
      </c>
      <c r="AA383" s="13">
        <f t="shared" si="78"/>
        <v>41</v>
      </c>
      <c r="AB383" s="8">
        <v>190841</v>
      </c>
      <c r="AC383" s="8">
        <v>190893</v>
      </c>
      <c r="AD383" s="13">
        <f t="shared" si="72"/>
        <v>52</v>
      </c>
      <c r="AE383" s="135"/>
      <c r="AF383" s="135"/>
      <c r="AG383" s="135"/>
      <c r="AH383" s="136"/>
      <c r="AI383" s="50">
        <f t="shared" si="66"/>
        <v>1145</v>
      </c>
    </row>
    <row r="384" spans="1:35">
      <c r="A384" s="12">
        <v>44759</v>
      </c>
      <c r="B384" s="8">
        <v>1698146</v>
      </c>
      <c r="C384" s="8">
        <v>1698721</v>
      </c>
      <c r="D384" s="13">
        <f t="shared" si="79"/>
        <v>575</v>
      </c>
      <c r="E384" s="70">
        <v>99522</v>
      </c>
      <c r="F384" s="70">
        <v>99719</v>
      </c>
      <c r="G384" s="133">
        <f t="shared" si="67"/>
        <v>197</v>
      </c>
      <c r="H384" s="8">
        <v>186907</v>
      </c>
      <c r="I384" s="8">
        <v>186907</v>
      </c>
      <c r="J384" s="13">
        <f t="shared" si="74"/>
        <v>0</v>
      </c>
      <c r="K384" s="138"/>
      <c r="L384" s="8">
        <v>452895</v>
      </c>
      <c r="M384" s="8">
        <v>453979</v>
      </c>
      <c r="N384" s="13">
        <f t="shared" si="77"/>
        <v>1084</v>
      </c>
      <c r="O384" s="136"/>
      <c r="P384" s="8">
        <v>277852</v>
      </c>
      <c r="Q384" s="8">
        <v>278305</v>
      </c>
      <c r="R384" s="133">
        <f t="shared" si="76"/>
        <v>453</v>
      </c>
      <c r="S384" s="8">
        <v>4701</v>
      </c>
      <c r="T384" s="8">
        <v>4762</v>
      </c>
      <c r="U384" s="133">
        <f t="shared" si="80"/>
        <v>61</v>
      </c>
      <c r="V384" s="8">
        <v>290884</v>
      </c>
      <c r="W384" s="8">
        <v>291177</v>
      </c>
      <c r="X384" s="13">
        <f t="shared" si="68"/>
        <v>293</v>
      </c>
      <c r="Y384" s="8">
        <v>15715</v>
      </c>
      <c r="Z384" s="8">
        <v>15745</v>
      </c>
      <c r="AA384" s="13">
        <f t="shared" si="78"/>
        <v>30</v>
      </c>
      <c r="AB384" s="8">
        <v>190893</v>
      </c>
      <c r="AC384" s="8">
        <v>190960</v>
      </c>
      <c r="AD384" s="13">
        <f t="shared" si="72"/>
        <v>67</v>
      </c>
      <c r="AE384" s="135"/>
      <c r="AF384" s="135"/>
      <c r="AG384" s="135"/>
      <c r="AH384" s="136"/>
      <c r="AI384" s="50">
        <f t="shared" si="66"/>
        <v>837</v>
      </c>
    </row>
    <row r="385" spans="1:35">
      <c r="A385" s="12">
        <v>44760</v>
      </c>
      <c r="B385" s="8">
        <v>1698721</v>
      </c>
      <c r="C385" s="8">
        <v>1699505</v>
      </c>
      <c r="D385" s="13">
        <f t="shared" si="79"/>
        <v>784</v>
      </c>
      <c r="E385" s="70">
        <v>99719</v>
      </c>
      <c r="F385" s="70">
        <v>99960</v>
      </c>
      <c r="G385" s="133">
        <f t="shared" si="67"/>
        <v>241</v>
      </c>
      <c r="H385" s="8">
        <v>186907</v>
      </c>
      <c r="I385" s="8">
        <v>186907</v>
      </c>
      <c r="J385" s="13">
        <f t="shared" si="74"/>
        <v>0</v>
      </c>
      <c r="K385" s="138"/>
      <c r="L385" s="8">
        <v>453979</v>
      </c>
      <c r="M385" s="8">
        <v>455061</v>
      </c>
      <c r="N385" s="13">
        <f t="shared" si="77"/>
        <v>1082</v>
      </c>
      <c r="O385" s="136"/>
      <c r="P385" s="8">
        <v>278305</v>
      </c>
      <c r="Q385" s="8">
        <v>278793</v>
      </c>
      <c r="R385" s="133">
        <f t="shared" si="76"/>
        <v>488</v>
      </c>
      <c r="S385" s="8">
        <v>4762</v>
      </c>
      <c r="T385" s="8">
        <v>4814</v>
      </c>
      <c r="U385" s="133">
        <f t="shared" si="80"/>
        <v>52</v>
      </c>
      <c r="V385" s="8">
        <v>291177</v>
      </c>
      <c r="W385" s="8">
        <v>291857</v>
      </c>
      <c r="X385" s="13">
        <f t="shared" si="68"/>
        <v>680</v>
      </c>
      <c r="Y385" s="8">
        <v>15745</v>
      </c>
      <c r="Z385" s="54">
        <v>15774</v>
      </c>
      <c r="AA385" s="13">
        <f t="shared" si="78"/>
        <v>29</v>
      </c>
      <c r="AB385" s="8">
        <v>190960</v>
      </c>
      <c r="AC385" s="8">
        <v>191013</v>
      </c>
      <c r="AD385" s="13">
        <f t="shared" si="72"/>
        <v>53</v>
      </c>
      <c r="AE385" s="135"/>
      <c r="AF385" s="135"/>
      <c r="AG385" s="135"/>
      <c r="AH385" s="136"/>
      <c r="AI385" s="50">
        <f t="shared" ref="AI385:AI448" si="81">AA385+U385+R385+O385+X385</f>
        <v>1249</v>
      </c>
    </row>
    <row r="386" spans="1:35">
      <c r="A386" s="12">
        <v>44761</v>
      </c>
      <c r="B386" s="8">
        <v>1699505</v>
      </c>
      <c r="C386" s="8">
        <v>1700414</v>
      </c>
      <c r="D386" s="13">
        <f t="shared" si="79"/>
        <v>909</v>
      </c>
      <c r="E386" s="70">
        <v>99960</v>
      </c>
      <c r="F386" s="70">
        <v>100103</v>
      </c>
      <c r="G386" s="133">
        <f t="shared" si="67"/>
        <v>143</v>
      </c>
      <c r="H386" s="8">
        <v>186907</v>
      </c>
      <c r="I386" s="8">
        <v>186907</v>
      </c>
      <c r="J386" s="13">
        <f t="shared" si="74"/>
        <v>0</v>
      </c>
      <c r="K386" s="138"/>
      <c r="L386" s="8">
        <v>455061</v>
      </c>
      <c r="M386" s="8">
        <v>456287</v>
      </c>
      <c r="N386" s="13">
        <f t="shared" si="77"/>
        <v>1226</v>
      </c>
      <c r="O386" s="136"/>
      <c r="P386" s="8">
        <v>278793</v>
      </c>
      <c r="Q386" s="8">
        <v>279297</v>
      </c>
      <c r="R386" s="133">
        <f t="shared" si="76"/>
        <v>504</v>
      </c>
      <c r="S386" s="8">
        <v>4814</v>
      </c>
      <c r="T386" s="8">
        <v>4859</v>
      </c>
      <c r="U386" s="133">
        <f t="shared" si="80"/>
        <v>45</v>
      </c>
      <c r="V386" s="8">
        <v>291857</v>
      </c>
      <c r="W386" s="8">
        <v>292350</v>
      </c>
      <c r="X386" s="13">
        <f t="shared" si="68"/>
        <v>493</v>
      </c>
      <c r="Y386" s="54">
        <v>15774</v>
      </c>
      <c r="Z386" s="54">
        <v>15809</v>
      </c>
      <c r="AA386" s="13">
        <f t="shared" si="78"/>
        <v>35</v>
      </c>
      <c r="AB386" s="8">
        <v>191013</v>
      </c>
      <c r="AC386" s="8">
        <v>191078</v>
      </c>
      <c r="AD386" s="13">
        <f t="shared" si="72"/>
        <v>65</v>
      </c>
      <c r="AE386" s="135"/>
      <c r="AF386" s="135"/>
      <c r="AG386" s="135"/>
      <c r="AH386" s="136"/>
      <c r="AI386" s="50">
        <f t="shared" si="81"/>
        <v>1077</v>
      </c>
    </row>
    <row r="387" spans="1:35">
      <c r="A387" s="12">
        <v>44762</v>
      </c>
      <c r="B387" s="8">
        <v>1700414</v>
      </c>
      <c r="C387" s="8">
        <v>1701224</v>
      </c>
      <c r="D387" s="13">
        <f t="shared" si="79"/>
        <v>810</v>
      </c>
      <c r="E387" s="70">
        <v>100103</v>
      </c>
      <c r="F387" s="70">
        <v>100418</v>
      </c>
      <c r="G387" s="133">
        <f t="shared" ref="G387:G450" si="82">F387-E387</f>
        <v>315</v>
      </c>
      <c r="H387" s="8">
        <v>186907</v>
      </c>
      <c r="I387" s="8">
        <v>186907</v>
      </c>
      <c r="J387" s="13">
        <f t="shared" si="74"/>
        <v>0</v>
      </c>
      <c r="K387" s="138"/>
      <c r="L387" s="8">
        <v>456287</v>
      </c>
      <c r="M387" s="8">
        <v>457467</v>
      </c>
      <c r="N387" s="13">
        <f t="shared" si="77"/>
        <v>1180</v>
      </c>
      <c r="O387" s="136"/>
      <c r="P387" s="8">
        <v>279297</v>
      </c>
      <c r="Q387" s="8">
        <v>279825</v>
      </c>
      <c r="R387" s="133">
        <f t="shared" si="76"/>
        <v>528</v>
      </c>
      <c r="S387" s="8">
        <v>4859</v>
      </c>
      <c r="T387" s="8">
        <v>4912</v>
      </c>
      <c r="U387" s="133">
        <f t="shared" si="80"/>
        <v>53</v>
      </c>
      <c r="V387" s="8">
        <v>292350</v>
      </c>
      <c r="W387" s="8">
        <v>292579</v>
      </c>
      <c r="X387" s="13">
        <f t="shared" si="68"/>
        <v>229</v>
      </c>
      <c r="Y387" s="54">
        <v>15809</v>
      </c>
      <c r="Z387" s="54">
        <v>15839</v>
      </c>
      <c r="AA387" s="13">
        <f t="shared" si="78"/>
        <v>30</v>
      </c>
      <c r="AB387" s="8">
        <v>191078</v>
      </c>
      <c r="AC387" s="8">
        <v>191159</v>
      </c>
      <c r="AD387" s="13">
        <f t="shared" si="72"/>
        <v>81</v>
      </c>
      <c r="AE387" s="135"/>
      <c r="AF387" s="135"/>
      <c r="AG387" s="135"/>
      <c r="AH387" s="136"/>
      <c r="AI387" s="50">
        <f t="shared" si="81"/>
        <v>840</v>
      </c>
    </row>
    <row r="388" spans="1:35">
      <c r="A388" s="12">
        <v>44763</v>
      </c>
      <c r="B388" s="8">
        <v>1701224</v>
      </c>
      <c r="C388" s="8">
        <v>1702066</v>
      </c>
      <c r="D388" s="13">
        <f t="shared" si="79"/>
        <v>842</v>
      </c>
      <c r="E388" s="70">
        <v>100418</v>
      </c>
      <c r="F388" s="70">
        <v>100669</v>
      </c>
      <c r="G388" s="133">
        <f t="shared" si="82"/>
        <v>251</v>
      </c>
      <c r="H388" s="8">
        <v>186907</v>
      </c>
      <c r="I388" s="8">
        <v>186907</v>
      </c>
      <c r="J388" s="13">
        <f t="shared" si="74"/>
        <v>0</v>
      </c>
      <c r="K388" s="138"/>
      <c r="L388" s="8">
        <v>457467</v>
      </c>
      <c r="M388" s="8">
        <v>458514</v>
      </c>
      <c r="N388" s="13">
        <f t="shared" si="77"/>
        <v>1047</v>
      </c>
      <c r="O388" s="136"/>
      <c r="P388" s="8">
        <v>279825</v>
      </c>
      <c r="Q388" s="8">
        <v>280274</v>
      </c>
      <c r="R388" s="133">
        <f t="shared" si="76"/>
        <v>449</v>
      </c>
      <c r="S388" s="8">
        <v>4912</v>
      </c>
      <c r="T388" s="8">
        <v>4960</v>
      </c>
      <c r="U388" s="133">
        <f t="shared" si="80"/>
        <v>48</v>
      </c>
      <c r="V388" s="8">
        <v>292579</v>
      </c>
      <c r="W388" s="8">
        <v>292876</v>
      </c>
      <c r="X388" s="13">
        <f t="shared" si="68"/>
        <v>297</v>
      </c>
      <c r="Y388" s="54">
        <v>15839</v>
      </c>
      <c r="Z388" s="54">
        <v>15871</v>
      </c>
      <c r="AA388" s="13">
        <f t="shared" si="78"/>
        <v>32</v>
      </c>
      <c r="AB388" s="8">
        <v>191159</v>
      </c>
      <c r="AC388" s="8">
        <v>191203</v>
      </c>
      <c r="AD388" s="13">
        <f t="shared" si="72"/>
        <v>44</v>
      </c>
      <c r="AE388" s="135"/>
      <c r="AF388" s="135"/>
      <c r="AG388" s="135"/>
      <c r="AH388" s="136"/>
      <c r="AI388" s="50">
        <f t="shared" si="81"/>
        <v>826</v>
      </c>
    </row>
    <row r="389" spans="1:35">
      <c r="A389" s="12">
        <v>44764</v>
      </c>
      <c r="B389" s="8">
        <v>1702066</v>
      </c>
      <c r="C389" s="8">
        <v>1702356</v>
      </c>
      <c r="D389" s="13">
        <f t="shared" si="79"/>
        <v>290</v>
      </c>
      <c r="E389" s="70">
        <v>100669</v>
      </c>
      <c r="F389" s="70">
        <v>100908</v>
      </c>
      <c r="G389" s="133">
        <f t="shared" si="82"/>
        <v>239</v>
      </c>
      <c r="H389" s="8">
        <v>186907</v>
      </c>
      <c r="I389" s="8">
        <v>186907</v>
      </c>
      <c r="J389" s="13">
        <f t="shared" si="74"/>
        <v>0</v>
      </c>
      <c r="K389" s="138"/>
      <c r="L389" s="8">
        <v>458514</v>
      </c>
      <c r="M389" s="8">
        <v>459733</v>
      </c>
      <c r="N389" s="13">
        <f t="shared" si="77"/>
        <v>1219</v>
      </c>
      <c r="O389" s="136"/>
      <c r="P389" s="8">
        <v>280274</v>
      </c>
      <c r="Q389" s="8">
        <v>280790</v>
      </c>
      <c r="R389" s="133">
        <f t="shared" si="76"/>
        <v>516</v>
      </c>
      <c r="S389" s="8">
        <v>4960</v>
      </c>
      <c r="T389" s="8">
        <v>5017</v>
      </c>
      <c r="U389" s="133">
        <f t="shared" si="80"/>
        <v>57</v>
      </c>
      <c r="V389" s="8">
        <v>292876</v>
      </c>
      <c r="W389" s="8">
        <v>293854</v>
      </c>
      <c r="X389" s="13">
        <f t="shared" si="68"/>
        <v>978</v>
      </c>
      <c r="Y389" s="54">
        <v>15871</v>
      </c>
      <c r="Z389" s="54">
        <v>16358</v>
      </c>
      <c r="AA389" s="13">
        <f t="shared" si="78"/>
        <v>487</v>
      </c>
      <c r="AB389" s="8">
        <v>191203</v>
      </c>
      <c r="AC389" s="8">
        <v>191265</v>
      </c>
      <c r="AD389" s="13">
        <f t="shared" si="72"/>
        <v>62</v>
      </c>
      <c r="AE389" s="135"/>
      <c r="AF389" s="135"/>
      <c r="AG389" s="135"/>
      <c r="AH389" s="136"/>
      <c r="AI389" s="50">
        <f t="shared" si="81"/>
        <v>2038</v>
      </c>
    </row>
    <row r="390" spans="1:35">
      <c r="A390" s="12">
        <v>44765</v>
      </c>
      <c r="B390" s="8">
        <v>1702356</v>
      </c>
      <c r="C390" s="8">
        <v>1703214</v>
      </c>
      <c r="D390" s="13">
        <f t="shared" si="79"/>
        <v>858</v>
      </c>
      <c r="E390" s="70">
        <v>100908</v>
      </c>
      <c r="F390" s="70">
        <v>101137</v>
      </c>
      <c r="G390" s="133">
        <f t="shared" si="82"/>
        <v>229</v>
      </c>
      <c r="H390" s="8">
        <v>186907</v>
      </c>
      <c r="I390" s="8">
        <v>186907</v>
      </c>
      <c r="J390" s="13">
        <f t="shared" si="74"/>
        <v>0</v>
      </c>
      <c r="K390" s="138"/>
      <c r="L390" s="8">
        <v>459733</v>
      </c>
      <c r="M390" s="8">
        <v>460485</v>
      </c>
      <c r="N390" s="13">
        <f t="shared" si="77"/>
        <v>752</v>
      </c>
      <c r="O390" s="136"/>
      <c r="P390" s="8">
        <v>280790</v>
      </c>
      <c r="Q390" s="8">
        <v>281200</v>
      </c>
      <c r="R390" s="133">
        <f t="shared" si="76"/>
        <v>410</v>
      </c>
      <c r="S390" s="8">
        <v>5017</v>
      </c>
      <c r="T390" s="8">
        <v>5087</v>
      </c>
      <c r="U390" s="133">
        <f t="shared" si="80"/>
        <v>70</v>
      </c>
      <c r="V390" s="8">
        <v>293854</v>
      </c>
      <c r="W390" s="8">
        <v>294222</v>
      </c>
      <c r="X390" s="13">
        <f t="shared" si="68"/>
        <v>368</v>
      </c>
      <c r="Y390" s="54">
        <v>16358</v>
      </c>
      <c r="Z390" s="54">
        <v>16389</v>
      </c>
      <c r="AA390" s="13">
        <f t="shared" si="78"/>
        <v>31</v>
      </c>
      <c r="AB390" s="8">
        <v>191265</v>
      </c>
      <c r="AC390" s="8">
        <v>191321</v>
      </c>
      <c r="AD390" s="13">
        <f t="shared" si="72"/>
        <v>56</v>
      </c>
      <c r="AE390" s="135"/>
      <c r="AF390" s="135"/>
      <c r="AG390" s="135"/>
      <c r="AH390" s="136"/>
      <c r="AI390" s="50">
        <f t="shared" si="81"/>
        <v>879</v>
      </c>
    </row>
    <row r="391" spans="1:35">
      <c r="A391" s="12">
        <v>44766</v>
      </c>
      <c r="B391" s="8">
        <v>1703214</v>
      </c>
      <c r="C391" s="8">
        <v>1704045</v>
      </c>
      <c r="D391" s="13">
        <f t="shared" si="79"/>
        <v>831</v>
      </c>
      <c r="E391" s="70">
        <v>101137</v>
      </c>
      <c r="F391" s="70">
        <v>101216</v>
      </c>
      <c r="G391" s="133">
        <f t="shared" si="82"/>
        <v>79</v>
      </c>
      <c r="H391" s="8">
        <v>186907</v>
      </c>
      <c r="I391" s="8">
        <v>186907</v>
      </c>
      <c r="J391" s="13">
        <f t="shared" si="74"/>
        <v>0</v>
      </c>
      <c r="K391" s="138"/>
      <c r="L391" s="8">
        <v>460485</v>
      </c>
      <c r="M391" s="8">
        <v>461795</v>
      </c>
      <c r="N391" s="13">
        <f t="shared" si="77"/>
        <v>1310</v>
      </c>
      <c r="O391" s="136"/>
      <c r="P391" s="8">
        <v>281200</v>
      </c>
      <c r="Q391" s="8">
        <v>281765</v>
      </c>
      <c r="R391" s="133">
        <f t="shared" si="76"/>
        <v>565</v>
      </c>
      <c r="S391" s="8">
        <v>5087</v>
      </c>
      <c r="T391" s="8">
        <v>5141</v>
      </c>
      <c r="U391" s="133">
        <f t="shared" si="80"/>
        <v>54</v>
      </c>
      <c r="V391" s="8">
        <v>294222</v>
      </c>
      <c r="W391" s="8">
        <v>294536</v>
      </c>
      <c r="X391" s="13">
        <f t="shared" si="68"/>
        <v>314</v>
      </c>
      <c r="Y391" s="54">
        <v>16389</v>
      </c>
      <c r="Z391" s="54">
        <v>16436</v>
      </c>
      <c r="AA391" s="13">
        <f t="shared" si="78"/>
        <v>47</v>
      </c>
      <c r="AB391" s="8">
        <v>191321</v>
      </c>
      <c r="AC391" s="8">
        <v>191383</v>
      </c>
      <c r="AD391" s="13">
        <f ca="1">AD391:AD401=AC391-AB391</f>
        <v>0</v>
      </c>
      <c r="AE391" s="135"/>
      <c r="AF391" s="135"/>
      <c r="AG391" s="135"/>
      <c r="AH391" s="136"/>
      <c r="AI391" s="50">
        <f t="shared" si="81"/>
        <v>980</v>
      </c>
    </row>
    <row r="392" spans="1:35">
      <c r="A392" s="12">
        <v>44767</v>
      </c>
      <c r="B392" s="8">
        <v>1704045</v>
      </c>
      <c r="C392" s="8">
        <v>1704975</v>
      </c>
      <c r="D392" s="13">
        <f t="shared" si="79"/>
        <v>930</v>
      </c>
      <c r="E392" s="70">
        <v>101216</v>
      </c>
      <c r="F392" s="70">
        <v>101388</v>
      </c>
      <c r="G392" s="133">
        <f t="shared" si="82"/>
        <v>172</v>
      </c>
      <c r="H392" s="8">
        <v>186907</v>
      </c>
      <c r="I392" s="8">
        <v>186907</v>
      </c>
      <c r="J392" s="13">
        <f t="shared" si="74"/>
        <v>0</v>
      </c>
      <c r="K392" s="138"/>
      <c r="L392" s="8">
        <v>461795</v>
      </c>
      <c r="M392" s="8">
        <v>462952</v>
      </c>
      <c r="N392" s="13">
        <f t="shared" si="77"/>
        <v>1157</v>
      </c>
      <c r="O392" s="136"/>
      <c r="P392" s="8">
        <v>281765</v>
      </c>
      <c r="Q392" s="8">
        <v>282224</v>
      </c>
      <c r="R392" s="133">
        <f t="shared" si="76"/>
        <v>459</v>
      </c>
      <c r="S392" s="8">
        <v>5141</v>
      </c>
      <c r="T392" s="8">
        <v>5192</v>
      </c>
      <c r="U392" s="133">
        <f t="shared" si="80"/>
        <v>51</v>
      </c>
      <c r="V392" s="8">
        <v>294536</v>
      </c>
      <c r="W392" s="8">
        <v>294903</v>
      </c>
      <c r="X392" s="13">
        <f t="shared" si="68"/>
        <v>367</v>
      </c>
      <c r="Y392" s="54">
        <v>16436</v>
      </c>
      <c r="Z392" s="54">
        <v>16471</v>
      </c>
      <c r="AA392" s="13">
        <f t="shared" si="78"/>
        <v>35</v>
      </c>
      <c r="AB392" s="8">
        <v>191383</v>
      </c>
      <c r="AC392" s="8">
        <v>191439</v>
      </c>
      <c r="AD392" s="13">
        <f t="shared" ref="AD392:AD455" si="83">AC392-AB392</f>
        <v>56</v>
      </c>
      <c r="AE392" s="135"/>
      <c r="AF392" s="135"/>
      <c r="AG392" s="135"/>
      <c r="AH392" s="136"/>
      <c r="AI392" s="50">
        <f t="shared" si="81"/>
        <v>912</v>
      </c>
    </row>
    <row r="393" spans="1:35">
      <c r="A393" s="12">
        <v>44768</v>
      </c>
      <c r="B393" s="8">
        <v>1704975</v>
      </c>
      <c r="C393" s="8">
        <v>1705889</v>
      </c>
      <c r="D393" s="13">
        <f t="shared" si="79"/>
        <v>914</v>
      </c>
      <c r="E393" s="70">
        <v>101388</v>
      </c>
      <c r="F393" s="70">
        <v>101479</v>
      </c>
      <c r="G393" s="133">
        <f t="shared" si="82"/>
        <v>91</v>
      </c>
      <c r="H393" s="8">
        <v>186907</v>
      </c>
      <c r="I393" s="8">
        <v>186907</v>
      </c>
      <c r="J393" s="13">
        <f t="shared" si="74"/>
        <v>0</v>
      </c>
      <c r="K393" s="138"/>
      <c r="L393" s="8">
        <v>462952</v>
      </c>
      <c r="M393" s="8">
        <v>464027</v>
      </c>
      <c r="N393" s="13">
        <f t="shared" si="77"/>
        <v>1075</v>
      </c>
      <c r="O393" s="136"/>
      <c r="P393" s="8">
        <v>282224</v>
      </c>
      <c r="Q393" s="8">
        <v>282696</v>
      </c>
      <c r="R393" s="133">
        <f t="shared" si="76"/>
        <v>472</v>
      </c>
      <c r="S393" s="8">
        <v>5192</v>
      </c>
      <c r="T393" s="8">
        <v>5237</v>
      </c>
      <c r="U393" s="133">
        <f t="shared" si="80"/>
        <v>45</v>
      </c>
      <c r="V393" s="8">
        <v>294903</v>
      </c>
      <c r="W393" s="8">
        <v>295281</v>
      </c>
      <c r="X393" s="13">
        <f t="shared" si="68"/>
        <v>378</v>
      </c>
      <c r="Y393" s="54">
        <v>16471</v>
      </c>
      <c r="Z393" s="54">
        <v>16486</v>
      </c>
      <c r="AA393" s="13">
        <f t="shared" si="78"/>
        <v>15</v>
      </c>
      <c r="AB393" s="8">
        <v>191439</v>
      </c>
      <c r="AC393" s="8">
        <v>191490</v>
      </c>
      <c r="AD393" s="13">
        <f t="shared" si="83"/>
        <v>51</v>
      </c>
      <c r="AE393" s="135"/>
      <c r="AF393" s="135"/>
      <c r="AG393" s="135"/>
      <c r="AH393" s="136"/>
      <c r="AI393" s="50">
        <f t="shared" si="81"/>
        <v>910</v>
      </c>
    </row>
    <row r="394" spans="1:35">
      <c r="A394" s="12">
        <v>44769</v>
      </c>
      <c r="B394" s="8">
        <v>1705889</v>
      </c>
      <c r="C394" s="8">
        <v>1706594</v>
      </c>
      <c r="D394" s="13">
        <f t="shared" si="79"/>
        <v>705</v>
      </c>
      <c r="E394" s="70">
        <v>101479</v>
      </c>
      <c r="F394" s="70">
        <v>101769</v>
      </c>
      <c r="G394" s="133">
        <f t="shared" si="82"/>
        <v>290</v>
      </c>
      <c r="H394" s="8">
        <v>186907</v>
      </c>
      <c r="I394" s="8">
        <v>186907</v>
      </c>
      <c r="J394" s="13">
        <f t="shared" si="74"/>
        <v>0</v>
      </c>
      <c r="K394" s="138"/>
      <c r="L394" s="8">
        <v>464027</v>
      </c>
      <c r="M394" s="8">
        <v>465222</v>
      </c>
      <c r="N394" s="13">
        <f t="shared" si="77"/>
        <v>1195</v>
      </c>
      <c r="O394" s="136"/>
      <c r="P394" s="8">
        <v>282696</v>
      </c>
      <c r="Q394" s="8">
        <v>283169</v>
      </c>
      <c r="R394" s="133">
        <f t="shared" si="76"/>
        <v>473</v>
      </c>
      <c r="S394" s="8">
        <v>5237</v>
      </c>
      <c r="T394" s="8">
        <v>5294</v>
      </c>
      <c r="U394" s="133">
        <f t="shared" si="80"/>
        <v>57</v>
      </c>
      <c r="V394" s="8">
        <v>295281</v>
      </c>
      <c r="W394" s="8">
        <v>295721</v>
      </c>
      <c r="X394" s="13">
        <f t="shared" si="68"/>
        <v>440</v>
      </c>
      <c r="Y394" s="54">
        <v>16486</v>
      </c>
      <c r="Z394" s="54">
        <v>16515</v>
      </c>
      <c r="AA394" s="13">
        <f t="shared" si="78"/>
        <v>29</v>
      </c>
      <c r="AB394" s="8">
        <v>191490</v>
      </c>
      <c r="AC394" s="8">
        <v>191590</v>
      </c>
      <c r="AD394" s="13">
        <f t="shared" si="83"/>
        <v>100</v>
      </c>
      <c r="AE394" s="135"/>
      <c r="AF394" s="135"/>
      <c r="AG394" s="135"/>
      <c r="AH394" s="136"/>
      <c r="AI394" s="50">
        <f t="shared" si="81"/>
        <v>999</v>
      </c>
    </row>
    <row r="395" spans="1:35">
      <c r="A395" s="12">
        <v>44770</v>
      </c>
      <c r="B395" s="8">
        <v>1706594</v>
      </c>
      <c r="C395" s="8">
        <v>1707212</v>
      </c>
      <c r="D395" s="13">
        <f t="shared" si="79"/>
        <v>618</v>
      </c>
      <c r="E395" s="70">
        <v>101769</v>
      </c>
      <c r="F395" s="70">
        <v>102112</v>
      </c>
      <c r="G395" s="133">
        <f t="shared" si="82"/>
        <v>343</v>
      </c>
      <c r="H395" s="8">
        <v>186907</v>
      </c>
      <c r="I395" s="8">
        <v>186907</v>
      </c>
      <c r="J395" s="13">
        <f t="shared" si="74"/>
        <v>0</v>
      </c>
      <c r="K395" s="138"/>
      <c r="L395" s="8">
        <v>465222</v>
      </c>
      <c r="M395" s="8">
        <v>466204</v>
      </c>
      <c r="N395" s="13">
        <f t="shared" si="77"/>
        <v>982</v>
      </c>
      <c r="O395" s="136"/>
      <c r="P395" s="8">
        <v>283169</v>
      </c>
      <c r="Q395" s="8">
        <v>283577</v>
      </c>
      <c r="R395" s="133">
        <f t="shared" si="76"/>
        <v>408</v>
      </c>
      <c r="S395" s="8">
        <v>5294</v>
      </c>
      <c r="T395" s="8">
        <v>5330</v>
      </c>
      <c r="U395" s="133">
        <f t="shared" si="80"/>
        <v>36</v>
      </c>
      <c r="V395" s="8">
        <v>295721</v>
      </c>
      <c r="W395" s="8">
        <v>296391</v>
      </c>
      <c r="X395" s="13">
        <f t="shared" si="68"/>
        <v>670</v>
      </c>
      <c r="Y395" s="54">
        <v>16515</v>
      </c>
      <c r="Z395" s="54">
        <v>16536</v>
      </c>
      <c r="AA395" s="13">
        <f t="shared" si="78"/>
        <v>21</v>
      </c>
      <c r="AB395" s="8">
        <v>191590</v>
      </c>
      <c r="AC395" s="8">
        <v>191607</v>
      </c>
      <c r="AD395" s="13">
        <f t="shared" si="83"/>
        <v>17</v>
      </c>
      <c r="AE395" s="135"/>
      <c r="AF395" s="135"/>
      <c r="AG395" s="135"/>
      <c r="AH395" s="136"/>
      <c r="AI395" s="50">
        <f t="shared" si="81"/>
        <v>1135</v>
      </c>
    </row>
    <row r="396" spans="1:35">
      <c r="A396" s="12">
        <v>44771</v>
      </c>
      <c r="B396" s="8">
        <v>1707212</v>
      </c>
      <c r="C396" s="8">
        <v>1708212</v>
      </c>
      <c r="D396" s="13">
        <f t="shared" si="79"/>
        <v>1000</v>
      </c>
      <c r="E396" s="70">
        <v>102112</v>
      </c>
      <c r="F396" s="70">
        <v>102522</v>
      </c>
      <c r="G396" s="133">
        <f t="shared" si="82"/>
        <v>410</v>
      </c>
      <c r="H396" s="8">
        <v>186907</v>
      </c>
      <c r="I396" s="8">
        <v>186907</v>
      </c>
      <c r="J396" s="13">
        <f t="shared" si="74"/>
        <v>0</v>
      </c>
      <c r="K396" s="138"/>
      <c r="L396" s="8">
        <v>466204</v>
      </c>
      <c r="M396" s="8">
        <v>467494</v>
      </c>
      <c r="N396" s="13">
        <f t="shared" si="77"/>
        <v>1290</v>
      </c>
      <c r="O396" s="136"/>
      <c r="P396" s="8">
        <v>283577</v>
      </c>
      <c r="Q396" s="8">
        <v>284106</v>
      </c>
      <c r="R396" s="133">
        <f t="shared" si="76"/>
        <v>529</v>
      </c>
      <c r="S396" s="8">
        <v>5330</v>
      </c>
      <c r="T396" s="8">
        <v>5374</v>
      </c>
      <c r="U396" s="133">
        <f t="shared" si="80"/>
        <v>44</v>
      </c>
      <c r="V396" s="8">
        <v>296391</v>
      </c>
      <c r="W396" s="8">
        <v>296721</v>
      </c>
      <c r="X396" s="13">
        <f t="shared" ref="X396:X460" si="84">W396-V396</f>
        <v>330</v>
      </c>
      <c r="Y396" s="54">
        <v>16536</v>
      </c>
      <c r="Z396" s="54">
        <v>16556</v>
      </c>
      <c r="AA396" s="13">
        <f t="shared" si="78"/>
        <v>20</v>
      </c>
      <c r="AB396" s="8">
        <v>191607</v>
      </c>
      <c r="AC396" s="8">
        <v>191675</v>
      </c>
      <c r="AD396" s="13">
        <f t="shared" si="83"/>
        <v>68</v>
      </c>
      <c r="AE396" s="135"/>
      <c r="AF396" s="135"/>
      <c r="AG396" s="135"/>
      <c r="AH396" s="136"/>
      <c r="AI396" s="50">
        <f t="shared" si="81"/>
        <v>923</v>
      </c>
    </row>
    <row r="397" spans="1:35">
      <c r="A397" s="12">
        <v>44772</v>
      </c>
      <c r="B397" s="8">
        <v>1708212</v>
      </c>
      <c r="C397" s="8">
        <v>1708879</v>
      </c>
      <c r="D397" s="13">
        <f t="shared" si="79"/>
        <v>667</v>
      </c>
      <c r="E397" s="70">
        <v>102522</v>
      </c>
      <c r="F397" s="70">
        <v>102884</v>
      </c>
      <c r="G397" s="133">
        <f t="shared" si="82"/>
        <v>362</v>
      </c>
      <c r="H397" s="8">
        <v>186907</v>
      </c>
      <c r="I397" s="8">
        <v>186907</v>
      </c>
      <c r="J397" s="13">
        <f t="shared" si="74"/>
        <v>0</v>
      </c>
      <c r="K397" s="138"/>
      <c r="L397" s="8">
        <v>467494</v>
      </c>
      <c r="M397" s="8">
        <v>468554</v>
      </c>
      <c r="N397" s="13">
        <f t="shared" si="77"/>
        <v>1060</v>
      </c>
      <c r="O397" s="136"/>
      <c r="P397" s="8">
        <v>284106</v>
      </c>
      <c r="Q397" s="8">
        <v>284655</v>
      </c>
      <c r="R397" s="133">
        <f t="shared" si="76"/>
        <v>549</v>
      </c>
      <c r="S397" s="8">
        <v>5374</v>
      </c>
      <c r="T397" s="8">
        <v>5426</v>
      </c>
      <c r="U397" s="133">
        <f t="shared" si="80"/>
        <v>52</v>
      </c>
      <c r="V397" s="8">
        <v>296721</v>
      </c>
      <c r="W397" s="8">
        <v>297044</v>
      </c>
      <c r="X397" s="13">
        <f t="shared" si="84"/>
        <v>323</v>
      </c>
      <c r="Y397" s="54">
        <v>16556</v>
      </c>
      <c r="Z397" s="8">
        <v>16591</v>
      </c>
      <c r="AA397" s="13">
        <f t="shared" si="78"/>
        <v>35</v>
      </c>
      <c r="AB397" s="8">
        <v>191675</v>
      </c>
      <c r="AC397" s="8">
        <v>191759</v>
      </c>
      <c r="AD397" s="13">
        <f t="shared" si="83"/>
        <v>84</v>
      </c>
      <c r="AE397" s="135"/>
      <c r="AF397" s="135"/>
      <c r="AG397" s="135"/>
      <c r="AH397" s="136"/>
      <c r="AI397" s="50">
        <f t="shared" si="81"/>
        <v>959</v>
      </c>
    </row>
    <row r="398" spans="1:35">
      <c r="A398" s="12">
        <v>44773</v>
      </c>
      <c r="B398" s="8">
        <v>1708879</v>
      </c>
      <c r="C398" s="8">
        <v>1709976</v>
      </c>
      <c r="D398" s="13">
        <f t="shared" si="79"/>
        <v>1097</v>
      </c>
      <c r="E398" s="70">
        <v>102884</v>
      </c>
      <c r="F398" s="70">
        <v>103211</v>
      </c>
      <c r="G398" s="133">
        <f t="shared" si="82"/>
        <v>327</v>
      </c>
      <c r="H398" s="8">
        <v>186907</v>
      </c>
      <c r="I398" s="8">
        <v>186907</v>
      </c>
      <c r="J398" s="13">
        <f t="shared" si="74"/>
        <v>0</v>
      </c>
      <c r="K398" s="138"/>
      <c r="L398" s="8">
        <v>468554</v>
      </c>
      <c r="M398" s="8">
        <v>469597</v>
      </c>
      <c r="N398" s="13">
        <f t="shared" si="77"/>
        <v>1043</v>
      </c>
      <c r="O398" s="136"/>
      <c r="P398" s="8">
        <v>284655</v>
      </c>
      <c r="Q398" s="8">
        <v>285082</v>
      </c>
      <c r="R398" s="133">
        <f t="shared" si="76"/>
        <v>427</v>
      </c>
      <c r="S398" s="8">
        <v>5426</v>
      </c>
      <c r="T398" s="8">
        <v>5476</v>
      </c>
      <c r="U398" s="133">
        <f t="shared" si="80"/>
        <v>50</v>
      </c>
      <c r="V398" s="8">
        <v>297044</v>
      </c>
      <c r="W398" s="8">
        <v>297371</v>
      </c>
      <c r="X398" s="13">
        <f t="shared" si="84"/>
        <v>327</v>
      </c>
      <c r="Y398" s="8">
        <v>16591</v>
      </c>
      <c r="Z398" s="8">
        <v>16612</v>
      </c>
      <c r="AA398" s="13">
        <f t="shared" si="78"/>
        <v>21</v>
      </c>
      <c r="AB398" s="8">
        <v>191759</v>
      </c>
      <c r="AC398" s="8">
        <v>191811</v>
      </c>
      <c r="AD398" s="13">
        <f t="shared" si="83"/>
        <v>52</v>
      </c>
      <c r="AE398" s="135"/>
      <c r="AF398" s="135"/>
      <c r="AG398" s="135"/>
      <c r="AH398" s="136"/>
      <c r="AI398" s="50">
        <f t="shared" si="81"/>
        <v>825</v>
      </c>
    </row>
    <row r="399" spans="1:35">
      <c r="A399" s="12">
        <v>44774</v>
      </c>
      <c r="B399" s="8">
        <v>1709976</v>
      </c>
      <c r="C399" s="8">
        <v>1710744</v>
      </c>
      <c r="D399" s="13">
        <f t="shared" si="79"/>
        <v>768</v>
      </c>
      <c r="E399" s="70">
        <v>103211</v>
      </c>
      <c r="F399" s="70">
        <v>103434</v>
      </c>
      <c r="G399" s="133">
        <f t="shared" si="82"/>
        <v>223</v>
      </c>
      <c r="H399" s="8">
        <v>186907</v>
      </c>
      <c r="I399" s="8">
        <v>186907</v>
      </c>
      <c r="J399" s="13">
        <f t="shared" si="74"/>
        <v>0</v>
      </c>
      <c r="K399" s="138"/>
      <c r="L399" s="8">
        <v>469597</v>
      </c>
      <c r="M399" s="8">
        <v>470662</v>
      </c>
      <c r="N399" s="13">
        <f t="shared" si="77"/>
        <v>1065</v>
      </c>
      <c r="O399" s="136"/>
      <c r="P399" s="8">
        <v>285082</v>
      </c>
      <c r="Q399" s="8">
        <v>285501</v>
      </c>
      <c r="R399" s="133">
        <f t="shared" si="76"/>
        <v>419</v>
      </c>
      <c r="S399" s="8">
        <v>5476</v>
      </c>
      <c r="T399" s="8">
        <v>5521</v>
      </c>
      <c r="U399" s="133">
        <f t="shared" si="80"/>
        <v>45</v>
      </c>
      <c r="V399" s="8">
        <v>297371</v>
      </c>
      <c r="W399" s="8">
        <v>297675</v>
      </c>
      <c r="X399" s="13">
        <f t="shared" si="84"/>
        <v>304</v>
      </c>
      <c r="Y399" s="8">
        <v>16612</v>
      </c>
      <c r="Z399" s="8">
        <v>16629</v>
      </c>
      <c r="AA399" s="13">
        <f t="shared" si="78"/>
        <v>17</v>
      </c>
      <c r="AB399" s="8">
        <v>191811</v>
      </c>
      <c r="AC399" s="8">
        <v>191878</v>
      </c>
      <c r="AD399" s="13">
        <f t="shared" si="83"/>
        <v>67</v>
      </c>
      <c r="AE399" s="135"/>
      <c r="AF399" s="135"/>
      <c r="AG399" s="135"/>
      <c r="AH399" s="136"/>
      <c r="AI399" s="50">
        <f t="shared" si="81"/>
        <v>785</v>
      </c>
    </row>
    <row r="400" spans="1:35">
      <c r="A400" s="12">
        <v>44775</v>
      </c>
      <c r="B400" s="8">
        <v>1710744</v>
      </c>
      <c r="C400" s="8">
        <v>1711664</v>
      </c>
      <c r="D400" s="13">
        <f t="shared" si="79"/>
        <v>920</v>
      </c>
      <c r="E400" s="70">
        <v>103434</v>
      </c>
      <c r="F400" s="70">
        <v>103515</v>
      </c>
      <c r="G400" s="133">
        <f t="shared" si="82"/>
        <v>81</v>
      </c>
      <c r="H400" s="8">
        <v>186907</v>
      </c>
      <c r="I400" s="8">
        <v>186907</v>
      </c>
      <c r="J400" s="13">
        <f t="shared" si="74"/>
        <v>0</v>
      </c>
      <c r="K400" s="138"/>
      <c r="L400" s="8">
        <v>470662</v>
      </c>
      <c r="M400" s="8">
        <v>471753</v>
      </c>
      <c r="N400" s="13">
        <f t="shared" si="77"/>
        <v>1091</v>
      </c>
      <c r="O400" s="136"/>
      <c r="P400" s="8">
        <v>285501</v>
      </c>
      <c r="Q400" s="8">
        <v>285920</v>
      </c>
      <c r="R400" s="133">
        <f t="shared" si="76"/>
        <v>419</v>
      </c>
      <c r="S400" s="8">
        <v>5521</v>
      </c>
      <c r="T400" s="8">
        <v>5555</v>
      </c>
      <c r="U400" s="133">
        <f t="shared" si="80"/>
        <v>34</v>
      </c>
      <c r="V400" s="8">
        <v>297675</v>
      </c>
      <c r="W400" s="8">
        <v>297989</v>
      </c>
      <c r="X400" s="13">
        <f t="shared" si="84"/>
        <v>314</v>
      </c>
      <c r="Y400" s="8">
        <v>16629</v>
      </c>
      <c r="Z400" s="8">
        <v>16648</v>
      </c>
      <c r="AA400" s="13">
        <f t="shared" si="78"/>
        <v>19</v>
      </c>
      <c r="AB400" s="8">
        <v>191878</v>
      </c>
      <c r="AC400" s="8">
        <v>191948</v>
      </c>
      <c r="AD400" s="13">
        <f t="shared" si="83"/>
        <v>70</v>
      </c>
      <c r="AE400" s="135"/>
      <c r="AF400" s="135"/>
      <c r="AG400" s="135"/>
      <c r="AH400" s="136"/>
      <c r="AI400" s="50">
        <f t="shared" si="81"/>
        <v>786</v>
      </c>
    </row>
    <row r="401" spans="1:35">
      <c r="A401" s="12">
        <v>44776</v>
      </c>
      <c r="B401" s="8">
        <v>1711664</v>
      </c>
      <c r="C401" s="8">
        <v>1712613</v>
      </c>
      <c r="D401" s="13">
        <f t="shared" si="79"/>
        <v>949</v>
      </c>
      <c r="E401" s="70">
        <v>103515</v>
      </c>
      <c r="F401" s="70">
        <v>103805</v>
      </c>
      <c r="G401" s="133">
        <f t="shared" si="82"/>
        <v>290</v>
      </c>
      <c r="H401" s="8">
        <v>186907</v>
      </c>
      <c r="I401" s="8">
        <v>186907</v>
      </c>
      <c r="J401" s="13">
        <f t="shared" si="74"/>
        <v>0</v>
      </c>
      <c r="K401" s="138"/>
      <c r="L401" s="8">
        <v>471753</v>
      </c>
      <c r="M401" s="8">
        <v>472917</v>
      </c>
      <c r="N401" s="13">
        <f t="shared" si="77"/>
        <v>1164</v>
      </c>
      <c r="O401" s="136"/>
      <c r="P401" s="8">
        <v>285920</v>
      </c>
      <c r="Q401" s="8">
        <v>286408</v>
      </c>
      <c r="R401" s="133">
        <f t="shared" si="76"/>
        <v>488</v>
      </c>
      <c r="S401" s="8">
        <v>5555</v>
      </c>
      <c r="T401" s="8">
        <v>5611</v>
      </c>
      <c r="U401" s="133">
        <f t="shared" si="80"/>
        <v>56</v>
      </c>
      <c r="V401" s="8">
        <v>297989</v>
      </c>
      <c r="W401" s="8">
        <v>298325</v>
      </c>
      <c r="X401" s="13">
        <f t="shared" si="84"/>
        <v>336</v>
      </c>
      <c r="Y401" s="8">
        <v>16648</v>
      </c>
      <c r="Z401" s="8">
        <v>16674</v>
      </c>
      <c r="AA401" s="13">
        <f t="shared" si="78"/>
        <v>26</v>
      </c>
      <c r="AB401" s="8">
        <v>191948</v>
      </c>
      <c r="AC401" s="8">
        <v>192013</v>
      </c>
      <c r="AD401" s="13">
        <f t="shared" si="83"/>
        <v>65</v>
      </c>
      <c r="AE401" s="135"/>
      <c r="AF401" s="135"/>
      <c r="AG401" s="135"/>
      <c r="AH401" s="136"/>
      <c r="AI401" s="50">
        <f t="shared" si="81"/>
        <v>906</v>
      </c>
    </row>
    <row r="402" spans="1:35">
      <c r="A402" s="12">
        <v>44777</v>
      </c>
      <c r="B402" s="8">
        <v>1712613</v>
      </c>
      <c r="C402" s="8">
        <v>1713751</v>
      </c>
      <c r="D402" s="13">
        <f t="shared" si="79"/>
        <v>1138</v>
      </c>
      <c r="E402" s="70">
        <v>103805</v>
      </c>
      <c r="F402" s="70">
        <v>103827</v>
      </c>
      <c r="G402" s="133">
        <f t="shared" si="82"/>
        <v>22</v>
      </c>
      <c r="H402" s="8">
        <v>186907</v>
      </c>
      <c r="I402" s="8">
        <v>186907</v>
      </c>
      <c r="J402" s="13">
        <f t="shared" si="74"/>
        <v>0</v>
      </c>
      <c r="K402" s="138"/>
      <c r="L402" s="8">
        <v>471753</v>
      </c>
      <c r="M402" s="8">
        <v>474176</v>
      </c>
      <c r="N402" s="13">
        <f t="shared" si="77"/>
        <v>2423</v>
      </c>
      <c r="O402" s="136"/>
      <c r="P402" s="8">
        <v>286408</v>
      </c>
      <c r="Q402" s="8">
        <v>286910</v>
      </c>
      <c r="R402" s="133">
        <f t="shared" si="76"/>
        <v>502</v>
      </c>
      <c r="S402" s="8">
        <v>5611</v>
      </c>
      <c r="T402" s="8">
        <v>5670</v>
      </c>
      <c r="U402" s="133">
        <f t="shared" si="80"/>
        <v>59</v>
      </c>
      <c r="V402" s="8">
        <v>298325</v>
      </c>
      <c r="W402" s="8">
        <v>298719</v>
      </c>
      <c r="X402" s="13">
        <f t="shared" si="84"/>
        <v>394</v>
      </c>
      <c r="Y402" s="8">
        <v>16674</v>
      </c>
      <c r="Z402" s="8">
        <v>16693</v>
      </c>
      <c r="AA402" s="13">
        <f t="shared" si="78"/>
        <v>19</v>
      </c>
      <c r="AB402" s="8">
        <v>192013</v>
      </c>
      <c r="AC402" s="8">
        <v>192077</v>
      </c>
      <c r="AD402" s="13">
        <f t="shared" si="83"/>
        <v>64</v>
      </c>
      <c r="AE402" s="135"/>
      <c r="AF402" s="135"/>
      <c r="AG402" s="135"/>
      <c r="AH402" s="136"/>
      <c r="AI402" s="50">
        <f t="shared" si="81"/>
        <v>974</v>
      </c>
    </row>
    <row r="403" spans="1:35">
      <c r="A403" s="12">
        <v>44778</v>
      </c>
      <c r="B403" s="8">
        <v>1713751</v>
      </c>
      <c r="C403" s="8">
        <v>1714755</v>
      </c>
      <c r="D403" s="13">
        <f t="shared" si="79"/>
        <v>1004</v>
      </c>
      <c r="E403" s="70">
        <v>103827</v>
      </c>
      <c r="F403" s="70">
        <v>104100</v>
      </c>
      <c r="G403" s="133">
        <f t="shared" si="82"/>
        <v>273</v>
      </c>
      <c r="H403" s="8">
        <v>186907</v>
      </c>
      <c r="I403" s="8">
        <v>186907</v>
      </c>
      <c r="J403" s="13">
        <f t="shared" si="74"/>
        <v>0</v>
      </c>
      <c r="K403" s="138"/>
      <c r="L403" s="8">
        <v>474176</v>
      </c>
      <c r="M403" s="8">
        <v>475295</v>
      </c>
      <c r="N403" s="13">
        <f t="shared" si="77"/>
        <v>1119</v>
      </c>
      <c r="O403" s="136"/>
      <c r="P403" s="8">
        <v>286910</v>
      </c>
      <c r="Q403" s="8">
        <v>287422</v>
      </c>
      <c r="R403" s="133">
        <f t="shared" si="76"/>
        <v>512</v>
      </c>
      <c r="S403" s="8">
        <v>5670</v>
      </c>
      <c r="T403" s="8">
        <v>5734</v>
      </c>
      <c r="U403" s="133">
        <f t="shared" si="80"/>
        <v>64</v>
      </c>
      <c r="V403" s="8">
        <v>298719</v>
      </c>
      <c r="W403" s="8">
        <v>299165</v>
      </c>
      <c r="X403" s="13">
        <f t="shared" si="84"/>
        <v>446</v>
      </c>
      <c r="Y403" s="8">
        <v>16693</v>
      </c>
      <c r="Z403" s="8">
        <v>16721</v>
      </c>
      <c r="AA403" s="13">
        <f t="shared" si="78"/>
        <v>28</v>
      </c>
      <c r="AB403" s="8">
        <v>192077</v>
      </c>
      <c r="AC403" s="8">
        <v>192133</v>
      </c>
      <c r="AD403" s="13">
        <f t="shared" si="83"/>
        <v>56</v>
      </c>
      <c r="AE403" s="135"/>
      <c r="AF403" s="135"/>
      <c r="AG403" s="135"/>
      <c r="AH403" s="136"/>
      <c r="AI403" s="50">
        <f t="shared" si="81"/>
        <v>1050</v>
      </c>
    </row>
    <row r="404" spans="1:35">
      <c r="A404" s="12">
        <v>44779</v>
      </c>
      <c r="B404" s="8">
        <v>1714755</v>
      </c>
      <c r="C404" s="54">
        <v>1715714</v>
      </c>
      <c r="D404" s="13">
        <f t="shared" si="79"/>
        <v>959</v>
      </c>
      <c r="E404" s="70">
        <v>104100</v>
      </c>
      <c r="F404" s="69">
        <v>104424</v>
      </c>
      <c r="G404" s="133">
        <f t="shared" si="82"/>
        <v>324</v>
      </c>
      <c r="H404" s="8">
        <v>186907</v>
      </c>
      <c r="I404" s="8">
        <v>186907</v>
      </c>
      <c r="J404" s="13">
        <f t="shared" si="74"/>
        <v>0</v>
      </c>
      <c r="K404" s="138"/>
      <c r="L404" s="8">
        <v>475295</v>
      </c>
      <c r="M404" s="54">
        <v>476574</v>
      </c>
      <c r="N404" s="13">
        <f t="shared" si="77"/>
        <v>1279</v>
      </c>
      <c r="O404" s="136"/>
      <c r="P404" s="8">
        <v>287422</v>
      </c>
      <c r="Q404" s="54">
        <v>288002</v>
      </c>
      <c r="R404" s="133">
        <f t="shared" si="76"/>
        <v>580</v>
      </c>
      <c r="S404" s="8">
        <v>5734</v>
      </c>
      <c r="T404" s="54">
        <v>5798</v>
      </c>
      <c r="U404" s="133">
        <f t="shared" si="80"/>
        <v>64</v>
      </c>
      <c r="V404" s="8">
        <v>299165</v>
      </c>
      <c r="W404" s="8">
        <v>299510</v>
      </c>
      <c r="X404" s="13">
        <f t="shared" si="84"/>
        <v>345</v>
      </c>
      <c r="Y404" s="8">
        <v>16721</v>
      </c>
      <c r="Z404" s="8">
        <v>16742</v>
      </c>
      <c r="AA404" s="13">
        <f t="shared" si="78"/>
        <v>21</v>
      </c>
      <c r="AB404" s="8">
        <v>192133</v>
      </c>
      <c r="AC404" s="54">
        <v>192185</v>
      </c>
      <c r="AD404" s="13">
        <f t="shared" si="83"/>
        <v>52</v>
      </c>
      <c r="AE404" s="135"/>
      <c r="AF404" s="135"/>
      <c r="AG404" s="135"/>
      <c r="AH404" s="136"/>
      <c r="AI404" s="50">
        <f t="shared" si="81"/>
        <v>1010</v>
      </c>
    </row>
    <row r="405" spans="1:35">
      <c r="A405" s="12">
        <v>44780</v>
      </c>
      <c r="B405" s="54">
        <v>1715714</v>
      </c>
      <c r="C405" s="54">
        <v>1716751</v>
      </c>
      <c r="D405" s="13">
        <f t="shared" si="79"/>
        <v>1037</v>
      </c>
      <c r="E405" s="69">
        <v>104424</v>
      </c>
      <c r="F405" s="69">
        <v>104570</v>
      </c>
      <c r="G405" s="133">
        <f t="shared" si="82"/>
        <v>146</v>
      </c>
      <c r="H405" s="8">
        <v>186907</v>
      </c>
      <c r="I405" s="8">
        <v>186907</v>
      </c>
      <c r="J405" s="13">
        <f t="shared" si="74"/>
        <v>0</v>
      </c>
      <c r="K405" s="138"/>
      <c r="L405" s="54">
        <v>476574</v>
      </c>
      <c r="M405" s="8">
        <v>477882</v>
      </c>
      <c r="N405" s="13">
        <f t="shared" si="77"/>
        <v>1308</v>
      </c>
      <c r="O405" s="136"/>
      <c r="P405" s="54">
        <v>288002</v>
      </c>
      <c r="Q405" s="54">
        <v>288408</v>
      </c>
      <c r="R405" s="133">
        <f t="shared" si="76"/>
        <v>406</v>
      </c>
      <c r="S405" s="54">
        <v>5798</v>
      </c>
      <c r="T405" s="8">
        <v>5852</v>
      </c>
      <c r="U405" s="133">
        <f t="shared" si="80"/>
        <v>54</v>
      </c>
      <c r="V405" s="8">
        <v>299510</v>
      </c>
      <c r="W405" s="8">
        <v>299988</v>
      </c>
      <c r="X405" s="13">
        <f t="shared" si="84"/>
        <v>478</v>
      </c>
      <c r="Y405" s="8">
        <v>16742</v>
      </c>
      <c r="Z405" s="8">
        <v>16786</v>
      </c>
      <c r="AA405" s="13">
        <f t="shared" si="78"/>
        <v>44</v>
      </c>
      <c r="AB405" s="54">
        <v>192185</v>
      </c>
      <c r="AC405" s="8">
        <v>192240</v>
      </c>
      <c r="AD405" s="13">
        <f t="shared" si="83"/>
        <v>55</v>
      </c>
      <c r="AE405" s="135"/>
      <c r="AF405" s="135"/>
      <c r="AG405" s="135"/>
      <c r="AH405" s="136"/>
      <c r="AI405" s="50">
        <f t="shared" si="81"/>
        <v>982</v>
      </c>
    </row>
    <row r="406" spans="1:35">
      <c r="A406" s="12">
        <v>44781</v>
      </c>
      <c r="B406" s="54">
        <v>1716751</v>
      </c>
      <c r="C406" s="54">
        <v>1717572</v>
      </c>
      <c r="D406" s="13">
        <f t="shared" si="79"/>
        <v>821</v>
      </c>
      <c r="E406" s="69">
        <v>0</v>
      </c>
      <c r="F406" s="77">
        <v>567</v>
      </c>
      <c r="G406" s="133">
        <f t="shared" si="82"/>
        <v>567</v>
      </c>
      <c r="H406" s="8">
        <v>186907</v>
      </c>
      <c r="I406" s="8">
        <v>186907</v>
      </c>
      <c r="J406" s="13">
        <f t="shared" si="74"/>
        <v>0</v>
      </c>
      <c r="K406" s="138"/>
      <c r="L406" s="8">
        <v>477882</v>
      </c>
      <c r="M406" s="8">
        <v>479021</v>
      </c>
      <c r="N406" s="13">
        <f t="shared" si="77"/>
        <v>1139</v>
      </c>
      <c r="O406" s="136"/>
      <c r="P406" s="54">
        <v>288408</v>
      </c>
      <c r="Q406" s="54">
        <v>288956</v>
      </c>
      <c r="R406" s="133">
        <f t="shared" si="76"/>
        <v>548</v>
      </c>
      <c r="S406" s="8">
        <v>5852</v>
      </c>
      <c r="T406" s="8">
        <v>5883</v>
      </c>
      <c r="U406" s="133">
        <f t="shared" si="80"/>
        <v>31</v>
      </c>
      <c r="V406" s="8">
        <v>299988</v>
      </c>
      <c r="W406" s="8">
        <v>300312</v>
      </c>
      <c r="X406" s="13">
        <f t="shared" si="84"/>
        <v>324</v>
      </c>
      <c r="Y406" s="8">
        <v>16786</v>
      </c>
      <c r="Z406" s="8">
        <v>16804</v>
      </c>
      <c r="AA406" s="13">
        <f t="shared" si="78"/>
        <v>18</v>
      </c>
      <c r="AB406" s="8">
        <v>192240</v>
      </c>
      <c r="AC406" s="8">
        <v>192343</v>
      </c>
      <c r="AD406" s="13">
        <f t="shared" si="83"/>
        <v>103</v>
      </c>
      <c r="AE406" s="135"/>
      <c r="AF406" s="135"/>
      <c r="AG406" s="135"/>
      <c r="AH406" s="136"/>
      <c r="AI406" s="50">
        <f t="shared" si="81"/>
        <v>921</v>
      </c>
    </row>
    <row r="407" spans="1:35">
      <c r="A407" s="12">
        <v>44782</v>
      </c>
      <c r="B407" s="54">
        <v>1717572</v>
      </c>
      <c r="C407" s="8">
        <v>1718557</v>
      </c>
      <c r="D407" s="13">
        <f t="shared" si="79"/>
        <v>985</v>
      </c>
      <c r="E407" s="77">
        <v>567</v>
      </c>
      <c r="F407" s="69">
        <v>856</v>
      </c>
      <c r="G407" s="133">
        <f t="shared" si="82"/>
        <v>289</v>
      </c>
      <c r="H407" s="8">
        <v>186907</v>
      </c>
      <c r="I407" s="8">
        <v>186907</v>
      </c>
      <c r="J407" s="13">
        <f t="shared" si="74"/>
        <v>0</v>
      </c>
      <c r="K407" s="138"/>
      <c r="L407" s="8">
        <v>479021</v>
      </c>
      <c r="M407" s="8">
        <v>479906</v>
      </c>
      <c r="N407" s="13">
        <f t="shared" si="77"/>
        <v>885</v>
      </c>
      <c r="O407" s="136"/>
      <c r="P407" s="54">
        <v>288956</v>
      </c>
      <c r="Q407" s="8">
        <v>289274</v>
      </c>
      <c r="R407" s="133">
        <f t="shared" si="76"/>
        <v>318</v>
      </c>
      <c r="S407" s="8">
        <v>5883</v>
      </c>
      <c r="T407" s="8">
        <v>5912</v>
      </c>
      <c r="U407" s="133">
        <f t="shared" si="80"/>
        <v>29</v>
      </c>
      <c r="V407" s="8">
        <v>300312</v>
      </c>
      <c r="W407" s="8">
        <v>300768</v>
      </c>
      <c r="X407" s="13">
        <f t="shared" si="84"/>
        <v>456</v>
      </c>
      <c r="Y407" s="8">
        <v>16804</v>
      </c>
      <c r="Z407" s="8">
        <v>16840</v>
      </c>
      <c r="AA407" s="13">
        <f t="shared" si="78"/>
        <v>36</v>
      </c>
      <c r="AB407" s="8">
        <v>192343</v>
      </c>
      <c r="AC407" s="8">
        <v>192343</v>
      </c>
      <c r="AD407" s="13">
        <f t="shared" si="83"/>
        <v>0</v>
      </c>
      <c r="AE407" s="135"/>
      <c r="AF407" s="135"/>
      <c r="AG407" s="135"/>
      <c r="AH407" s="136"/>
      <c r="AI407" s="50">
        <f t="shared" si="81"/>
        <v>839</v>
      </c>
    </row>
    <row r="408" spans="1:35">
      <c r="A408" s="12">
        <v>44783</v>
      </c>
      <c r="B408" s="8">
        <v>1718557</v>
      </c>
      <c r="C408" s="8">
        <v>1719614</v>
      </c>
      <c r="D408" s="13">
        <f t="shared" si="79"/>
        <v>1057</v>
      </c>
      <c r="E408" s="69">
        <v>856</v>
      </c>
      <c r="F408" s="69">
        <v>1330</v>
      </c>
      <c r="G408" s="133">
        <f t="shared" si="82"/>
        <v>474</v>
      </c>
      <c r="H408" s="8">
        <v>186907</v>
      </c>
      <c r="I408" s="8">
        <v>186907</v>
      </c>
      <c r="J408" s="13">
        <f t="shared" si="74"/>
        <v>0</v>
      </c>
      <c r="K408" s="138"/>
      <c r="L408" s="8">
        <v>479906</v>
      </c>
      <c r="M408" s="8">
        <v>481133</v>
      </c>
      <c r="N408" s="13">
        <f t="shared" si="77"/>
        <v>1227</v>
      </c>
      <c r="O408" s="136"/>
      <c r="P408" s="54">
        <v>289274</v>
      </c>
      <c r="Q408" s="54">
        <v>289708</v>
      </c>
      <c r="R408" s="133">
        <f t="shared" si="76"/>
        <v>434</v>
      </c>
      <c r="S408" s="8">
        <v>5912</v>
      </c>
      <c r="T408" s="8">
        <v>5975</v>
      </c>
      <c r="U408" s="133">
        <f t="shared" si="80"/>
        <v>63</v>
      </c>
      <c r="V408" s="8">
        <v>300768</v>
      </c>
      <c r="W408" s="8">
        <v>301072</v>
      </c>
      <c r="X408" s="13">
        <f t="shared" si="84"/>
        <v>304</v>
      </c>
      <c r="Y408" s="8">
        <v>16840</v>
      </c>
      <c r="Z408" s="8">
        <v>16861</v>
      </c>
      <c r="AA408" s="13">
        <f t="shared" si="78"/>
        <v>21</v>
      </c>
      <c r="AB408" s="8">
        <v>192343</v>
      </c>
      <c r="AC408" s="8">
        <v>192394</v>
      </c>
      <c r="AD408" s="13">
        <f t="shared" si="83"/>
        <v>51</v>
      </c>
      <c r="AE408" s="135"/>
      <c r="AF408" s="135"/>
      <c r="AG408" s="135"/>
      <c r="AH408" s="136"/>
      <c r="AI408" s="50">
        <f t="shared" si="81"/>
        <v>822</v>
      </c>
    </row>
    <row r="409" spans="1:35">
      <c r="A409" s="12">
        <v>44784</v>
      </c>
      <c r="B409" s="8">
        <v>1719614</v>
      </c>
      <c r="C409" s="8">
        <v>1720623</v>
      </c>
      <c r="D409" s="13">
        <f t="shared" si="79"/>
        <v>1009</v>
      </c>
      <c r="E409" s="69">
        <v>1330</v>
      </c>
      <c r="F409" s="69">
        <v>1989</v>
      </c>
      <c r="G409" s="133">
        <f t="shared" si="82"/>
        <v>659</v>
      </c>
      <c r="H409" s="8">
        <v>186907</v>
      </c>
      <c r="I409" s="54">
        <v>186907</v>
      </c>
      <c r="J409" s="13">
        <f t="shared" si="74"/>
        <v>0</v>
      </c>
      <c r="K409" s="138"/>
      <c r="L409" s="8">
        <v>481133</v>
      </c>
      <c r="M409" s="8">
        <v>482245</v>
      </c>
      <c r="N409" s="13">
        <f t="shared" si="77"/>
        <v>1112</v>
      </c>
      <c r="O409" s="136"/>
      <c r="P409" s="54">
        <v>289708</v>
      </c>
      <c r="Q409" s="54">
        <v>290079</v>
      </c>
      <c r="R409" s="133">
        <f t="shared" si="76"/>
        <v>371</v>
      </c>
      <c r="S409" s="8">
        <v>5975</v>
      </c>
      <c r="T409" s="8">
        <v>6020</v>
      </c>
      <c r="U409" s="133">
        <f t="shared" si="80"/>
        <v>45</v>
      </c>
      <c r="V409" s="8">
        <v>301072</v>
      </c>
      <c r="W409" s="8">
        <v>301423</v>
      </c>
      <c r="X409" s="13">
        <f t="shared" si="84"/>
        <v>351</v>
      </c>
      <c r="Y409" s="8">
        <v>16861</v>
      </c>
      <c r="Z409" s="8">
        <v>16923</v>
      </c>
      <c r="AA409" s="13">
        <f t="shared" si="78"/>
        <v>62</v>
      </c>
      <c r="AB409" s="8">
        <v>192394</v>
      </c>
      <c r="AC409" s="8">
        <v>192451</v>
      </c>
      <c r="AD409" s="13">
        <f t="shared" si="83"/>
        <v>57</v>
      </c>
      <c r="AE409" s="135"/>
      <c r="AF409" s="135"/>
      <c r="AG409" s="135"/>
      <c r="AH409" s="136"/>
      <c r="AI409" s="50">
        <f t="shared" si="81"/>
        <v>829</v>
      </c>
    </row>
    <row r="410" spans="1:35">
      <c r="A410" s="12">
        <v>44785</v>
      </c>
      <c r="B410" s="8">
        <v>1720623</v>
      </c>
      <c r="C410" s="8">
        <v>1721584</v>
      </c>
      <c r="D410" s="13">
        <f t="shared" si="79"/>
        <v>961</v>
      </c>
      <c r="E410" s="69">
        <v>1989</v>
      </c>
      <c r="F410" s="69">
        <v>2727</v>
      </c>
      <c r="G410" s="133">
        <f t="shared" si="82"/>
        <v>738</v>
      </c>
      <c r="H410" s="54">
        <v>186907</v>
      </c>
      <c r="I410" s="54">
        <v>186907</v>
      </c>
      <c r="J410" s="13">
        <f t="shared" si="74"/>
        <v>0</v>
      </c>
      <c r="K410" s="138"/>
      <c r="L410" s="8">
        <v>482245</v>
      </c>
      <c r="M410" s="8">
        <v>483431</v>
      </c>
      <c r="N410" s="13">
        <f t="shared" si="77"/>
        <v>1186</v>
      </c>
      <c r="O410" s="136"/>
      <c r="P410" s="54">
        <v>290079</v>
      </c>
      <c r="Q410" s="8">
        <v>290521</v>
      </c>
      <c r="R410" s="133">
        <f t="shared" si="76"/>
        <v>442</v>
      </c>
      <c r="S410" s="8">
        <v>6020</v>
      </c>
      <c r="T410" s="8">
        <v>6070</v>
      </c>
      <c r="U410" s="133">
        <f t="shared" si="80"/>
        <v>50</v>
      </c>
      <c r="V410" s="8">
        <v>301423</v>
      </c>
      <c r="W410" s="8">
        <v>301737</v>
      </c>
      <c r="X410" s="13">
        <f t="shared" si="84"/>
        <v>314</v>
      </c>
      <c r="Y410" s="8">
        <v>16923</v>
      </c>
      <c r="Z410" s="8">
        <v>16944</v>
      </c>
      <c r="AA410" s="13">
        <f t="shared" si="78"/>
        <v>21</v>
      </c>
      <c r="AB410" s="8">
        <v>192511</v>
      </c>
      <c r="AC410" s="8">
        <v>192511</v>
      </c>
      <c r="AD410" s="13">
        <f t="shared" si="83"/>
        <v>0</v>
      </c>
      <c r="AE410" s="135"/>
      <c r="AF410" s="135"/>
      <c r="AG410" s="135"/>
      <c r="AH410" s="136"/>
      <c r="AI410" s="50">
        <f t="shared" si="81"/>
        <v>827</v>
      </c>
    </row>
    <row r="411" spans="1:35">
      <c r="A411" s="12">
        <v>44786</v>
      </c>
      <c r="B411" s="8">
        <v>1721584</v>
      </c>
      <c r="C411" s="8">
        <v>1722417</v>
      </c>
      <c r="D411" s="13">
        <f t="shared" si="79"/>
        <v>833</v>
      </c>
      <c r="E411" s="69">
        <v>2727</v>
      </c>
      <c r="F411" s="69">
        <v>3389</v>
      </c>
      <c r="G411" s="133">
        <f t="shared" si="82"/>
        <v>662</v>
      </c>
      <c r="H411" s="54">
        <v>186907</v>
      </c>
      <c r="I411" s="54">
        <v>186907</v>
      </c>
      <c r="J411" s="13">
        <f t="shared" si="74"/>
        <v>0</v>
      </c>
      <c r="K411" s="138"/>
      <c r="L411" s="8">
        <v>483431</v>
      </c>
      <c r="M411" s="8">
        <v>484706</v>
      </c>
      <c r="N411" s="13">
        <f t="shared" si="77"/>
        <v>1275</v>
      </c>
      <c r="O411" s="136"/>
      <c r="P411" s="8">
        <v>290521</v>
      </c>
      <c r="Q411" s="8">
        <v>291025</v>
      </c>
      <c r="R411" s="133">
        <f t="shared" si="76"/>
        <v>504</v>
      </c>
      <c r="S411" s="8">
        <v>6070</v>
      </c>
      <c r="T411" s="8">
        <v>6127</v>
      </c>
      <c r="U411" s="133">
        <f t="shared" si="80"/>
        <v>57</v>
      </c>
      <c r="V411" s="8">
        <v>301737</v>
      </c>
      <c r="W411" s="8">
        <v>302177</v>
      </c>
      <c r="X411" s="13">
        <f t="shared" si="84"/>
        <v>440</v>
      </c>
      <c r="Y411" s="8">
        <v>16944</v>
      </c>
      <c r="Z411" s="8">
        <v>16997</v>
      </c>
      <c r="AA411" s="13">
        <f t="shared" si="78"/>
        <v>53</v>
      </c>
      <c r="AB411" s="8">
        <v>192511</v>
      </c>
      <c r="AC411" s="8">
        <v>192572</v>
      </c>
      <c r="AD411" s="13">
        <f t="shared" si="83"/>
        <v>61</v>
      </c>
      <c r="AE411" s="135"/>
      <c r="AF411" s="135"/>
      <c r="AG411" s="135"/>
      <c r="AH411" s="136"/>
      <c r="AI411" s="50">
        <f t="shared" si="81"/>
        <v>1054</v>
      </c>
    </row>
    <row r="412" spans="1:35">
      <c r="A412" s="12">
        <v>44787</v>
      </c>
      <c r="B412" s="8">
        <v>1722417</v>
      </c>
      <c r="C412" s="8">
        <v>1723184</v>
      </c>
      <c r="D412" s="13">
        <f t="shared" si="79"/>
        <v>767</v>
      </c>
      <c r="E412" s="69">
        <v>3389</v>
      </c>
      <c r="F412" s="69">
        <v>4043</v>
      </c>
      <c r="G412" s="133">
        <f t="shared" si="82"/>
        <v>654</v>
      </c>
      <c r="H412" s="54">
        <v>186907</v>
      </c>
      <c r="I412" s="54">
        <v>186907</v>
      </c>
      <c r="J412" s="13">
        <f t="shared" si="74"/>
        <v>0</v>
      </c>
      <c r="K412" s="138"/>
      <c r="L412" s="8">
        <v>484706</v>
      </c>
      <c r="M412" s="8">
        <v>485784</v>
      </c>
      <c r="N412" s="13">
        <f t="shared" si="77"/>
        <v>1078</v>
      </c>
      <c r="O412" s="136"/>
      <c r="P412" s="8">
        <v>291025</v>
      </c>
      <c r="Q412" s="8">
        <v>291414</v>
      </c>
      <c r="R412" s="133">
        <f t="shared" si="76"/>
        <v>389</v>
      </c>
      <c r="S412" s="8">
        <v>6127</v>
      </c>
      <c r="T412" s="8">
        <v>6182</v>
      </c>
      <c r="U412" s="133">
        <f t="shared" si="80"/>
        <v>55</v>
      </c>
      <c r="V412" s="8">
        <v>302177</v>
      </c>
      <c r="W412" s="8">
        <v>302513</v>
      </c>
      <c r="X412" s="13">
        <f t="shared" si="84"/>
        <v>336</v>
      </c>
      <c r="Y412" s="8">
        <v>16997</v>
      </c>
      <c r="Z412" s="8">
        <v>17023</v>
      </c>
      <c r="AA412" s="13">
        <f t="shared" si="78"/>
        <v>26</v>
      </c>
      <c r="AB412" s="8">
        <v>192572</v>
      </c>
      <c r="AC412" s="8">
        <v>192602</v>
      </c>
      <c r="AD412" s="13">
        <f t="shared" si="83"/>
        <v>30</v>
      </c>
      <c r="AE412" s="135"/>
      <c r="AF412" s="135"/>
      <c r="AG412" s="135"/>
      <c r="AH412" s="136"/>
      <c r="AI412" s="50">
        <f t="shared" si="81"/>
        <v>806</v>
      </c>
    </row>
    <row r="413" spans="1:35">
      <c r="A413" s="12">
        <v>44788</v>
      </c>
      <c r="B413" s="8">
        <v>1723184</v>
      </c>
      <c r="C413" s="8">
        <v>1723186</v>
      </c>
      <c r="D413" s="13">
        <f t="shared" si="79"/>
        <v>2</v>
      </c>
      <c r="E413" s="69">
        <v>4043</v>
      </c>
      <c r="F413" s="69">
        <v>4856</v>
      </c>
      <c r="G413" s="133">
        <f t="shared" si="82"/>
        <v>813</v>
      </c>
      <c r="H413" s="54">
        <v>186907</v>
      </c>
      <c r="I413" s="54">
        <v>186907</v>
      </c>
      <c r="J413" s="13">
        <f t="shared" si="74"/>
        <v>0</v>
      </c>
      <c r="K413" s="138"/>
      <c r="L413" s="8">
        <v>485784</v>
      </c>
      <c r="M413" s="8">
        <v>487024</v>
      </c>
      <c r="N413" s="13">
        <f t="shared" si="77"/>
        <v>1240</v>
      </c>
      <c r="O413" s="136"/>
      <c r="P413" s="8">
        <v>291414</v>
      </c>
      <c r="Q413" s="8">
        <v>291841</v>
      </c>
      <c r="R413" s="133">
        <f t="shared" si="76"/>
        <v>427</v>
      </c>
      <c r="S413" s="8">
        <v>6182</v>
      </c>
      <c r="T413" s="8">
        <v>6234</v>
      </c>
      <c r="U413" s="133">
        <f t="shared" si="80"/>
        <v>52</v>
      </c>
      <c r="V413" s="8">
        <v>302513</v>
      </c>
      <c r="W413" s="8">
        <v>302590</v>
      </c>
      <c r="X413" s="13">
        <f t="shared" si="84"/>
        <v>77</v>
      </c>
      <c r="Y413" s="8">
        <v>17023</v>
      </c>
      <c r="Z413" s="8">
        <v>17034</v>
      </c>
      <c r="AA413" s="13">
        <f t="shared" si="78"/>
        <v>11</v>
      </c>
      <c r="AB413" s="8">
        <v>192602</v>
      </c>
      <c r="AC413" s="8">
        <v>192625</v>
      </c>
      <c r="AD413" s="13">
        <f t="shared" si="83"/>
        <v>23</v>
      </c>
      <c r="AE413" s="135"/>
      <c r="AF413" s="135"/>
      <c r="AG413" s="135"/>
      <c r="AH413" s="136"/>
      <c r="AI413" s="50">
        <f t="shared" si="81"/>
        <v>567</v>
      </c>
    </row>
    <row r="414" spans="1:35">
      <c r="A414" s="12">
        <v>44789</v>
      </c>
      <c r="B414" s="8">
        <v>1723186</v>
      </c>
      <c r="C414" s="8">
        <v>1723334</v>
      </c>
      <c r="D414" s="13">
        <f t="shared" si="79"/>
        <v>148</v>
      </c>
      <c r="E414" s="69">
        <v>4856</v>
      </c>
      <c r="F414" s="69">
        <v>5627</v>
      </c>
      <c r="G414" s="133">
        <f t="shared" si="82"/>
        <v>771</v>
      </c>
      <c r="H414" s="54">
        <v>186907</v>
      </c>
      <c r="I414" s="54">
        <v>186907</v>
      </c>
      <c r="J414" s="13">
        <f t="shared" si="74"/>
        <v>0</v>
      </c>
      <c r="K414" s="138"/>
      <c r="L414" s="8">
        <v>487024</v>
      </c>
      <c r="M414" s="8">
        <v>488056</v>
      </c>
      <c r="N414" s="13">
        <f t="shared" si="77"/>
        <v>1032</v>
      </c>
      <c r="O414" s="136"/>
      <c r="P414" s="8">
        <v>291841</v>
      </c>
      <c r="Q414" s="8">
        <v>292230</v>
      </c>
      <c r="R414" s="133">
        <f t="shared" si="76"/>
        <v>389</v>
      </c>
      <c r="S414" s="8">
        <v>6234</v>
      </c>
      <c r="T414" s="8">
        <v>6262</v>
      </c>
      <c r="U414" s="133">
        <f t="shared" si="80"/>
        <v>28</v>
      </c>
      <c r="V414" s="8">
        <v>302590</v>
      </c>
      <c r="W414" s="8">
        <v>302724</v>
      </c>
      <c r="X414" s="13">
        <f t="shared" si="84"/>
        <v>134</v>
      </c>
      <c r="Y414" s="8">
        <v>17034</v>
      </c>
      <c r="Z414" s="8">
        <v>17053</v>
      </c>
      <c r="AA414" s="13">
        <f t="shared" si="78"/>
        <v>19</v>
      </c>
      <c r="AB414" s="8">
        <v>192625</v>
      </c>
      <c r="AC414" s="8">
        <v>192660</v>
      </c>
      <c r="AD414" s="13">
        <f t="shared" si="83"/>
        <v>35</v>
      </c>
      <c r="AE414" s="135"/>
      <c r="AF414" s="135"/>
      <c r="AG414" s="135"/>
      <c r="AH414" s="136"/>
      <c r="AI414" s="50">
        <f t="shared" si="81"/>
        <v>570</v>
      </c>
    </row>
    <row r="415" spans="1:35">
      <c r="A415" s="12">
        <v>44790</v>
      </c>
      <c r="B415" s="8">
        <v>1723334</v>
      </c>
      <c r="C415" s="8">
        <v>1724081</v>
      </c>
      <c r="D415" s="13">
        <f t="shared" si="79"/>
        <v>747</v>
      </c>
      <c r="E415" s="69">
        <v>5627</v>
      </c>
      <c r="F415" s="69">
        <v>6143</v>
      </c>
      <c r="G415" s="133">
        <f t="shared" si="82"/>
        <v>516</v>
      </c>
      <c r="H415" s="54">
        <v>186907</v>
      </c>
      <c r="I415" s="54">
        <v>186907</v>
      </c>
      <c r="J415" s="13">
        <f t="shared" si="74"/>
        <v>0</v>
      </c>
      <c r="K415" s="138"/>
      <c r="L415" s="8">
        <v>488056</v>
      </c>
      <c r="M415" s="8">
        <v>488892</v>
      </c>
      <c r="N415" s="13">
        <f t="shared" si="77"/>
        <v>836</v>
      </c>
      <c r="O415" s="136"/>
      <c r="P415" s="8">
        <v>292230</v>
      </c>
      <c r="Q415" s="8">
        <v>292506</v>
      </c>
      <c r="R415" s="133">
        <f t="shared" si="76"/>
        <v>276</v>
      </c>
      <c r="S415" s="8">
        <v>6262</v>
      </c>
      <c r="T415" s="8">
        <v>6307</v>
      </c>
      <c r="U415" s="133">
        <f t="shared" si="80"/>
        <v>45</v>
      </c>
      <c r="V415" s="8">
        <v>302724</v>
      </c>
      <c r="W415" s="8">
        <v>303180</v>
      </c>
      <c r="X415" s="13">
        <f t="shared" si="84"/>
        <v>456</v>
      </c>
      <c r="Y415" s="8">
        <v>17053</v>
      </c>
      <c r="Z415" s="8">
        <v>17072</v>
      </c>
      <c r="AA415" s="13">
        <f t="shared" si="78"/>
        <v>19</v>
      </c>
      <c r="AB415" s="8">
        <v>192660</v>
      </c>
      <c r="AC415" s="8">
        <v>192752</v>
      </c>
      <c r="AD415" s="13">
        <f t="shared" si="83"/>
        <v>92</v>
      </c>
      <c r="AE415" s="135"/>
      <c r="AF415" s="135"/>
      <c r="AG415" s="135"/>
      <c r="AH415" s="136"/>
      <c r="AI415" s="50">
        <f t="shared" si="81"/>
        <v>796</v>
      </c>
    </row>
    <row r="416" spans="1:35">
      <c r="A416" s="12">
        <v>44791</v>
      </c>
      <c r="B416" s="8">
        <v>1724081</v>
      </c>
      <c r="C416" s="8">
        <v>1725171</v>
      </c>
      <c r="D416" s="13">
        <f t="shared" si="79"/>
        <v>1090</v>
      </c>
      <c r="E416" s="69">
        <v>6143</v>
      </c>
      <c r="F416" s="69">
        <v>6884</v>
      </c>
      <c r="G416" s="133">
        <f t="shared" si="82"/>
        <v>741</v>
      </c>
      <c r="H416" s="54">
        <v>186907</v>
      </c>
      <c r="I416" s="54">
        <v>186907</v>
      </c>
      <c r="J416" s="13">
        <f t="shared" si="74"/>
        <v>0</v>
      </c>
      <c r="K416" s="138"/>
      <c r="L416" s="8">
        <v>488892</v>
      </c>
      <c r="M416" s="8">
        <v>489972</v>
      </c>
      <c r="N416" s="13">
        <f t="shared" si="77"/>
        <v>1080</v>
      </c>
      <c r="O416" s="136"/>
      <c r="P416" s="8">
        <v>292506</v>
      </c>
      <c r="Q416" s="8">
        <v>292946</v>
      </c>
      <c r="R416" s="133">
        <f t="shared" si="76"/>
        <v>440</v>
      </c>
      <c r="S416" s="8">
        <v>6307</v>
      </c>
      <c r="T416" s="8">
        <v>6352</v>
      </c>
      <c r="U416" s="133">
        <f t="shared" si="80"/>
        <v>45</v>
      </c>
      <c r="V416" s="8">
        <v>303180</v>
      </c>
      <c r="W416" s="8">
        <v>303438</v>
      </c>
      <c r="X416" s="13">
        <f t="shared" si="84"/>
        <v>258</v>
      </c>
      <c r="Y416" s="8">
        <v>17072</v>
      </c>
      <c r="Z416" s="8">
        <v>17093</v>
      </c>
      <c r="AA416" s="13">
        <f t="shared" si="78"/>
        <v>21</v>
      </c>
      <c r="AB416" s="8">
        <v>192752</v>
      </c>
      <c r="AC416" s="8">
        <v>192810</v>
      </c>
      <c r="AD416" s="13">
        <f t="shared" si="83"/>
        <v>58</v>
      </c>
      <c r="AE416" s="135"/>
      <c r="AF416" s="135"/>
      <c r="AG416" s="135"/>
      <c r="AH416" s="136"/>
      <c r="AI416" s="50">
        <f t="shared" si="81"/>
        <v>764</v>
      </c>
    </row>
    <row r="417" spans="1:35">
      <c r="A417" s="12">
        <v>44792</v>
      </c>
      <c r="B417" s="8">
        <v>1725171</v>
      </c>
      <c r="C417" s="8">
        <v>1726202</v>
      </c>
      <c r="D417" s="13">
        <f t="shared" si="79"/>
        <v>1031</v>
      </c>
      <c r="E417" s="69">
        <v>6884</v>
      </c>
      <c r="F417" s="69">
        <v>7599</v>
      </c>
      <c r="G417" s="133">
        <f t="shared" si="82"/>
        <v>715</v>
      </c>
      <c r="H417" s="54">
        <v>186907</v>
      </c>
      <c r="I417" s="54">
        <v>186907</v>
      </c>
      <c r="J417" s="13">
        <f t="shared" si="74"/>
        <v>0</v>
      </c>
      <c r="K417" s="138"/>
      <c r="L417" s="8">
        <v>489972</v>
      </c>
      <c r="M417" s="8">
        <v>491108</v>
      </c>
      <c r="N417" s="13">
        <f t="shared" si="77"/>
        <v>1136</v>
      </c>
      <c r="O417" s="136"/>
      <c r="P417" s="8">
        <v>292946</v>
      </c>
      <c r="Q417" s="8">
        <v>293377</v>
      </c>
      <c r="R417" s="133">
        <f t="shared" si="76"/>
        <v>431</v>
      </c>
      <c r="S417" s="8">
        <v>6352</v>
      </c>
      <c r="T417" s="8">
        <v>6394</v>
      </c>
      <c r="U417" s="133">
        <f t="shared" si="80"/>
        <v>42</v>
      </c>
      <c r="V417" s="8">
        <v>303438</v>
      </c>
      <c r="W417" s="8">
        <v>303920</v>
      </c>
      <c r="X417" s="13">
        <f t="shared" si="84"/>
        <v>482</v>
      </c>
      <c r="Y417" s="8">
        <v>17093</v>
      </c>
      <c r="Z417" s="8">
        <v>17113</v>
      </c>
      <c r="AA417" s="13">
        <f t="shared" si="78"/>
        <v>20</v>
      </c>
      <c r="AB417" s="8">
        <v>192810</v>
      </c>
      <c r="AC417" s="8">
        <v>192878</v>
      </c>
      <c r="AD417" s="13">
        <f t="shared" si="83"/>
        <v>68</v>
      </c>
      <c r="AE417" s="135"/>
      <c r="AF417" s="135"/>
      <c r="AG417" s="135"/>
      <c r="AH417" s="136"/>
      <c r="AI417" s="50">
        <f t="shared" si="81"/>
        <v>975</v>
      </c>
    </row>
    <row r="418" spans="1:35">
      <c r="A418" s="12">
        <v>44793</v>
      </c>
      <c r="B418" s="8">
        <v>1726202</v>
      </c>
      <c r="C418" s="8">
        <v>1727086</v>
      </c>
      <c r="D418" s="13">
        <f t="shared" si="79"/>
        <v>884</v>
      </c>
      <c r="E418" s="69">
        <v>7599</v>
      </c>
      <c r="F418" s="69">
        <v>8293</v>
      </c>
      <c r="G418" s="133">
        <f t="shared" si="82"/>
        <v>694</v>
      </c>
      <c r="H418" s="54">
        <v>186907</v>
      </c>
      <c r="I418" s="54">
        <v>186907</v>
      </c>
      <c r="J418" s="13">
        <f t="shared" si="74"/>
        <v>0</v>
      </c>
      <c r="K418" s="138"/>
      <c r="L418" s="8">
        <v>491108</v>
      </c>
      <c r="M418" s="8">
        <v>492266</v>
      </c>
      <c r="N418" s="13">
        <f t="shared" si="77"/>
        <v>1158</v>
      </c>
      <c r="O418" s="136"/>
      <c r="P418" s="8">
        <v>293377</v>
      </c>
      <c r="Q418" s="8">
        <v>293904</v>
      </c>
      <c r="R418" s="133">
        <f t="shared" si="76"/>
        <v>527</v>
      </c>
      <c r="S418" s="8">
        <v>6394</v>
      </c>
      <c r="T418" s="8">
        <v>6452</v>
      </c>
      <c r="U418" s="133">
        <f t="shared" si="80"/>
        <v>58</v>
      </c>
      <c r="V418" s="8">
        <v>303920</v>
      </c>
      <c r="W418" s="8">
        <v>304242</v>
      </c>
      <c r="X418" s="13">
        <f t="shared" si="84"/>
        <v>322</v>
      </c>
      <c r="Y418" s="8">
        <v>17113</v>
      </c>
      <c r="Z418" s="8">
        <v>17132</v>
      </c>
      <c r="AA418" s="13">
        <f t="shared" si="78"/>
        <v>19</v>
      </c>
      <c r="AB418" s="8">
        <v>192878</v>
      </c>
      <c r="AC418" s="8">
        <v>192952</v>
      </c>
      <c r="AD418" s="13">
        <f t="shared" si="83"/>
        <v>74</v>
      </c>
      <c r="AE418" s="135"/>
      <c r="AF418" s="135"/>
      <c r="AG418" s="135"/>
      <c r="AH418" s="136"/>
      <c r="AI418" s="50">
        <f t="shared" si="81"/>
        <v>926</v>
      </c>
    </row>
    <row r="419" spans="1:35">
      <c r="A419" s="12">
        <v>44794</v>
      </c>
      <c r="B419" s="8">
        <v>1727086</v>
      </c>
      <c r="C419" s="8">
        <v>1727571</v>
      </c>
      <c r="D419" s="13">
        <f t="shared" si="79"/>
        <v>485</v>
      </c>
      <c r="E419" s="69">
        <v>8293</v>
      </c>
      <c r="F419" s="69">
        <v>8759</v>
      </c>
      <c r="G419" s="133">
        <f t="shared" si="82"/>
        <v>466</v>
      </c>
      <c r="H419" s="54">
        <v>186907</v>
      </c>
      <c r="I419" s="54">
        <v>186907</v>
      </c>
      <c r="J419" s="13">
        <f t="shared" si="74"/>
        <v>0</v>
      </c>
      <c r="K419" s="138"/>
      <c r="L419" s="8">
        <v>492266</v>
      </c>
      <c r="M419" s="8">
        <v>493265</v>
      </c>
      <c r="N419" s="13">
        <f t="shared" si="77"/>
        <v>999</v>
      </c>
      <c r="O419" s="136"/>
      <c r="P419" s="8">
        <v>293904</v>
      </c>
      <c r="Q419" s="8">
        <v>294287</v>
      </c>
      <c r="R419" s="133">
        <f t="shared" si="76"/>
        <v>383</v>
      </c>
      <c r="S419" s="8">
        <v>6452</v>
      </c>
      <c r="T419" s="8">
        <v>6500</v>
      </c>
      <c r="U419" s="133">
        <f t="shared" si="80"/>
        <v>48</v>
      </c>
      <c r="V419" s="8">
        <v>304242</v>
      </c>
      <c r="W419" s="8">
        <v>304366</v>
      </c>
      <c r="X419" s="13">
        <f t="shared" si="84"/>
        <v>124</v>
      </c>
      <c r="Y419" s="8">
        <v>17132</v>
      </c>
      <c r="Z419" s="8">
        <v>17222</v>
      </c>
      <c r="AA419" s="13">
        <f t="shared" si="78"/>
        <v>90</v>
      </c>
      <c r="AB419" s="8">
        <v>192952</v>
      </c>
      <c r="AC419" s="8">
        <v>193049</v>
      </c>
      <c r="AD419" s="13">
        <f t="shared" si="83"/>
        <v>97</v>
      </c>
      <c r="AE419" s="135"/>
      <c r="AF419" s="135"/>
      <c r="AG419" s="135"/>
      <c r="AH419" s="136"/>
      <c r="AI419" s="50">
        <f t="shared" si="81"/>
        <v>645</v>
      </c>
    </row>
    <row r="420" spans="1:35">
      <c r="A420" s="12">
        <v>44795</v>
      </c>
      <c r="B420" s="8">
        <v>1727571</v>
      </c>
      <c r="C420" s="8">
        <v>1728495</v>
      </c>
      <c r="D420" s="13">
        <f t="shared" si="79"/>
        <v>924</v>
      </c>
      <c r="E420" s="69">
        <v>8759</v>
      </c>
      <c r="F420" s="69">
        <v>9293</v>
      </c>
      <c r="G420" s="133">
        <f t="shared" si="82"/>
        <v>534</v>
      </c>
      <c r="H420" s="54">
        <v>186907</v>
      </c>
      <c r="I420" s="54">
        <v>186907</v>
      </c>
      <c r="J420" s="13">
        <f t="shared" si="74"/>
        <v>0</v>
      </c>
      <c r="K420" s="138"/>
      <c r="L420" s="8">
        <v>493265</v>
      </c>
      <c r="M420" s="8">
        <v>494321</v>
      </c>
      <c r="N420" s="13">
        <f t="shared" si="77"/>
        <v>1056</v>
      </c>
      <c r="O420" s="136"/>
      <c r="P420" s="8">
        <v>294287</v>
      </c>
      <c r="Q420" s="8">
        <v>294758</v>
      </c>
      <c r="R420" s="133">
        <f t="shared" si="76"/>
        <v>471</v>
      </c>
      <c r="S420" s="8">
        <v>6500</v>
      </c>
      <c r="T420" s="8">
        <v>6530</v>
      </c>
      <c r="U420" s="133">
        <f t="shared" si="80"/>
        <v>30</v>
      </c>
      <c r="V420" s="8">
        <v>304366</v>
      </c>
      <c r="W420" s="8">
        <v>304671</v>
      </c>
      <c r="X420" s="13">
        <f t="shared" si="84"/>
        <v>305</v>
      </c>
      <c r="Y420" s="8">
        <v>17222</v>
      </c>
      <c r="Z420" s="8">
        <v>17240</v>
      </c>
      <c r="AA420" s="13">
        <f t="shared" si="78"/>
        <v>18</v>
      </c>
      <c r="AB420" s="8">
        <v>193049</v>
      </c>
      <c r="AC420" s="8">
        <v>193138</v>
      </c>
      <c r="AD420" s="13">
        <f t="shared" si="83"/>
        <v>89</v>
      </c>
      <c r="AE420" s="135"/>
      <c r="AF420" s="135"/>
      <c r="AG420" s="135"/>
      <c r="AH420" s="136"/>
      <c r="AI420" s="50">
        <f t="shared" si="81"/>
        <v>824</v>
      </c>
    </row>
    <row r="421" spans="1:35">
      <c r="A421" s="12">
        <v>44796</v>
      </c>
      <c r="B421" s="8">
        <v>1728495</v>
      </c>
      <c r="C421" s="8">
        <v>1729395</v>
      </c>
      <c r="D421" s="13">
        <f t="shared" si="79"/>
        <v>900</v>
      </c>
      <c r="E421" s="69">
        <v>9293</v>
      </c>
      <c r="F421" s="69">
        <v>9863</v>
      </c>
      <c r="G421" s="133">
        <f t="shared" si="82"/>
        <v>570</v>
      </c>
      <c r="H421" s="54">
        <v>186907</v>
      </c>
      <c r="I421" s="8">
        <v>186907</v>
      </c>
      <c r="J421" s="13">
        <f t="shared" si="74"/>
        <v>0</v>
      </c>
      <c r="K421" s="138"/>
      <c r="L421" s="8">
        <v>494321</v>
      </c>
      <c r="M421" s="8">
        <v>495305</v>
      </c>
      <c r="N421" s="13">
        <f t="shared" si="77"/>
        <v>984</v>
      </c>
      <c r="O421" s="136"/>
      <c r="P421" s="8">
        <v>294758</v>
      </c>
      <c r="Q421" s="8">
        <v>295174</v>
      </c>
      <c r="R421" s="133">
        <f t="shared" si="76"/>
        <v>416</v>
      </c>
      <c r="S421" s="8">
        <v>6530</v>
      </c>
      <c r="T421" s="8">
        <v>6573</v>
      </c>
      <c r="U421" s="133">
        <f t="shared" si="80"/>
        <v>43</v>
      </c>
      <c r="V421" s="8">
        <v>304671</v>
      </c>
      <c r="W421" s="8">
        <v>304943</v>
      </c>
      <c r="X421" s="13">
        <f t="shared" si="84"/>
        <v>272</v>
      </c>
      <c r="Y421" s="8">
        <v>17240</v>
      </c>
      <c r="Z421" s="8">
        <v>17261</v>
      </c>
      <c r="AA421" s="13">
        <f t="shared" si="78"/>
        <v>21</v>
      </c>
      <c r="AB421" s="8">
        <v>193138</v>
      </c>
      <c r="AC421" s="8">
        <v>193194</v>
      </c>
      <c r="AD421" s="13">
        <f t="shared" si="83"/>
        <v>56</v>
      </c>
      <c r="AE421" s="135"/>
      <c r="AF421" s="135"/>
      <c r="AG421" s="135"/>
      <c r="AH421" s="136"/>
      <c r="AI421" s="50">
        <f t="shared" si="81"/>
        <v>752</v>
      </c>
    </row>
    <row r="422" spans="1:35">
      <c r="A422" s="12">
        <v>44797</v>
      </c>
      <c r="B422" s="8">
        <v>1729395</v>
      </c>
      <c r="C422" s="8">
        <v>1729972</v>
      </c>
      <c r="D422" s="13">
        <f t="shared" si="79"/>
        <v>577</v>
      </c>
      <c r="E422" s="69">
        <v>9863</v>
      </c>
      <c r="F422" s="69">
        <v>10430</v>
      </c>
      <c r="G422" s="133">
        <f t="shared" si="82"/>
        <v>567</v>
      </c>
      <c r="H422" s="8">
        <v>186907</v>
      </c>
      <c r="I422" s="8">
        <v>186907</v>
      </c>
      <c r="J422" s="13">
        <f t="shared" si="74"/>
        <v>0</v>
      </c>
      <c r="K422" s="138"/>
      <c r="L422" s="8">
        <v>495305</v>
      </c>
      <c r="M422" s="8">
        <v>496432</v>
      </c>
      <c r="N422" s="13">
        <f t="shared" si="77"/>
        <v>1127</v>
      </c>
      <c r="O422" s="136"/>
      <c r="P422" s="8">
        <v>295174</v>
      </c>
      <c r="Q422" s="8">
        <v>295616</v>
      </c>
      <c r="R422" s="133">
        <f t="shared" si="76"/>
        <v>442</v>
      </c>
      <c r="S422" s="8">
        <v>6573</v>
      </c>
      <c r="T422" s="8">
        <v>6621</v>
      </c>
      <c r="U422" s="133">
        <f t="shared" si="80"/>
        <v>48</v>
      </c>
      <c r="V422" s="8">
        <v>304943</v>
      </c>
      <c r="W422" s="8">
        <v>305415</v>
      </c>
      <c r="X422" s="13">
        <f t="shared" si="84"/>
        <v>472</v>
      </c>
      <c r="Y422" s="8">
        <v>17261</v>
      </c>
      <c r="Z422" s="8">
        <v>17292</v>
      </c>
      <c r="AA422" s="13">
        <f t="shared" si="78"/>
        <v>31</v>
      </c>
      <c r="AB422" s="8">
        <v>193194</v>
      </c>
      <c r="AC422" s="8">
        <v>193276</v>
      </c>
      <c r="AD422" s="13">
        <f t="shared" si="83"/>
        <v>82</v>
      </c>
      <c r="AE422" s="135"/>
      <c r="AF422" s="135"/>
      <c r="AG422" s="135"/>
      <c r="AH422" s="136"/>
      <c r="AI422" s="50">
        <f t="shared" si="81"/>
        <v>993</v>
      </c>
    </row>
    <row r="423" spans="1:35">
      <c r="A423" s="12">
        <v>44798</v>
      </c>
      <c r="B423" s="8">
        <v>1729972</v>
      </c>
      <c r="C423" s="8">
        <v>1730268</v>
      </c>
      <c r="D423" s="13">
        <f t="shared" si="79"/>
        <v>296</v>
      </c>
      <c r="E423" s="69">
        <v>10430</v>
      </c>
      <c r="F423" s="69">
        <v>10864</v>
      </c>
      <c r="G423" s="133">
        <f t="shared" si="82"/>
        <v>434</v>
      </c>
      <c r="H423" s="8">
        <v>186907</v>
      </c>
      <c r="I423" s="8">
        <v>186907</v>
      </c>
      <c r="J423" s="13">
        <f t="shared" si="74"/>
        <v>0</v>
      </c>
      <c r="K423" s="138"/>
      <c r="L423" s="8">
        <v>496432</v>
      </c>
      <c r="M423" s="8">
        <v>497396</v>
      </c>
      <c r="N423" s="13">
        <f t="shared" si="77"/>
        <v>964</v>
      </c>
      <c r="O423" s="136"/>
      <c r="P423" s="8">
        <v>295616</v>
      </c>
      <c r="Q423" s="8">
        <v>296007</v>
      </c>
      <c r="R423" s="133">
        <f t="shared" si="76"/>
        <v>391</v>
      </c>
      <c r="S423" s="8">
        <v>6621</v>
      </c>
      <c r="T423" s="8">
        <v>6677</v>
      </c>
      <c r="U423" s="133">
        <f t="shared" si="80"/>
        <v>56</v>
      </c>
      <c r="V423" s="8">
        <v>305415</v>
      </c>
      <c r="W423" s="8">
        <v>305740</v>
      </c>
      <c r="X423" s="13">
        <f t="shared" si="84"/>
        <v>325</v>
      </c>
      <c r="Y423" s="8">
        <v>17292</v>
      </c>
      <c r="Z423" s="8">
        <v>17318</v>
      </c>
      <c r="AA423" s="13">
        <f t="shared" si="78"/>
        <v>26</v>
      </c>
      <c r="AB423" s="8">
        <v>193276</v>
      </c>
      <c r="AC423" s="8">
        <v>193308</v>
      </c>
      <c r="AD423" s="13">
        <f t="shared" si="83"/>
        <v>32</v>
      </c>
      <c r="AE423" s="135"/>
      <c r="AF423" s="135"/>
      <c r="AG423" s="135"/>
      <c r="AH423" s="136"/>
      <c r="AI423" s="50">
        <f t="shared" si="81"/>
        <v>798</v>
      </c>
    </row>
    <row r="424" spans="1:35">
      <c r="A424" s="12">
        <v>44799</v>
      </c>
      <c r="B424" s="8">
        <v>1730268</v>
      </c>
      <c r="C424" s="8">
        <v>1731079</v>
      </c>
      <c r="D424" s="13">
        <f t="shared" si="79"/>
        <v>811</v>
      </c>
      <c r="E424" s="69">
        <v>10864</v>
      </c>
      <c r="F424" s="69">
        <v>11702</v>
      </c>
      <c r="G424" s="133">
        <f t="shared" si="82"/>
        <v>838</v>
      </c>
      <c r="H424" s="8">
        <v>186907</v>
      </c>
      <c r="I424" s="8">
        <v>186907</v>
      </c>
      <c r="J424" s="13">
        <f t="shared" si="74"/>
        <v>0</v>
      </c>
      <c r="K424" s="138"/>
      <c r="L424" s="8">
        <v>497396</v>
      </c>
      <c r="M424" s="8">
        <v>498605</v>
      </c>
      <c r="N424" s="13">
        <f t="shared" si="77"/>
        <v>1209</v>
      </c>
      <c r="O424" s="136"/>
      <c r="P424" s="8">
        <v>296007</v>
      </c>
      <c r="Q424" s="8">
        <v>296433</v>
      </c>
      <c r="R424" s="133">
        <f t="shared" si="76"/>
        <v>426</v>
      </c>
      <c r="S424" s="8">
        <v>6677</v>
      </c>
      <c r="T424" s="8">
        <v>6749</v>
      </c>
      <c r="U424" s="133">
        <f t="shared" si="80"/>
        <v>72</v>
      </c>
      <c r="V424" s="8">
        <v>305740</v>
      </c>
      <c r="W424" s="8">
        <v>305966</v>
      </c>
      <c r="X424" s="13">
        <f t="shared" si="84"/>
        <v>226</v>
      </c>
      <c r="Y424" s="8">
        <v>17318</v>
      </c>
      <c r="Z424" s="8">
        <v>17341</v>
      </c>
      <c r="AA424" s="13">
        <f t="shared" si="78"/>
        <v>23</v>
      </c>
      <c r="AB424" s="8">
        <v>193308</v>
      </c>
      <c r="AC424" s="8">
        <v>193382</v>
      </c>
      <c r="AD424" s="13">
        <f t="shared" si="83"/>
        <v>74</v>
      </c>
      <c r="AE424" s="135"/>
      <c r="AF424" s="135"/>
      <c r="AG424" s="135"/>
      <c r="AH424" s="136"/>
      <c r="AI424" s="50">
        <f t="shared" si="81"/>
        <v>747</v>
      </c>
    </row>
    <row r="425" spans="1:35">
      <c r="A425" s="12">
        <v>44800</v>
      </c>
      <c r="B425" s="8">
        <v>1731079</v>
      </c>
      <c r="C425" s="8">
        <v>1731959</v>
      </c>
      <c r="D425" s="13">
        <f t="shared" si="79"/>
        <v>880</v>
      </c>
      <c r="E425" s="69">
        <v>11702</v>
      </c>
      <c r="F425" s="69">
        <v>12413</v>
      </c>
      <c r="G425" s="133">
        <f t="shared" si="82"/>
        <v>711</v>
      </c>
      <c r="H425" s="8">
        <v>186907</v>
      </c>
      <c r="I425" s="8">
        <v>186907</v>
      </c>
      <c r="J425" s="13">
        <f t="shared" si="74"/>
        <v>0</v>
      </c>
      <c r="K425" s="138"/>
      <c r="L425" s="8">
        <v>498605</v>
      </c>
      <c r="M425" s="8">
        <v>499329</v>
      </c>
      <c r="N425" s="13">
        <f t="shared" si="77"/>
        <v>724</v>
      </c>
      <c r="O425" s="136"/>
      <c r="P425" s="8">
        <v>296433</v>
      </c>
      <c r="Q425" s="8">
        <v>296886</v>
      </c>
      <c r="R425" s="133">
        <f t="shared" si="76"/>
        <v>453</v>
      </c>
      <c r="S425" s="8">
        <v>6749</v>
      </c>
      <c r="T425" s="8">
        <v>6819</v>
      </c>
      <c r="U425" s="133">
        <f t="shared" si="80"/>
        <v>70</v>
      </c>
      <c r="V425" s="8">
        <v>305966</v>
      </c>
      <c r="W425" s="8">
        <v>306272</v>
      </c>
      <c r="X425" s="13">
        <f t="shared" si="84"/>
        <v>306</v>
      </c>
      <c r="Y425" s="8">
        <v>17341</v>
      </c>
      <c r="Z425" s="8">
        <v>17362</v>
      </c>
      <c r="AA425" s="13">
        <f t="shared" si="78"/>
        <v>21</v>
      </c>
      <c r="AB425" s="8">
        <v>193382</v>
      </c>
      <c r="AC425" s="8">
        <v>193435</v>
      </c>
      <c r="AD425" s="13">
        <f t="shared" si="83"/>
        <v>53</v>
      </c>
      <c r="AE425" s="135"/>
      <c r="AF425" s="135"/>
      <c r="AG425" s="135"/>
      <c r="AH425" s="136"/>
      <c r="AI425" s="50">
        <f t="shared" si="81"/>
        <v>850</v>
      </c>
    </row>
    <row r="426" spans="1:35">
      <c r="A426" s="12">
        <v>44801</v>
      </c>
      <c r="B426" s="8">
        <v>1731959</v>
      </c>
      <c r="C426" s="8">
        <v>1732834</v>
      </c>
      <c r="D426" s="13">
        <f t="shared" si="79"/>
        <v>875</v>
      </c>
      <c r="E426" s="69">
        <v>12413</v>
      </c>
      <c r="F426" s="69">
        <v>12841</v>
      </c>
      <c r="G426" s="133">
        <f t="shared" si="82"/>
        <v>428</v>
      </c>
      <c r="H426" s="8">
        <v>186907</v>
      </c>
      <c r="I426" s="8">
        <v>186907</v>
      </c>
      <c r="J426" s="13">
        <f t="shared" si="74"/>
        <v>0</v>
      </c>
      <c r="K426" s="138"/>
      <c r="L426" s="8">
        <v>499329</v>
      </c>
      <c r="M426" s="8">
        <v>500174</v>
      </c>
      <c r="N426" s="13">
        <f t="shared" si="77"/>
        <v>845</v>
      </c>
      <c r="O426" s="136"/>
      <c r="P426" s="8">
        <v>296886</v>
      </c>
      <c r="Q426" s="8">
        <v>297237</v>
      </c>
      <c r="R426" s="133">
        <f t="shared" si="76"/>
        <v>351</v>
      </c>
      <c r="S426" s="8">
        <v>6819</v>
      </c>
      <c r="T426" s="8">
        <v>6862</v>
      </c>
      <c r="U426" s="133">
        <f t="shared" si="80"/>
        <v>43</v>
      </c>
      <c r="V426" s="8">
        <v>306272</v>
      </c>
      <c r="W426" s="8">
        <v>306451</v>
      </c>
      <c r="X426" s="13">
        <f t="shared" si="84"/>
        <v>179</v>
      </c>
      <c r="Y426" s="8">
        <v>17362</v>
      </c>
      <c r="Z426" s="8">
        <v>17377</v>
      </c>
      <c r="AA426" s="13">
        <f t="shared" si="78"/>
        <v>15</v>
      </c>
      <c r="AB426" s="8">
        <v>193435</v>
      </c>
      <c r="AC426" s="8">
        <v>193497</v>
      </c>
      <c r="AD426" s="13">
        <f t="shared" si="83"/>
        <v>62</v>
      </c>
      <c r="AE426" s="135"/>
      <c r="AF426" s="135"/>
      <c r="AG426" s="135"/>
      <c r="AH426" s="136"/>
      <c r="AI426" s="50">
        <f t="shared" si="81"/>
        <v>588</v>
      </c>
    </row>
    <row r="427" spans="1:35">
      <c r="A427" s="12">
        <v>44802</v>
      </c>
      <c r="B427" s="8">
        <v>1732834</v>
      </c>
      <c r="C427" s="8">
        <v>1733528</v>
      </c>
      <c r="D427" s="13">
        <f t="shared" si="79"/>
        <v>694</v>
      </c>
      <c r="E427" s="69">
        <v>12841</v>
      </c>
      <c r="F427" s="69">
        <v>13580</v>
      </c>
      <c r="G427" s="133">
        <f t="shared" si="82"/>
        <v>739</v>
      </c>
      <c r="H427" s="8">
        <v>186907</v>
      </c>
      <c r="I427" s="8">
        <v>186907</v>
      </c>
      <c r="J427" s="13">
        <f t="shared" ref="J427:J491" si="85">I427-H427</f>
        <v>0</v>
      </c>
      <c r="K427" s="138"/>
      <c r="L427" s="8">
        <v>500174</v>
      </c>
      <c r="M427" s="8">
        <v>501167</v>
      </c>
      <c r="N427" s="13">
        <f t="shared" si="77"/>
        <v>993</v>
      </c>
      <c r="O427" s="136"/>
      <c r="P427" s="8">
        <v>297237</v>
      </c>
      <c r="Q427" s="8">
        <v>297599</v>
      </c>
      <c r="R427" s="133">
        <f t="shared" si="76"/>
        <v>362</v>
      </c>
      <c r="S427" s="8">
        <v>6862</v>
      </c>
      <c r="T427" s="8">
        <v>6934</v>
      </c>
      <c r="U427" s="133">
        <f t="shared" si="80"/>
        <v>72</v>
      </c>
      <c r="V427" s="8">
        <v>306451</v>
      </c>
      <c r="W427" s="8">
        <v>307077</v>
      </c>
      <c r="X427" s="13">
        <f t="shared" si="84"/>
        <v>626</v>
      </c>
      <c r="Y427" s="8">
        <v>17377</v>
      </c>
      <c r="Z427" s="8">
        <v>17396</v>
      </c>
      <c r="AA427" s="13">
        <f t="shared" si="78"/>
        <v>19</v>
      </c>
      <c r="AB427" s="8">
        <v>193497</v>
      </c>
      <c r="AC427" s="8">
        <v>193546</v>
      </c>
      <c r="AD427" s="13">
        <f t="shared" si="83"/>
        <v>49</v>
      </c>
      <c r="AE427" s="135"/>
      <c r="AF427" s="135"/>
      <c r="AG427" s="135"/>
      <c r="AH427" s="136"/>
      <c r="AI427" s="50">
        <f t="shared" si="81"/>
        <v>1079</v>
      </c>
    </row>
    <row r="428" spans="1:35">
      <c r="A428" s="12">
        <v>44803</v>
      </c>
      <c r="B428" s="8">
        <v>1733528</v>
      </c>
      <c r="C428" s="8">
        <v>1734510</v>
      </c>
      <c r="D428" s="13">
        <f t="shared" si="79"/>
        <v>982</v>
      </c>
      <c r="E428" s="69">
        <v>13580</v>
      </c>
      <c r="F428" s="69">
        <v>14167</v>
      </c>
      <c r="G428" s="133">
        <f t="shared" si="82"/>
        <v>587</v>
      </c>
      <c r="H428" s="8">
        <v>186907</v>
      </c>
      <c r="I428" s="8">
        <v>186907</v>
      </c>
      <c r="J428" s="13">
        <f t="shared" si="85"/>
        <v>0</v>
      </c>
      <c r="K428" s="138"/>
      <c r="L428" s="8">
        <v>501167</v>
      </c>
      <c r="M428" s="8">
        <v>502167</v>
      </c>
      <c r="N428" s="13">
        <f t="shared" si="77"/>
        <v>1000</v>
      </c>
      <c r="O428" s="136"/>
      <c r="P428" s="8">
        <v>297599</v>
      </c>
      <c r="Q428" s="8">
        <v>298000</v>
      </c>
      <c r="R428" s="133">
        <f t="shared" si="76"/>
        <v>401</v>
      </c>
      <c r="S428" s="8">
        <v>6934</v>
      </c>
      <c r="T428" s="8">
        <v>6967</v>
      </c>
      <c r="U428" s="133">
        <f t="shared" si="80"/>
        <v>33</v>
      </c>
      <c r="V428" s="8">
        <v>307077</v>
      </c>
      <c r="W428" s="8">
        <v>307497</v>
      </c>
      <c r="X428" s="13">
        <f t="shared" si="84"/>
        <v>420</v>
      </c>
      <c r="Y428" s="8">
        <v>17396</v>
      </c>
      <c r="Z428" s="8">
        <v>17413</v>
      </c>
      <c r="AA428" s="13">
        <f t="shared" si="78"/>
        <v>17</v>
      </c>
      <c r="AB428" s="8">
        <v>193546</v>
      </c>
      <c r="AC428" s="8">
        <v>193599</v>
      </c>
      <c r="AD428" s="13">
        <f t="shared" si="83"/>
        <v>53</v>
      </c>
      <c r="AE428" s="135"/>
      <c r="AF428" s="135"/>
      <c r="AG428" s="135"/>
      <c r="AH428" s="136"/>
      <c r="AI428" s="50">
        <f t="shared" si="81"/>
        <v>871</v>
      </c>
    </row>
    <row r="429" spans="1:35">
      <c r="A429" s="12">
        <v>44804</v>
      </c>
      <c r="B429" s="8">
        <v>1734510</v>
      </c>
      <c r="C429" s="8">
        <v>1735224</v>
      </c>
      <c r="D429" s="13">
        <f t="shared" si="79"/>
        <v>714</v>
      </c>
      <c r="E429" s="69">
        <v>14167</v>
      </c>
      <c r="F429" s="69">
        <v>14683</v>
      </c>
      <c r="G429" s="133">
        <f t="shared" si="82"/>
        <v>516</v>
      </c>
      <c r="H429" s="8">
        <v>186907</v>
      </c>
      <c r="I429" s="8">
        <v>186907</v>
      </c>
      <c r="J429" s="13">
        <f t="shared" si="85"/>
        <v>0</v>
      </c>
      <c r="K429" s="138"/>
      <c r="L429" s="8">
        <v>502167</v>
      </c>
      <c r="M429" s="8">
        <v>503275</v>
      </c>
      <c r="N429" s="13">
        <f t="shared" si="77"/>
        <v>1108</v>
      </c>
      <c r="O429" s="136"/>
      <c r="P429" s="8">
        <v>298000</v>
      </c>
      <c r="Q429" s="8">
        <v>298443</v>
      </c>
      <c r="R429" s="133">
        <f t="shared" si="76"/>
        <v>443</v>
      </c>
      <c r="S429" s="8">
        <v>6967</v>
      </c>
      <c r="T429" s="8">
        <v>7010</v>
      </c>
      <c r="U429" s="133">
        <f t="shared" si="80"/>
        <v>43</v>
      </c>
      <c r="V429" s="8">
        <v>307497</v>
      </c>
      <c r="W429" s="8">
        <v>307831</v>
      </c>
      <c r="X429" s="13">
        <f t="shared" si="84"/>
        <v>334</v>
      </c>
      <c r="Y429" s="8">
        <v>17413</v>
      </c>
      <c r="Z429" s="8">
        <v>17432</v>
      </c>
      <c r="AA429" s="13">
        <f t="shared" si="78"/>
        <v>19</v>
      </c>
      <c r="AB429" s="8">
        <v>193599</v>
      </c>
      <c r="AC429" s="8">
        <v>193652</v>
      </c>
      <c r="AD429" s="13">
        <f t="shared" si="83"/>
        <v>53</v>
      </c>
      <c r="AE429" s="135"/>
      <c r="AF429" s="135"/>
      <c r="AG429" s="135"/>
      <c r="AH429" s="136"/>
      <c r="AI429" s="50">
        <f t="shared" si="81"/>
        <v>839</v>
      </c>
    </row>
    <row r="430" spans="1:35">
      <c r="A430" s="12">
        <v>44805</v>
      </c>
      <c r="B430" s="8">
        <v>1735224</v>
      </c>
      <c r="C430" s="8">
        <v>1735918</v>
      </c>
      <c r="D430" s="13">
        <f t="shared" si="79"/>
        <v>694</v>
      </c>
      <c r="E430" s="69">
        <v>14683</v>
      </c>
      <c r="F430" s="69">
        <v>15148</v>
      </c>
      <c r="G430" s="133">
        <f t="shared" si="82"/>
        <v>465</v>
      </c>
      <c r="H430" s="8">
        <v>186907</v>
      </c>
      <c r="I430" s="8">
        <v>186907</v>
      </c>
      <c r="J430" s="13">
        <f t="shared" si="85"/>
        <v>0</v>
      </c>
      <c r="K430" s="138"/>
      <c r="L430" s="8">
        <v>503275</v>
      </c>
      <c r="M430" s="8">
        <v>503904</v>
      </c>
      <c r="N430" s="13">
        <f t="shared" si="77"/>
        <v>629</v>
      </c>
      <c r="O430" s="136"/>
      <c r="P430" s="8">
        <v>298443</v>
      </c>
      <c r="Q430" s="8">
        <v>298690</v>
      </c>
      <c r="R430" s="133">
        <f t="shared" ref="R430:R494" si="86">Q430-P430</f>
        <v>247</v>
      </c>
      <c r="S430" s="8">
        <v>7010</v>
      </c>
      <c r="T430" s="8">
        <v>7042</v>
      </c>
      <c r="U430" s="133">
        <f t="shared" si="80"/>
        <v>32</v>
      </c>
      <c r="V430" s="8">
        <v>307831</v>
      </c>
      <c r="W430" s="8">
        <v>308304</v>
      </c>
      <c r="X430" s="13">
        <f t="shared" si="84"/>
        <v>473</v>
      </c>
      <c r="Y430" s="8">
        <v>17432</v>
      </c>
      <c r="Z430" s="8">
        <v>17450</v>
      </c>
      <c r="AA430" s="13">
        <f t="shared" si="78"/>
        <v>18</v>
      </c>
      <c r="AB430" s="8">
        <v>193652</v>
      </c>
      <c r="AC430" s="8">
        <v>193724</v>
      </c>
      <c r="AD430" s="13">
        <f t="shared" si="83"/>
        <v>72</v>
      </c>
      <c r="AE430" s="135"/>
      <c r="AF430" s="135"/>
      <c r="AG430" s="135"/>
      <c r="AH430" s="136"/>
      <c r="AI430" s="50">
        <f t="shared" si="81"/>
        <v>770</v>
      </c>
    </row>
    <row r="431" spans="1:35">
      <c r="A431" s="12">
        <v>44806</v>
      </c>
      <c r="B431" s="8">
        <v>1735918</v>
      </c>
      <c r="C431" s="8">
        <v>1736855</v>
      </c>
      <c r="D431" s="13">
        <f t="shared" si="79"/>
        <v>937</v>
      </c>
      <c r="E431" s="69">
        <v>15148</v>
      </c>
      <c r="F431" s="69">
        <v>15659</v>
      </c>
      <c r="G431" s="133">
        <f t="shared" si="82"/>
        <v>511</v>
      </c>
      <c r="H431" s="8">
        <v>186907</v>
      </c>
      <c r="I431" s="8">
        <v>186907</v>
      </c>
      <c r="J431" s="13">
        <f t="shared" si="85"/>
        <v>0</v>
      </c>
      <c r="K431" s="138"/>
      <c r="L431" s="8">
        <v>503904</v>
      </c>
      <c r="M431" s="8">
        <v>505229</v>
      </c>
      <c r="N431" s="13">
        <f t="shared" si="77"/>
        <v>1325</v>
      </c>
      <c r="O431" s="136"/>
      <c r="P431" s="8">
        <v>298690</v>
      </c>
      <c r="Q431" s="8">
        <v>299282</v>
      </c>
      <c r="R431" s="133">
        <f t="shared" si="86"/>
        <v>592</v>
      </c>
      <c r="S431" s="8">
        <v>7042</v>
      </c>
      <c r="T431" s="8">
        <v>7079</v>
      </c>
      <c r="U431" s="133">
        <f t="shared" si="80"/>
        <v>37</v>
      </c>
      <c r="V431" s="8">
        <v>308304</v>
      </c>
      <c r="W431" s="8">
        <v>308644</v>
      </c>
      <c r="X431" s="13">
        <f t="shared" si="84"/>
        <v>340</v>
      </c>
      <c r="Y431" s="8">
        <v>17450</v>
      </c>
      <c r="Z431" s="8">
        <v>17469</v>
      </c>
      <c r="AA431" s="13">
        <f t="shared" si="78"/>
        <v>19</v>
      </c>
      <c r="AB431" s="8">
        <v>193724</v>
      </c>
      <c r="AC431" s="8">
        <v>193779</v>
      </c>
      <c r="AD431" s="13">
        <f t="shared" si="83"/>
        <v>55</v>
      </c>
      <c r="AE431" s="135"/>
      <c r="AF431" s="135"/>
      <c r="AG431" s="135"/>
      <c r="AH431" s="136"/>
      <c r="AI431" s="50">
        <f t="shared" si="81"/>
        <v>988</v>
      </c>
    </row>
    <row r="432" spans="1:35">
      <c r="A432" s="12">
        <v>44807</v>
      </c>
      <c r="B432" s="8">
        <v>1736855</v>
      </c>
      <c r="C432" s="8">
        <v>1737834</v>
      </c>
      <c r="D432" s="13">
        <f t="shared" si="79"/>
        <v>979</v>
      </c>
      <c r="E432" s="69">
        <v>15659</v>
      </c>
      <c r="F432" s="69">
        <v>16154</v>
      </c>
      <c r="G432" s="133">
        <f t="shared" si="82"/>
        <v>495</v>
      </c>
      <c r="H432" s="8">
        <v>186907</v>
      </c>
      <c r="I432" s="8">
        <v>186907</v>
      </c>
      <c r="J432" s="13">
        <f t="shared" si="85"/>
        <v>0</v>
      </c>
      <c r="K432" s="138"/>
      <c r="L432" s="8">
        <v>505229</v>
      </c>
      <c r="M432" s="8">
        <v>506382</v>
      </c>
      <c r="N432" s="13">
        <f t="shared" ref="N432:N495" si="87">M432-L432</f>
        <v>1153</v>
      </c>
      <c r="O432" s="136"/>
      <c r="P432" s="8">
        <v>299282</v>
      </c>
      <c r="Q432" s="8">
        <v>299789</v>
      </c>
      <c r="R432" s="133">
        <f t="shared" si="86"/>
        <v>507</v>
      </c>
      <c r="S432" s="8">
        <v>7079</v>
      </c>
      <c r="T432" s="8">
        <v>7109</v>
      </c>
      <c r="U432" s="133">
        <f t="shared" si="80"/>
        <v>30</v>
      </c>
      <c r="V432" s="8">
        <v>308644</v>
      </c>
      <c r="W432" s="8">
        <v>308780</v>
      </c>
      <c r="X432" s="13">
        <f t="shared" si="84"/>
        <v>136</v>
      </c>
      <c r="Y432" s="8">
        <v>17469</v>
      </c>
      <c r="Z432" s="8">
        <v>17495</v>
      </c>
      <c r="AA432" s="13">
        <f t="shared" si="78"/>
        <v>26</v>
      </c>
      <c r="AB432" s="8">
        <v>193779</v>
      </c>
      <c r="AC432" s="8">
        <v>193839</v>
      </c>
      <c r="AD432" s="13">
        <f t="shared" si="83"/>
        <v>60</v>
      </c>
      <c r="AE432" s="135"/>
      <c r="AF432" s="135"/>
      <c r="AG432" s="135"/>
      <c r="AH432" s="136"/>
      <c r="AI432" s="50">
        <f t="shared" si="81"/>
        <v>699</v>
      </c>
    </row>
    <row r="433" spans="1:35">
      <c r="A433" s="12">
        <v>44808</v>
      </c>
      <c r="B433" s="8">
        <v>1737834</v>
      </c>
      <c r="C433" s="8">
        <v>1738951</v>
      </c>
      <c r="D433" s="13">
        <f t="shared" si="79"/>
        <v>1117</v>
      </c>
      <c r="E433" s="69">
        <v>16154</v>
      </c>
      <c r="F433" s="69">
        <v>16652</v>
      </c>
      <c r="G433" s="133">
        <f t="shared" si="82"/>
        <v>498</v>
      </c>
      <c r="H433" s="8">
        <v>186907</v>
      </c>
      <c r="I433" s="8">
        <v>186907</v>
      </c>
      <c r="J433" s="13">
        <f t="shared" si="85"/>
        <v>0</v>
      </c>
      <c r="K433" s="138"/>
      <c r="L433" s="8">
        <v>506382</v>
      </c>
      <c r="M433" s="8">
        <v>507852</v>
      </c>
      <c r="N433" s="13">
        <f t="shared" si="87"/>
        <v>1470</v>
      </c>
      <c r="O433" s="136"/>
      <c r="P433" s="8">
        <v>299789</v>
      </c>
      <c r="Q433" s="8">
        <v>300181</v>
      </c>
      <c r="R433" s="133">
        <f t="shared" si="86"/>
        <v>392</v>
      </c>
      <c r="S433" s="8">
        <v>7109</v>
      </c>
      <c r="T433" s="8">
        <v>7135</v>
      </c>
      <c r="U433" s="133">
        <f t="shared" si="80"/>
        <v>26</v>
      </c>
      <c r="V433" s="8">
        <v>308780</v>
      </c>
      <c r="W433" s="8">
        <v>309029</v>
      </c>
      <c r="X433" s="13">
        <f t="shared" si="84"/>
        <v>249</v>
      </c>
      <c r="Y433" s="8">
        <v>17495</v>
      </c>
      <c r="Z433" s="8">
        <v>17515</v>
      </c>
      <c r="AA433" s="13">
        <f t="shared" si="78"/>
        <v>20</v>
      </c>
      <c r="AB433" s="8">
        <v>193839</v>
      </c>
      <c r="AC433" s="8">
        <v>193885</v>
      </c>
      <c r="AD433" s="13">
        <f t="shared" si="83"/>
        <v>46</v>
      </c>
      <c r="AE433" s="135"/>
      <c r="AF433" s="135"/>
      <c r="AG433" s="135"/>
      <c r="AH433" s="136"/>
      <c r="AI433" s="50">
        <f t="shared" si="81"/>
        <v>687</v>
      </c>
    </row>
    <row r="434" spans="1:35">
      <c r="A434" s="12">
        <v>44809</v>
      </c>
      <c r="B434" s="8">
        <v>1738951</v>
      </c>
      <c r="C434" s="8">
        <v>1739475</v>
      </c>
      <c r="D434" s="13">
        <f t="shared" si="79"/>
        <v>524</v>
      </c>
      <c r="E434" s="69">
        <v>16652</v>
      </c>
      <c r="F434" s="69">
        <v>16996</v>
      </c>
      <c r="G434" s="133">
        <f t="shared" si="82"/>
        <v>344</v>
      </c>
      <c r="H434" s="8">
        <v>186907</v>
      </c>
      <c r="I434" s="8">
        <v>186907</v>
      </c>
      <c r="J434" s="13">
        <f t="shared" si="85"/>
        <v>0</v>
      </c>
      <c r="K434" s="138"/>
      <c r="L434" s="8">
        <v>507852</v>
      </c>
      <c r="M434" s="8">
        <v>508191</v>
      </c>
      <c r="N434" s="13">
        <f t="shared" si="87"/>
        <v>339</v>
      </c>
      <c r="O434" s="136"/>
      <c r="P434" s="8">
        <v>300181</v>
      </c>
      <c r="Q434" s="8">
        <v>300181</v>
      </c>
      <c r="R434" s="133">
        <f t="shared" si="86"/>
        <v>0</v>
      </c>
      <c r="S434" s="8">
        <v>7135</v>
      </c>
      <c r="T434" s="8">
        <v>7182</v>
      </c>
      <c r="U434" s="133">
        <f t="shared" si="80"/>
        <v>47</v>
      </c>
      <c r="V434" s="8">
        <v>309029</v>
      </c>
      <c r="W434" s="8">
        <v>309541</v>
      </c>
      <c r="X434" s="13">
        <f t="shared" si="84"/>
        <v>512</v>
      </c>
      <c r="Y434" s="8">
        <v>17515</v>
      </c>
      <c r="Z434" s="8">
        <v>17536</v>
      </c>
      <c r="AA434" s="13">
        <f t="shared" si="78"/>
        <v>21</v>
      </c>
      <c r="AB434" s="8">
        <v>193885</v>
      </c>
      <c r="AC434" s="8">
        <v>193958</v>
      </c>
      <c r="AD434" s="13">
        <f t="shared" si="83"/>
        <v>73</v>
      </c>
      <c r="AE434" s="135"/>
      <c r="AF434" s="135"/>
      <c r="AG434" s="135"/>
      <c r="AH434" s="136"/>
      <c r="AI434" s="50">
        <f t="shared" si="81"/>
        <v>580</v>
      </c>
    </row>
    <row r="435" spans="1:35">
      <c r="A435" s="12">
        <v>44810</v>
      </c>
      <c r="B435" s="8">
        <v>1739475</v>
      </c>
      <c r="C435" s="8">
        <v>1739747</v>
      </c>
      <c r="D435" s="13">
        <f t="shared" si="79"/>
        <v>272</v>
      </c>
      <c r="E435" s="69">
        <v>16996</v>
      </c>
      <c r="F435" s="69">
        <v>17201</v>
      </c>
      <c r="G435" s="133">
        <f t="shared" si="82"/>
        <v>205</v>
      </c>
      <c r="H435" s="8">
        <v>186907</v>
      </c>
      <c r="I435" s="8">
        <v>187240</v>
      </c>
      <c r="J435" s="13">
        <f t="shared" si="85"/>
        <v>333</v>
      </c>
      <c r="K435" s="138"/>
      <c r="L435" s="8">
        <v>508191</v>
      </c>
      <c r="M435" s="8">
        <v>508502</v>
      </c>
      <c r="N435" s="13">
        <f t="shared" si="87"/>
        <v>311</v>
      </c>
      <c r="O435" s="136"/>
      <c r="P435" s="8">
        <v>300181</v>
      </c>
      <c r="Q435" s="8">
        <v>300624</v>
      </c>
      <c r="R435" s="133">
        <f t="shared" si="86"/>
        <v>443</v>
      </c>
      <c r="S435" s="8">
        <v>7182</v>
      </c>
      <c r="T435" s="8">
        <v>7206</v>
      </c>
      <c r="U435" s="133">
        <f t="shared" si="80"/>
        <v>24</v>
      </c>
      <c r="V435" s="8">
        <v>309541</v>
      </c>
      <c r="W435" s="8">
        <v>309960</v>
      </c>
      <c r="X435" s="13">
        <f t="shared" si="84"/>
        <v>419</v>
      </c>
      <c r="Y435" s="8">
        <v>17536</v>
      </c>
      <c r="Z435" s="8">
        <v>17552</v>
      </c>
      <c r="AA435" s="13">
        <f t="shared" si="78"/>
        <v>16</v>
      </c>
      <c r="AB435" s="8">
        <v>193958</v>
      </c>
      <c r="AC435" s="8">
        <v>194034</v>
      </c>
      <c r="AD435" s="13">
        <f t="shared" si="83"/>
        <v>76</v>
      </c>
      <c r="AE435" s="135"/>
      <c r="AF435" s="135"/>
      <c r="AG435" s="135"/>
      <c r="AH435" s="136"/>
      <c r="AI435" s="50">
        <f t="shared" si="81"/>
        <v>902</v>
      </c>
    </row>
    <row r="436" spans="1:35">
      <c r="A436" s="12">
        <v>44811</v>
      </c>
      <c r="B436" s="8">
        <v>1739747</v>
      </c>
      <c r="C436" s="8">
        <v>1739877</v>
      </c>
      <c r="D436" s="13">
        <f t="shared" si="79"/>
        <v>130</v>
      </c>
      <c r="E436" s="69">
        <v>17201</v>
      </c>
      <c r="F436" s="69">
        <v>17517</v>
      </c>
      <c r="G436" s="133">
        <f t="shared" si="82"/>
        <v>316</v>
      </c>
      <c r="H436" s="8">
        <v>187240</v>
      </c>
      <c r="I436" s="8">
        <v>187240</v>
      </c>
      <c r="J436" s="13">
        <f t="shared" si="85"/>
        <v>0</v>
      </c>
      <c r="K436" s="138"/>
      <c r="L436" s="8">
        <v>508502</v>
      </c>
      <c r="M436" s="8">
        <v>508962</v>
      </c>
      <c r="N436" s="13">
        <f t="shared" si="87"/>
        <v>460</v>
      </c>
      <c r="O436" s="136"/>
      <c r="P436" s="8">
        <v>300624</v>
      </c>
      <c r="Q436" s="8">
        <v>300631</v>
      </c>
      <c r="R436" s="133">
        <f t="shared" si="86"/>
        <v>7</v>
      </c>
      <c r="S436" s="8">
        <v>7206</v>
      </c>
      <c r="T436" s="8">
        <v>7225</v>
      </c>
      <c r="U436" s="133">
        <f t="shared" si="80"/>
        <v>19</v>
      </c>
      <c r="V436" s="8">
        <v>309960</v>
      </c>
      <c r="W436" s="8">
        <v>310554</v>
      </c>
      <c r="X436" s="13">
        <f t="shared" si="84"/>
        <v>594</v>
      </c>
      <c r="Y436" s="8">
        <v>17552</v>
      </c>
      <c r="Z436" s="8">
        <v>17920</v>
      </c>
      <c r="AA436" s="13">
        <f t="shared" si="78"/>
        <v>368</v>
      </c>
      <c r="AB436" s="8">
        <v>194034</v>
      </c>
      <c r="AC436" s="8">
        <v>194118</v>
      </c>
      <c r="AD436" s="13">
        <f t="shared" si="83"/>
        <v>84</v>
      </c>
      <c r="AE436" s="135"/>
      <c r="AF436" s="135"/>
      <c r="AG436" s="135"/>
      <c r="AH436" s="136"/>
      <c r="AI436" s="50">
        <f t="shared" si="81"/>
        <v>988</v>
      </c>
    </row>
    <row r="437" spans="1:35">
      <c r="A437" s="12">
        <v>44812</v>
      </c>
      <c r="B437" s="8">
        <v>1739877</v>
      </c>
      <c r="C437" s="8">
        <v>1740283</v>
      </c>
      <c r="D437" s="13">
        <f t="shared" si="79"/>
        <v>406</v>
      </c>
      <c r="E437" s="69">
        <v>17517</v>
      </c>
      <c r="F437" s="69">
        <v>18153</v>
      </c>
      <c r="G437" s="133">
        <f t="shared" si="82"/>
        <v>636</v>
      </c>
      <c r="H437" s="8">
        <v>187240</v>
      </c>
      <c r="I437" s="8">
        <v>187240</v>
      </c>
      <c r="J437" s="13">
        <f t="shared" si="85"/>
        <v>0</v>
      </c>
      <c r="K437" s="138"/>
      <c r="L437" s="8">
        <v>508962</v>
      </c>
      <c r="M437" s="8">
        <v>509795</v>
      </c>
      <c r="N437" s="13">
        <f t="shared" si="87"/>
        <v>833</v>
      </c>
      <c r="O437" s="136"/>
      <c r="P437" s="8">
        <v>300631</v>
      </c>
      <c r="Q437" s="8">
        <v>300840</v>
      </c>
      <c r="R437" s="133">
        <f t="shared" si="86"/>
        <v>209</v>
      </c>
      <c r="S437" s="8">
        <v>7225</v>
      </c>
      <c r="T437" s="8">
        <v>7260</v>
      </c>
      <c r="U437" s="133">
        <f t="shared" si="80"/>
        <v>35</v>
      </c>
      <c r="V437" s="8">
        <v>310554</v>
      </c>
      <c r="W437" s="8">
        <v>311082</v>
      </c>
      <c r="X437" s="13">
        <f t="shared" si="84"/>
        <v>528</v>
      </c>
      <c r="Y437" s="8">
        <v>17920</v>
      </c>
      <c r="Z437" s="8">
        <v>17959</v>
      </c>
      <c r="AA437" s="13">
        <f t="shared" si="78"/>
        <v>39</v>
      </c>
      <c r="AB437" s="8">
        <v>194118</v>
      </c>
      <c r="AC437" s="8">
        <v>194148</v>
      </c>
      <c r="AD437" s="13">
        <f t="shared" si="83"/>
        <v>30</v>
      </c>
      <c r="AE437" s="135"/>
      <c r="AF437" s="135"/>
      <c r="AG437" s="135"/>
      <c r="AH437" s="136"/>
      <c r="AI437" s="50">
        <f t="shared" si="81"/>
        <v>811</v>
      </c>
    </row>
    <row r="438" spans="1:35">
      <c r="A438" s="12">
        <v>44813</v>
      </c>
      <c r="B438" s="8">
        <v>1740283</v>
      </c>
      <c r="C438" s="8">
        <v>1740780</v>
      </c>
      <c r="D438" s="13">
        <f t="shared" si="79"/>
        <v>497</v>
      </c>
      <c r="E438" s="69">
        <v>18153</v>
      </c>
      <c r="F438" s="77">
        <v>18537</v>
      </c>
      <c r="G438" s="133">
        <f t="shared" si="82"/>
        <v>384</v>
      </c>
      <c r="H438" s="8">
        <v>187240</v>
      </c>
      <c r="I438" s="8">
        <v>187240</v>
      </c>
      <c r="J438" s="13">
        <f t="shared" si="85"/>
        <v>0</v>
      </c>
      <c r="K438" s="138"/>
      <c r="L438" s="8">
        <v>509795</v>
      </c>
      <c r="M438" s="8">
        <v>510187</v>
      </c>
      <c r="N438" s="13">
        <f t="shared" si="87"/>
        <v>392</v>
      </c>
      <c r="O438" s="136"/>
      <c r="P438" s="8">
        <v>300840</v>
      </c>
      <c r="Q438" s="8">
        <v>301124</v>
      </c>
      <c r="R438" s="133">
        <f t="shared" si="86"/>
        <v>284</v>
      </c>
      <c r="S438" s="8">
        <v>7260</v>
      </c>
      <c r="T438" s="8">
        <v>7290</v>
      </c>
      <c r="U438" s="133">
        <f t="shared" si="80"/>
        <v>30</v>
      </c>
      <c r="V438" s="8">
        <v>311082</v>
      </c>
      <c r="W438" s="8">
        <v>311220</v>
      </c>
      <c r="X438" s="13">
        <f t="shared" si="84"/>
        <v>138</v>
      </c>
      <c r="Y438" s="8">
        <v>17959</v>
      </c>
      <c r="Z438" s="8">
        <v>17988</v>
      </c>
      <c r="AA438" s="13">
        <f t="shared" si="78"/>
        <v>29</v>
      </c>
      <c r="AB438" s="8">
        <v>194148</v>
      </c>
      <c r="AC438" s="8">
        <v>194244</v>
      </c>
      <c r="AD438" s="13">
        <f t="shared" si="83"/>
        <v>96</v>
      </c>
      <c r="AE438" s="135"/>
      <c r="AF438" s="135"/>
      <c r="AG438" s="135"/>
      <c r="AH438" s="136"/>
      <c r="AI438" s="50">
        <f t="shared" si="81"/>
        <v>481</v>
      </c>
    </row>
    <row r="439" spans="1:35">
      <c r="A439" s="12">
        <v>44814</v>
      </c>
      <c r="B439" s="8">
        <v>1740780</v>
      </c>
      <c r="C439" s="8">
        <v>1741064</v>
      </c>
      <c r="D439" s="13">
        <f t="shared" si="79"/>
        <v>284</v>
      </c>
      <c r="E439" s="77">
        <v>18537</v>
      </c>
      <c r="F439" s="69">
        <v>18905</v>
      </c>
      <c r="G439" s="133">
        <f t="shared" si="82"/>
        <v>368</v>
      </c>
      <c r="H439" s="8">
        <v>187240</v>
      </c>
      <c r="I439" s="8">
        <v>187920</v>
      </c>
      <c r="J439" s="13">
        <f t="shared" si="85"/>
        <v>680</v>
      </c>
      <c r="K439" s="138"/>
      <c r="L439" s="8">
        <v>510187</v>
      </c>
      <c r="M439" s="8">
        <v>510571</v>
      </c>
      <c r="N439" s="13">
        <f t="shared" si="87"/>
        <v>384</v>
      </c>
      <c r="O439" s="136"/>
      <c r="P439" s="8">
        <v>301124</v>
      </c>
      <c r="Q439" s="8">
        <v>301288</v>
      </c>
      <c r="R439" s="133">
        <f t="shared" si="86"/>
        <v>164</v>
      </c>
      <c r="S439" s="8">
        <v>7290</v>
      </c>
      <c r="T439" s="8">
        <v>7318</v>
      </c>
      <c r="U439" s="133">
        <f t="shared" si="80"/>
        <v>28</v>
      </c>
      <c r="V439" s="8">
        <v>311220</v>
      </c>
      <c r="W439" s="8">
        <v>311384</v>
      </c>
      <c r="X439" s="13">
        <f t="shared" si="84"/>
        <v>164</v>
      </c>
      <c r="Y439" s="8">
        <v>17988</v>
      </c>
      <c r="Z439" s="8">
        <v>18512</v>
      </c>
      <c r="AA439" s="13">
        <f t="shared" si="78"/>
        <v>524</v>
      </c>
      <c r="AB439" s="8">
        <v>194244</v>
      </c>
      <c r="AC439" s="8">
        <v>194319</v>
      </c>
      <c r="AD439" s="13">
        <f t="shared" si="83"/>
        <v>75</v>
      </c>
      <c r="AE439" s="135"/>
      <c r="AF439" s="135"/>
      <c r="AG439" s="135"/>
      <c r="AH439" s="136"/>
      <c r="AI439" s="50">
        <f t="shared" si="81"/>
        <v>880</v>
      </c>
    </row>
    <row r="440" spans="1:35">
      <c r="A440" s="12">
        <v>44815</v>
      </c>
      <c r="B440" s="8">
        <v>1741064</v>
      </c>
      <c r="C440" s="8">
        <v>1741680</v>
      </c>
      <c r="D440" s="13">
        <f t="shared" si="79"/>
        <v>616</v>
      </c>
      <c r="E440" s="69">
        <v>18905</v>
      </c>
      <c r="F440" s="69">
        <v>19280</v>
      </c>
      <c r="G440" s="133">
        <f t="shared" si="82"/>
        <v>375</v>
      </c>
      <c r="H440" s="8">
        <v>187920</v>
      </c>
      <c r="I440" s="8">
        <v>187940</v>
      </c>
      <c r="J440" s="13">
        <f t="shared" si="85"/>
        <v>20</v>
      </c>
      <c r="K440" s="138"/>
      <c r="L440" s="8">
        <v>510571</v>
      </c>
      <c r="M440" s="8">
        <v>511073</v>
      </c>
      <c r="N440" s="13">
        <f t="shared" si="87"/>
        <v>502</v>
      </c>
      <c r="O440" s="136"/>
      <c r="P440" s="8">
        <v>301288</v>
      </c>
      <c r="Q440" s="8">
        <v>301488</v>
      </c>
      <c r="R440" s="133">
        <f t="shared" si="86"/>
        <v>200</v>
      </c>
      <c r="S440" s="8">
        <v>7318</v>
      </c>
      <c r="T440" s="8">
        <v>7336</v>
      </c>
      <c r="U440" s="133">
        <f t="shared" si="80"/>
        <v>18</v>
      </c>
      <c r="V440" s="8">
        <v>311658</v>
      </c>
      <c r="W440" s="8">
        <v>311762</v>
      </c>
      <c r="X440" s="13">
        <f t="shared" si="84"/>
        <v>104</v>
      </c>
      <c r="Y440" s="8">
        <v>18512</v>
      </c>
      <c r="Z440" s="8">
        <v>18555</v>
      </c>
      <c r="AA440" s="13">
        <f t="shared" si="78"/>
        <v>43</v>
      </c>
      <c r="AB440" s="8">
        <v>194319</v>
      </c>
      <c r="AC440" s="8">
        <v>194367</v>
      </c>
      <c r="AD440" s="13">
        <f t="shared" si="83"/>
        <v>48</v>
      </c>
      <c r="AE440" s="135"/>
      <c r="AF440" s="135"/>
      <c r="AG440" s="135"/>
      <c r="AH440" s="136"/>
      <c r="AI440" s="50">
        <f t="shared" si="81"/>
        <v>365</v>
      </c>
    </row>
    <row r="441" spans="1:35">
      <c r="A441" s="12">
        <v>44816</v>
      </c>
      <c r="B441" s="8">
        <v>1741680</v>
      </c>
      <c r="C441" s="8">
        <v>1742087</v>
      </c>
      <c r="D441" s="13">
        <f t="shared" si="79"/>
        <v>407</v>
      </c>
      <c r="E441" s="69">
        <v>19280</v>
      </c>
      <c r="F441" s="69">
        <v>19600</v>
      </c>
      <c r="G441" s="133">
        <f t="shared" si="82"/>
        <v>320</v>
      </c>
      <c r="H441" s="8">
        <v>187920</v>
      </c>
      <c r="I441" s="8">
        <v>187920</v>
      </c>
      <c r="J441" s="13">
        <f t="shared" si="85"/>
        <v>0</v>
      </c>
      <c r="K441" s="138"/>
      <c r="L441" s="8">
        <v>511073</v>
      </c>
      <c r="M441" s="8">
        <v>512016</v>
      </c>
      <c r="N441" s="13">
        <f t="shared" si="87"/>
        <v>943</v>
      </c>
      <c r="O441" s="136"/>
      <c r="P441" s="8">
        <v>301488</v>
      </c>
      <c r="Q441" s="8">
        <v>301680</v>
      </c>
      <c r="R441" s="133">
        <f t="shared" si="86"/>
        <v>192</v>
      </c>
      <c r="S441" s="8">
        <v>7336</v>
      </c>
      <c r="T441" s="8">
        <v>7360</v>
      </c>
      <c r="U441" s="133">
        <f t="shared" si="80"/>
        <v>24</v>
      </c>
      <c r="V441" s="8">
        <v>311762</v>
      </c>
      <c r="W441" s="8">
        <v>311980</v>
      </c>
      <c r="X441" s="13">
        <f t="shared" si="84"/>
        <v>218</v>
      </c>
      <c r="Y441" s="8">
        <v>18555</v>
      </c>
      <c r="Z441" s="8">
        <v>18589</v>
      </c>
      <c r="AA441" s="13">
        <f t="shared" si="78"/>
        <v>34</v>
      </c>
      <c r="AB441" s="8">
        <v>194367</v>
      </c>
      <c r="AC441" s="8">
        <v>194400</v>
      </c>
      <c r="AD441" s="13">
        <f t="shared" si="83"/>
        <v>33</v>
      </c>
      <c r="AE441" s="135"/>
      <c r="AF441" s="135"/>
      <c r="AG441" s="135"/>
      <c r="AH441" s="136"/>
      <c r="AI441" s="50">
        <f t="shared" si="81"/>
        <v>468</v>
      </c>
    </row>
    <row r="442" spans="1:35">
      <c r="A442" s="12">
        <v>44817</v>
      </c>
      <c r="B442" s="8">
        <v>1742087</v>
      </c>
      <c r="C442" s="8">
        <v>1742268</v>
      </c>
      <c r="D442" s="13">
        <f t="shared" si="79"/>
        <v>181</v>
      </c>
      <c r="E442" s="69">
        <v>19600</v>
      </c>
      <c r="F442" s="69">
        <v>20397</v>
      </c>
      <c r="G442" s="133">
        <f t="shared" si="82"/>
        <v>797</v>
      </c>
      <c r="H442" s="8">
        <v>187920</v>
      </c>
      <c r="I442" s="8">
        <v>187920</v>
      </c>
      <c r="J442" s="13">
        <f t="shared" si="85"/>
        <v>0</v>
      </c>
      <c r="K442" s="138"/>
      <c r="L442" s="8">
        <v>512016</v>
      </c>
      <c r="M442" s="8">
        <v>512911</v>
      </c>
      <c r="N442" s="13">
        <f t="shared" si="87"/>
        <v>895</v>
      </c>
      <c r="O442" s="136"/>
      <c r="P442" s="8">
        <v>301680</v>
      </c>
      <c r="Q442" s="8">
        <v>301920</v>
      </c>
      <c r="R442" s="133">
        <f t="shared" si="86"/>
        <v>240</v>
      </c>
      <c r="S442" s="8">
        <v>7360</v>
      </c>
      <c r="T442" s="8">
        <v>7400</v>
      </c>
      <c r="U442" s="133">
        <f t="shared" si="80"/>
        <v>40</v>
      </c>
      <c r="V442" s="8">
        <v>311980</v>
      </c>
      <c r="W442" s="8">
        <v>312205</v>
      </c>
      <c r="X442" s="13">
        <f t="shared" si="84"/>
        <v>225</v>
      </c>
      <c r="Y442" s="8">
        <v>18589</v>
      </c>
      <c r="Z442" s="8">
        <v>18599</v>
      </c>
      <c r="AA442" s="13">
        <f t="shared" ref="AA442:AA509" si="88">Z442-Y442</f>
        <v>10</v>
      </c>
      <c r="AB442" s="8">
        <v>194400</v>
      </c>
      <c r="AC442" s="8">
        <v>194437</v>
      </c>
      <c r="AD442" s="13">
        <f t="shared" si="83"/>
        <v>37</v>
      </c>
      <c r="AE442" s="135"/>
      <c r="AF442" s="135"/>
      <c r="AG442" s="135"/>
      <c r="AH442" s="136"/>
      <c r="AI442" s="50">
        <f t="shared" si="81"/>
        <v>515</v>
      </c>
    </row>
    <row r="443" spans="1:35">
      <c r="A443" s="12">
        <v>44818</v>
      </c>
      <c r="B443" s="8">
        <v>1742268</v>
      </c>
      <c r="C443" s="8">
        <v>1743025</v>
      </c>
      <c r="D443" s="13">
        <f t="shared" si="79"/>
        <v>757</v>
      </c>
      <c r="E443" s="69">
        <v>20397</v>
      </c>
      <c r="F443" s="69">
        <v>20610</v>
      </c>
      <c r="G443" s="133">
        <f t="shared" si="82"/>
        <v>213</v>
      </c>
      <c r="H443" s="8">
        <v>187920</v>
      </c>
      <c r="I443" s="8">
        <v>188220</v>
      </c>
      <c r="J443" s="13">
        <f t="shared" si="85"/>
        <v>300</v>
      </c>
      <c r="K443" s="138"/>
      <c r="L443" s="8">
        <v>512911</v>
      </c>
      <c r="M443" s="8">
        <v>513680</v>
      </c>
      <c r="N443" s="13">
        <f t="shared" si="87"/>
        <v>769</v>
      </c>
      <c r="O443" s="136"/>
      <c r="P443" s="8">
        <v>301920</v>
      </c>
      <c r="Q443" s="8">
        <v>302130</v>
      </c>
      <c r="R443" s="133">
        <f t="shared" si="86"/>
        <v>210</v>
      </c>
      <c r="S443" s="8">
        <v>7400</v>
      </c>
      <c r="T443" s="8">
        <v>7428</v>
      </c>
      <c r="U443" s="133">
        <f t="shared" si="80"/>
        <v>28</v>
      </c>
      <c r="V443" s="8">
        <v>312205</v>
      </c>
      <c r="W443" s="8">
        <v>312408</v>
      </c>
      <c r="X443" s="13">
        <f t="shared" si="84"/>
        <v>203</v>
      </c>
      <c r="Y443" s="8">
        <v>18599</v>
      </c>
      <c r="Z443" s="8">
        <v>18620</v>
      </c>
      <c r="AA443" s="13">
        <f t="shared" si="88"/>
        <v>21</v>
      </c>
      <c r="AB443" s="8">
        <v>194437</v>
      </c>
      <c r="AC443" s="8">
        <v>194481</v>
      </c>
      <c r="AD443" s="13">
        <f t="shared" si="83"/>
        <v>44</v>
      </c>
      <c r="AE443" s="135"/>
      <c r="AF443" s="135"/>
      <c r="AG443" s="135"/>
      <c r="AH443" s="136"/>
      <c r="AI443" s="50">
        <f t="shared" si="81"/>
        <v>462</v>
      </c>
    </row>
    <row r="444" spans="1:35">
      <c r="A444" s="12">
        <v>44819</v>
      </c>
      <c r="B444" s="8">
        <v>1743225</v>
      </c>
      <c r="C444" s="8">
        <v>1743789</v>
      </c>
      <c r="D444" s="13">
        <f t="shared" si="79"/>
        <v>564</v>
      </c>
      <c r="E444" s="69">
        <v>20610</v>
      </c>
      <c r="F444" s="77">
        <v>21043</v>
      </c>
      <c r="G444" s="133">
        <f t="shared" si="82"/>
        <v>433</v>
      </c>
      <c r="H444" s="8">
        <v>188220</v>
      </c>
      <c r="I444" s="8">
        <v>188420</v>
      </c>
      <c r="J444" s="13">
        <f t="shared" si="85"/>
        <v>200</v>
      </c>
      <c r="K444" s="138"/>
      <c r="L444" s="8">
        <v>513680</v>
      </c>
      <c r="M444" s="8">
        <v>514590</v>
      </c>
      <c r="N444" s="13">
        <f t="shared" si="87"/>
        <v>910</v>
      </c>
      <c r="O444" s="136"/>
      <c r="P444" s="8">
        <v>302130</v>
      </c>
      <c r="Q444" s="8">
        <v>302380</v>
      </c>
      <c r="R444" s="133">
        <f t="shared" si="86"/>
        <v>250</v>
      </c>
      <c r="S444" s="8">
        <v>7428</v>
      </c>
      <c r="T444" s="8">
        <v>7466</v>
      </c>
      <c r="U444" s="133">
        <f t="shared" si="80"/>
        <v>38</v>
      </c>
      <c r="V444" s="8">
        <v>312408</v>
      </c>
      <c r="W444" s="8">
        <v>312510</v>
      </c>
      <c r="X444" s="13">
        <f t="shared" si="84"/>
        <v>102</v>
      </c>
      <c r="Y444" s="8">
        <v>18620</v>
      </c>
      <c r="Z444" s="8">
        <v>18631</v>
      </c>
      <c r="AA444" s="13">
        <f t="shared" si="88"/>
        <v>11</v>
      </c>
      <c r="AB444" s="8">
        <v>194481</v>
      </c>
      <c r="AC444" s="8">
        <v>194520</v>
      </c>
      <c r="AD444" s="13">
        <f t="shared" si="83"/>
        <v>39</v>
      </c>
      <c r="AE444" s="135"/>
      <c r="AF444" s="135"/>
      <c r="AG444" s="135"/>
      <c r="AH444" s="136"/>
      <c r="AI444" s="50">
        <f t="shared" si="81"/>
        <v>401</v>
      </c>
    </row>
    <row r="445" spans="1:35">
      <c r="A445" s="12">
        <v>44820</v>
      </c>
      <c r="B445" s="8">
        <v>1743789</v>
      </c>
      <c r="C445" s="8">
        <v>1744430</v>
      </c>
      <c r="D445" s="13">
        <f t="shared" si="79"/>
        <v>641</v>
      </c>
      <c r="E445" s="77">
        <v>21043</v>
      </c>
      <c r="F445" s="69">
        <v>21504</v>
      </c>
      <c r="G445" s="133">
        <f t="shared" si="82"/>
        <v>461</v>
      </c>
      <c r="H445" s="8">
        <v>188420</v>
      </c>
      <c r="I445" s="8">
        <v>188641</v>
      </c>
      <c r="J445" s="13">
        <f t="shared" si="85"/>
        <v>221</v>
      </c>
      <c r="K445" s="138"/>
      <c r="L445" s="8">
        <v>514590</v>
      </c>
      <c r="M445" s="8">
        <v>515544</v>
      </c>
      <c r="N445" s="13">
        <f t="shared" si="87"/>
        <v>954</v>
      </c>
      <c r="O445" s="136"/>
      <c r="P445" s="8">
        <v>302380</v>
      </c>
      <c r="Q445" s="8">
        <v>302608</v>
      </c>
      <c r="R445" s="133">
        <f t="shared" si="86"/>
        <v>228</v>
      </c>
      <c r="S445" s="8">
        <v>7466</v>
      </c>
      <c r="T445" s="8">
        <v>7489</v>
      </c>
      <c r="U445" s="133">
        <f t="shared" si="80"/>
        <v>23</v>
      </c>
      <c r="V445" s="8">
        <v>312510</v>
      </c>
      <c r="W445" s="8">
        <v>312650</v>
      </c>
      <c r="X445" s="13">
        <f t="shared" si="84"/>
        <v>140</v>
      </c>
      <c r="Y445" s="8">
        <v>18631</v>
      </c>
      <c r="Z445" s="8">
        <v>18668</v>
      </c>
      <c r="AA445" s="13">
        <f t="shared" si="88"/>
        <v>37</v>
      </c>
      <c r="AB445" s="8">
        <v>194520</v>
      </c>
      <c r="AC445" s="8">
        <v>194552</v>
      </c>
      <c r="AD445" s="13">
        <f t="shared" si="83"/>
        <v>32</v>
      </c>
      <c r="AE445" s="135"/>
      <c r="AF445" s="135"/>
      <c r="AG445" s="135"/>
      <c r="AH445" s="136"/>
      <c r="AI445" s="50">
        <f t="shared" si="81"/>
        <v>428</v>
      </c>
    </row>
    <row r="446" spans="1:35">
      <c r="A446" s="12">
        <v>44821</v>
      </c>
      <c r="B446" s="8">
        <v>1744430</v>
      </c>
      <c r="C446" s="8">
        <v>1744601</v>
      </c>
      <c r="D446" s="13">
        <f t="shared" si="79"/>
        <v>171</v>
      </c>
      <c r="E446" s="69">
        <v>21504</v>
      </c>
      <c r="F446" s="69">
        <v>22290</v>
      </c>
      <c r="G446" s="133">
        <f t="shared" si="82"/>
        <v>786</v>
      </c>
      <c r="H446" s="8">
        <v>188641</v>
      </c>
      <c r="I446" s="8">
        <v>188810</v>
      </c>
      <c r="J446" s="13">
        <f t="shared" si="85"/>
        <v>169</v>
      </c>
      <c r="K446" s="138"/>
      <c r="L446" s="8">
        <v>515544</v>
      </c>
      <c r="M446" s="8">
        <v>516186</v>
      </c>
      <c r="N446" s="13">
        <f t="shared" si="87"/>
        <v>642</v>
      </c>
      <c r="O446" s="136"/>
      <c r="P446" s="8">
        <v>302608</v>
      </c>
      <c r="Q446" s="8">
        <v>303026</v>
      </c>
      <c r="R446" s="133">
        <f t="shared" si="86"/>
        <v>418</v>
      </c>
      <c r="S446" s="8">
        <v>7490</v>
      </c>
      <c r="T446" s="8">
        <v>7512</v>
      </c>
      <c r="U446" s="133">
        <f t="shared" si="80"/>
        <v>22</v>
      </c>
      <c r="V446" s="8">
        <v>312650</v>
      </c>
      <c r="W446" s="8">
        <v>312720</v>
      </c>
      <c r="X446" s="13">
        <f t="shared" si="84"/>
        <v>70</v>
      </c>
      <c r="Y446" s="8">
        <v>18668</v>
      </c>
      <c r="Z446" s="8">
        <v>18710</v>
      </c>
      <c r="AA446" s="13">
        <f t="shared" si="88"/>
        <v>42</v>
      </c>
      <c r="AB446" s="8">
        <v>194552</v>
      </c>
      <c r="AC446" s="8">
        <v>194587</v>
      </c>
      <c r="AD446" s="13">
        <f t="shared" si="83"/>
        <v>35</v>
      </c>
      <c r="AE446" s="135"/>
      <c r="AF446" s="135"/>
      <c r="AG446" s="135"/>
      <c r="AH446" s="136"/>
      <c r="AI446" s="50">
        <f t="shared" si="81"/>
        <v>552</v>
      </c>
    </row>
    <row r="447" spans="1:35">
      <c r="A447" s="12">
        <v>44822</v>
      </c>
      <c r="B447" s="8">
        <v>1744601</v>
      </c>
      <c r="C447" s="8">
        <v>1744797</v>
      </c>
      <c r="D447" s="13">
        <f t="shared" ref="D447:D470" si="89">C447-B447</f>
        <v>196</v>
      </c>
      <c r="E447" s="69">
        <v>22290</v>
      </c>
      <c r="F447" s="69">
        <v>22624</v>
      </c>
      <c r="G447" s="133">
        <f t="shared" si="82"/>
        <v>334</v>
      </c>
      <c r="H447" s="8">
        <v>188810</v>
      </c>
      <c r="I447" s="8">
        <v>189503</v>
      </c>
      <c r="J447" s="13">
        <f t="shared" si="85"/>
        <v>693</v>
      </c>
      <c r="K447" s="138"/>
      <c r="L447" s="8">
        <v>516186</v>
      </c>
      <c r="M447" s="8">
        <v>516496</v>
      </c>
      <c r="N447" s="13">
        <f t="shared" si="87"/>
        <v>310</v>
      </c>
      <c r="O447" s="136"/>
      <c r="P447" s="8">
        <v>303026</v>
      </c>
      <c r="Q447" s="8">
        <v>303387</v>
      </c>
      <c r="R447" s="133">
        <f t="shared" si="86"/>
        <v>361</v>
      </c>
      <c r="S447" s="8">
        <v>7512</v>
      </c>
      <c r="T447" s="8">
        <v>7544</v>
      </c>
      <c r="U447" s="133">
        <f t="shared" ref="U447:U515" si="90">T447-S447</f>
        <v>32</v>
      </c>
      <c r="V447" s="8">
        <v>312720</v>
      </c>
      <c r="W447" s="8">
        <v>312873</v>
      </c>
      <c r="X447" s="13">
        <f t="shared" si="84"/>
        <v>153</v>
      </c>
      <c r="Y447" s="8">
        <v>18710</v>
      </c>
      <c r="Z447" s="8">
        <v>18745</v>
      </c>
      <c r="AA447" s="13">
        <f t="shared" si="88"/>
        <v>35</v>
      </c>
      <c r="AB447" s="8">
        <v>194587</v>
      </c>
      <c r="AC447" s="8">
        <v>194642</v>
      </c>
      <c r="AD447" s="13">
        <f t="shared" si="83"/>
        <v>55</v>
      </c>
      <c r="AE447" s="135"/>
      <c r="AF447" s="135"/>
      <c r="AG447" s="135"/>
      <c r="AH447" s="136"/>
      <c r="AI447" s="50">
        <f t="shared" si="81"/>
        <v>581</v>
      </c>
    </row>
    <row r="448" spans="1:35">
      <c r="A448" s="12">
        <v>44823</v>
      </c>
      <c r="B448" s="8">
        <v>1744797</v>
      </c>
      <c r="C448" s="8">
        <v>1744960</v>
      </c>
      <c r="D448" s="13">
        <f t="shared" si="89"/>
        <v>163</v>
      </c>
      <c r="E448" s="69">
        <v>22624</v>
      </c>
      <c r="F448" s="69">
        <v>23350</v>
      </c>
      <c r="G448" s="133">
        <f t="shared" si="82"/>
        <v>726</v>
      </c>
      <c r="H448" s="8">
        <v>189503</v>
      </c>
      <c r="I448" s="8">
        <v>190083</v>
      </c>
      <c r="J448" s="13">
        <f t="shared" si="85"/>
        <v>580</v>
      </c>
      <c r="K448" s="138"/>
      <c r="L448" s="8">
        <v>516496</v>
      </c>
      <c r="M448" s="8">
        <v>517540</v>
      </c>
      <c r="N448" s="13">
        <f t="shared" si="87"/>
        <v>1044</v>
      </c>
      <c r="O448" s="136"/>
      <c r="P448" s="8">
        <v>303387</v>
      </c>
      <c r="Q448" s="8">
        <v>303494</v>
      </c>
      <c r="R448" s="133">
        <f t="shared" si="86"/>
        <v>107</v>
      </c>
      <c r="S448" s="8">
        <v>7544</v>
      </c>
      <c r="T448" s="8">
        <v>7600</v>
      </c>
      <c r="U448" s="133">
        <f t="shared" si="90"/>
        <v>56</v>
      </c>
      <c r="V448" s="8">
        <v>312873</v>
      </c>
      <c r="W448" s="8">
        <v>312930</v>
      </c>
      <c r="X448" s="13">
        <f t="shared" si="84"/>
        <v>57</v>
      </c>
      <c r="Y448" s="8">
        <v>18745</v>
      </c>
      <c r="Z448" s="8">
        <v>19058</v>
      </c>
      <c r="AA448" s="13">
        <f t="shared" si="88"/>
        <v>313</v>
      </c>
      <c r="AB448" s="8">
        <v>194642</v>
      </c>
      <c r="AC448" s="8">
        <v>194680</v>
      </c>
      <c r="AD448" s="13">
        <f t="shared" si="83"/>
        <v>38</v>
      </c>
      <c r="AE448" s="135"/>
      <c r="AF448" s="135"/>
      <c r="AG448" s="135"/>
      <c r="AH448" s="136"/>
      <c r="AI448" s="50">
        <f t="shared" si="81"/>
        <v>533</v>
      </c>
    </row>
    <row r="449" spans="1:35">
      <c r="A449" s="12">
        <v>44824</v>
      </c>
      <c r="B449" s="8">
        <v>1744960</v>
      </c>
      <c r="C449" s="8">
        <v>1745171</v>
      </c>
      <c r="D449" s="13">
        <f t="shared" si="89"/>
        <v>211</v>
      </c>
      <c r="E449" s="69">
        <v>23350</v>
      </c>
      <c r="F449" s="69">
        <v>24170</v>
      </c>
      <c r="G449" s="133">
        <f t="shared" si="82"/>
        <v>820</v>
      </c>
      <c r="H449" s="8">
        <v>190083</v>
      </c>
      <c r="I449" s="8">
        <v>190560</v>
      </c>
      <c r="J449" s="13">
        <f t="shared" si="85"/>
        <v>477</v>
      </c>
      <c r="K449" s="138"/>
      <c r="L449" s="8">
        <v>517540</v>
      </c>
      <c r="M449" s="8">
        <v>518742</v>
      </c>
      <c r="N449" s="13">
        <f t="shared" si="87"/>
        <v>1202</v>
      </c>
      <c r="O449" s="136"/>
      <c r="P449" s="8">
        <v>303494</v>
      </c>
      <c r="Q449" s="8">
        <v>303951</v>
      </c>
      <c r="R449" s="133">
        <f t="shared" si="86"/>
        <v>457</v>
      </c>
      <c r="S449" s="8">
        <v>7600</v>
      </c>
      <c r="T449" s="8">
        <v>7640</v>
      </c>
      <c r="U449" s="133">
        <f t="shared" si="90"/>
        <v>40</v>
      </c>
      <c r="V449" s="8">
        <v>312930</v>
      </c>
      <c r="W449" s="8">
        <v>312970</v>
      </c>
      <c r="X449" s="13">
        <f t="shared" si="84"/>
        <v>40</v>
      </c>
      <c r="Y449" s="8">
        <v>19058</v>
      </c>
      <c r="Z449" s="8">
        <v>19081</v>
      </c>
      <c r="AA449" s="13">
        <f t="shared" si="88"/>
        <v>23</v>
      </c>
      <c r="AB449" s="8">
        <v>194680</v>
      </c>
      <c r="AC449" s="8">
        <v>194703</v>
      </c>
      <c r="AD449" s="13">
        <f t="shared" si="83"/>
        <v>23</v>
      </c>
      <c r="AE449" s="135"/>
      <c r="AF449" s="135"/>
      <c r="AG449" s="135"/>
      <c r="AH449" s="136"/>
      <c r="AI449" s="50">
        <f t="shared" ref="AI449:AI512" si="91">AA449+U449+R449+O449+X449</f>
        <v>560</v>
      </c>
    </row>
    <row r="450" spans="1:35">
      <c r="A450" s="12">
        <v>44825</v>
      </c>
      <c r="B450" s="8">
        <v>1745171</v>
      </c>
      <c r="C450" s="8">
        <v>1745176</v>
      </c>
      <c r="D450" s="13">
        <f t="shared" si="89"/>
        <v>5</v>
      </c>
      <c r="E450" s="69">
        <v>24170</v>
      </c>
      <c r="F450" s="69">
        <v>24934</v>
      </c>
      <c r="G450" s="133">
        <f t="shared" si="82"/>
        <v>764</v>
      </c>
      <c r="H450" s="8">
        <v>190560</v>
      </c>
      <c r="I450" s="8">
        <v>190980</v>
      </c>
      <c r="J450" s="13">
        <f t="shared" si="85"/>
        <v>420</v>
      </c>
      <c r="K450" s="138"/>
      <c r="L450" s="8">
        <v>518742</v>
      </c>
      <c r="M450" s="8">
        <v>519382</v>
      </c>
      <c r="N450" s="13">
        <f t="shared" si="87"/>
        <v>640</v>
      </c>
      <c r="O450" s="136"/>
      <c r="P450" s="8">
        <v>303951</v>
      </c>
      <c r="Q450" s="8">
        <v>304260</v>
      </c>
      <c r="R450" s="133">
        <f t="shared" si="86"/>
        <v>309</v>
      </c>
      <c r="S450" s="8">
        <v>7640</v>
      </c>
      <c r="T450" s="8">
        <v>7674</v>
      </c>
      <c r="U450" s="133">
        <f t="shared" si="90"/>
        <v>34</v>
      </c>
      <c r="V450" s="8">
        <v>312970</v>
      </c>
      <c r="W450" s="8">
        <v>312984</v>
      </c>
      <c r="X450" s="13">
        <f t="shared" si="84"/>
        <v>14</v>
      </c>
      <c r="Y450" s="8">
        <v>19081</v>
      </c>
      <c r="Z450" s="8">
        <v>19104</v>
      </c>
      <c r="AA450" s="13">
        <f t="shared" si="88"/>
        <v>23</v>
      </c>
      <c r="AB450" s="8">
        <v>194703</v>
      </c>
      <c r="AC450" s="8">
        <v>194733</v>
      </c>
      <c r="AD450" s="13">
        <f t="shared" si="83"/>
        <v>30</v>
      </c>
      <c r="AE450" s="135"/>
      <c r="AF450" s="135"/>
      <c r="AG450" s="135"/>
      <c r="AH450" s="136"/>
      <c r="AI450" s="50">
        <f t="shared" si="91"/>
        <v>380</v>
      </c>
    </row>
    <row r="451" spans="1:35">
      <c r="A451" s="12">
        <v>44826</v>
      </c>
      <c r="B451" s="8">
        <v>1745176</v>
      </c>
      <c r="C451" s="8">
        <v>1745176</v>
      </c>
      <c r="D451" s="13">
        <f t="shared" si="89"/>
        <v>0</v>
      </c>
      <c r="E451" s="69">
        <v>24934</v>
      </c>
      <c r="F451" s="69">
        <v>25667</v>
      </c>
      <c r="G451" s="133">
        <f t="shared" ref="G451:G514" si="92">F451-E451</f>
        <v>733</v>
      </c>
      <c r="H451" s="8">
        <v>191530</v>
      </c>
      <c r="I451" s="8">
        <v>191530</v>
      </c>
      <c r="J451" s="13">
        <f t="shared" si="85"/>
        <v>0</v>
      </c>
      <c r="K451" s="138"/>
      <c r="L451" s="8">
        <v>519382</v>
      </c>
      <c r="M451" s="8">
        <v>519770</v>
      </c>
      <c r="N451" s="13">
        <f t="shared" si="87"/>
        <v>388</v>
      </c>
      <c r="O451" s="136"/>
      <c r="P451" s="8">
        <v>304260</v>
      </c>
      <c r="Q451" s="8">
        <v>304651</v>
      </c>
      <c r="R451" s="133">
        <f t="shared" si="86"/>
        <v>391</v>
      </c>
      <c r="S451" s="8">
        <v>7674</v>
      </c>
      <c r="T451" s="8">
        <v>7694</v>
      </c>
      <c r="U451" s="133">
        <f t="shared" si="90"/>
        <v>20</v>
      </c>
      <c r="V451" s="8">
        <v>312984</v>
      </c>
      <c r="W451" s="8">
        <v>312984</v>
      </c>
      <c r="X451" s="13">
        <f t="shared" si="84"/>
        <v>0</v>
      </c>
      <c r="Y451" s="8">
        <v>19104</v>
      </c>
      <c r="Z451" s="8">
        <v>19124</v>
      </c>
      <c r="AA451" s="13">
        <f t="shared" si="88"/>
        <v>20</v>
      </c>
      <c r="AB451" s="8">
        <v>194733</v>
      </c>
      <c r="AC451" s="8">
        <v>194733</v>
      </c>
      <c r="AD451" s="13">
        <f t="shared" si="83"/>
        <v>0</v>
      </c>
      <c r="AE451" s="135"/>
      <c r="AF451" s="135"/>
      <c r="AG451" s="135"/>
      <c r="AH451" s="136"/>
      <c r="AI451" s="50">
        <f t="shared" si="91"/>
        <v>431</v>
      </c>
    </row>
    <row r="452" spans="1:35">
      <c r="A452" s="12">
        <v>44827</v>
      </c>
      <c r="B452" s="8">
        <v>1745176</v>
      </c>
      <c r="C452" s="8">
        <v>1745204</v>
      </c>
      <c r="D452" s="13">
        <f t="shared" si="89"/>
        <v>28</v>
      </c>
      <c r="E452" s="69">
        <v>25667</v>
      </c>
      <c r="F452" s="69">
        <v>26434</v>
      </c>
      <c r="G452" s="133">
        <f t="shared" si="92"/>
        <v>767</v>
      </c>
      <c r="H452" s="8">
        <v>191530</v>
      </c>
      <c r="I452" s="8">
        <v>192325</v>
      </c>
      <c r="J452" s="13">
        <f t="shared" si="85"/>
        <v>795</v>
      </c>
      <c r="K452" s="138"/>
      <c r="L452" s="8">
        <v>519770</v>
      </c>
      <c r="M452" s="8">
        <v>520101</v>
      </c>
      <c r="N452" s="13">
        <f t="shared" si="87"/>
        <v>331</v>
      </c>
      <c r="O452" s="136"/>
      <c r="P452" s="8">
        <v>304651</v>
      </c>
      <c r="Q452" s="8">
        <v>305111</v>
      </c>
      <c r="R452" s="133">
        <f t="shared" si="86"/>
        <v>460</v>
      </c>
      <c r="S452" s="8">
        <v>7694</v>
      </c>
      <c r="T452" s="8">
        <v>7730</v>
      </c>
      <c r="U452" s="133">
        <f t="shared" si="90"/>
        <v>36</v>
      </c>
      <c r="V452" s="8">
        <v>312984</v>
      </c>
      <c r="W452" s="8">
        <v>313010</v>
      </c>
      <c r="X452" s="13">
        <f t="shared" si="84"/>
        <v>26</v>
      </c>
      <c r="Y452" s="8">
        <v>19124</v>
      </c>
      <c r="Z452" s="8">
        <v>19148</v>
      </c>
      <c r="AA452" s="13">
        <f t="shared" si="88"/>
        <v>24</v>
      </c>
      <c r="AB452" s="8">
        <v>194733</v>
      </c>
      <c r="AC452" s="8">
        <v>194767</v>
      </c>
      <c r="AD452" s="13">
        <f t="shared" si="83"/>
        <v>34</v>
      </c>
      <c r="AE452" s="135"/>
      <c r="AF452" s="135"/>
      <c r="AG452" s="135"/>
      <c r="AH452" s="136"/>
      <c r="AI452" s="50">
        <f t="shared" si="91"/>
        <v>546</v>
      </c>
    </row>
    <row r="453" spans="1:35">
      <c r="A453" s="12">
        <v>44828</v>
      </c>
      <c r="B453" s="8">
        <v>1745204</v>
      </c>
      <c r="C453" s="8">
        <v>1745567</v>
      </c>
      <c r="D453" s="13">
        <f t="shared" si="89"/>
        <v>363</v>
      </c>
      <c r="E453" s="69">
        <v>26434</v>
      </c>
      <c r="F453" s="69">
        <v>26856</v>
      </c>
      <c r="G453" s="133">
        <f t="shared" si="92"/>
        <v>422</v>
      </c>
      <c r="H453" s="8">
        <v>192325</v>
      </c>
      <c r="I453" s="8">
        <v>192555</v>
      </c>
      <c r="J453" s="13">
        <f t="shared" si="85"/>
        <v>230</v>
      </c>
      <c r="K453" s="138"/>
      <c r="L453" s="8">
        <v>520101</v>
      </c>
      <c r="M453" s="8">
        <v>521065</v>
      </c>
      <c r="N453" s="13">
        <f t="shared" si="87"/>
        <v>964</v>
      </c>
      <c r="O453" s="136"/>
      <c r="P453" s="8">
        <v>305111</v>
      </c>
      <c r="Q453" s="8">
        <v>305463</v>
      </c>
      <c r="R453" s="133">
        <f t="shared" si="86"/>
        <v>352</v>
      </c>
      <c r="S453" s="8">
        <v>7730</v>
      </c>
      <c r="T453" s="8">
        <v>7766</v>
      </c>
      <c r="U453" s="133">
        <f t="shared" si="90"/>
        <v>36</v>
      </c>
      <c r="V453" s="8">
        <v>313010</v>
      </c>
      <c r="W453" s="8">
        <v>313010</v>
      </c>
      <c r="X453" s="13">
        <f t="shared" si="84"/>
        <v>0</v>
      </c>
      <c r="Y453" s="8">
        <v>19148</v>
      </c>
      <c r="Z453" s="8">
        <v>19168</v>
      </c>
      <c r="AA453" s="13">
        <f t="shared" si="88"/>
        <v>20</v>
      </c>
      <c r="AB453" s="8">
        <v>194767</v>
      </c>
      <c r="AC453" s="8">
        <v>194819</v>
      </c>
      <c r="AD453" s="13">
        <f t="shared" si="83"/>
        <v>52</v>
      </c>
      <c r="AE453" s="135"/>
      <c r="AF453" s="135"/>
      <c r="AG453" s="135"/>
      <c r="AH453" s="136"/>
      <c r="AI453" s="50">
        <f t="shared" si="91"/>
        <v>408</v>
      </c>
    </row>
    <row r="454" spans="1:35">
      <c r="A454" s="12">
        <v>44829</v>
      </c>
      <c r="B454" s="8">
        <v>1745567</v>
      </c>
      <c r="C454" s="8">
        <v>1746406</v>
      </c>
      <c r="D454" s="13">
        <f t="shared" si="89"/>
        <v>839</v>
      </c>
      <c r="E454" s="69">
        <v>26856</v>
      </c>
      <c r="F454" s="69">
        <v>27227</v>
      </c>
      <c r="G454" s="133">
        <f t="shared" si="92"/>
        <v>371</v>
      </c>
      <c r="H454" s="8">
        <v>192555</v>
      </c>
      <c r="I454" s="8">
        <v>192555</v>
      </c>
      <c r="J454" s="13">
        <f t="shared" si="85"/>
        <v>0</v>
      </c>
      <c r="K454" s="138"/>
      <c r="L454" s="8">
        <v>521065</v>
      </c>
      <c r="M454" s="8">
        <v>522032</v>
      </c>
      <c r="N454" s="13">
        <f t="shared" si="87"/>
        <v>967</v>
      </c>
      <c r="O454" s="136"/>
      <c r="P454" s="8">
        <v>305463</v>
      </c>
      <c r="Q454" s="8">
        <v>305980</v>
      </c>
      <c r="R454" s="133">
        <f t="shared" si="86"/>
        <v>517</v>
      </c>
      <c r="S454" s="8">
        <v>7766</v>
      </c>
      <c r="T454" s="8">
        <v>7796</v>
      </c>
      <c r="U454" s="133">
        <f t="shared" si="90"/>
        <v>30</v>
      </c>
      <c r="V454" s="8">
        <v>313010</v>
      </c>
      <c r="W454" s="8">
        <v>313190</v>
      </c>
      <c r="X454" s="13">
        <f t="shared" si="84"/>
        <v>180</v>
      </c>
      <c r="Y454" s="8">
        <v>19168</v>
      </c>
      <c r="Z454" s="8">
        <v>19191</v>
      </c>
      <c r="AA454" s="13">
        <f t="shared" si="88"/>
        <v>23</v>
      </c>
      <c r="AB454" s="8">
        <v>194819</v>
      </c>
      <c r="AC454" s="8">
        <v>194864</v>
      </c>
      <c r="AD454" s="13">
        <f t="shared" si="83"/>
        <v>45</v>
      </c>
      <c r="AE454" s="135"/>
      <c r="AF454" s="135"/>
      <c r="AG454" s="135"/>
      <c r="AH454" s="136"/>
      <c r="AI454" s="50">
        <f t="shared" si="91"/>
        <v>750</v>
      </c>
    </row>
    <row r="455" spans="1:35">
      <c r="A455" s="12">
        <v>44830</v>
      </c>
      <c r="B455" s="8">
        <v>1746406</v>
      </c>
      <c r="C455" s="8">
        <v>1747117</v>
      </c>
      <c r="D455" s="13">
        <f t="shared" si="89"/>
        <v>711</v>
      </c>
      <c r="E455" s="69">
        <v>27227</v>
      </c>
      <c r="F455" s="77">
        <v>28002</v>
      </c>
      <c r="G455" s="133">
        <f t="shared" si="92"/>
        <v>775</v>
      </c>
      <c r="H455" s="8">
        <v>192555</v>
      </c>
      <c r="I455" s="8">
        <v>192555</v>
      </c>
      <c r="J455" s="13">
        <f t="shared" si="85"/>
        <v>0</v>
      </c>
      <c r="K455" s="138"/>
      <c r="L455" s="8">
        <v>522032</v>
      </c>
      <c r="M455" s="8">
        <v>523160</v>
      </c>
      <c r="N455" s="13">
        <f t="shared" si="87"/>
        <v>1128</v>
      </c>
      <c r="O455" s="136"/>
      <c r="P455" s="8">
        <v>305980</v>
      </c>
      <c r="Q455" s="8">
        <v>306452</v>
      </c>
      <c r="R455" s="133">
        <f t="shared" si="86"/>
        <v>472</v>
      </c>
      <c r="S455" s="8">
        <v>7796</v>
      </c>
      <c r="T455" s="8">
        <v>7845</v>
      </c>
      <c r="U455" s="133">
        <f t="shared" si="90"/>
        <v>49</v>
      </c>
      <c r="V455" s="8">
        <v>313190</v>
      </c>
      <c r="W455" s="8">
        <v>313190</v>
      </c>
      <c r="X455" s="13">
        <f t="shared" si="84"/>
        <v>0</v>
      </c>
      <c r="Y455" s="8">
        <v>19191</v>
      </c>
      <c r="Z455" s="8">
        <v>19225</v>
      </c>
      <c r="AA455" s="13">
        <f t="shared" si="88"/>
        <v>34</v>
      </c>
      <c r="AB455" s="8">
        <v>194864</v>
      </c>
      <c r="AC455" s="8">
        <v>194932</v>
      </c>
      <c r="AD455" s="13">
        <f t="shared" si="83"/>
        <v>68</v>
      </c>
      <c r="AE455" s="135"/>
      <c r="AF455" s="135"/>
      <c r="AG455" s="135"/>
      <c r="AH455" s="136"/>
      <c r="AI455" s="50">
        <f t="shared" si="91"/>
        <v>555</v>
      </c>
    </row>
    <row r="456" spans="1:35">
      <c r="A456" s="12">
        <v>44831</v>
      </c>
      <c r="B456" s="8">
        <v>1747117</v>
      </c>
      <c r="C456" s="8">
        <v>1747703</v>
      </c>
      <c r="D456" s="13">
        <f t="shared" si="89"/>
        <v>586</v>
      </c>
      <c r="E456" s="77">
        <v>28002</v>
      </c>
      <c r="F456" s="69">
        <v>28788</v>
      </c>
      <c r="G456" s="133">
        <f t="shared" si="92"/>
        <v>786</v>
      </c>
      <c r="H456" s="8">
        <v>192555</v>
      </c>
      <c r="I456" s="8">
        <v>193065</v>
      </c>
      <c r="J456" s="13">
        <f t="shared" si="85"/>
        <v>510</v>
      </c>
      <c r="K456" s="138"/>
      <c r="L456" s="8">
        <v>523160</v>
      </c>
      <c r="M456" s="8">
        <v>523811</v>
      </c>
      <c r="N456" s="13">
        <f t="shared" si="87"/>
        <v>651</v>
      </c>
      <c r="O456" s="136"/>
      <c r="P456" s="8">
        <v>306452</v>
      </c>
      <c r="Q456" s="8">
        <v>306899</v>
      </c>
      <c r="R456" s="133">
        <f t="shared" si="86"/>
        <v>447</v>
      </c>
      <c r="S456" s="8">
        <v>7845</v>
      </c>
      <c r="T456" s="8">
        <v>7889</v>
      </c>
      <c r="U456" s="133">
        <f t="shared" si="90"/>
        <v>44</v>
      </c>
      <c r="V456" s="8">
        <v>313190</v>
      </c>
      <c r="W456" s="8">
        <v>313249</v>
      </c>
      <c r="X456" s="13">
        <f t="shared" si="84"/>
        <v>59</v>
      </c>
      <c r="Y456" s="8">
        <v>19225</v>
      </c>
      <c r="Z456" s="8">
        <v>19250</v>
      </c>
      <c r="AA456" s="13">
        <f t="shared" si="88"/>
        <v>25</v>
      </c>
      <c r="AB456" s="8">
        <v>194932</v>
      </c>
      <c r="AC456" s="8">
        <v>194997</v>
      </c>
      <c r="AD456" s="13">
        <f t="shared" ref="AD456:AD519" si="93">AC456-AB456</f>
        <v>65</v>
      </c>
      <c r="AE456" s="135"/>
      <c r="AF456" s="135"/>
      <c r="AG456" s="135"/>
      <c r="AH456" s="136"/>
      <c r="AI456" s="50">
        <f t="shared" si="91"/>
        <v>575</v>
      </c>
    </row>
    <row r="457" spans="1:35">
      <c r="A457" s="12">
        <v>44832</v>
      </c>
      <c r="B457" s="8">
        <v>1747703</v>
      </c>
      <c r="C457" s="8">
        <v>1747916</v>
      </c>
      <c r="D457" s="13">
        <f t="shared" si="89"/>
        <v>213</v>
      </c>
      <c r="E457" s="69">
        <v>28788</v>
      </c>
      <c r="F457" s="69">
        <v>29544</v>
      </c>
      <c r="G457" s="133">
        <f t="shared" si="92"/>
        <v>756</v>
      </c>
      <c r="H457" s="8">
        <v>193065</v>
      </c>
      <c r="I457" s="8">
        <v>193522</v>
      </c>
      <c r="J457" s="13">
        <f t="shared" si="85"/>
        <v>457</v>
      </c>
      <c r="K457" s="138"/>
      <c r="L457" s="8">
        <v>523811</v>
      </c>
      <c r="M457" s="8">
        <v>524480</v>
      </c>
      <c r="N457" s="13">
        <f t="shared" si="87"/>
        <v>669</v>
      </c>
      <c r="O457" s="136"/>
      <c r="P457" s="8">
        <v>306899</v>
      </c>
      <c r="Q457" s="8">
        <v>307304</v>
      </c>
      <c r="R457" s="133">
        <f t="shared" si="86"/>
        <v>405</v>
      </c>
      <c r="S457" s="8">
        <v>7889</v>
      </c>
      <c r="T457" s="8">
        <v>7950</v>
      </c>
      <c r="U457" s="133">
        <f t="shared" si="90"/>
        <v>61</v>
      </c>
      <c r="V457" s="8">
        <v>313249</v>
      </c>
      <c r="W457" s="8">
        <v>313428</v>
      </c>
      <c r="X457" s="13">
        <f t="shared" si="84"/>
        <v>179</v>
      </c>
      <c r="Y457" s="8">
        <v>19250</v>
      </c>
      <c r="Z457" s="8">
        <v>19339</v>
      </c>
      <c r="AA457" s="13">
        <f t="shared" si="88"/>
        <v>89</v>
      </c>
      <c r="AB457" s="8">
        <v>194997</v>
      </c>
      <c r="AC457" s="8">
        <v>195086</v>
      </c>
      <c r="AD457" s="13">
        <f t="shared" si="93"/>
        <v>89</v>
      </c>
      <c r="AE457" s="135"/>
      <c r="AF457" s="135"/>
      <c r="AG457" s="135"/>
      <c r="AH457" s="136"/>
      <c r="AI457" s="50">
        <f t="shared" si="91"/>
        <v>734</v>
      </c>
    </row>
    <row r="458" spans="1:35">
      <c r="A458" s="12">
        <v>44833</v>
      </c>
      <c r="B458" s="8">
        <v>1747916</v>
      </c>
      <c r="C458" s="8">
        <v>1748594</v>
      </c>
      <c r="D458" s="13">
        <f t="shared" si="89"/>
        <v>678</v>
      </c>
      <c r="E458" s="69">
        <v>29544</v>
      </c>
      <c r="F458" s="69">
        <v>30304</v>
      </c>
      <c r="G458" s="133">
        <f t="shared" si="92"/>
        <v>760</v>
      </c>
      <c r="H458" s="8">
        <v>193522</v>
      </c>
      <c r="I458" s="8">
        <v>193522</v>
      </c>
      <c r="J458" s="13">
        <f t="shared" si="85"/>
        <v>0</v>
      </c>
      <c r="K458" s="138"/>
      <c r="L458" s="8">
        <v>524480</v>
      </c>
      <c r="M458" s="8">
        <v>525740</v>
      </c>
      <c r="N458" s="13">
        <f t="shared" si="87"/>
        <v>1260</v>
      </c>
      <c r="O458" s="136"/>
      <c r="P458" s="8">
        <v>307304</v>
      </c>
      <c r="Q458" s="8">
        <v>307700</v>
      </c>
      <c r="R458" s="133">
        <f t="shared" si="86"/>
        <v>396</v>
      </c>
      <c r="S458" s="8">
        <v>7950</v>
      </c>
      <c r="T458" s="8">
        <v>7981</v>
      </c>
      <c r="U458" s="133">
        <f t="shared" si="90"/>
        <v>31</v>
      </c>
      <c r="V458" s="8">
        <v>313428</v>
      </c>
      <c r="W458" s="8">
        <v>313590</v>
      </c>
      <c r="X458" s="13">
        <f t="shared" si="84"/>
        <v>162</v>
      </c>
      <c r="Y458" s="8">
        <v>19339</v>
      </c>
      <c r="Z458" s="8">
        <v>19361</v>
      </c>
      <c r="AA458" s="13">
        <f t="shared" si="88"/>
        <v>22</v>
      </c>
      <c r="AB458" s="8">
        <v>195086</v>
      </c>
      <c r="AC458" s="8">
        <v>195109</v>
      </c>
      <c r="AD458" s="13">
        <f t="shared" si="93"/>
        <v>23</v>
      </c>
      <c r="AE458" s="135"/>
      <c r="AF458" s="135"/>
      <c r="AG458" s="135"/>
      <c r="AH458" s="136"/>
      <c r="AI458" s="50">
        <f t="shared" si="91"/>
        <v>611</v>
      </c>
    </row>
    <row r="459" spans="1:35">
      <c r="A459" s="12">
        <v>44834</v>
      </c>
      <c r="B459" s="8">
        <v>1748594</v>
      </c>
      <c r="C459" s="8">
        <v>1748599</v>
      </c>
      <c r="D459" s="13">
        <f t="shared" si="89"/>
        <v>5</v>
      </c>
      <c r="E459" s="69">
        <v>30304</v>
      </c>
      <c r="F459" s="69">
        <v>31053</v>
      </c>
      <c r="G459" s="133">
        <f t="shared" si="92"/>
        <v>749</v>
      </c>
      <c r="H459" s="8">
        <v>193522</v>
      </c>
      <c r="I459" s="8">
        <v>194224</v>
      </c>
      <c r="J459" s="13">
        <f t="shared" si="85"/>
        <v>702</v>
      </c>
      <c r="K459" s="138"/>
      <c r="L459" s="8">
        <v>525740</v>
      </c>
      <c r="M459" s="8">
        <v>526750</v>
      </c>
      <c r="N459" s="13">
        <f t="shared" si="87"/>
        <v>1010</v>
      </c>
      <c r="O459" s="136"/>
      <c r="P459" s="8">
        <v>307700</v>
      </c>
      <c r="Q459" s="8">
        <v>308139</v>
      </c>
      <c r="R459" s="133">
        <f t="shared" si="86"/>
        <v>439</v>
      </c>
      <c r="S459" s="8">
        <v>7981</v>
      </c>
      <c r="T459" s="8">
        <v>8002</v>
      </c>
      <c r="U459" s="133">
        <f t="shared" si="90"/>
        <v>21</v>
      </c>
      <c r="V459" s="8">
        <v>313590</v>
      </c>
      <c r="W459" s="8">
        <v>313628</v>
      </c>
      <c r="X459" s="13">
        <f t="shared" si="84"/>
        <v>38</v>
      </c>
      <c r="Y459" s="8">
        <v>19361</v>
      </c>
      <c r="Z459" s="8">
        <v>19386</v>
      </c>
      <c r="AA459" s="13">
        <f t="shared" si="88"/>
        <v>25</v>
      </c>
      <c r="AB459" s="8">
        <v>195109</v>
      </c>
      <c r="AC459" s="8">
        <v>195144</v>
      </c>
      <c r="AD459" s="13">
        <f t="shared" si="93"/>
        <v>35</v>
      </c>
      <c r="AE459" s="135"/>
      <c r="AF459" s="135"/>
      <c r="AG459" s="135"/>
      <c r="AH459" s="136"/>
      <c r="AI459" s="50">
        <f t="shared" si="91"/>
        <v>523</v>
      </c>
    </row>
    <row r="460" spans="1:35">
      <c r="A460" s="12">
        <v>44835</v>
      </c>
      <c r="B460" s="8">
        <v>1748599</v>
      </c>
      <c r="C460" s="8">
        <v>1748599</v>
      </c>
      <c r="D460" s="13">
        <f t="shared" si="89"/>
        <v>0</v>
      </c>
      <c r="E460" s="69">
        <v>31053</v>
      </c>
      <c r="F460" s="69">
        <v>31746</v>
      </c>
      <c r="G460" s="133">
        <f t="shared" si="92"/>
        <v>693</v>
      </c>
      <c r="H460" s="8">
        <v>194224</v>
      </c>
      <c r="I460" s="8">
        <v>194985</v>
      </c>
      <c r="J460" s="13">
        <f t="shared" si="85"/>
        <v>761</v>
      </c>
      <c r="K460" s="138"/>
      <c r="L460" s="8">
        <v>526750</v>
      </c>
      <c r="M460" s="8">
        <v>527022</v>
      </c>
      <c r="N460" s="13">
        <f t="shared" si="87"/>
        <v>272</v>
      </c>
      <c r="O460" s="136"/>
      <c r="P460" s="8">
        <v>308139</v>
      </c>
      <c r="Q460" s="8">
        <v>308585</v>
      </c>
      <c r="R460" s="133">
        <f t="shared" si="86"/>
        <v>446</v>
      </c>
      <c r="S460" s="8">
        <v>8002</v>
      </c>
      <c r="T460" s="8">
        <v>8035</v>
      </c>
      <c r="U460" s="133">
        <f t="shared" si="90"/>
        <v>33</v>
      </c>
      <c r="V460" s="8">
        <v>313628</v>
      </c>
      <c r="W460" s="8">
        <v>313628</v>
      </c>
      <c r="X460" s="13">
        <f t="shared" si="84"/>
        <v>0</v>
      </c>
      <c r="Y460" s="8">
        <v>19386</v>
      </c>
      <c r="Z460" s="8">
        <v>19386</v>
      </c>
      <c r="AA460" s="13">
        <f t="shared" si="88"/>
        <v>0</v>
      </c>
      <c r="AB460" s="8">
        <v>195144</v>
      </c>
      <c r="AC460" s="8">
        <v>195146</v>
      </c>
      <c r="AD460" s="13">
        <f t="shared" si="93"/>
        <v>2</v>
      </c>
      <c r="AE460" s="135"/>
      <c r="AF460" s="135"/>
      <c r="AG460" s="135"/>
      <c r="AH460" s="136"/>
      <c r="AI460" s="50">
        <f t="shared" si="91"/>
        <v>479</v>
      </c>
    </row>
    <row r="461" spans="1:35">
      <c r="A461" s="12">
        <v>44836</v>
      </c>
      <c r="B461" s="8">
        <v>1748599</v>
      </c>
      <c r="C461" s="8">
        <v>1748599</v>
      </c>
      <c r="D461" s="13">
        <f t="shared" si="89"/>
        <v>0</v>
      </c>
      <c r="E461" s="69">
        <v>31746</v>
      </c>
      <c r="F461" s="69">
        <v>32413</v>
      </c>
      <c r="G461" s="133">
        <f t="shared" si="92"/>
        <v>667</v>
      </c>
      <c r="H461" s="8">
        <v>194985</v>
      </c>
      <c r="I461" s="8">
        <v>195013</v>
      </c>
      <c r="J461" s="13">
        <f t="shared" si="85"/>
        <v>28</v>
      </c>
      <c r="K461" s="138"/>
      <c r="L461" s="8">
        <v>527022</v>
      </c>
      <c r="M461" s="8">
        <v>527022</v>
      </c>
      <c r="N461" s="13">
        <f t="shared" si="87"/>
        <v>0</v>
      </c>
      <c r="O461" s="136"/>
      <c r="P461" s="8">
        <v>308585</v>
      </c>
      <c r="Q461" s="8">
        <v>308950</v>
      </c>
      <c r="R461" s="133">
        <f t="shared" si="86"/>
        <v>365</v>
      </c>
      <c r="S461" s="8">
        <v>8035</v>
      </c>
      <c r="T461" s="8">
        <v>8070</v>
      </c>
      <c r="U461" s="133">
        <f t="shared" si="90"/>
        <v>35</v>
      </c>
      <c r="V461" s="8">
        <v>313628</v>
      </c>
      <c r="W461" s="8">
        <v>313628</v>
      </c>
      <c r="X461" s="13">
        <f t="shared" ref="X461:X470" si="94">W461-V461</f>
        <v>0</v>
      </c>
      <c r="Y461" s="8">
        <v>19386</v>
      </c>
      <c r="Z461" s="8">
        <v>19386</v>
      </c>
      <c r="AA461" s="13">
        <f t="shared" si="88"/>
        <v>0</v>
      </c>
      <c r="AB461" s="8">
        <v>195146</v>
      </c>
      <c r="AC461" s="8">
        <v>195146</v>
      </c>
      <c r="AD461" s="13">
        <f t="shared" si="93"/>
        <v>0</v>
      </c>
      <c r="AE461" s="135"/>
      <c r="AF461" s="135"/>
      <c r="AG461" s="135"/>
      <c r="AH461" s="136"/>
      <c r="AI461" s="50">
        <f t="shared" si="91"/>
        <v>400</v>
      </c>
    </row>
    <row r="462" spans="1:35">
      <c r="A462" s="12">
        <v>44837</v>
      </c>
      <c r="B462" s="8">
        <v>1748599</v>
      </c>
      <c r="C462" s="8">
        <v>1748637</v>
      </c>
      <c r="D462" s="13">
        <f t="shared" si="89"/>
        <v>38</v>
      </c>
      <c r="E462" s="69">
        <v>32413</v>
      </c>
      <c r="F462" s="69">
        <v>32942</v>
      </c>
      <c r="G462" s="133">
        <f t="shared" si="92"/>
        <v>529</v>
      </c>
      <c r="H462" s="8">
        <v>195013</v>
      </c>
      <c r="I462" s="8">
        <v>195139</v>
      </c>
      <c r="J462" s="13">
        <f t="shared" si="85"/>
        <v>126</v>
      </c>
      <c r="K462" s="138"/>
      <c r="L462" s="8">
        <v>527022</v>
      </c>
      <c r="M462" s="8">
        <v>527921</v>
      </c>
      <c r="N462" s="13">
        <f t="shared" si="87"/>
        <v>899</v>
      </c>
      <c r="O462" s="136"/>
      <c r="P462" s="8">
        <v>308950</v>
      </c>
      <c r="Q462" s="8">
        <v>309322</v>
      </c>
      <c r="R462" s="133">
        <f t="shared" si="86"/>
        <v>372</v>
      </c>
      <c r="S462" s="8">
        <v>8070</v>
      </c>
      <c r="T462" s="8">
        <v>8094</v>
      </c>
      <c r="U462" s="133">
        <f t="shared" si="90"/>
        <v>24</v>
      </c>
      <c r="V462" s="8">
        <v>313628</v>
      </c>
      <c r="W462" s="8">
        <v>313708</v>
      </c>
      <c r="X462" s="13">
        <f t="shared" si="94"/>
        <v>80</v>
      </c>
      <c r="Y462" s="8">
        <v>19386</v>
      </c>
      <c r="Z462" s="8">
        <v>19429</v>
      </c>
      <c r="AA462" s="13">
        <f t="shared" si="88"/>
        <v>43</v>
      </c>
      <c r="AB462" s="8">
        <v>195146</v>
      </c>
      <c r="AC462" s="8">
        <v>195206</v>
      </c>
      <c r="AD462" s="13">
        <f t="shared" si="93"/>
        <v>60</v>
      </c>
      <c r="AE462" s="135"/>
      <c r="AF462" s="135"/>
      <c r="AG462" s="135"/>
      <c r="AH462" s="136"/>
      <c r="AI462" s="50">
        <f t="shared" si="91"/>
        <v>519</v>
      </c>
    </row>
    <row r="463" spans="1:35">
      <c r="A463" s="12">
        <v>44838</v>
      </c>
      <c r="B463" s="8">
        <v>1748637</v>
      </c>
      <c r="C463" s="8">
        <v>1748859</v>
      </c>
      <c r="D463" s="13">
        <f t="shared" si="89"/>
        <v>222</v>
      </c>
      <c r="E463" s="69">
        <v>32942</v>
      </c>
      <c r="F463" s="69">
        <v>33338</v>
      </c>
      <c r="G463" s="133">
        <f t="shared" si="92"/>
        <v>396</v>
      </c>
      <c r="H463" s="8">
        <v>195139</v>
      </c>
      <c r="I463" s="8">
        <v>195139</v>
      </c>
      <c r="J463" s="13">
        <f t="shared" si="85"/>
        <v>0</v>
      </c>
      <c r="K463" s="138"/>
      <c r="L463" s="8">
        <v>527921</v>
      </c>
      <c r="M463" s="8">
        <v>528696</v>
      </c>
      <c r="N463" s="13">
        <f t="shared" si="87"/>
        <v>775</v>
      </c>
      <c r="O463" s="136"/>
      <c r="P463" s="8">
        <v>309322</v>
      </c>
      <c r="Q463" s="8">
        <v>309649</v>
      </c>
      <c r="R463" s="133">
        <f t="shared" si="86"/>
        <v>327</v>
      </c>
      <c r="S463" s="8">
        <v>8094</v>
      </c>
      <c r="T463" s="8">
        <v>8128</v>
      </c>
      <c r="U463" s="133">
        <f t="shared" si="90"/>
        <v>34</v>
      </c>
      <c r="V463" s="8">
        <v>313708</v>
      </c>
      <c r="W463" s="8">
        <v>313818</v>
      </c>
      <c r="X463" s="13">
        <f t="shared" si="94"/>
        <v>110</v>
      </c>
      <c r="Y463" s="8">
        <v>19429</v>
      </c>
      <c r="Z463" s="8">
        <v>19448</v>
      </c>
      <c r="AA463" s="13">
        <f t="shared" si="88"/>
        <v>19</v>
      </c>
      <c r="AB463" s="8">
        <v>195206</v>
      </c>
      <c r="AC463" s="8">
        <v>195291</v>
      </c>
      <c r="AD463" s="13">
        <f t="shared" si="93"/>
        <v>85</v>
      </c>
      <c r="AE463" s="135"/>
      <c r="AF463" s="135"/>
      <c r="AG463" s="135"/>
      <c r="AH463" s="136"/>
      <c r="AI463" s="50">
        <f t="shared" si="91"/>
        <v>490</v>
      </c>
    </row>
    <row r="464" spans="1:35">
      <c r="A464" s="12">
        <v>44839</v>
      </c>
      <c r="B464" s="8">
        <v>1748859</v>
      </c>
      <c r="C464" s="8">
        <v>1749450</v>
      </c>
      <c r="D464" s="13">
        <f t="shared" si="89"/>
        <v>591</v>
      </c>
      <c r="E464" s="69">
        <v>33338</v>
      </c>
      <c r="F464" s="69">
        <v>34118</v>
      </c>
      <c r="G464" s="133">
        <f t="shared" si="92"/>
        <v>780</v>
      </c>
      <c r="H464" s="8">
        <v>195139</v>
      </c>
      <c r="I464" s="8">
        <v>195964</v>
      </c>
      <c r="J464" s="13">
        <f t="shared" si="85"/>
        <v>825</v>
      </c>
      <c r="K464" s="138"/>
      <c r="L464" s="8">
        <v>528696</v>
      </c>
      <c r="M464" s="8">
        <v>528975</v>
      </c>
      <c r="N464" s="13">
        <f t="shared" si="87"/>
        <v>279</v>
      </c>
      <c r="O464" s="136"/>
      <c r="P464" s="8">
        <v>309649</v>
      </c>
      <c r="Q464" s="8">
        <v>310049</v>
      </c>
      <c r="R464" s="133">
        <f t="shared" si="86"/>
        <v>400</v>
      </c>
      <c r="S464" s="8">
        <v>8128</v>
      </c>
      <c r="T464" s="8">
        <v>8128</v>
      </c>
      <c r="U464" s="133">
        <f t="shared" si="90"/>
        <v>0</v>
      </c>
      <c r="V464" s="8">
        <v>313818</v>
      </c>
      <c r="W464" s="8">
        <v>314107</v>
      </c>
      <c r="X464" s="13">
        <f t="shared" si="94"/>
        <v>289</v>
      </c>
      <c r="Y464" s="8">
        <v>19429</v>
      </c>
      <c r="Z464" s="8">
        <v>19481</v>
      </c>
      <c r="AA464" s="13">
        <f t="shared" si="88"/>
        <v>52</v>
      </c>
      <c r="AB464" s="8">
        <v>195291</v>
      </c>
      <c r="AC464" s="8">
        <v>195358</v>
      </c>
      <c r="AD464" s="13">
        <f t="shared" si="93"/>
        <v>67</v>
      </c>
      <c r="AE464" s="135"/>
      <c r="AF464" s="135"/>
      <c r="AG464" s="135"/>
      <c r="AH464" s="136"/>
      <c r="AI464" s="50">
        <f t="shared" si="91"/>
        <v>741</v>
      </c>
    </row>
    <row r="465" spans="1:35">
      <c r="A465" s="12">
        <v>44840</v>
      </c>
      <c r="B465" s="8">
        <v>1749450</v>
      </c>
      <c r="C465" s="8">
        <v>1749743</v>
      </c>
      <c r="D465" s="13">
        <f t="shared" si="89"/>
        <v>293</v>
      </c>
      <c r="E465" s="69">
        <v>34118</v>
      </c>
      <c r="F465" s="69">
        <v>34432</v>
      </c>
      <c r="G465" s="133">
        <f t="shared" si="92"/>
        <v>314</v>
      </c>
      <c r="H465" s="8">
        <v>195964</v>
      </c>
      <c r="I465" s="8">
        <v>195964</v>
      </c>
      <c r="J465" s="13">
        <f t="shared" si="85"/>
        <v>0</v>
      </c>
      <c r="K465" s="138"/>
      <c r="L465" s="8">
        <v>528975</v>
      </c>
      <c r="M465" s="8">
        <v>529972</v>
      </c>
      <c r="N465" s="13">
        <f t="shared" si="87"/>
        <v>997</v>
      </c>
      <c r="O465" s="136"/>
      <c r="P465" s="8">
        <v>310049</v>
      </c>
      <c r="Q465" s="8">
        <v>310384</v>
      </c>
      <c r="R465" s="133">
        <f t="shared" si="86"/>
        <v>335</v>
      </c>
      <c r="S465" s="8">
        <v>8128</v>
      </c>
      <c r="T465" s="8">
        <v>8187</v>
      </c>
      <c r="U465" s="133">
        <f t="shared" si="90"/>
        <v>59</v>
      </c>
      <c r="V465" s="8">
        <v>314107</v>
      </c>
      <c r="W465" s="8">
        <v>314178</v>
      </c>
      <c r="X465" s="13">
        <f t="shared" si="94"/>
        <v>71</v>
      </c>
      <c r="Y465" s="8">
        <v>19481</v>
      </c>
      <c r="Z465" s="8">
        <v>19500</v>
      </c>
      <c r="AA465" s="13">
        <f t="shared" si="88"/>
        <v>19</v>
      </c>
      <c r="AB465" s="8">
        <v>195358</v>
      </c>
      <c r="AC465" s="8">
        <v>195418</v>
      </c>
      <c r="AD465" s="13">
        <f t="shared" si="93"/>
        <v>60</v>
      </c>
      <c r="AE465" s="135"/>
      <c r="AF465" s="135"/>
      <c r="AG465" s="135"/>
      <c r="AH465" s="136"/>
      <c r="AI465" s="50">
        <f t="shared" si="91"/>
        <v>484</v>
      </c>
    </row>
    <row r="466" spans="1:35">
      <c r="A466" s="12">
        <v>44841</v>
      </c>
      <c r="B466" s="8">
        <v>1749743</v>
      </c>
      <c r="C466" s="8">
        <v>1750105</v>
      </c>
      <c r="D466" s="13">
        <f t="shared" si="89"/>
        <v>362</v>
      </c>
      <c r="E466" s="69">
        <v>34432</v>
      </c>
      <c r="F466" s="69">
        <v>34648</v>
      </c>
      <c r="G466" s="133">
        <f t="shared" si="92"/>
        <v>216</v>
      </c>
      <c r="H466" s="8">
        <v>195964</v>
      </c>
      <c r="I466" s="8">
        <v>196751</v>
      </c>
      <c r="J466" s="13">
        <f t="shared" si="85"/>
        <v>787</v>
      </c>
      <c r="K466" s="138"/>
      <c r="L466" s="8">
        <v>529972</v>
      </c>
      <c r="M466" s="8">
        <v>530276</v>
      </c>
      <c r="N466" s="13">
        <f t="shared" si="87"/>
        <v>304</v>
      </c>
      <c r="O466" s="136"/>
      <c r="P466" s="8">
        <v>310384</v>
      </c>
      <c r="Q466" s="8">
        <v>310711</v>
      </c>
      <c r="R466" s="133">
        <f t="shared" si="86"/>
        <v>327</v>
      </c>
      <c r="S466" s="8">
        <v>8187</v>
      </c>
      <c r="T466" s="8">
        <v>8225</v>
      </c>
      <c r="U466" s="133">
        <f t="shared" si="90"/>
        <v>38</v>
      </c>
      <c r="V466" s="8">
        <v>314178</v>
      </c>
      <c r="W466" s="8">
        <v>314273</v>
      </c>
      <c r="X466" s="13">
        <f t="shared" si="94"/>
        <v>95</v>
      </c>
      <c r="Y466" s="8">
        <v>19500</v>
      </c>
      <c r="Z466" s="8">
        <v>19518</v>
      </c>
      <c r="AA466" s="13">
        <f t="shared" si="88"/>
        <v>18</v>
      </c>
      <c r="AB466" s="8">
        <v>195418</v>
      </c>
      <c r="AC466" s="8">
        <v>195463</v>
      </c>
      <c r="AD466" s="13">
        <f t="shared" si="93"/>
        <v>45</v>
      </c>
      <c r="AE466" s="135"/>
      <c r="AF466" s="135"/>
      <c r="AG466" s="135"/>
      <c r="AH466" s="136"/>
      <c r="AI466" s="50">
        <f t="shared" si="91"/>
        <v>478</v>
      </c>
    </row>
    <row r="467" spans="1:35">
      <c r="A467" s="12">
        <v>44842</v>
      </c>
      <c r="B467" s="8">
        <v>1750105</v>
      </c>
      <c r="C467" s="8">
        <v>1750805</v>
      </c>
      <c r="D467" s="13">
        <f t="shared" si="89"/>
        <v>700</v>
      </c>
      <c r="E467" s="69">
        <v>34648</v>
      </c>
      <c r="F467" s="69">
        <v>34847</v>
      </c>
      <c r="G467" s="133">
        <f t="shared" si="92"/>
        <v>199</v>
      </c>
      <c r="H467" s="8">
        <v>196751</v>
      </c>
      <c r="I467" s="8">
        <v>197421</v>
      </c>
      <c r="J467" s="13">
        <f t="shared" si="85"/>
        <v>670</v>
      </c>
      <c r="K467" s="138"/>
      <c r="L467" s="8">
        <v>530276</v>
      </c>
      <c r="M467" s="8">
        <v>531078</v>
      </c>
      <c r="N467" s="13">
        <f t="shared" si="87"/>
        <v>802</v>
      </c>
      <c r="O467" s="136"/>
      <c r="P467" s="8">
        <v>310711</v>
      </c>
      <c r="Q467" s="8">
        <v>311118</v>
      </c>
      <c r="R467" s="133">
        <f t="shared" si="86"/>
        <v>407</v>
      </c>
      <c r="S467" s="8">
        <v>8225</v>
      </c>
      <c r="T467" s="8">
        <v>8255</v>
      </c>
      <c r="U467" s="133">
        <f t="shared" si="90"/>
        <v>30</v>
      </c>
      <c r="V467" s="8">
        <v>314273</v>
      </c>
      <c r="W467" s="8">
        <v>314421</v>
      </c>
      <c r="X467" s="13">
        <f t="shared" si="94"/>
        <v>148</v>
      </c>
      <c r="Y467" s="8">
        <v>19518</v>
      </c>
      <c r="Z467" s="8">
        <v>19536</v>
      </c>
      <c r="AA467" s="13">
        <f t="shared" si="88"/>
        <v>18</v>
      </c>
      <c r="AB467" s="8">
        <v>195463</v>
      </c>
      <c r="AC467" s="8">
        <v>195513</v>
      </c>
      <c r="AD467" s="13">
        <f t="shared" si="93"/>
        <v>50</v>
      </c>
      <c r="AE467" s="135"/>
      <c r="AF467" s="135"/>
      <c r="AG467" s="135"/>
      <c r="AH467" s="136"/>
      <c r="AI467" s="50">
        <f t="shared" si="91"/>
        <v>603</v>
      </c>
    </row>
    <row r="468" spans="1:35">
      <c r="A468" s="12">
        <v>44843</v>
      </c>
      <c r="B468" s="8">
        <v>1750805</v>
      </c>
      <c r="C468" s="8">
        <v>1751386</v>
      </c>
      <c r="D468" s="13">
        <f t="shared" si="89"/>
        <v>581</v>
      </c>
      <c r="E468" s="69">
        <v>34847</v>
      </c>
      <c r="F468" s="69">
        <v>35194</v>
      </c>
      <c r="G468" s="133">
        <f t="shared" si="92"/>
        <v>347</v>
      </c>
      <c r="H468" s="8">
        <v>197421</v>
      </c>
      <c r="I468" s="8">
        <v>198175</v>
      </c>
      <c r="J468" s="13">
        <f t="shared" si="85"/>
        <v>754</v>
      </c>
      <c r="K468" s="138"/>
      <c r="L468" s="8">
        <v>531078</v>
      </c>
      <c r="M468" s="8">
        <v>531768</v>
      </c>
      <c r="N468" s="13">
        <f t="shared" si="87"/>
        <v>690</v>
      </c>
      <c r="O468" s="136"/>
      <c r="P468" s="8">
        <v>311118</v>
      </c>
      <c r="Q468" s="8">
        <v>311599</v>
      </c>
      <c r="R468" s="133">
        <f t="shared" si="86"/>
        <v>481</v>
      </c>
      <c r="S468" s="8">
        <v>8255</v>
      </c>
      <c r="T468" s="8">
        <v>8280</v>
      </c>
      <c r="U468" s="133">
        <f t="shared" si="90"/>
        <v>25</v>
      </c>
      <c r="V468" s="8">
        <v>314421</v>
      </c>
      <c r="W468" s="8">
        <v>314505</v>
      </c>
      <c r="X468" s="13">
        <f t="shared" si="94"/>
        <v>84</v>
      </c>
      <c r="Y468" s="8">
        <v>19536</v>
      </c>
      <c r="Z468" s="8">
        <v>19554</v>
      </c>
      <c r="AA468" s="13">
        <f t="shared" si="88"/>
        <v>18</v>
      </c>
      <c r="AB468" s="8">
        <v>195513</v>
      </c>
      <c r="AC468" s="8">
        <v>195552</v>
      </c>
      <c r="AD468" s="13">
        <f t="shared" si="93"/>
        <v>39</v>
      </c>
      <c r="AE468" s="135"/>
      <c r="AF468" s="135"/>
      <c r="AG468" s="135"/>
      <c r="AH468" s="136"/>
      <c r="AI468" s="50">
        <f t="shared" si="91"/>
        <v>608</v>
      </c>
    </row>
    <row r="469" spans="1:35">
      <c r="A469" s="12">
        <v>44844</v>
      </c>
      <c r="B469" s="8">
        <v>1751386</v>
      </c>
      <c r="C469" s="8">
        <v>1752036</v>
      </c>
      <c r="D469" s="13">
        <f t="shared" si="89"/>
        <v>650</v>
      </c>
      <c r="E469" s="69">
        <v>35194</v>
      </c>
      <c r="F469" s="69">
        <v>35543</v>
      </c>
      <c r="G469" s="133">
        <f t="shared" si="92"/>
        <v>349</v>
      </c>
      <c r="H469" s="8">
        <v>198175</v>
      </c>
      <c r="I469" s="8">
        <v>198175</v>
      </c>
      <c r="J469" s="13">
        <f t="shared" si="85"/>
        <v>0</v>
      </c>
      <c r="K469" s="138"/>
      <c r="L469" s="8">
        <v>531768</v>
      </c>
      <c r="M469" s="8">
        <v>532394</v>
      </c>
      <c r="N469" s="13">
        <f t="shared" si="87"/>
        <v>626</v>
      </c>
      <c r="O469" s="136"/>
      <c r="P469" s="8">
        <v>311599</v>
      </c>
      <c r="Q469" s="8">
        <v>312074</v>
      </c>
      <c r="R469" s="133">
        <f t="shared" si="86"/>
        <v>475</v>
      </c>
      <c r="S469" s="8">
        <v>8280</v>
      </c>
      <c r="T469" s="8">
        <v>8303</v>
      </c>
      <c r="U469" s="133">
        <f t="shared" si="90"/>
        <v>23</v>
      </c>
      <c r="V469" s="8">
        <v>314505</v>
      </c>
      <c r="W469" s="8">
        <v>314594</v>
      </c>
      <c r="X469" s="13">
        <f t="shared" si="94"/>
        <v>89</v>
      </c>
      <c r="Y469" s="8">
        <v>19554</v>
      </c>
      <c r="Z469" s="8">
        <v>19571</v>
      </c>
      <c r="AA469" s="13">
        <f t="shared" si="88"/>
        <v>17</v>
      </c>
      <c r="AB469" s="8">
        <v>195552</v>
      </c>
      <c r="AC469" s="8">
        <v>195599</v>
      </c>
      <c r="AD469" s="13">
        <f t="shared" si="93"/>
        <v>47</v>
      </c>
      <c r="AE469" s="135"/>
      <c r="AF469" s="135"/>
      <c r="AG469" s="135"/>
      <c r="AH469" s="136"/>
      <c r="AI469" s="50">
        <f t="shared" si="91"/>
        <v>604</v>
      </c>
    </row>
    <row r="470" spans="1:35">
      <c r="A470" s="12">
        <v>44845</v>
      </c>
      <c r="B470" s="8">
        <v>1752036</v>
      </c>
      <c r="C470" s="8">
        <v>1752717</v>
      </c>
      <c r="D470" s="13">
        <f t="shared" si="89"/>
        <v>681</v>
      </c>
      <c r="E470" s="69">
        <v>35543</v>
      </c>
      <c r="F470" s="69">
        <v>36299</v>
      </c>
      <c r="G470" s="133">
        <f t="shared" si="92"/>
        <v>756</v>
      </c>
      <c r="H470" s="8">
        <v>198175</v>
      </c>
      <c r="I470" s="8">
        <v>198175</v>
      </c>
      <c r="J470" s="13">
        <f t="shared" si="85"/>
        <v>0</v>
      </c>
      <c r="K470" s="138"/>
      <c r="L470" s="8">
        <v>532394</v>
      </c>
      <c r="M470" s="8">
        <v>533671</v>
      </c>
      <c r="N470" s="13">
        <f t="shared" si="87"/>
        <v>1277</v>
      </c>
      <c r="O470" s="136"/>
      <c r="P470" s="8">
        <v>312074</v>
      </c>
      <c r="Q470" s="8">
        <v>312507</v>
      </c>
      <c r="R470" s="133">
        <f t="shared" si="86"/>
        <v>433</v>
      </c>
      <c r="S470" s="8">
        <v>8303</v>
      </c>
      <c r="T470" s="8">
        <v>8355</v>
      </c>
      <c r="U470" s="133">
        <f t="shared" si="90"/>
        <v>52</v>
      </c>
      <c r="V470" s="8">
        <v>314594</v>
      </c>
      <c r="W470" s="8">
        <v>314688</v>
      </c>
      <c r="X470" s="13">
        <f t="shared" si="94"/>
        <v>94</v>
      </c>
      <c r="Y470" s="8">
        <v>19571</v>
      </c>
      <c r="Z470" s="8">
        <v>19585</v>
      </c>
      <c r="AA470" s="13">
        <f t="shared" si="88"/>
        <v>14</v>
      </c>
      <c r="AB470" s="8">
        <v>195599</v>
      </c>
      <c r="AC470" s="8">
        <v>195649</v>
      </c>
      <c r="AD470" s="13">
        <f t="shared" si="93"/>
        <v>50</v>
      </c>
      <c r="AE470" s="135"/>
      <c r="AF470" s="135"/>
      <c r="AG470" s="135"/>
      <c r="AH470" s="136"/>
      <c r="AI470" s="50">
        <f t="shared" si="91"/>
        <v>593</v>
      </c>
    </row>
    <row r="471" spans="1:35">
      <c r="A471" s="12">
        <v>44846</v>
      </c>
      <c r="B471" s="8">
        <v>1752717</v>
      </c>
      <c r="C471" s="8">
        <v>1752789</v>
      </c>
      <c r="D471" s="13">
        <f>C471-B471</f>
        <v>72</v>
      </c>
      <c r="E471" s="69">
        <v>36299</v>
      </c>
      <c r="F471" s="69">
        <v>36674</v>
      </c>
      <c r="G471" s="133">
        <f t="shared" si="92"/>
        <v>375</v>
      </c>
      <c r="H471" s="8">
        <v>198175</v>
      </c>
      <c r="I471" s="8">
        <v>198283</v>
      </c>
      <c r="J471" s="13">
        <f t="shared" si="85"/>
        <v>108</v>
      </c>
      <c r="K471" s="138"/>
      <c r="L471" s="8">
        <v>533671</v>
      </c>
      <c r="M471" s="8">
        <v>534312</v>
      </c>
      <c r="N471" s="13">
        <f t="shared" si="87"/>
        <v>641</v>
      </c>
      <c r="O471" s="136"/>
      <c r="P471" s="8">
        <v>312507</v>
      </c>
      <c r="Q471" s="8">
        <v>312690</v>
      </c>
      <c r="R471" s="133">
        <f t="shared" si="86"/>
        <v>183</v>
      </c>
      <c r="S471" s="8">
        <v>8355</v>
      </c>
      <c r="T471" s="8">
        <v>8371</v>
      </c>
      <c r="U471" s="133">
        <f t="shared" si="90"/>
        <v>16</v>
      </c>
      <c r="V471" s="8">
        <v>314688</v>
      </c>
      <c r="W471" s="8">
        <v>314811</v>
      </c>
      <c r="X471" s="13">
        <f>W471-V471</f>
        <v>123</v>
      </c>
      <c r="Y471" s="8">
        <v>19585</v>
      </c>
      <c r="Z471" s="8">
        <v>19603</v>
      </c>
      <c r="AA471" s="13">
        <f t="shared" si="88"/>
        <v>18</v>
      </c>
      <c r="AB471" s="8">
        <v>195649</v>
      </c>
      <c r="AC471" s="8">
        <v>195704</v>
      </c>
      <c r="AD471" s="13">
        <f t="shared" si="93"/>
        <v>55</v>
      </c>
      <c r="AE471" s="135"/>
      <c r="AF471" s="135"/>
      <c r="AG471" s="135"/>
      <c r="AH471" s="136"/>
      <c r="AI471" s="50">
        <f t="shared" si="91"/>
        <v>340</v>
      </c>
    </row>
    <row r="472" spans="1:35">
      <c r="A472" s="12">
        <v>44847</v>
      </c>
      <c r="B472" s="8">
        <v>1752789</v>
      </c>
      <c r="C472" s="8">
        <v>1753146</v>
      </c>
      <c r="D472" s="13">
        <f>C472-B472</f>
        <v>357</v>
      </c>
      <c r="E472" s="69">
        <v>36674</v>
      </c>
      <c r="F472" s="69">
        <v>37057</v>
      </c>
      <c r="G472" s="133">
        <f t="shared" si="92"/>
        <v>383</v>
      </c>
      <c r="H472" s="8">
        <v>198283</v>
      </c>
      <c r="I472" s="8">
        <v>199177</v>
      </c>
      <c r="J472" s="13">
        <f t="shared" si="85"/>
        <v>894</v>
      </c>
      <c r="K472" s="138"/>
      <c r="L472" s="8">
        <v>534312</v>
      </c>
      <c r="M472" s="8">
        <v>534312</v>
      </c>
      <c r="N472" s="13">
        <f t="shared" si="87"/>
        <v>0</v>
      </c>
      <c r="O472" s="136"/>
      <c r="P472" s="8">
        <v>312690</v>
      </c>
      <c r="Q472" s="8">
        <v>313026</v>
      </c>
      <c r="R472" s="133">
        <f t="shared" si="86"/>
        <v>336</v>
      </c>
      <c r="S472" s="8">
        <v>8371</v>
      </c>
      <c r="T472" s="8">
        <v>8418</v>
      </c>
      <c r="U472" s="133">
        <f t="shared" si="90"/>
        <v>47</v>
      </c>
      <c r="V472" s="8">
        <v>314811</v>
      </c>
      <c r="W472" s="8">
        <v>314900</v>
      </c>
      <c r="X472" s="13">
        <f>W472-V472</f>
        <v>89</v>
      </c>
      <c r="Y472" s="8">
        <v>19603</v>
      </c>
      <c r="Z472" s="8">
        <v>19622</v>
      </c>
      <c r="AA472" s="13">
        <f t="shared" si="88"/>
        <v>19</v>
      </c>
      <c r="AB472" s="8">
        <v>195704</v>
      </c>
      <c r="AC472" s="8">
        <v>195763</v>
      </c>
      <c r="AD472" s="13">
        <f t="shared" si="93"/>
        <v>59</v>
      </c>
      <c r="AE472" s="135"/>
      <c r="AF472" s="135"/>
      <c r="AG472" s="135"/>
      <c r="AH472" s="136"/>
      <c r="AI472" s="50">
        <f t="shared" si="91"/>
        <v>491</v>
      </c>
    </row>
    <row r="473" spans="1:35">
      <c r="A473" s="12">
        <v>44848</v>
      </c>
      <c r="B473" s="8">
        <v>1753146</v>
      </c>
      <c r="C473" s="8">
        <v>1753689</v>
      </c>
      <c r="D473" s="13">
        <f t="shared" ref="D473:D543" si="95">C473-B473</f>
        <v>543</v>
      </c>
      <c r="E473" s="69">
        <v>37057</v>
      </c>
      <c r="F473" s="69">
        <v>37436</v>
      </c>
      <c r="G473" s="133">
        <f t="shared" si="92"/>
        <v>379</v>
      </c>
      <c r="H473" s="8">
        <v>199177</v>
      </c>
      <c r="I473" s="8">
        <v>199967</v>
      </c>
      <c r="J473" s="13">
        <f t="shared" si="85"/>
        <v>790</v>
      </c>
      <c r="K473" s="138"/>
      <c r="L473" s="8">
        <v>534312</v>
      </c>
      <c r="M473" s="8">
        <v>534324</v>
      </c>
      <c r="N473" s="13">
        <f t="shared" si="87"/>
        <v>12</v>
      </c>
      <c r="O473" s="136"/>
      <c r="P473" s="8">
        <v>313026</v>
      </c>
      <c r="Q473" s="8">
        <v>313388</v>
      </c>
      <c r="R473" s="133">
        <f t="shared" si="86"/>
        <v>362</v>
      </c>
      <c r="S473" s="8">
        <v>8418</v>
      </c>
      <c r="T473" s="8">
        <v>8456</v>
      </c>
      <c r="U473" s="133">
        <f t="shared" si="90"/>
        <v>38</v>
      </c>
      <c r="V473" s="8">
        <v>314900</v>
      </c>
      <c r="W473" s="8">
        <v>315054</v>
      </c>
      <c r="X473" s="13">
        <f t="shared" ref="X473:X536" si="96">W473-V473</f>
        <v>154</v>
      </c>
      <c r="Y473" s="8">
        <v>19622</v>
      </c>
      <c r="Z473" s="8">
        <v>19656</v>
      </c>
      <c r="AA473" s="13">
        <f t="shared" si="88"/>
        <v>34</v>
      </c>
      <c r="AB473" s="8">
        <v>195763</v>
      </c>
      <c r="AC473" s="8">
        <v>195851</v>
      </c>
      <c r="AD473" s="13">
        <f t="shared" si="93"/>
        <v>88</v>
      </c>
      <c r="AE473" s="135"/>
      <c r="AF473" s="135"/>
      <c r="AG473" s="135"/>
      <c r="AH473" s="136"/>
      <c r="AI473" s="50">
        <f t="shared" si="91"/>
        <v>588</v>
      </c>
    </row>
    <row r="474" spans="1:35">
      <c r="A474" s="12">
        <v>44849</v>
      </c>
      <c r="B474" s="8">
        <v>1753689</v>
      </c>
      <c r="C474" s="8">
        <v>1753906</v>
      </c>
      <c r="D474" s="13">
        <f t="shared" si="95"/>
        <v>217</v>
      </c>
      <c r="E474" s="77">
        <v>37436</v>
      </c>
      <c r="F474" s="69">
        <v>38169</v>
      </c>
      <c r="G474" s="133">
        <f t="shared" si="92"/>
        <v>733</v>
      </c>
      <c r="H474" s="8">
        <v>199967</v>
      </c>
      <c r="I474" s="8">
        <v>199967</v>
      </c>
      <c r="J474" s="13">
        <f t="shared" si="85"/>
        <v>0</v>
      </c>
      <c r="K474" s="138"/>
      <c r="L474" s="8">
        <v>534324</v>
      </c>
      <c r="M474" s="8">
        <v>534324</v>
      </c>
      <c r="N474" s="13">
        <f t="shared" si="87"/>
        <v>0</v>
      </c>
      <c r="O474" s="136"/>
      <c r="P474" s="8">
        <v>313388</v>
      </c>
      <c r="Q474" s="8">
        <v>313648</v>
      </c>
      <c r="R474" s="133">
        <f t="shared" si="86"/>
        <v>260</v>
      </c>
      <c r="S474" s="8">
        <v>8456</v>
      </c>
      <c r="T474" s="8">
        <v>8486</v>
      </c>
      <c r="U474" s="133">
        <f t="shared" si="90"/>
        <v>30</v>
      </c>
      <c r="V474" s="8">
        <v>315054</v>
      </c>
      <c r="W474" s="8">
        <v>315194</v>
      </c>
      <c r="X474" s="13">
        <f t="shared" si="96"/>
        <v>140</v>
      </c>
      <c r="Y474" s="8">
        <v>19656</v>
      </c>
      <c r="Z474" s="8">
        <v>19674</v>
      </c>
      <c r="AA474" s="13">
        <f t="shared" si="88"/>
        <v>18</v>
      </c>
      <c r="AB474" s="8">
        <v>195851</v>
      </c>
      <c r="AC474" s="8">
        <v>195915</v>
      </c>
      <c r="AD474" s="13">
        <f t="shared" si="93"/>
        <v>64</v>
      </c>
      <c r="AE474" s="135"/>
      <c r="AF474" s="135"/>
      <c r="AG474" s="135"/>
      <c r="AH474" s="136"/>
      <c r="AI474" s="50">
        <f t="shared" si="91"/>
        <v>448</v>
      </c>
    </row>
    <row r="475" spans="1:35">
      <c r="A475" s="12">
        <v>44850</v>
      </c>
      <c r="B475" s="8">
        <v>1753906</v>
      </c>
      <c r="C475" s="8">
        <v>1754323</v>
      </c>
      <c r="D475" s="13">
        <f t="shared" si="95"/>
        <v>417</v>
      </c>
      <c r="E475" s="77">
        <v>38169</v>
      </c>
      <c r="F475" s="69">
        <v>38442</v>
      </c>
      <c r="G475" s="133">
        <f t="shared" si="92"/>
        <v>273</v>
      </c>
      <c r="H475" s="8">
        <v>199967</v>
      </c>
      <c r="I475" s="8">
        <v>199967</v>
      </c>
      <c r="J475" s="13">
        <f t="shared" si="85"/>
        <v>0</v>
      </c>
      <c r="K475" s="138"/>
      <c r="L475" s="8">
        <v>534324</v>
      </c>
      <c r="M475" s="8">
        <v>535129</v>
      </c>
      <c r="N475" s="13">
        <f t="shared" si="87"/>
        <v>805</v>
      </c>
      <c r="O475" s="136"/>
      <c r="P475" s="8">
        <v>313648</v>
      </c>
      <c r="Q475" s="8">
        <v>313648</v>
      </c>
      <c r="R475" s="133">
        <f t="shared" si="86"/>
        <v>0</v>
      </c>
      <c r="S475" s="8">
        <v>8486</v>
      </c>
      <c r="T475" s="8">
        <v>8505</v>
      </c>
      <c r="U475" s="133">
        <f t="shared" si="90"/>
        <v>19</v>
      </c>
      <c r="V475" s="8">
        <v>315194</v>
      </c>
      <c r="W475" s="8">
        <v>315235</v>
      </c>
      <c r="X475" s="13">
        <f t="shared" si="96"/>
        <v>41</v>
      </c>
      <c r="Y475" s="8">
        <v>19674</v>
      </c>
      <c r="Z475" s="8">
        <v>19689</v>
      </c>
      <c r="AA475" s="13">
        <f t="shared" si="88"/>
        <v>15</v>
      </c>
      <c r="AB475" s="8">
        <v>195915</v>
      </c>
      <c r="AC475" s="8">
        <v>195951</v>
      </c>
      <c r="AD475" s="13">
        <f t="shared" si="93"/>
        <v>36</v>
      </c>
      <c r="AE475" s="135"/>
      <c r="AF475" s="135"/>
      <c r="AG475" s="135"/>
      <c r="AH475" s="136"/>
      <c r="AI475" s="50">
        <f t="shared" si="91"/>
        <v>75</v>
      </c>
    </row>
    <row r="476" spans="1:35">
      <c r="A476" s="12">
        <v>44851</v>
      </c>
      <c r="B476" s="8">
        <v>1754323</v>
      </c>
      <c r="C476" s="8">
        <v>1754548</v>
      </c>
      <c r="D476" s="13">
        <f t="shared" si="95"/>
        <v>225</v>
      </c>
      <c r="E476" s="77">
        <v>38442</v>
      </c>
      <c r="F476" s="69">
        <v>39043</v>
      </c>
      <c r="G476" s="133">
        <f t="shared" si="92"/>
        <v>601</v>
      </c>
      <c r="H476" s="8">
        <v>199967</v>
      </c>
      <c r="I476" s="8">
        <v>199967</v>
      </c>
      <c r="J476" s="13">
        <f t="shared" si="85"/>
        <v>0</v>
      </c>
      <c r="K476" s="138"/>
      <c r="L476" s="8">
        <v>535129</v>
      </c>
      <c r="M476" s="8">
        <v>535497</v>
      </c>
      <c r="N476" s="13">
        <f t="shared" si="87"/>
        <v>368</v>
      </c>
      <c r="O476" s="136"/>
      <c r="P476" s="8">
        <v>313648</v>
      </c>
      <c r="Q476" s="8">
        <v>313658</v>
      </c>
      <c r="R476" s="133">
        <f t="shared" si="86"/>
        <v>10</v>
      </c>
      <c r="S476" s="8">
        <v>8505</v>
      </c>
      <c r="T476" s="8">
        <v>8535</v>
      </c>
      <c r="U476" s="133">
        <f t="shared" si="90"/>
        <v>30</v>
      </c>
      <c r="V476" s="8">
        <v>315235</v>
      </c>
      <c r="W476" s="8">
        <v>315333</v>
      </c>
      <c r="X476" s="13">
        <f t="shared" si="96"/>
        <v>98</v>
      </c>
      <c r="Y476" s="8">
        <v>19689</v>
      </c>
      <c r="Z476" s="8">
        <v>19720</v>
      </c>
      <c r="AA476" s="13">
        <f t="shared" si="88"/>
        <v>31</v>
      </c>
      <c r="AB476" s="8">
        <v>195951</v>
      </c>
      <c r="AC476" s="8">
        <v>195992</v>
      </c>
      <c r="AD476" s="13">
        <f t="shared" si="93"/>
        <v>41</v>
      </c>
      <c r="AE476" s="135"/>
      <c r="AF476" s="135"/>
      <c r="AG476" s="135"/>
      <c r="AH476" s="136"/>
      <c r="AI476" s="50">
        <f t="shared" si="91"/>
        <v>169</v>
      </c>
    </row>
    <row r="477" spans="1:35">
      <c r="A477" s="12">
        <v>44852</v>
      </c>
      <c r="B477" s="8">
        <v>1754548</v>
      </c>
      <c r="C477" s="8">
        <v>1754734</v>
      </c>
      <c r="D477" s="13">
        <f t="shared" si="95"/>
        <v>186</v>
      </c>
      <c r="E477" s="69">
        <v>39043</v>
      </c>
      <c r="F477" s="69">
        <v>39326</v>
      </c>
      <c r="G477" s="133">
        <f t="shared" si="92"/>
        <v>283</v>
      </c>
      <c r="H477" s="8">
        <v>199967</v>
      </c>
      <c r="I477" s="8">
        <v>200271</v>
      </c>
      <c r="J477" s="13">
        <f t="shared" si="85"/>
        <v>304</v>
      </c>
      <c r="K477" s="138"/>
      <c r="L477" s="8">
        <v>535497</v>
      </c>
      <c r="M477" s="8">
        <v>536799</v>
      </c>
      <c r="N477" s="13">
        <f t="shared" si="87"/>
        <v>1302</v>
      </c>
      <c r="O477" s="136"/>
      <c r="P477" s="8">
        <v>313658</v>
      </c>
      <c r="Q477" s="8">
        <v>313658</v>
      </c>
      <c r="R477" s="133">
        <f t="shared" si="86"/>
        <v>0</v>
      </c>
      <c r="S477" s="8">
        <v>8535</v>
      </c>
      <c r="T477" s="8">
        <v>8571</v>
      </c>
      <c r="U477" s="133">
        <f t="shared" si="90"/>
        <v>36</v>
      </c>
      <c r="V477" s="8">
        <v>315333</v>
      </c>
      <c r="W477" s="8">
        <v>315418</v>
      </c>
      <c r="X477" s="13">
        <f t="shared" si="96"/>
        <v>85</v>
      </c>
      <c r="Y477" s="8">
        <v>19720</v>
      </c>
      <c r="Z477" s="8">
        <v>19737</v>
      </c>
      <c r="AA477" s="13">
        <f t="shared" si="88"/>
        <v>17</v>
      </c>
      <c r="AB477" s="8">
        <v>195992</v>
      </c>
      <c r="AC477" s="8">
        <v>196044</v>
      </c>
      <c r="AD477" s="13">
        <f t="shared" si="93"/>
        <v>52</v>
      </c>
      <c r="AE477" s="135"/>
      <c r="AF477" s="135"/>
      <c r="AG477" s="135"/>
      <c r="AH477" s="136"/>
      <c r="AI477" s="50">
        <f t="shared" si="91"/>
        <v>138</v>
      </c>
    </row>
    <row r="478" spans="1:35">
      <c r="A478" s="12">
        <v>44853</v>
      </c>
      <c r="B478" s="8">
        <v>1754734</v>
      </c>
      <c r="C478" s="8">
        <v>1754985</v>
      </c>
      <c r="D478" s="13">
        <f t="shared" si="95"/>
        <v>251</v>
      </c>
      <c r="E478" s="69">
        <v>39326</v>
      </c>
      <c r="F478" s="69">
        <v>40135</v>
      </c>
      <c r="G478" s="133">
        <f t="shared" si="92"/>
        <v>809</v>
      </c>
      <c r="H478" s="8">
        <v>200271</v>
      </c>
      <c r="I478" s="8">
        <v>200970</v>
      </c>
      <c r="J478" s="13">
        <f t="shared" si="85"/>
        <v>699</v>
      </c>
      <c r="K478" s="138"/>
      <c r="L478" s="8">
        <v>536799</v>
      </c>
      <c r="M478" s="8">
        <v>537493</v>
      </c>
      <c r="N478" s="13">
        <f t="shared" si="87"/>
        <v>694</v>
      </c>
      <c r="O478" s="136"/>
      <c r="P478" s="8">
        <v>313658</v>
      </c>
      <c r="Q478" s="8">
        <v>314147</v>
      </c>
      <c r="R478" s="133">
        <f t="shared" si="86"/>
        <v>489</v>
      </c>
      <c r="S478" s="8">
        <v>8571</v>
      </c>
      <c r="T478" s="8">
        <v>8625</v>
      </c>
      <c r="U478" s="133">
        <f t="shared" si="90"/>
        <v>54</v>
      </c>
      <c r="V478" s="8">
        <v>315418</v>
      </c>
      <c r="W478" s="8">
        <v>315648</v>
      </c>
      <c r="X478" s="13">
        <f t="shared" si="96"/>
        <v>230</v>
      </c>
      <c r="Y478" s="8">
        <v>19737</v>
      </c>
      <c r="Z478" s="8">
        <v>19764</v>
      </c>
      <c r="AA478" s="13">
        <f t="shared" si="88"/>
        <v>27</v>
      </c>
      <c r="AB478" s="8">
        <v>196044</v>
      </c>
      <c r="AC478" s="8">
        <v>196113</v>
      </c>
      <c r="AD478" s="13">
        <f t="shared" si="93"/>
        <v>69</v>
      </c>
      <c r="AE478" s="135"/>
      <c r="AF478" s="135"/>
      <c r="AG478" s="135"/>
      <c r="AH478" s="136"/>
      <c r="AI478" s="50">
        <f t="shared" si="91"/>
        <v>800</v>
      </c>
    </row>
    <row r="479" spans="1:35">
      <c r="A479" s="12">
        <v>44854</v>
      </c>
      <c r="B479" s="8">
        <v>1754985</v>
      </c>
      <c r="C479" s="8">
        <v>1755245</v>
      </c>
      <c r="D479" s="13">
        <f t="shared" si="95"/>
        <v>260</v>
      </c>
      <c r="E479" s="69">
        <v>40135</v>
      </c>
      <c r="F479" s="69">
        <v>40812</v>
      </c>
      <c r="G479" s="133">
        <f t="shared" si="92"/>
        <v>677</v>
      </c>
      <c r="H479" s="8">
        <v>200970</v>
      </c>
      <c r="I479" s="8">
        <v>201502</v>
      </c>
      <c r="J479" s="13">
        <f t="shared" si="85"/>
        <v>532</v>
      </c>
      <c r="K479" s="138"/>
      <c r="L479" s="8">
        <v>537493</v>
      </c>
      <c r="M479" s="8">
        <v>538146</v>
      </c>
      <c r="N479" s="13">
        <f t="shared" si="87"/>
        <v>653</v>
      </c>
      <c r="O479" s="136"/>
      <c r="P479" s="8">
        <v>314147</v>
      </c>
      <c r="Q479" s="8">
        <v>314698</v>
      </c>
      <c r="R479" s="133">
        <f t="shared" si="86"/>
        <v>551</v>
      </c>
      <c r="S479" s="8">
        <v>8625</v>
      </c>
      <c r="T479" s="8">
        <v>8680</v>
      </c>
      <c r="U479" s="133">
        <f t="shared" si="90"/>
        <v>55</v>
      </c>
      <c r="V479" s="8">
        <v>315648</v>
      </c>
      <c r="W479" s="8">
        <v>315755</v>
      </c>
      <c r="X479" s="13">
        <f t="shared" si="96"/>
        <v>107</v>
      </c>
      <c r="Y479" s="8">
        <v>19764</v>
      </c>
      <c r="Z479" s="8">
        <v>19787</v>
      </c>
      <c r="AA479" s="13">
        <f t="shared" si="88"/>
        <v>23</v>
      </c>
      <c r="AB479" s="8">
        <v>196113</v>
      </c>
      <c r="AC479" s="8">
        <v>196184</v>
      </c>
      <c r="AD479" s="13">
        <f t="shared" si="93"/>
        <v>71</v>
      </c>
      <c r="AE479" s="135"/>
      <c r="AF479" s="135"/>
      <c r="AG479" s="135"/>
      <c r="AH479" s="136"/>
      <c r="AI479" s="50">
        <f t="shared" si="91"/>
        <v>736</v>
      </c>
    </row>
    <row r="480" spans="1:35">
      <c r="A480" s="12">
        <v>44855</v>
      </c>
      <c r="B480" s="8">
        <v>1755245</v>
      </c>
      <c r="C480" s="8">
        <v>1755619</v>
      </c>
      <c r="D480" s="13">
        <f t="shared" si="95"/>
        <v>374</v>
      </c>
      <c r="E480" s="69">
        <v>40812</v>
      </c>
      <c r="F480" s="69">
        <v>41162</v>
      </c>
      <c r="G480" s="133">
        <f t="shared" si="92"/>
        <v>350</v>
      </c>
      <c r="H480" s="8">
        <v>201502</v>
      </c>
      <c r="I480" s="8">
        <v>201594</v>
      </c>
      <c r="J480" s="13">
        <f t="shared" si="85"/>
        <v>92</v>
      </c>
      <c r="K480" s="138"/>
      <c r="L480" s="8">
        <v>538146</v>
      </c>
      <c r="M480" s="8">
        <v>539072</v>
      </c>
      <c r="N480" s="13">
        <f t="shared" si="87"/>
        <v>926</v>
      </c>
      <c r="O480" s="136"/>
      <c r="P480" s="8">
        <v>314698</v>
      </c>
      <c r="Q480" s="8">
        <v>314945</v>
      </c>
      <c r="R480" s="133">
        <f t="shared" si="86"/>
        <v>247</v>
      </c>
      <c r="S480" s="8">
        <v>8680</v>
      </c>
      <c r="T480" s="8">
        <v>8735</v>
      </c>
      <c r="U480" s="133">
        <f t="shared" si="90"/>
        <v>55</v>
      </c>
      <c r="V480" s="8">
        <v>315755</v>
      </c>
      <c r="W480" s="8">
        <v>315827</v>
      </c>
      <c r="X480" s="13">
        <f t="shared" si="96"/>
        <v>72</v>
      </c>
      <c r="Y480" s="8">
        <v>19787</v>
      </c>
      <c r="Z480" s="8">
        <v>19812</v>
      </c>
      <c r="AA480" s="13">
        <f t="shared" si="88"/>
        <v>25</v>
      </c>
      <c r="AB480" s="8">
        <v>196184</v>
      </c>
      <c r="AC480" s="8">
        <v>196267</v>
      </c>
      <c r="AD480" s="13">
        <f t="shared" si="93"/>
        <v>83</v>
      </c>
      <c r="AE480" s="135"/>
      <c r="AF480" s="135"/>
      <c r="AG480" s="135"/>
      <c r="AH480" s="136"/>
      <c r="AI480" s="50">
        <f t="shared" si="91"/>
        <v>399</v>
      </c>
    </row>
    <row r="481" spans="1:35">
      <c r="A481" s="12">
        <v>44856</v>
      </c>
      <c r="B481" s="8">
        <v>1755619</v>
      </c>
      <c r="C481" s="8">
        <v>1755953</v>
      </c>
      <c r="D481" s="13">
        <f t="shared" si="95"/>
        <v>334</v>
      </c>
      <c r="E481" s="69">
        <v>41162</v>
      </c>
      <c r="F481" s="69">
        <v>41534</v>
      </c>
      <c r="G481" s="133">
        <f t="shared" si="92"/>
        <v>372</v>
      </c>
      <c r="H481" s="8">
        <v>201594</v>
      </c>
      <c r="I481" s="8">
        <v>201594</v>
      </c>
      <c r="J481" s="13">
        <f t="shared" si="85"/>
        <v>0</v>
      </c>
      <c r="K481" s="138"/>
      <c r="L481" s="8">
        <v>539072</v>
      </c>
      <c r="M481" s="8">
        <v>539822</v>
      </c>
      <c r="N481" s="13">
        <f t="shared" si="87"/>
        <v>750</v>
      </c>
      <c r="O481" s="136"/>
      <c r="P481" s="8">
        <v>314945</v>
      </c>
      <c r="Q481" s="8">
        <v>315385</v>
      </c>
      <c r="R481" s="133">
        <f t="shared" si="86"/>
        <v>440</v>
      </c>
      <c r="S481" s="8">
        <v>8735</v>
      </c>
      <c r="T481" s="8">
        <v>8780</v>
      </c>
      <c r="U481" s="133">
        <f t="shared" si="90"/>
        <v>45</v>
      </c>
      <c r="V481" s="8">
        <v>315827</v>
      </c>
      <c r="W481" s="8">
        <v>315982</v>
      </c>
      <c r="X481" s="13">
        <f t="shared" si="96"/>
        <v>155</v>
      </c>
      <c r="Y481" s="8">
        <v>19812</v>
      </c>
      <c r="Z481" s="8">
        <v>19836</v>
      </c>
      <c r="AA481" s="13">
        <f t="shared" si="88"/>
        <v>24</v>
      </c>
      <c r="AB481" s="8">
        <v>196267</v>
      </c>
      <c r="AC481" s="8">
        <v>196334</v>
      </c>
      <c r="AD481" s="13">
        <f t="shared" si="93"/>
        <v>67</v>
      </c>
      <c r="AE481" s="135"/>
      <c r="AF481" s="135"/>
      <c r="AG481" s="135"/>
      <c r="AH481" s="136"/>
      <c r="AI481" s="50">
        <f t="shared" si="91"/>
        <v>664</v>
      </c>
    </row>
    <row r="482" spans="1:35">
      <c r="A482" s="12">
        <v>44857</v>
      </c>
      <c r="B482" s="8">
        <v>1755953</v>
      </c>
      <c r="C482" s="8">
        <v>1756403</v>
      </c>
      <c r="D482" s="13">
        <f t="shared" si="95"/>
        <v>450</v>
      </c>
      <c r="E482" s="69">
        <v>41534</v>
      </c>
      <c r="F482" s="69">
        <v>41956</v>
      </c>
      <c r="G482" s="133">
        <f t="shared" si="92"/>
        <v>422</v>
      </c>
      <c r="H482" s="8">
        <v>201594</v>
      </c>
      <c r="I482" s="8">
        <v>202357</v>
      </c>
      <c r="J482" s="13">
        <f t="shared" si="85"/>
        <v>763</v>
      </c>
      <c r="K482" s="138"/>
      <c r="L482" s="8">
        <v>539822</v>
      </c>
      <c r="M482" s="8">
        <v>539946</v>
      </c>
      <c r="N482" s="13">
        <f t="shared" si="87"/>
        <v>124</v>
      </c>
      <c r="O482" s="136"/>
      <c r="P482" s="8">
        <v>315385</v>
      </c>
      <c r="Q482" s="8">
        <v>315781</v>
      </c>
      <c r="R482" s="133">
        <f t="shared" si="86"/>
        <v>396</v>
      </c>
      <c r="S482" s="8">
        <v>8780</v>
      </c>
      <c r="T482" s="8">
        <v>8826</v>
      </c>
      <c r="U482" s="133">
        <f t="shared" si="90"/>
        <v>46</v>
      </c>
      <c r="V482" s="8">
        <v>315982</v>
      </c>
      <c r="W482" s="8">
        <v>316063</v>
      </c>
      <c r="X482" s="13">
        <f t="shared" si="96"/>
        <v>81</v>
      </c>
      <c r="Y482" s="8">
        <v>19836</v>
      </c>
      <c r="Z482" s="8">
        <v>19855</v>
      </c>
      <c r="AA482" s="13">
        <f t="shared" si="88"/>
        <v>19</v>
      </c>
      <c r="AB482" s="8">
        <v>196334</v>
      </c>
      <c r="AC482" s="8">
        <v>196377</v>
      </c>
      <c r="AD482" s="13">
        <f t="shared" si="93"/>
        <v>43</v>
      </c>
      <c r="AE482" s="135"/>
      <c r="AF482" s="135"/>
      <c r="AG482" s="135"/>
      <c r="AH482" s="136"/>
      <c r="AI482" s="50">
        <f t="shared" si="91"/>
        <v>542</v>
      </c>
    </row>
    <row r="483" spans="1:35">
      <c r="A483" s="12">
        <v>44858</v>
      </c>
      <c r="B483" s="8">
        <v>1756403</v>
      </c>
      <c r="C483" s="8">
        <v>1756687</v>
      </c>
      <c r="D483" s="13">
        <f t="shared" si="95"/>
        <v>284</v>
      </c>
      <c r="E483" s="69">
        <v>41956</v>
      </c>
      <c r="F483" s="69">
        <v>42421</v>
      </c>
      <c r="G483" s="133">
        <f t="shared" si="92"/>
        <v>465</v>
      </c>
      <c r="H483" s="8">
        <v>202357</v>
      </c>
      <c r="I483" s="8">
        <v>203090</v>
      </c>
      <c r="J483" s="13">
        <f t="shared" si="85"/>
        <v>733</v>
      </c>
      <c r="K483" s="138"/>
      <c r="L483" s="8">
        <v>539946</v>
      </c>
      <c r="M483" s="8">
        <v>540259</v>
      </c>
      <c r="N483" s="13">
        <f t="shared" si="87"/>
        <v>313</v>
      </c>
      <c r="O483" s="136"/>
      <c r="P483" s="8">
        <v>315781</v>
      </c>
      <c r="Q483" s="8">
        <v>316139</v>
      </c>
      <c r="R483" s="133">
        <f t="shared" si="86"/>
        <v>358</v>
      </c>
      <c r="S483" s="8">
        <v>8826</v>
      </c>
      <c r="T483" s="8">
        <v>8901</v>
      </c>
      <c r="U483" s="133">
        <f t="shared" si="90"/>
        <v>75</v>
      </c>
      <c r="V483" s="8">
        <v>316063</v>
      </c>
      <c r="W483" s="8">
        <v>316139</v>
      </c>
      <c r="X483" s="13">
        <f t="shared" si="96"/>
        <v>76</v>
      </c>
      <c r="Y483" s="8">
        <v>19855</v>
      </c>
      <c r="Z483" s="8">
        <v>19887</v>
      </c>
      <c r="AA483" s="13">
        <f t="shared" si="88"/>
        <v>32</v>
      </c>
      <c r="AB483" s="8">
        <v>196377</v>
      </c>
      <c r="AC483" s="8">
        <v>196447</v>
      </c>
      <c r="AD483" s="13">
        <f t="shared" si="93"/>
        <v>70</v>
      </c>
      <c r="AE483" s="135"/>
      <c r="AF483" s="135"/>
      <c r="AG483" s="135"/>
      <c r="AH483" s="136"/>
      <c r="AI483" s="50">
        <f t="shared" si="91"/>
        <v>541</v>
      </c>
    </row>
    <row r="484" spans="1:35">
      <c r="A484" s="12">
        <v>44859</v>
      </c>
      <c r="B484" s="8">
        <v>1756687</v>
      </c>
      <c r="C484" s="8">
        <v>1757125</v>
      </c>
      <c r="D484" s="13">
        <f t="shared" si="95"/>
        <v>438</v>
      </c>
      <c r="E484" s="69">
        <v>42421</v>
      </c>
      <c r="F484" s="69">
        <v>43154</v>
      </c>
      <c r="G484" s="133">
        <f t="shared" si="92"/>
        <v>733</v>
      </c>
      <c r="H484" s="8">
        <v>203090</v>
      </c>
      <c r="I484" s="8">
        <v>203252</v>
      </c>
      <c r="J484" s="13">
        <f t="shared" si="85"/>
        <v>162</v>
      </c>
      <c r="K484" s="138"/>
      <c r="L484" s="8">
        <v>540259</v>
      </c>
      <c r="M484" s="8">
        <v>541297</v>
      </c>
      <c r="N484" s="13">
        <f t="shared" si="87"/>
        <v>1038</v>
      </c>
      <c r="O484" s="136"/>
      <c r="P484" s="8">
        <v>316139</v>
      </c>
      <c r="Q484" s="8">
        <v>316235</v>
      </c>
      <c r="R484" s="133">
        <f t="shared" si="86"/>
        <v>96</v>
      </c>
      <c r="S484" s="8">
        <v>8901</v>
      </c>
      <c r="T484" s="8">
        <v>8955</v>
      </c>
      <c r="U484" s="133">
        <f t="shared" si="90"/>
        <v>54</v>
      </c>
      <c r="V484" s="8">
        <v>316139</v>
      </c>
      <c r="W484" s="8">
        <v>316329</v>
      </c>
      <c r="X484" s="13">
        <f t="shared" si="96"/>
        <v>190</v>
      </c>
      <c r="Y484" s="8">
        <v>19887</v>
      </c>
      <c r="Z484" s="8">
        <v>19931</v>
      </c>
      <c r="AA484" s="13">
        <f t="shared" si="88"/>
        <v>44</v>
      </c>
      <c r="AB484" s="8">
        <v>196447</v>
      </c>
      <c r="AC484" s="8">
        <v>196537</v>
      </c>
      <c r="AD484" s="13">
        <f t="shared" si="93"/>
        <v>90</v>
      </c>
      <c r="AE484" s="135"/>
      <c r="AF484" s="135"/>
      <c r="AG484" s="135"/>
      <c r="AH484" s="136"/>
      <c r="AI484" s="50">
        <f t="shared" si="91"/>
        <v>384</v>
      </c>
    </row>
    <row r="485" spans="1:35">
      <c r="A485" s="12">
        <v>44860</v>
      </c>
      <c r="B485" s="8">
        <v>1757125</v>
      </c>
      <c r="C485" s="8">
        <v>1757526</v>
      </c>
      <c r="D485" s="13">
        <f t="shared" si="95"/>
        <v>401</v>
      </c>
      <c r="E485" s="69">
        <v>43154</v>
      </c>
      <c r="F485" s="69">
        <v>43964</v>
      </c>
      <c r="G485" s="133">
        <f t="shared" si="92"/>
        <v>810</v>
      </c>
      <c r="H485" s="8">
        <v>203252</v>
      </c>
      <c r="I485" s="8">
        <v>203252</v>
      </c>
      <c r="J485" s="13">
        <f t="shared" si="85"/>
        <v>0</v>
      </c>
      <c r="K485" s="138"/>
      <c r="L485" s="8">
        <v>541297</v>
      </c>
      <c r="M485" s="8">
        <v>542326</v>
      </c>
      <c r="N485" s="13">
        <f t="shared" si="87"/>
        <v>1029</v>
      </c>
      <c r="O485" s="136"/>
      <c r="P485" s="8">
        <v>316235</v>
      </c>
      <c r="Q485" s="8">
        <v>316757</v>
      </c>
      <c r="R485" s="133">
        <f t="shared" si="86"/>
        <v>522</v>
      </c>
      <c r="S485" s="8">
        <v>8955</v>
      </c>
      <c r="T485" s="8">
        <v>9020</v>
      </c>
      <c r="U485" s="133">
        <f t="shared" si="90"/>
        <v>65</v>
      </c>
      <c r="V485" s="8">
        <v>316329</v>
      </c>
      <c r="W485" s="8">
        <v>316511</v>
      </c>
      <c r="X485" s="13">
        <f t="shared" si="96"/>
        <v>182</v>
      </c>
      <c r="Y485" s="8">
        <v>19931</v>
      </c>
      <c r="Z485" s="8">
        <v>19966</v>
      </c>
      <c r="AA485" s="13">
        <f t="shared" si="88"/>
        <v>35</v>
      </c>
      <c r="AB485" s="8">
        <v>196537</v>
      </c>
      <c r="AC485" s="8">
        <v>196628</v>
      </c>
      <c r="AD485" s="13">
        <f t="shared" si="93"/>
        <v>91</v>
      </c>
      <c r="AE485" s="135"/>
      <c r="AF485" s="135"/>
      <c r="AG485" s="135"/>
      <c r="AH485" s="136"/>
      <c r="AI485" s="50">
        <f t="shared" si="91"/>
        <v>804</v>
      </c>
    </row>
    <row r="486" spans="1:35">
      <c r="A486" s="12">
        <v>44861</v>
      </c>
      <c r="B486" s="8">
        <v>1757526</v>
      </c>
      <c r="C486" s="8">
        <v>1758016</v>
      </c>
      <c r="D486" s="13">
        <f t="shared" si="95"/>
        <v>490</v>
      </c>
      <c r="E486" s="69">
        <v>43964</v>
      </c>
      <c r="F486" s="69">
        <v>44746</v>
      </c>
      <c r="G486" s="133">
        <f t="shared" si="92"/>
        <v>782</v>
      </c>
      <c r="H486" s="8">
        <v>203252</v>
      </c>
      <c r="I486" s="8">
        <v>203433</v>
      </c>
      <c r="J486" s="13">
        <f t="shared" si="85"/>
        <v>181</v>
      </c>
      <c r="K486" s="138"/>
      <c r="L486" s="8">
        <v>542326</v>
      </c>
      <c r="M486" s="8">
        <v>542718</v>
      </c>
      <c r="N486" s="13">
        <f t="shared" si="87"/>
        <v>392</v>
      </c>
      <c r="O486" s="136"/>
      <c r="P486" s="8">
        <v>316757</v>
      </c>
      <c r="Q486" s="8">
        <v>316907</v>
      </c>
      <c r="R486" s="133">
        <f t="shared" si="86"/>
        <v>150</v>
      </c>
      <c r="S486" s="8">
        <v>9020</v>
      </c>
      <c r="T486" s="8">
        <v>9070</v>
      </c>
      <c r="U486" s="133">
        <f t="shared" si="90"/>
        <v>50</v>
      </c>
      <c r="V486" s="8">
        <v>316511</v>
      </c>
      <c r="W486" s="8">
        <v>316637</v>
      </c>
      <c r="X486" s="13">
        <f t="shared" si="96"/>
        <v>126</v>
      </c>
      <c r="Y486" s="8">
        <v>19966</v>
      </c>
      <c r="Z486" s="8">
        <v>20009</v>
      </c>
      <c r="AA486" s="13">
        <f t="shared" si="88"/>
        <v>43</v>
      </c>
      <c r="AB486" s="8">
        <v>196628</v>
      </c>
      <c r="AC486" s="8">
        <v>196716</v>
      </c>
      <c r="AD486" s="13">
        <f t="shared" si="93"/>
        <v>88</v>
      </c>
      <c r="AE486" s="135"/>
      <c r="AF486" s="135"/>
      <c r="AG486" s="135"/>
      <c r="AH486" s="136"/>
      <c r="AI486" s="50">
        <f t="shared" si="91"/>
        <v>369</v>
      </c>
    </row>
    <row r="487" spans="1:35">
      <c r="A487" s="12">
        <v>44862</v>
      </c>
      <c r="B487" s="8">
        <v>1758016</v>
      </c>
      <c r="C487" s="8">
        <v>1758513</v>
      </c>
      <c r="D487" s="13">
        <f t="shared" si="95"/>
        <v>497</v>
      </c>
      <c r="E487" s="69">
        <v>44746</v>
      </c>
      <c r="F487" s="69">
        <v>45743</v>
      </c>
      <c r="G487" s="133">
        <f t="shared" si="92"/>
        <v>997</v>
      </c>
      <c r="H487" s="8">
        <v>203433</v>
      </c>
      <c r="I487" s="8">
        <v>203613</v>
      </c>
      <c r="J487" s="13">
        <f t="shared" si="85"/>
        <v>180</v>
      </c>
      <c r="K487" s="138"/>
      <c r="L487" s="8">
        <v>542718</v>
      </c>
      <c r="M487" s="8">
        <v>544442</v>
      </c>
      <c r="N487" s="13">
        <f t="shared" si="87"/>
        <v>1724</v>
      </c>
      <c r="O487" s="136"/>
      <c r="P487" s="8">
        <v>316907</v>
      </c>
      <c r="Q487" s="8">
        <v>317402</v>
      </c>
      <c r="R487" s="133">
        <f t="shared" si="86"/>
        <v>495</v>
      </c>
      <c r="S487" s="8">
        <v>9070</v>
      </c>
      <c r="T487" s="8">
        <v>9120</v>
      </c>
      <c r="U487" s="133">
        <f t="shared" si="90"/>
        <v>50</v>
      </c>
      <c r="V487" s="8">
        <v>316637</v>
      </c>
      <c r="W487" s="8">
        <v>316747</v>
      </c>
      <c r="X487" s="13">
        <f t="shared" si="96"/>
        <v>110</v>
      </c>
      <c r="Y487" s="8">
        <v>20009</v>
      </c>
      <c r="Z487" s="8">
        <v>20037</v>
      </c>
      <c r="AA487" s="13">
        <f t="shared" si="88"/>
        <v>28</v>
      </c>
      <c r="AB487" s="8">
        <v>196716</v>
      </c>
      <c r="AC487" s="8">
        <v>196862</v>
      </c>
      <c r="AD487" s="13">
        <f t="shared" si="93"/>
        <v>146</v>
      </c>
      <c r="AE487" s="135"/>
      <c r="AF487" s="135"/>
      <c r="AG487" s="135"/>
      <c r="AH487" s="136"/>
      <c r="AI487" s="50">
        <f t="shared" si="91"/>
        <v>683</v>
      </c>
    </row>
    <row r="488" spans="1:35">
      <c r="A488" s="12">
        <v>44863</v>
      </c>
      <c r="B488" s="8">
        <v>1758513</v>
      </c>
      <c r="C488" s="8">
        <v>1758869</v>
      </c>
      <c r="D488" s="13">
        <f t="shared" si="95"/>
        <v>356</v>
      </c>
      <c r="E488" s="69">
        <v>45743</v>
      </c>
      <c r="F488" s="69">
        <v>46243</v>
      </c>
      <c r="G488" s="133">
        <f t="shared" si="92"/>
        <v>500</v>
      </c>
      <c r="H488" s="8">
        <v>203613</v>
      </c>
      <c r="I488" s="8">
        <v>204227</v>
      </c>
      <c r="J488" s="13">
        <f t="shared" si="85"/>
        <v>614</v>
      </c>
      <c r="K488" s="138"/>
      <c r="L488" s="8">
        <v>544442</v>
      </c>
      <c r="M488" s="8">
        <v>544457</v>
      </c>
      <c r="N488" s="13">
        <f t="shared" si="87"/>
        <v>15</v>
      </c>
      <c r="O488" s="136"/>
      <c r="P488" s="8">
        <v>317402</v>
      </c>
      <c r="Q488" s="8">
        <v>318091</v>
      </c>
      <c r="R488" s="133">
        <f t="shared" si="86"/>
        <v>689</v>
      </c>
      <c r="S488" s="8">
        <v>9120</v>
      </c>
      <c r="T488" s="8">
        <v>9168</v>
      </c>
      <c r="U488" s="133">
        <f t="shared" si="90"/>
        <v>48</v>
      </c>
      <c r="V488" s="8">
        <v>316747</v>
      </c>
      <c r="W488" s="8">
        <v>316892</v>
      </c>
      <c r="X488" s="13">
        <f t="shared" si="96"/>
        <v>145</v>
      </c>
      <c r="Y488" s="8">
        <v>20037</v>
      </c>
      <c r="Z488" s="8">
        <v>20102</v>
      </c>
      <c r="AA488" s="13">
        <f t="shared" si="88"/>
        <v>65</v>
      </c>
      <c r="AB488" s="8">
        <v>196862</v>
      </c>
      <c r="AC488" s="8">
        <v>196916</v>
      </c>
      <c r="AD488" s="13">
        <f t="shared" si="93"/>
        <v>54</v>
      </c>
      <c r="AE488" s="135"/>
      <c r="AF488" s="135"/>
      <c r="AG488" s="135"/>
      <c r="AH488" s="136"/>
      <c r="AI488" s="50">
        <f t="shared" si="91"/>
        <v>947</v>
      </c>
    </row>
    <row r="489" spans="1:35">
      <c r="A489" s="12">
        <v>44864</v>
      </c>
      <c r="B489" s="8">
        <v>1758869</v>
      </c>
      <c r="C489" s="8">
        <v>1759384</v>
      </c>
      <c r="D489" s="13">
        <f t="shared" si="95"/>
        <v>515</v>
      </c>
      <c r="E489" s="69">
        <v>46243</v>
      </c>
      <c r="F489" s="69">
        <v>47004</v>
      </c>
      <c r="G489" s="133">
        <f t="shared" si="92"/>
        <v>761</v>
      </c>
      <c r="H489" s="8">
        <v>204227</v>
      </c>
      <c r="I489" s="8">
        <v>204227</v>
      </c>
      <c r="J489" s="13">
        <f t="shared" si="85"/>
        <v>0</v>
      </c>
      <c r="K489" s="138"/>
      <c r="L489" s="8">
        <v>544457</v>
      </c>
      <c r="M489" s="8">
        <v>545592</v>
      </c>
      <c r="N489" s="13">
        <f t="shared" si="87"/>
        <v>1135</v>
      </c>
      <c r="O489" s="136"/>
      <c r="P489" s="8">
        <v>318091</v>
      </c>
      <c r="Q489" s="8">
        <v>318614</v>
      </c>
      <c r="R489" s="133">
        <f t="shared" si="86"/>
        <v>523</v>
      </c>
      <c r="S489" s="8">
        <v>9168</v>
      </c>
      <c r="T489" s="8">
        <v>9202</v>
      </c>
      <c r="U489" s="133">
        <f t="shared" si="90"/>
        <v>34</v>
      </c>
      <c r="V489" s="8">
        <v>316892</v>
      </c>
      <c r="W489" s="8">
        <v>316935</v>
      </c>
      <c r="X489" s="13">
        <f t="shared" si="96"/>
        <v>43</v>
      </c>
      <c r="Y489" s="8">
        <v>20102</v>
      </c>
      <c r="Z489" s="8">
        <v>20130</v>
      </c>
      <c r="AA489" s="13">
        <f t="shared" si="88"/>
        <v>28</v>
      </c>
      <c r="AB489" s="8">
        <v>196916</v>
      </c>
      <c r="AC489" s="8">
        <v>196972</v>
      </c>
      <c r="AD489" s="13">
        <f t="shared" si="93"/>
        <v>56</v>
      </c>
      <c r="AE489" s="135"/>
      <c r="AF489" s="135"/>
      <c r="AG489" s="135"/>
      <c r="AH489" s="136"/>
      <c r="AI489" s="50">
        <f t="shared" si="91"/>
        <v>628</v>
      </c>
    </row>
    <row r="490" spans="1:35">
      <c r="A490" s="12">
        <v>44865</v>
      </c>
      <c r="B490" s="8">
        <v>1759384</v>
      </c>
      <c r="C490" s="8">
        <v>1759645</v>
      </c>
      <c r="D490" s="13">
        <f t="shared" si="95"/>
        <v>261</v>
      </c>
      <c r="E490" s="69">
        <v>47004</v>
      </c>
      <c r="F490" s="69">
        <v>47953</v>
      </c>
      <c r="G490" s="133">
        <f t="shared" si="92"/>
        <v>949</v>
      </c>
      <c r="H490" s="8">
        <v>204227</v>
      </c>
      <c r="I490" s="8">
        <v>205034</v>
      </c>
      <c r="J490" s="13">
        <f t="shared" si="85"/>
        <v>807</v>
      </c>
      <c r="K490" s="138"/>
      <c r="L490" s="8">
        <v>545592</v>
      </c>
      <c r="M490" s="8">
        <v>546587</v>
      </c>
      <c r="N490" s="13">
        <f t="shared" si="87"/>
        <v>995</v>
      </c>
      <c r="O490" s="136"/>
      <c r="P490" s="8">
        <v>318614</v>
      </c>
      <c r="Q490" s="8">
        <v>319015</v>
      </c>
      <c r="R490" s="133">
        <f t="shared" si="86"/>
        <v>401</v>
      </c>
      <c r="S490" s="8">
        <v>9202</v>
      </c>
      <c r="T490" s="8">
        <v>9270</v>
      </c>
      <c r="U490" s="133">
        <f t="shared" si="90"/>
        <v>68</v>
      </c>
      <c r="V490" s="8">
        <v>316935</v>
      </c>
      <c r="W490" s="8">
        <v>317032</v>
      </c>
      <c r="X490" s="13">
        <f t="shared" si="96"/>
        <v>97</v>
      </c>
      <c r="Y490" s="8">
        <v>20130</v>
      </c>
      <c r="Z490" s="8">
        <v>20169</v>
      </c>
      <c r="AA490" s="13">
        <f t="shared" si="88"/>
        <v>39</v>
      </c>
      <c r="AB490" s="8">
        <v>196972</v>
      </c>
      <c r="AC490" s="8">
        <v>197052</v>
      </c>
      <c r="AD490" s="13">
        <f t="shared" si="93"/>
        <v>80</v>
      </c>
      <c r="AE490" s="135"/>
      <c r="AF490" s="135"/>
      <c r="AG490" s="135"/>
      <c r="AH490" s="136"/>
      <c r="AI490" s="50">
        <f t="shared" si="91"/>
        <v>605</v>
      </c>
    </row>
    <row r="491" spans="1:35">
      <c r="A491" s="12">
        <v>44866</v>
      </c>
      <c r="B491" s="8">
        <v>1759645</v>
      </c>
      <c r="C491" s="8">
        <v>1759964</v>
      </c>
      <c r="D491" s="13">
        <f t="shared" si="95"/>
        <v>319</v>
      </c>
      <c r="E491" s="69">
        <v>47953</v>
      </c>
      <c r="F491" s="69">
        <v>48095</v>
      </c>
      <c r="G491" s="133">
        <f t="shared" si="92"/>
        <v>142</v>
      </c>
      <c r="H491" s="8">
        <v>205034</v>
      </c>
      <c r="I491" s="8">
        <v>205740</v>
      </c>
      <c r="J491" s="13">
        <f t="shared" si="85"/>
        <v>706</v>
      </c>
      <c r="K491" s="138"/>
      <c r="L491" s="8">
        <v>546587</v>
      </c>
      <c r="M491" s="8">
        <v>546768</v>
      </c>
      <c r="N491" s="13">
        <f t="shared" si="87"/>
        <v>181</v>
      </c>
      <c r="O491" s="136"/>
      <c r="P491" s="8">
        <v>319015</v>
      </c>
      <c r="Q491" s="8">
        <v>319465</v>
      </c>
      <c r="R491" s="133">
        <f t="shared" si="86"/>
        <v>450</v>
      </c>
      <c r="S491" s="8">
        <v>9270</v>
      </c>
      <c r="T491" s="8">
        <v>9321</v>
      </c>
      <c r="U491" s="133">
        <f t="shared" si="90"/>
        <v>51</v>
      </c>
      <c r="V491" s="8">
        <v>317032</v>
      </c>
      <c r="W491" s="8">
        <v>317140</v>
      </c>
      <c r="X491" s="13">
        <f t="shared" si="96"/>
        <v>108</v>
      </c>
      <c r="Y491" s="8">
        <v>20169</v>
      </c>
      <c r="Z491" s="8">
        <v>20203</v>
      </c>
      <c r="AA491" s="13">
        <f t="shared" si="88"/>
        <v>34</v>
      </c>
      <c r="AB491" s="8">
        <v>197052</v>
      </c>
      <c r="AC491" s="8">
        <v>197109</v>
      </c>
      <c r="AD491" s="13">
        <f t="shared" si="93"/>
        <v>57</v>
      </c>
      <c r="AE491" s="135"/>
      <c r="AF491" s="135"/>
      <c r="AG491" s="135"/>
      <c r="AH491" s="136"/>
      <c r="AI491" s="50">
        <f t="shared" si="91"/>
        <v>643</v>
      </c>
    </row>
    <row r="492" spans="1:35">
      <c r="A492" s="12">
        <v>44867</v>
      </c>
      <c r="B492" s="8">
        <v>1759964</v>
      </c>
      <c r="C492" s="8">
        <v>1760398</v>
      </c>
      <c r="D492" s="13">
        <f t="shared" si="95"/>
        <v>434</v>
      </c>
      <c r="E492" s="69">
        <v>48095</v>
      </c>
      <c r="F492" s="69">
        <v>48736</v>
      </c>
      <c r="G492" s="133">
        <f t="shared" si="92"/>
        <v>641</v>
      </c>
      <c r="H492" s="8">
        <v>205740</v>
      </c>
      <c r="I492" s="8">
        <v>205769</v>
      </c>
      <c r="J492" s="13">
        <f t="shared" ref="J492:J558" si="97">I492-H492</f>
        <v>29</v>
      </c>
      <c r="K492" s="138"/>
      <c r="L492" s="8">
        <v>546768</v>
      </c>
      <c r="M492" s="8">
        <v>547154</v>
      </c>
      <c r="N492" s="13">
        <f t="shared" si="87"/>
        <v>386</v>
      </c>
      <c r="O492" s="136"/>
      <c r="P492" s="8">
        <v>319465</v>
      </c>
      <c r="Q492" s="8">
        <v>319864</v>
      </c>
      <c r="R492" s="133">
        <f t="shared" si="86"/>
        <v>399</v>
      </c>
      <c r="S492" s="8">
        <v>9321</v>
      </c>
      <c r="T492" s="8">
        <v>9364</v>
      </c>
      <c r="U492" s="133">
        <f t="shared" si="90"/>
        <v>43</v>
      </c>
      <c r="V492" s="8">
        <v>317140</v>
      </c>
      <c r="W492" s="8">
        <v>317406</v>
      </c>
      <c r="X492" s="13">
        <f t="shared" si="96"/>
        <v>266</v>
      </c>
      <c r="Y492" s="8">
        <v>20203</v>
      </c>
      <c r="Z492" s="8">
        <v>20210</v>
      </c>
      <c r="AA492" s="13">
        <f t="shared" si="88"/>
        <v>7</v>
      </c>
      <c r="AB492" s="8">
        <v>197109</v>
      </c>
      <c r="AC492" s="8">
        <v>197179</v>
      </c>
      <c r="AD492" s="13">
        <f t="shared" si="93"/>
        <v>70</v>
      </c>
      <c r="AE492" s="135"/>
      <c r="AF492" s="135"/>
      <c r="AG492" s="135"/>
      <c r="AH492" s="136"/>
      <c r="AI492" s="50">
        <f t="shared" si="91"/>
        <v>715</v>
      </c>
    </row>
    <row r="493" spans="1:35">
      <c r="A493" s="12">
        <v>44868</v>
      </c>
      <c r="B493" s="8">
        <v>1760398</v>
      </c>
      <c r="C493" s="8">
        <v>1760472</v>
      </c>
      <c r="D493" s="13">
        <f t="shared" si="95"/>
        <v>74</v>
      </c>
      <c r="E493" s="69">
        <v>48736</v>
      </c>
      <c r="F493" s="69">
        <v>49148</v>
      </c>
      <c r="G493" s="133">
        <f t="shared" si="92"/>
        <v>412</v>
      </c>
      <c r="H493" s="8">
        <v>205769</v>
      </c>
      <c r="I493" s="8">
        <v>205769</v>
      </c>
      <c r="J493" s="13">
        <f t="shared" si="97"/>
        <v>0</v>
      </c>
      <c r="K493" s="138"/>
      <c r="L493" s="8">
        <v>547154</v>
      </c>
      <c r="M493" s="8">
        <v>548119</v>
      </c>
      <c r="N493" s="13">
        <f t="shared" si="87"/>
        <v>965</v>
      </c>
      <c r="O493" s="136"/>
      <c r="P493" s="8">
        <v>319864</v>
      </c>
      <c r="Q493" s="8">
        <v>320236</v>
      </c>
      <c r="R493" s="133">
        <f t="shared" si="86"/>
        <v>372</v>
      </c>
      <c r="S493" s="8">
        <v>9364</v>
      </c>
      <c r="T493" s="8">
        <v>9396</v>
      </c>
      <c r="U493" s="133">
        <f t="shared" si="90"/>
        <v>32</v>
      </c>
      <c r="V493" s="8">
        <v>317406</v>
      </c>
      <c r="W493" s="8">
        <v>317839</v>
      </c>
      <c r="X493" s="13">
        <f t="shared" si="96"/>
        <v>433</v>
      </c>
      <c r="Y493" s="8">
        <v>20210</v>
      </c>
      <c r="Z493" s="8">
        <v>20210</v>
      </c>
      <c r="AA493" s="13">
        <f t="shared" si="88"/>
        <v>0</v>
      </c>
      <c r="AB493" s="8">
        <v>197179</v>
      </c>
      <c r="AC493" s="8">
        <v>197264</v>
      </c>
      <c r="AD493" s="13">
        <f t="shared" si="93"/>
        <v>85</v>
      </c>
      <c r="AE493" s="135"/>
      <c r="AF493" s="135"/>
      <c r="AG493" s="135"/>
      <c r="AH493" s="136"/>
      <c r="AI493" s="50">
        <f t="shared" si="91"/>
        <v>837</v>
      </c>
    </row>
    <row r="494" spans="1:35">
      <c r="A494" s="12">
        <v>44869</v>
      </c>
      <c r="B494" s="8">
        <v>1760472</v>
      </c>
      <c r="C494" s="8">
        <v>1761142</v>
      </c>
      <c r="D494" s="13">
        <f t="shared" si="95"/>
        <v>670</v>
      </c>
      <c r="E494" s="69">
        <v>49148</v>
      </c>
      <c r="F494" s="69">
        <v>49615</v>
      </c>
      <c r="G494" s="133">
        <f t="shared" si="92"/>
        <v>467</v>
      </c>
      <c r="H494" s="8">
        <v>205769</v>
      </c>
      <c r="I494" s="8">
        <v>205769</v>
      </c>
      <c r="J494" s="13">
        <f t="shared" si="97"/>
        <v>0</v>
      </c>
      <c r="K494" s="138"/>
      <c r="L494" s="8">
        <v>548119</v>
      </c>
      <c r="M494" s="8">
        <v>548922</v>
      </c>
      <c r="N494" s="13">
        <f t="shared" si="87"/>
        <v>803</v>
      </c>
      <c r="O494" s="136"/>
      <c r="P494" s="8">
        <v>320236</v>
      </c>
      <c r="Q494" s="8">
        <v>320660</v>
      </c>
      <c r="R494" s="133">
        <f t="shared" si="86"/>
        <v>424</v>
      </c>
      <c r="S494" s="8">
        <v>9396</v>
      </c>
      <c r="T494" s="8">
        <v>9418</v>
      </c>
      <c r="U494" s="133">
        <f t="shared" si="90"/>
        <v>22</v>
      </c>
      <c r="V494" s="8">
        <v>317839</v>
      </c>
      <c r="W494" s="8">
        <v>317944</v>
      </c>
      <c r="X494" s="13">
        <f t="shared" si="96"/>
        <v>105</v>
      </c>
      <c r="Y494" s="8">
        <v>20210</v>
      </c>
      <c r="Z494" s="8">
        <v>20227</v>
      </c>
      <c r="AA494" s="13">
        <f t="shared" si="88"/>
        <v>17</v>
      </c>
      <c r="AB494" s="8">
        <v>197264</v>
      </c>
      <c r="AC494" s="8">
        <v>197345</v>
      </c>
      <c r="AD494" s="13">
        <f t="shared" si="93"/>
        <v>81</v>
      </c>
      <c r="AE494" s="135"/>
      <c r="AF494" s="135"/>
      <c r="AG494" s="135"/>
      <c r="AH494" s="136"/>
      <c r="AI494" s="50">
        <f t="shared" si="91"/>
        <v>568</v>
      </c>
    </row>
    <row r="495" spans="1:35">
      <c r="A495" s="12">
        <v>44870</v>
      </c>
      <c r="B495" s="8">
        <v>1761142</v>
      </c>
      <c r="C495" s="8">
        <v>1761861</v>
      </c>
      <c r="D495" s="13">
        <f t="shared" si="95"/>
        <v>719</v>
      </c>
      <c r="E495" s="69">
        <v>49615</v>
      </c>
      <c r="F495" s="69">
        <v>50315</v>
      </c>
      <c r="G495" s="133">
        <f t="shared" si="92"/>
        <v>700</v>
      </c>
      <c r="H495" s="8">
        <v>205769</v>
      </c>
      <c r="I495" s="8">
        <v>205769</v>
      </c>
      <c r="J495" s="13">
        <f t="shared" si="97"/>
        <v>0</v>
      </c>
      <c r="K495" s="138"/>
      <c r="L495" s="8">
        <v>548922</v>
      </c>
      <c r="M495" s="8">
        <v>550187</v>
      </c>
      <c r="N495" s="13">
        <f t="shared" si="87"/>
        <v>1265</v>
      </c>
      <c r="O495" s="136"/>
      <c r="P495" s="8">
        <v>320660</v>
      </c>
      <c r="Q495" s="8">
        <v>321120</v>
      </c>
      <c r="R495" s="133">
        <f t="shared" ref="R495:R537" si="98">Q495-P495</f>
        <v>460</v>
      </c>
      <c r="S495" s="8">
        <v>9418</v>
      </c>
      <c r="T495" s="8">
        <v>9440</v>
      </c>
      <c r="U495" s="133">
        <f t="shared" si="90"/>
        <v>22</v>
      </c>
      <c r="V495" s="8">
        <v>317944</v>
      </c>
      <c r="W495" s="8">
        <v>318068</v>
      </c>
      <c r="X495" s="13">
        <f t="shared" si="96"/>
        <v>124</v>
      </c>
      <c r="Y495" s="8">
        <v>20227</v>
      </c>
      <c r="Z495" s="8">
        <v>20241</v>
      </c>
      <c r="AA495" s="13">
        <f t="shared" si="88"/>
        <v>14</v>
      </c>
      <c r="AB495" s="8">
        <v>197345</v>
      </c>
      <c r="AC495" s="8">
        <v>197394</v>
      </c>
      <c r="AD495" s="13">
        <f t="shared" si="93"/>
        <v>49</v>
      </c>
      <c r="AE495" s="135"/>
      <c r="AF495" s="135"/>
      <c r="AG495" s="135"/>
      <c r="AH495" s="136"/>
      <c r="AI495" s="50">
        <f t="shared" si="91"/>
        <v>620</v>
      </c>
    </row>
    <row r="496" spans="1:35">
      <c r="A496" s="12">
        <v>44871</v>
      </c>
      <c r="B496" s="8">
        <v>1761861</v>
      </c>
      <c r="C496" s="8">
        <v>1762727</v>
      </c>
      <c r="D496" s="13">
        <f t="shared" si="95"/>
        <v>866</v>
      </c>
      <c r="E496" s="69">
        <v>50315</v>
      </c>
      <c r="F496" s="69">
        <v>50743</v>
      </c>
      <c r="G496" s="133">
        <f t="shared" si="92"/>
        <v>428</v>
      </c>
      <c r="H496" s="8">
        <v>205769</v>
      </c>
      <c r="I496" s="8">
        <v>205769</v>
      </c>
      <c r="J496" s="13">
        <f t="shared" si="97"/>
        <v>0</v>
      </c>
      <c r="K496" s="138"/>
      <c r="L496" s="8">
        <v>550187</v>
      </c>
      <c r="M496" s="8">
        <v>551268</v>
      </c>
      <c r="N496" s="13">
        <f t="shared" ref="N496:N572" si="99">M496-L496</f>
        <v>1081</v>
      </c>
      <c r="O496" s="136"/>
      <c r="P496" s="8">
        <v>321120</v>
      </c>
      <c r="Q496" s="8">
        <v>321555</v>
      </c>
      <c r="R496" s="133">
        <f t="shared" si="98"/>
        <v>435</v>
      </c>
      <c r="S496" s="8">
        <v>9440</v>
      </c>
      <c r="T496" s="8">
        <v>9464</v>
      </c>
      <c r="U496" s="133">
        <f t="shared" si="90"/>
        <v>24</v>
      </c>
      <c r="V496" s="8">
        <v>318068</v>
      </c>
      <c r="W496" s="8">
        <v>318116</v>
      </c>
      <c r="X496" s="13">
        <f t="shared" si="96"/>
        <v>48</v>
      </c>
      <c r="Y496" s="8">
        <v>20241</v>
      </c>
      <c r="Z496" s="8">
        <v>20278</v>
      </c>
      <c r="AA496" s="13">
        <f t="shared" si="88"/>
        <v>37</v>
      </c>
      <c r="AB496" s="8">
        <v>197394</v>
      </c>
      <c r="AC496" s="8">
        <v>197441</v>
      </c>
      <c r="AD496" s="13">
        <f t="shared" si="93"/>
        <v>47</v>
      </c>
      <c r="AE496" s="135"/>
      <c r="AF496" s="135"/>
      <c r="AG496" s="135"/>
      <c r="AH496" s="136"/>
      <c r="AI496" s="50">
        <f t="shared" si="91"/>
        <v>544</v>
      </c>
    </row>
    <row r="497" spans="1:35">
      <c r="A497" s="12">
        <v>44872</v>
      </c>
      <c r="B497" s="8">
        <v>1762727</v>
      </c>
      <c r="C497" s="8">
        <v>1763468</v>
      </c>
      <c r="D497" s="13">
        <f t="shared" si="95"/>
        <v>741</v>
      </c>
      <c r="E497" s="69">
        <v>50743</v>
      </c>
      <c r="F497" s="69">
        <v>51146</v>
      </c>
      <c r="G497" s="133">
        <f t="shared" si="92"/>
        <v>403</v>
      </c>
      <c r="H497" s="8">
        <v>205769</v>
      </c>
      <c r="I497" s="8">
        <v>205769</v>
      </c>
      <c r="J497" s="13">
        <f t="shared" si="97"/>
        <v>0</v>
      </c>
      <c r="K497" s="138"/>
      <c r="L497" s="8">
        <v>551268</v>
      </c>
      <c r="M497" s="8">
        <v>551669</v>
      </c>
      <c r="N497" s="13">
        <f t="shared" si="99"/>
        <v>401</v>
      </c>
      <c r="O497" s="136"/>
      <c r="P497" s="8">
        <v>321555</v>
      </c>
      <c r="Q497" s="8">
        <v>321730</v>
      </c>
      <c r="R497" s="133">
        <f t="shared" si="98"/>
        <v>175</v>
      </c>
      <c r="S497" s="8">
        <v>9464</v>
      </c>
      <c r="T497" s="8">
        <v>9530</v>
      </c>
      <c r="U497" s="133">
        <f t="shared" si="90"/>
        <v>66</v>
      </c>
      <c r="V497" s="8">
        <v>318116</v>
      </c>
      <c r="W497" s="8">
        <v>318184</v>
      </c>
      <c r="X497" s="13">
        <f t="shared" si="96"/>
        <v>68</v>
      </c>
      <c r="Y497" s="8">
        <v>20278</v>
      </c>
      <c r="Z497" s="8">
        <v>20295</v>
      </c>
      <c r="AA497" s="13">
        <f t="shared" si="88"/>
        <v>17</v>
      </c>
      <c r="AB497" s="8">
        <v>197441</v>
      </c>
      <c r="AC497" s="8">
        <v>197518</v>
      </c>
      <c r="AD497" s="13">
        <f t="shared" si="93"/>
        <v>77</v>
      </c>
      <c r="AE497" s="135"/>
      <c r="AF497" s="135"/>
      <c r="AG497" s="135"/>
      <c r="AH497" s="136"/>
      <c r="AI497" s="50">
        <f t="shared" si="91"/>
        <v>326</v>
      </c>
    </row>
    <row r="498" spans="1:35">
      <c r="A498" s="12">
        <v>44873</v>
      </c>
      <c r="B498" s="8">
        <v>1763468</v>
      </c>
      <c r="C498" s="8">
        <v>1763943</v>
      </c>
      <c r="D498" s="13">
        <f t="shared" si="95"/>
        <v>475</v>
      </c>
      <c r="E498" s="69">
        <v>51146</v>
      </c>
      <c r="F498" s="69">
        <v>51536</v>
      </c>
      <c r="G498" s="133">
        <f t="shared" si="92"/>
        <v>390</v>
      </c>
      <c r="H498" s="8">
        <v>205769</v>
      </c>
      <c r="I498" s="8">
        <v>205926</v>
      </c>
      <c r="J498" s="13">
        <f t="shared" si="97"/>
        <v>157</v>
      </c>
      <c r="K498" s="138"/>
      <c r="L498" s="8">
        <v>551669</v>
      </c>
      <c r="M498" s="8">
        <v>551958</v>
      </c>
      <c r="N498" s="13">
        <f t="shared" si="99"/>
        <v>289</v>
      </c>
      <c r="O498" s="136"/>
      <c r="P498" s="8">
        <v>321730</v>
      </c>
      <c r="Q498" s="8">
        <v>321730</v>
      </c>
      <c r="R498" s="133">
        <f t="shared" si="98"/>
        <v>0</v>
      </c>
      <c r="S498" s="8">
        <v>9530</v>
      </c>
      <c r="T498" s="8">
        <v>9583</v>
      </c>
      <c r="U498" s="133">
        <f t="shared" si="90"/>
        <v>53</v>
      </c>
      <c r="V498" s="8">
        <v>318184</v>
      </c>
      <c r="W498" s="8">
        <v>318246</v>
      </c>
      <c r="X498" s="13">
        <f t="shared" si="96"/>
        <v>62</v>
      </c>
      <c r="Y498" s="8">
        <v>20295</v>
      </c>
      <c r="Z498" s="8">
        <v>20312</v>
      </c>
      <c r="AA498" s="13">
        <f t="shared" si="88"/>
        <v>17</v>
      </c>
      <c r="AB498" s="8">
        <v>197518</v>
      </c>
      <c r="AC498" s="8">
        <v>197598</v>
      </c>
      <c r="AD498" s="13">
        <f t="shared" si="93"/>
        <v>80</v>
      </c>
      <c r="AE498" s="135"/>
      <c r="AF498" s="135"/>
      <c r="AG498" s="135"/>
      <c r="AH498" s="136"/>
      <c r="AI498" s="50">
        <f t="shared" si="91"/>
        <v>132</v>
      </c>
    </row>
    <row r="499" spans="1:35">
      <c r="A499" s="12">
        <v>44874</v>
      </c>
      <c r="B499" s="8">
        <v>1763943</v>
      </c>
      <c r="C499" s="8">
        <v>1764468</v>
      </c>
      <c r="D499" s="13">
        <f t="shared" si="95"/>
        <v>525</v>
      </c>
      <c r="E499" s="69">
        <v>51536</v>
      </c>
      <c r="F499" s="69">
        <v>52275</v>
      </c>
      <c r="G499" s="133">
        <f t="shared" si="92"/>
        <v>739</v>
      </c>
      <c r="H499" s="8">
        <v>205926</v>
      </c>
      <c r="I499" s="8">
        <v>206248</v>
      </c>
      <c r="J499" s="13">
        <f t="shared" si="97"/>
        <v>322</v>
      </c>
      <c r="K499" s="138"/>
      <c r="L499" s="8">
        <v>551958</v>
      </c>
      <c r="M499" s="8">
        <v>553392</v>
      </c>
      <c r="N499" s="13">
        <f t="shared" si="99"/>
        <v>1434</v>
      </c>
      <c r="O499" s="136"/>
      <c r="P499" s="8">
        <v>321730</v>
      </c>
      <c r="Q499" s="8">
        <v>322382</v>
      </c>
      <c r="R499" s="133">
        <f t="shared" si="98"/>
        <v>652</v>
      </c>
      <c r="S499" s="8">
        <v>9583</v>
      </c>
      <c r="T499" s="8">
        <v>9624</v>
      </c>
      <c r="U499" s="133">
        <f t="shared" si="90"/>
        <v>41</v>
      </c>
      <c r="V499" s="8">
        <v>318246</v>
      </c>
      <c r="W499" s="8">
        <v>318329</v>
      </c>
      <c r="X499" s="13">
        <f t="shared" si="96"/>
        <v>83</v>
      </c>
      <c r="Y499" s="8">
        <v>20312</v>
      </c>
      <c r="Z499" s="8">
        <v>20329</v>
      </c>
      <c r="AA499" s="13">
        <f t="shared" si="88"/>
        <v>17</v>
      </c>
      <c r="AB499" s="8">
        <v>197598</v>
      </c>
      <c r="AC499" s="8">
        <v>197664</v>
      </c>
      <c r="AD499" s="13">
        <f t="shared" si="93"/>
        <v>66</v>
      </c>
      <c r="AE499" s="135"/>
      <c r="AF499" s="135"/>
      <c r="AG499" s="135"/>
      <c r="AH499" s="136"/>
      <c r="AI499" s="50">
        <f t="shared" si="91"/>
        <v>793</v>
      </c>
    </row>
    <row r="500" spans="1:35">
      <c r="A500" s="12">
        <v>44875</v>
      </c>
      <c r="B500" s="8">
        <v>1764468</v>
      </c>
      <c r="C500" s="8">
        <v>1764964</v>
      </c>
      <c r="D500" s="13">
        <f t="shared" si="95"/>
        <v>496</v>
      </c>
      <c r="E500" s="69">
        <v>52275</v>
      </c>
      <c r="F500" s="69">
        <v>53047</v>
      </c>
      <c r="G500" s="133">
        <f t="shared" si="92"/>
        <v>772</v>
      </c>
      <c r="H500" s="8">
        <v>206248</v>
      </c>
      <c r="I500" s="8">
        <v>206248</v>
      </c>
      <c r="J500" s="13">
        <f t="shared" si="97"/>
        <v>0</v>
      </c>
      <c r="K500" s="138"/>
      <c r="L500" s="8">
        <v>553392</v>
      </c>
      <c r="M500" s="8">
        <v>554432</v>
      </c>
      <c r="N500" s="13">
        <f t="shared" si="99"/>
        <v>1040</v>
      </c>
      <c r="O500" s="136"/>
      <c r="P500" s="8">
        <v>322382</v>
      </c>
      <c r="Q500" s="8">
        <v>322873</v>
      </c>
      <c r="R500" s="133">
        <f t="shared" si="98"/>
        <v>491</v>
      </c>
      <c r="S500" s="8">
        <v>9624</v>
      </c>
      <c r="T500" s="8">
        <v>9668</v>
      </c>
      <c r="U500" s="133">
        <f t="shared" si="90"/>
        <v>44</v>
      </c>
      <c r="V500" s="8">
        <v>318329</v>
      </c>
      <c r="W500" s="8">
        <v>318478</v>
      </c>
      <c r="X500" s="13">
        <f t="shared" si="96"/>
        <v>149</v>
      </c>
      <c r="Y500" s="8">
        <v>20329</v>
      </c>
      <c r="Z500" s="8">
        <v>20344</v>
      </c>
      <c r="AA500" s="13">
        <f t="shared" si="88"/>
        <v>15</v>
      </c>
      <c r="AB500" s="8">
        <v>197664</v>
      </c>
      <c r="AC500" s="8">
        <v>197726</v>
      </c>
      <c r="AD500" s="13">
        <f t="shared" si="93"/>
        <v>62</v>
      </c>
      <c r="AE500" s="135"/>
      <c r="AF500" s="135"/>
      <c r="AG500" s="135"/>
      <c r="AH500" s="136"/>
      <c r="AI500" s="50">
        <f t="shared" si="91"/>
        <v>699</v>
      </c>
    </row>
    <row r="501" spans="1:35">
      <c r="A501" s="12">
        <v>44876</v>
      </c>
      <c r="B501" s="8">
        <v>1764964</v>
      </c>
      <c r="C501" s="8">
        <v>1765094</v>
      </c>
      <c r="D501" s="13">
        <f t="shared" si="95"/>
        <v>130</v>
      </c>
      <c r="E501" s="69">
        <v>53047</v>
      </c>
      <c r="F501" s="69">
        <v>53852</v>
      </c>
      <c r="G501" s="133">
        <f t="shared" si="92"/>
        <v>805</v>
      </c>
      <c r="H501" s="8">
        <v>206248</v>
      </c>
      <c r="I501" s="8">
        <v>206892</v>
      </c>
      <c r="J501" s="13">
        <f t="shared" si="97"/>
        <v>644</v>
      </c>
      <c r="K501" s="138"/>
      <c r="L501" s="8">
        <v>554432</v>
      </c>
      <c r="M501" s="8">
        <v>555558</v>
      </c>
      <c r="N501" s="13">
        <f t="shared" si="99"/>
        <v>1126</v>
      </c>
      <c r="O501" s="136"/>
      <c r="P501" s="8">
        <v>322873</v>
      </c>
      <c r="Q501" s="8">
        <v>323283</v>
      </c>
      <c r="R501" s="133">
        <f t="shared" si="98"/>
        <v>410</v>
      </c>
      <c r="S501" s="8">
        <v>9668</v>
      </c>
      <c r="T501" s="8">
        <v>9713</v>
      </c>
      <c r="U501" s="133">
        <f t="shared" si="90"/>
        <v>45</v>
      </c>
      <c r="V501" s="8">
        <v>318478</v>
      </c>
      <c r="W501" s="8">
        <v>318609</v>
      </c>
      <c r="X501" s="13">
        <f t="shared" si="96"/>
        <v>131</v>
      </c>
      <c r="Y501" s="8">
        <v>20344</v>
      </c>
      <c r="Z501" s="8">
        <v>20368</v>
      </c>
      <c r="AA501" s="13">
        <f t="shared" si="88"/>
        <v>24</v>
      </c>
      <c r="AB501" s="8">
        <v>197726</v>
      </c>
      <c r="AC501" s="8">
        <v>197798</v>
      </c>
      <c r="AD501" s="13">
        <f t="shared" si="93"/>
        <v>72</v>
      </c>
      <c r="AE501" s="135"/>
      <c r="AF501" s="135"/>
      <c r="AG501" s="135"/>
      <c r="AH501" s="136"/>
      <c r="AI501" s="50">
        <f t="shared" si="91"/>
        <v>610</v>
      </c>
    </row>
    <row r="502" spans="1:35">
      <c r="A502" s="12">
        <v>44877</v>
      </c>
      <c r="B502" s="8">
        <v>1765094</v>
      </c>
      <c r="C502" s="8">
        <v>1765218</v>
      </c>
      <c r="D502" s="13">
        <f t="shared" si="95"/>
        <v>124</v>
      </c>
      <c r="E502" s="69">
        <v>53852</v>
      </c>
      <c r="F502" s="69">
        <v>54262</v>
      </c>
      <c r="G502" s="133">
        <f t="shared" si="92"/>
        <v>410</v>
      </c>
      <c r="H502" s="8">
        <v>206892</v>
      </c>
      <c r="I502" s="8">
        <v>206892</v>
      </c>
      <c r="J502" s="13">
        <f t="shared" si="97"/>
        <v>0</v>
      </c>
      <c r="K502" s="138"/>
      <c r="L502" s="8">
        <v>555558</v>
      </c>
      <c r="M502" s="8">
        <v>555935</v>
      </c>
      <c r="N502" s="13">
        <f t="shared" si="99"/>
        <v>377</v>
      </c>
      <c r="O502" s="136"/>
      <c r="P502" s="8">
        <v>323283</v>
      </c>
      <c r="Q502" s="8">
        <v>323561</v>
      </c>
      <c r="R502" s="133">
        <f t="shared" si="98"/>
        <v>278</v>
      </c>
      <c r="S502" s="8">
        <v>9713</v>
      </c>
      <c r="T502" s="8">
        <v>9743</v>
      </c>
      <c r="U502" s="133">
        <f t="shared" si="90"/>
        <v>30</v>
      </c>
      <c r="V502" s="8">
        <v>318609</v>
      </c>
      <c r="W502" s="8">
        <v>318704</v>
      </c>
      <c r="X502" s="13">
        <f t="shared" si="96"/>
        <v>95</v>
      </c>
      <c r="Y502" s="8">
        <v>20368</v>
      </c>
      <c r="Z502" s="8">
        <v>20388</v>
      </c>
      <c r="AA502" s="13">
        <f t="shared" si="88"/>
        <v>20</v>
      </c>
      <c r="AB502" s="8">
        <v>197798</v>
      </c>
      <c r="AC502" s="8">
        <v>197869</v>
      </c>
      <c r="AD502" s="13">
        <f t="shared" si="93"/>
        <v>71</v>
      </c>
      <c r="AE502" s="135"/>
      <c r="AF502" s="135"/>
      <c r="AG502" s="135"/>
      <c r="AH502" s="136"/>
      <c r="AI502" s="50">
        <f t="shared" si="91"/>
        <v>423</v>
      </c>
    </row>
    <row r="503" spans="1:35">
      <c r="A503" s="12">
        <v>44878</v>
      </c>
      <c r="B503" s="8">
        <v>1765218</v>
      </c>
      <c r="C503" s="8">
        <v>1765879</v>
      </c>
      <c r="D503" s="13">
        <f t="shared" si="95"/>
        <v>661</v>
      </c>
      <c r="E503" s="69">
        <v>54262</v>
      </c>
      <c r="F503" s="69">
        <v>54932</v>
      </c>
      <c r="G503" s="133">
        <f t="shared" si="92"/>
        <v>670</v>
      </c>
      <c r="H503" s="8">
        <v>206892</v>
      </c>
      <c r="I503" s="8">
        <v>206892</v>
      </c>
      <c r="J503" s="13">
        <f t="shared" si="97"/>
        <v>0</v>
      </c>
      <c r="K503" s="138"/>
      <c r="L503" s="8">
        <v>555935</v>
      </c>
      <c r="M503" s="8">
        <v>556189</v>
      </c>
      <c r="N503" s="13">
        <f t="shared" si="99"/>
        <v>254</v>
      </c>
      <c r="O503" s="136"/>
      <c r="P503" s="8">
        <v>323561</v>
      </c>
      <c r="Q503" s="8">
        <v>323561</v>
      </c>
      <c r="R503" s="133">
        <f t="shared" si="98"/>
        <v>0</v>
      </c>
      <c r="S503" s="8">
        <v>9743</v>
      </c>
      <c r="T503" s="8">
        <v>9761</v>
      </c>
      <c r="U503" s="133">
        <f t="shared" si="90"/>
        <v>18</v>
      </c>
      <c r="V503" s="8">
        <v>318704</v>
      </c>
      <c r="W503" s="8">
        <v>318831</v>
      </c>
      <c r="X503" s="13">
        <f t="shared" si="96"/>
        <v>127</v>
      </c>
      <c r="Y503" s="8">
        <v>20388</v>
      </c>
      <c r="Z503" s="8">
        <v>20399</v>
      </c>
      <c r="AA503" s="13">
        <f t="shared" si="88"/>
        <v>11</v>
      </c>
      <c r="AB503" s="8">
        <v>197869</v>
      </c>
      <c r="AC503" s="8">
        <v>197938</v>
      </c>
      <c r="AD503" s="13">
        <f t="shared" si="93"/>
        <v>69</v>
      </c>
      <c r="AE503" s="135"/>
      <c r="AF503" s="135"/>
      <c r="AG503" s="135"/>
      <c r="AH503" s="136"/>
      <c r="AI503" s="50">
        <f t="shared" si="91"/>
        <v>156</v>
      </c>
    </row>
    <row r="504" spans="1:35">
      <c r="A504" s="12">
        <v>44879</v>
      </c>
      <c r="B504" s="8">
        <v>1765879</v>
      </c>
      <c r="C504" s="8">
        <v>1765879</v>
      </c>
      <c r="D504" s="13">
        <f t="shared" si="95"/>
        <v>0</v>
      </c>
      <c r="E504" s="69">
        <v>54932</v>
      </c>
      <c r="F504" s="69">
        <v>55702</v>
      </c>
      <c r="G504" s="133">
        <f t="shared" si="92"/>
        <v>770</v>
      </c>
      <c r="H504" s="8">
        <v>206892</v>
      </c>
      <c r="I504" s="8">
        <v>206892</v>
      </c>
      <c r="J504" s="13">
        <f t="shared" si="97"/>
        <v>0</v>
      </c>
      <c r="K504" s="138"/>
      <c r="L504" s="8">
        <v>556189</v>
      </c>
      <c r="M504" s="8">
        <v>556568</v>
      </c>
      <c r="N504" s="13">
        <f t="shared" si="99"/>
        <v>379</v>
      </c>
      <c r="O504" s="136"/>
      <c r="P504" s="8">
        <v>323561</v>
      </c>
      <c r="Q504" s="8">
        <v>323561</v>
      </c>
      <c r="R504" s="133">
        <f t="shared" si="98"/>
        <v>0</v>
      </c>
      <c r="S504" s="8">
        <v>9761</v>
      </c>
      <c r="T504" s="8">
        <v>9785</v>
      </c>
      <c r="U504" s="133">
        <f t="shared" si="90"/>
        <v>24</v>
      </c>
      <c r="V504" s="8">
        <v>318831</v>
      </c>
      <c r="W504" s="8">
        <v>318978</v>
      </c>
      <c r="X504" s="13">
        <f t="shared" si="96"/>
        <v>147</v>
      </c>
      <c r="Y504" s="8">
        <v>20399</v>
      </c>
      <c r="Z504" s="8">
        <v>20430</v>
      </c>
      <c r="AA504" s="13">
        <f t="shared" si="88"/>
        <v>31</v>
      </c>
      <c r="AB504" s="8">
        <v>197938</v>
      </c>
      <c r="AC504" s="8">
        <v>198047</v>
      </c>
      <c r="AD504" s="13">
        <f t="shared" si="93"/>
        <v>109</v>
      </c>
      <c r="AE504" s="135"/>
      <c r="AF504" s="135"/>
      <c r="AG504" s="135"/>
      <c r="AH504" s="136"/>
      <c r="AI504" s="50">
        <f t="shared" si="91"/>
        <v>202</v>
      </c>
    </row>
    <row r="505" spans="1:35">
      <c r="A505" s="12">
        <v>44880</v>
      </c>
      <c r="B505" s="8">
        <v>1765879</v>
      </c>
      <c r="C505" s="8">
        <v>1765879</v>
      </c>
      <c r="D505" s="13">
        <f t="shared" si="95"/>
        <v>0</v>
      </c>
      <c r="E505" s="69">
        <v>55702</v>
      </c>
      <c r="F505" s="69">
        <v>56171</v>
      </c>
      <c r="G505" s="133">
        <f t="shared" si="92"/>
        <v>469</v>
      </c>
      <c r="H505" s="8">
        <v>206892</v>
      </c>
      <c r="I505" s="8">
        <v>206892</v>
      </c>
      <c r="J505" s="13">
        <f t="shared" si="97"/>
        <v>0</v>
      </c>
      <c r="K505" s="138"/>
      <c r="L505" s="8">
        <v>556568</v>
      </c>
      <c r="M505" s="8">
        <v>556873</v>
      </c>
      <c r="N505" s="13">
        <f t="shared" si="99"/>
        <v>305</v>
      </c>
      <c r="O505" s="136"/>
      <c r="P505" s="8">
        <v>323561</v>
      </c>
      <c r="Q505" s="8">
        <v>323561</v>
      </c>
      <c r="R505" s="133">
        <f t="shared" si="98"/>
        <v>0</v>
      </c>
      <c r="S505" s="8">
        <v>9785</v>
      </c>
      <c r="T505" s="8">
        <v>9803</v>
      </c>
      <c r="U505" s="133">
        <f t="shared" si="90"/>
        <v>18</v>
      </c>
      <c r="V505" s="8">
        <v>318978</v>
      </c>
      <c r="W505" s="8">
        <v>319083</v>
      </c>
      <c r="X505" s="13">
        <f t="shared" si="96"/>
        <v>105</v>
      </c>
      <c r="Y505" s="8">
        <v>20430</v>
      </c>
      <c r="Z505" s="8">
        <v>20451</v>
      </c>
      <c r="AA505" s="13">
        <f t="shared" si="88"/>
        <v>21</v>
      </c>
      <c r="AB505" s="8">
        <v>198047</v>
      </c>
      <c r="AC505" s="8">
        <v>198082</v>
      </c>
      <c r="AD505" s="13">
        <f t="shared" si="93"/>
        <v>35</v>
      </c>
      <c r="AE505" s="135"/>
      <c r="AF505" s="135"/>
      <c r="AG505" s="135"/>
      <c r="AH505" s="136"/>
      <c r="AI505" s="50">
        <f t="shared" si="91"/>
        <v>144</v>
      </c>
    </row>
    <row r="506" spans="1:35">
      <c r="A506" s="12">
        <v>44881</v>
      </c>
      <c r="B506" s="8">
        <v>1765879</v>
      </c>
      <c r="C506" s="8">
        <v>1765879</v>
      </c>
      <c r="D506" s="13">
        <f t="shared" si="95"/>
        <v>0</v>
      </c>
      <c r="E506" s="69">
        <v>56171</v>
      </c>
      <c r="F506" s="69">
        <v>56841</v>
      </c>
      <c r="G506" s="133">
        <f t="shared" si="92"/>
        <v>670</v>
      </c>
      <c r="H506" s="8">
        <v>206892</v>
      </c>
      <c r="I506" s="8">
        <v>206892</v>
      </c>
      <c r="J506" s="13">
        <f t="shared" si="97"/>
        <v>0</v>
      </c>
      <c r="K506" s="138"/>
      <c r="L506" s="8">
        <v>556873</v>
      </c>
      <c r="M506" s="8">
        <v>558339</v>
      </c>
      <c r="N506" s="13">
        <f t="shared" si="99"/>
        <v>1466</v>
      </c>
      <c r="O506" s="136"/>
      <c r="P506" s="8">
        <v>323561</v>
      </c>
      <c r="Q506" s="8">
        <v>323946</v>
      </c>
      <c r="R506" s="133">
        <f t="shared" si="98"/>
        <v>385</v>
      </c>
      <c r="S506" s="8">
        <v>9803</v>
      </c>
      <c r="T506" s="8">
        <v>9828</v>
      </c>
      <c r="U506" s="133">
        <f t="shared" si="90"/>
        <v>25</v>
      </c>
      <c r="V506" s="8">
        <v>319083</v>
      </c>
      <c r="W506" s="8">
        <v>319179</v>
      </c>
      <c r="X506" s="13">
        <f t="shared" si="96"/>
        <v>96</v>
      </c>
      <c r="Y506" s="8">
        <v>20451</v>
      </c>
      <c r="Z506" s="8">
        <v>20463</v>
      </c>
      <c r="AA506" s="13">
        <f t="shared" si="88"/>
        <v>12</v>
      </c>
      <c r="AB506" s="8">
        <v>198082</v>
      </c>
      <c r="AC506" s="8">
        <v>198132</v>
      </c>
      <c r="AD506" s="13">
        <f t="shared" si="93"/>
        <v>50</v>
      </c>
      <c r="AE506" s="135"/>
      <c r="AF506" s="135"/>
      <c r="AG506" s="135"/>
      <c r="AH506" s="136"/>
      <c r="AI506" s="50">
        <f t="shared" si="91"/>
        <v>518</v>
      </c>
    </row>
    <row r="507" spans="1:35">
      <c r="A507" s="12">
        <v>44882</v>
      </c>
      <c r="B507" s="8">
        <v>1765879</v>
      </c>
      <c r="C507" s="8">
        <v>1765879</v>
      </c>
      <c r="D507" s="13">
        <f t="shared" si="95"/>
        <v>0</v>
      </c>
      <c r="E507" s="69">
        <v>56841</v>
      </c>
      <c r="F507" s="69">
        <v>57576</v>
      </c>
      <c r="G507" s="133">
        <f t="shared" si="92"/>
        <v>735</v>
      </c>
      <c r="H507" s="8">
        <v>206892</v>
      </c>
      <c r="I507" s="8">
        <v>207109</v>
      </c>
      <c r="J507" s="13">
        <f t="shared" si="97"/>
        <v>217</v>
      </c>
      <c r="K507" s="138"/>
      <c r="L507" s="8">
        <v>558339</v>
      </c>
      <c r="M507" s="8">
        <v>558798</v>
      </c>
      <c r="N507" s="13">
        <f t="shared" si="99"/>
        <v>459</v>
      </c>
      <c r="O507" s="136"/>
      <c r="P507" s="8">
        <v>323946</v>
      </c>
      <c r="Q507" s="8">
        <v>324372</v>
      </c>
      <c r="R507" s="133">
        <f t="shared" si="98"/>
        <v>426</v>
      </c>
      <c r="S507" s="8">
        <v>9828</v>
      </c>
      <c r="T507" s="8">
        <v>9868</v>
      </c>
      <c r="U507" s="133">
        <f t="shared" si="90"/>
        <v>40</v>
      </c>
      <c r="V507" s="8">
        <v>319179</v>
      </c>
      <c r="W507" s="8">
        <v>319289</v>
      </c>
      <c r="X507" s="13">
        <f t="shared" si="96"/>
        <v>110</v>
      </c>
      <c r="Y507" s="8">
        <v>20463</v>
      </c>
      <c r="Z507" s="8">
        <v>20477</v>
      </c>
      <c r="AA507" s="13">
        <f t="shared" si="88"/>
        <v>14</v>
      </c>
      <c r="AB507" s="8">
        <v>198132</v>
      </c>
      <c r="AC507" s="8">
        <v>198146</v>
      </c>
      <c r="AD507" s="13">
        <f t="shared" si="93"/>
        <v>14</v>
      </c>
      <c r="AE507" s="135"/>
      <c r="AF507" s="135"/>
      <c r="AG507" s="135"/>
      <c r="AH507" s="136"/>
      <c r="AI507" s="50">
        <f t="shared" si="91"/>
        <v>590</v>
      </c>
    </row>
    <row r="508" spans="1:35">
      <c r="A508" s="12">
        <v>44883</v>
      </c>
      <c r="B508" s="8">
        <v>1765879</v>
      </c>
      <c r="C508" s="8">
        <v>1765879</v>
      </c>
      <c r="D508" s="13">
        <f t="shared" si="95"/>
        <v>0</v>
      </c>
      <c r="E508" s="69">
        <v>57576</v>
      </c>
      <c r="F508" s="69">
        <v>58267</v>
      </c>
      <c r="G508" s="133">
        <f t="shared" si="92"/>
        <v>691</v>
      </c>
      <c r="H508" s="8">
        <v>207109</v>
      </c>
      <c r="I508" s="8">
        <v>207386</v>
      </c>
      <c r="J508" s="13">
        <f t="shared" si="97"/>
        <v>277</v>
      </c>
      <c r="K508" s="138"/>
      <c r="L508" s="8">
        <v>558798</v>
      </c>
      <c r="M508" s="8">
        <v>559002</v>
      </c>
      <c r="N508" s="13">
        <f t="shared" si="99"/>
        <v>204</v>
      </c>
      <c r="O508" s="136"/>
      <c r="P508" s="8">
        <v>324372</v>
      </c>
      <c r="Q508" s="8">
        <v>324792</v>
      </c>
      <c r="R508" s="133">
        <f t="shared" si="98"/>
        <v>420</v>
      </c>
      <c r="S508" s="8">
        <v>9868</v>
      </c>
      <c r="T508" s="8">
        <v>9912</v>
      </c>
      <c r="U508" s="133">
        <f t="shared" si="90"/>
        <v>44</v>
      </c>
      <c r="V508" s="8">
        <v>319289</v>
      </c>
      <c r="W508" s="8">
        <v>319435</v>
      </c>
      <c r="X508" s="13">
        <f t="shared" si="96"/>
        <v>146</v>
      </c>
      <c r="Y508" s="8">
        <v>20477</v>
      </c>
      <c r="Z508" s="8">
        <v>20503</v>
      </c>
      <c r="AA508" s="13">
        <f t="shared" si="88"/>
        <v>26</v>
      </c>
      <c r="AB508" s="8">
        <v>198146</v>
      </c>
      <c r="AC508" s="8">
        <v>198146</v>
      </c>
      <c r="AD508" s="13">
        <f t="shared" si="93"/>
        <v>0</v>
      </c>
      <c r="AE508" s="135"/>
      <c r="AF508" s="135"/>
      <c r="AG508" s="135"/>
      <c r="AH508" s="136"/>
      <c r="AI508" s="50">
        <f t="shared" si="91"/>
        <v>636</v>
      </c>
    </row>
    <row r="509" spans="1:35">
      <c r="A509" s="12">
        <v>44884</v>
      </c>
      <c r="B509" s="8">
        <v>1765879</v>
      </c>
      <c r="C509" s="8">
        <v>1765879</v>
      </c>
      <c r="D509" s="13">
        <f t="shared" si="95"/>
        <v>0</v>
      </c>
      <c r="E509" s="69">
        <v>58267</v>
      </c>
      <c r="F509" s="69">
        <v>58694</v>
      </c>
      <c r="G509" s="133">
        <f t="shared" si="92"/>
        <v>427</v>
      </c>
      <c r="H509" s="8">
        <v>207386</v>
      </c>
      <c r="I509" s="8">
        <v>208098</v>
      </c>
      <c r="J509" s="13">
        <f t="shared" si="97"/>
        <v>712</v>
      </c>
      <c r="K509" s="138"/>
      <c r="L509" s="8">
        <v>559002</v>
      </c>
      <c r="M509" s="8">
        <v>559330</v>
      </c>
      <c r="N509" s="13">
        <f t="shared" si="99"/>
        <v>328</v>
      </c>
      <c r="O509" s="136"/>
      <c r="P509" s="8">
        <v>324792</v>
      </c>
      <c r="Q509" s="8">
        <v>325102</v>
      </c>
      <c r="R509" s="133">
        <f t="shared" si="98"/>
        <v>310</v>
      </c>
      <c r="S509" s="8">
        <v>9912</v>
      </c>
      <c r="T509" s="8">
        <v>9950</v>
      </c>
      <c r="U509" s="133">
        <f t="shared" si="90"/>
        <v>38</v>
      </c>
      <c r="V509" s="8">
        <v>319435</v>
      </c>
      <c r="W509" s="8">
        <v>319651</v>
      </c>
      <c r="X509" s="13">
        <f t="shared" si="96"/>
        <v>216</v>
      </c>
      <c r="Y509" s="8">
        <v>20503</v>
      </c>
      <c r="Z509" s="8">
        <v>20722</v>
      </c>
      <c r="AA509" s="13">
        <f t="shared" si="88"/>
        <v>219</v>
      </c>
      <c r="AB509" s="8">
        <v>198146</v>
      </c>
      <c r="AC509" s="8">
        <v>198146</v>
      </c>
      <c r="AD509" s="13">
        <f t="shared" si="93"/>
        <v>0</v>
      </c>
      <c r="AE509" s="135"/>
      <c r="AF509" s="135"/>
      <c r="AG509" s="135"/>
      <c r="AH509" s="136"/>
      <c r="AI509" s="50">
        <f t="shared" si="91"/>
        <v>783</v>
      </c>
    </row>
    <row r="510" spans="1:35">
      <c r="A510" s="12">
        <v>44885</v>
      </c>
      <c r="B510" s="8">
        <v>1765879</v>
      </c>
      <c r="C510" s="8">
        <v>1765879</v>
      </c>
      <c r="D510" s="13">
        <f t="shared" si="95"/>
        <v>0</v>
      </c>
      <c r="E510" s="69">
        <v>58694</v>
      </c>
      <c r="F510" s="69">
        <v>59019</v>
      </c>
      <c r="G510" s="133">
        <f t="shared" si="92"/>
        <v>325</v>
      </c>
      <c r="H510" s="8">
        <v>208098</v>
      </c>
      <c r="I510" s="8">
        <v>208818</v>
      </c>
      <c r="J510" s="13">
        <f t="shared" si="97"/>
        <v>720</v>
      </c>
      <c r="K510" s="138"/>
      <c r="L510" s="8">
        <v>559330</v>
      </c>
      <c r="M510" s="8">
        <v>559669</v>
      </c>
      <c r="N510" s="13">
        <f t="shared" si="99"/>
        <v>339</v>
      </c>
      <c r="O510" s="136"/>
      <c r="P510" s="8">
        <v>325102</v>
      </c>
      <c r="Q510" s="8">
        <v>325424</v>
      </c>
      <c r="R510" s="133">
        <f t="shared" si="98"/>
        <v>322</v>
      </c>
      <c r="S510" s="8">
        <v>9950</v>
      </c>
      <c r="T510" s="8">
        <v>9999</v>
      </c>
      <c r="U510" s="133">
        <f t="shared" si="90"/>
        <v>49</v>
      </c>
      <c r="V510" s="8">
        <v>319651</v>
      </c>
      <c r="W510" s="8">
        <v>319845</v>
      </c>
      <c r="X510" s="13">
        <f t="shared" si="96"/>
        <v>194</v>
      </c>
      <c r="Y510" s="8">
        <v>20722</v>
      </c>
      <c r="Z510" s="8">
        <v>20812</v>
      </c>
      <c r="AA510" s="13">
        <f t="shared" ref="AA510:AA573" si="100">Z510-Y510</f>
        <v>90</v>
      </c>
      <c r="AB510" s="8">
        <v>198146</v>
      </c>
      <c r="AC510" s="8">
        <v>198146</v>
      </c>
      <c r="AD510" s="13">
        <f t="shared" si="93"/>
        <v>0</v>
      </c>
      <c r="AE510" s="135"/>
      <c r="AF510" s="135"/>
      <c r="AG510" s="135"/>
      <c r="AH510" s="136"/>
      <c r="AI510" s="50">
        <f t="shared" si="91"/>
        <v>655</v>
      </c>
    </row>
    <row r="511" spans="1:35">
      <c r="A511" s="12">
        <v>44886</v>
      </c>
      <c r="B511" s="8">
        <v>1765879</v>
      </c>
      <c r="C511" s="8">
        <v>1766339</v>
      </c>
      <c r="D511" s="13">
        <f t="shared" si="95"/>
        <v>460</v>
      </c>
      <c r="E511" s="69">
        <v>59019</v>
      </c>
      <c r="F511" s="69">
        <v>60557</v>
      </c>
      <c r="G511" s="133">
        <f t="shared" si="92"/>
        <v>1538</v>
      </c>
      <c r="H511" s="8">
        <v>208818</v>
      </c>
      <c r="I511" s="8">
        <v>208818</v>
      </c>
      <c r="J511" s="13">
        <f t="shared" si="97"/>
        <v>0</v>
      </c>
      <c r="K511" s="138"/>
      <c r="L511" s="8">
        <v>559669</v>
      </c>
      <c r="M511" s="8">
        <v>560989</v>
      </c>
      <c r="N511" s="13">
        <f t="shared" si="99"/>
        <v>1320</v>
      </c>
      <c r="O511" s="136"/>
      <c r="P511" s="8">
        <v>325424</v>
      </c>
      <c r="Q511" s="8">
        <v>325921</v>
      </c>
      <c r="R511" s="133">
        <f t="shared" si="98"/>
        <v>497</v>
      </c>
      <c r="S511" s="8">
        <v>9999</v>
      </c>
      <c r="T511" s="8">
        <v>10036</v>
      </c>
      <c r="U511" s="133">
        <f t="shared" si="90"/>
        <v>37</v>
      </c>
      <c r="V511" s="8">
        <v>319845</v>
      </c>
      <c r="W511" s="8">
        <v>319913</v>
      </c>
      <c r="X511" s="13">
        <f t="shared" si="96"/>
        <v>68</v>
      </c>
      <c r="Y511" s="8">
        <v>20812</v>
      </c>
      <c r="Z511" s="8">
        <v>20839</v>
      </c>
      <c r="AA511" s="13">
        <f t="shared" si="100"/>
        <v>27</v>
      </c>
      <c r="AB511" s="8">
        <v>198146</v>
      </c>
      <c r="AC511" s="8">
        <v>198146</v>
      </c>
      <c r="AD511" s="13">
        <f t="shared" si="93"/>
        <v>0</v>
      </c>
      <c r="AE511" s="135"/>
      <c r="AF511" s="135"/>
      <c r="AG511" s="135"/>
      <c r="AH511" s="136"/>
      <c r="AI511" s="50">
        <f t="shared" si="91"/>
        <v>629</v>
      </c>
    </row>
    <row r="512" spans="1:35">
      <c r="A512" s="12">
        <v>44887</v>
      </c>
      <c r="B512" s="8">
        <v>1766339</v>
      </c>
      <c r="C512" s="8">
        <v>1767056</v>
      </c>
      <c r="D512" s="13">
        <f t="shared" si="95"/>
        <v>717</v>
      </c>
      <c r="E512" s="69">
        <v>60557</v>
      </c>
      <c r="F512" s="69">
        <v>61321</v>
      </c>
      <c r="G512" s="133">
        <f t="shared" si="92"/>
        <v>764</v>
      </c>
      <c r="H512" s="8">
        <v>208818</v>
      </c>
      <c r="I512" s="8">
        <v>208818</v>
      </c>
      <c r="J512" s="13">
        <f t="shared" si="97"/>
        <v>0</v>
      </c>
      <c r="K512" s="138"/>
      <c r="L512" s="8">
        <v>560989</v>
      </c>
      <c r="M512" s="8">
        <v>562035</v>
      </c>
      <c r="N512" s="13">
        <f t="shared" si="99"/>
        <v>1046</v>
      </c>
      <c r="O512" s="136"/>
      <c r="P512" s="8">
        <v>325921</v>
      </c>
      <c r="Q512" s="8">
        <v>326273</v>
      </c>
      <c r="R512" s="133">
        <f t="shared" si="98"/>
        <v>352</v>
      </c>
      <c r="S512" s="8">
        <v>10036</v>
      </c>
      <c r="T512" s="8">
        <v>10071</v>
      </c>
      <c r="U512" s="133">
        <f t="shared" si="90"/>
        <v>35</v>
      </c>
      <c r="V512" s="8">
        <v>319913</v>
      </c>
      <c r="W512" s="8">
        <v>319983</v>
      </c>
      <c r="X512" s="13">
        <f t="shared" si="96"/>
        <v>70</v>
      </c>
      <c r="Y512" s="8">
        <v>20839</v>
      </c>
      <c r="Z512" s="8">
        <v>20855</v>
      </c>
      <c r="AA512" s="13">
        <f t="shared" si="100"/>
        <v>16</v>
      </c>
      <c r="AB512" s="8">
        <v>198146</v>
      </c>
      <c r="AC512" s="8">
        <v>198146</v>
      </c>
      <c r="AD512" s="13">
        <f t="shared" si="93"/>
        <v>0</v>
      </c>
      <c r="AE512" s="135"/>
      <c r="AF512" s="135"/>
      <c r="AG512" s="135"/>
      <c r="AH512" s="136"/>
      <c r="AI512" s="50">
        <f t="shared" si="91"/>
        <v>473</v>
      </c>
    </row>
    <row r="513" spans="1:35">
      <c r="A513" s="12">
        <v>44888</v>
      </c>
      <c r="B513" s="8">
        <v>1767056</v>
      </c>
      <c r="C513" s="8">
        <v>1767293</v>
      </c>
      <c r="D513" s="13">
        <f t="shared" si="95"/>
        <v>237</v>
      </c>
      <c r="E513" s="69">
        <v>61321</v>
      </c>
      <c r="F513" s="69">
        <v>62116</v>
      </c>
      <c r="G513" s="133">
        <f t="shared" si="92"/>
        <v>795</v>
      </c>
      <c r="H513" s="8">
        <v>208818</v>
      </c>
      <c r="I513" s="8">
        <v>208818</v>
      </c>
      <c r="J513" s="13">
        <f t="shared" si="97"/>
        <v>0</v>
      </c>
      <c r="K513" s="138"/>
      <c r="L513" s="8">
        <v>562035</v>
      </c>
      <c r="M513" s="8">
        <v>563154</v>
      </c>
      <c r="N513" s="13">
        <f t="shared" si="99"/>
        <v>1119</v>
      </c>
      <c r="O513" s="136"/>
      <c r="P513" s="8">
        <v>326273</v>
      </c>
      <c r="Q513" s="8">
        <v>326695</v>
      </c>
      <c r="R513" s="133">
        <f t="shared" si="98"/>
        <v>422</v>
      </c>
      <c r="S513" s="8">
        <v>10071</v>
      </c>
      <c r="T513" s="8">
        <v>10099</v>
      </c>
      <c r="U513" s="133">
        <f t="shared" si="90"/>
        <v>28</v>
      </c>
      <c r="V513" s="8">
        <v>319983</v>
      </c>
      <c r="W513" s="8">
        <v>320061</v>
      </c>
      <c r="X513" s="13">
        <f t="shared" si="96"/>
        <v>78</v>
      </c>
      <c r="Y513" s="8">
        <v>20855</v>
      </c>
      <c r="Z513" s="8">
        <v>20872</v>
      </c>
      <c r="AA513" s="13">
        <f t="shared" si="100"/>
        <v>17</v>
      </c>
      <c r="AB513" s="8">
        <v>198146</v>
      </c>
      <c r="AC513" s="8">
        <v>198229</v>
      </c>
      <c r="AD513" s="13">
        <f t="shared" si="93"/>
        <v>83</v>
      </c>
      <c r="AE513" s="135"/>
      <c r="AF513" s="135"/>
      <c r="AG513" s="135"/>
      <c r="AH513" s="136"/>
      <c r="AI513" s="50">
        <f t="shared" ref="AI513:AI576" si="101">AA513+U513+R513+O513+X513</f>
        <v>545</v>
      </c>
    </row>
    <row r="514" spans="1:35">
      <c r="A514" s="12">
        <v>44889</v>
      </c>
      <c r="B514" s="8">
        <v>1767293</v>
      </c>
      <c r="C514" s="8">
        <v>1767423</v>
      </c>
      <c r="D514" s="13">
        <f t="shared" si="95"/>
        <v>130</v>
      </c>
      <c r="E514" s="69">
        <v>62116</v>
      </c>
      <c r="F514" s="69">
        <v>62799</v>
      </c>
      <c r="G514" s="133">
        <f t="shared" si="92"/>
        <v>683</v>
      </c>
      <c r="H514" s="8">
        <v>208818</v>
      </c>
      <c r="I514" s="8">
        <v>208958</v>
      </c>
      <c r="J514" s="13">
        <f t="shared" si="97"/>
        <v>140</v>
      </c>
      <c r="K514" s="138"/>
      <c r="L514" s="8">
        <v>563154</v>
      </c>
      <c r="M514" s="8">
        <v>563696</v>
      </c>
      <c r="N514" s="13">
        <f t="shared" si="99"/>
        <v>542</v>
      </c>
      <c r="O514" s="136"/>
      <c r="P514" s="8">
        <v>326695</v>
      </c>
      <c r="Q514" s="8">
        <v>327037</v>
      </c>
      <c r="R514" s="133">
        <f t="shared" si="98"/>
        <v>342</v>
      </c>
      <c r="S514" s="8">
        <v>10099</v>
      </c>
      <c r="T514" s="8">
        <v>10136</v>
      </c>
      <c r="U514" s="133">
        <f t="shared" si="90"/>
        <v>37</v>
      </c>
      <c r="V514" s="8">
        <v>320061</v>
      </c>
      <c r="W514" s="8">
        <v>320109</v>
      </c>
      <c r="X514" s="13">
        <f t="shared" si="96"/>
        <v>48</v>
      </c>
      <c r="Y514" s="8">
        <v>20872</v>
      </c>
      <c r="Z514" s="8">
        <v>20888</v>
      </c>
      <c r="AA514" s="13">
        <f t="shared" si="100"/>
        <v>16</v>
      </c>
      <c r="AB514" s="8">
        <v>198229</v>
      </c>
      <c r="AC514" s="8">
        <v>198351</v>
      </c>
      <c r="AD514" s="13">
        <f t="shared" si="93"/>
        <v>122</v>
      </c>
      <c r="AE514" s="135"/>
      <c r="AF514" s="135"/>
      <c r="AG514" s="135"/>
      <c r="AH514" s="136"/>
      <c r="AI514" s="50">
        <f t="shared" si="101"/>
        <v>443</v>
      </c>
    </row>
    <row r="515" spans="1:35">
      <c r="A515" s="12">
        <v>44890</v>
      </c>
      <c r="B515" s="8">
        <v>1767423</v>
      </c>
      <c r="C515" s="8">
        <v>1767653</v>
      </c>
      <c r="D515" s="13">
        <f t="shared" si="95"/>
        <v>230</v>
      </c>
      <c r="E515" s="69">
        <v>62799</v>
      </c>
      <c r="F515" s="69">
        <v>63482</v>
      </c>
      <c r="G515" s="133">
        <f t="shared" ref="G515:G578" si="102">F515-E515</f>
        <v>683</v>
      </c>
      <c r="H515" s="8">
        <v>208958</v>
      </c>
      <c r="I515" s="8">
        <v>209679</v>
      </c>
      <c r="J515" s="13">
        <f t="shared" si="97"/>
        <v>721</v>
      </c>
      <c r="K515" s="138"/>
      <c r="L515" s="8">
        <v>563696</v>
      </c>
      <c r="M515" s="8">
        <v>564317</v>
      </c>
      <c r="N515" s="13">
        <f t="shared" si="99"/>
        <v>621</v>
      </c>
      <c r="O515" s="136"/>
      <c r="P515" s="8">
        <v>327037</v>
      </c>
      <c r="Q515" s="8">
        <v>327402</v>
      </c>
      <c r="R515" s="133">
        <f t="shared" si="98"/>
        <v>365</v>
      </c>
      <c r="S515" s="8">
        <v>10136</v>
      </c>
      <c r="T515" s="8">
        <v>10171</v>
      </c>
      <c r="U515" s="133">
        <f t="shared" si="90"/>
        <v>35</v>
      </c>
      <c r="V515" s="8">
        <v>320109</v>
      </c>
      <c r="W515" s="8">
        <v>320168</v>
      </c>
      <c r="X515" s="13">
        <f t="shared" si="96"/>
        <v>59</v>
      </c>
      <c r="Y515" s="8">
        <v>20888</v>
      </c>
      <c r="Z515" s="8">
        <v>20908</v>
      </c>
      <c r="AA515" s="13">
        <f t="shared" si="100"/>
        <v>20</v>
      </c>
      <c r="AB515" s="8">
        <v>198351</v>
      </c>
      <c r="AC515" s="8">
        <v>198473</v>
      </c>
      <c r="AD515" s="13">
        <f t="shared" si="93"/>
        <v>122</v>
      </c>
      <c r="AE515" s="135"/>
      <c r="AF515" s="135"/>
      <c r="AG515" s="135"/>
      <c r="AH515" s="136"/>
      <c r="AI515" s="50">
        <f t="shared" si="101"/>
        <v>479</v>
      </c>
    </row>
    <row r="516" spans="1:35">
      <c r="A516" s="12">
        <v>44891</v>
      </c>
      <c r="B516" s="8">
        <v>1767653</v>
      </c>
      <c r="C516" s="8">
        <v>1767769</v>
      </c>
      <c r="D516" s="13">
        <f t="shared" si="95"/>
        <v>116</v>
      </c>
      <c r="E516" s="69">
        <v>63482</v>
      </c>
      <c r="F516" s="69">
        <v>64331</v>
      </c>
      <c r="G516" s="133">
        <f t="shared" si="102"/>
        <v>849</v>
      </c>
      <c r="H516" s="8">
        <v>209679</v>
      </c>
      <c r="I516" s="8">
        <v>209879</v>
      </c>
      <c r="J516" s="13">
        <f t="shared" si="97"/>
        <v>200</v>
      </c>
      <c r="K516" s="138"/>
      <c r="L516" s="8">
        <v>564317</v>
      </c>
      <c r="M516" s="8">
        <v>564717</v>
      </c>
      <c r="N516" s="13">
        <f t="shared" si="99"/>
        <v>400</v>
      </c>
      <c r="O516" s="136"/>
      <c r="P516" s="8">
        <v>327402</v>
      </c>
      <c r="Q516" s="8">
        <v>327507</v>
      </c>
      <c r="R516" s="133">
        <f t="shared" si="98"/>
        <v>105</v>
      </c>
      <c r="S516" s="8">
        <v>10171</v>
      </c>
      <c r="T516" s="8">
        <v>10214</v>
      </c>
      <c r="U516" s="133">
        <f t="shared" ref="U516:U580" si="103">T516-S516</f>
        <v>43</v>
      </c>
      <c r="V516" s="8">
        <v>320168</v>
      </c>
      <c r="W516" s="8">
        <v>320227</v>
      </c>
      <c r="X516" s="13">
        <f t="shared" si="96"/>
        <v>59</v>
      </c>
      <c r="Y516" s="8">
        <v>20908</v>
      </c>
      <c r="Z516" s="8">
        <v>20928</v>
      </c>
      <c r="AA516" s="13">
        <f t="shared" si="100"/>
        <v>20</v>
      </c>
      <c r="AB516" s="8">
        <v>198473</v>
      </c>
      <c r="AC516" s="8">
        <v>198617</v>
      </c>
      <c r="AD516" s="13">
        <f t="shared" si="93"/>
        <v>144</v>
      </c>
      <c r="AE516" s="135"/>
      <c r="AF516" s="135"/>
      <c r="AG516" s="135"/>
      <c r="AH516" s="136"/>
      <c r="AI516" s="50">
        <f t="shared" si="101"/>
        <v>227</v>
      </c>
    </row>
    <row r="517" spans="1:35">
      <c r="A517" s="12">
        <v>44892</v>
      </c>
      <c r="B517" s="8">
        <v>1767769</v>
      </c>
      <c r="C517" s="8">
        <v>1767964</v>
      </c>
      <c r="D517" s="13">
        <f t="shared" si="95"/>
        <v>195</v>
      </c>
      <c r="E517" s="69">
        <v>64331</v>
      </c>
      <c r="F517" s="69">
        <v>65058</v>
      </c>
      <c r="G517" s="133">
        <f t="shared" si="102"/>
        <v>727</v>
      </c>
      <c r="H517" s="8">
        <v>209879</v>
      </c>
      <c r="I517" s="8">
        <v>209880</v>
      </c>
      <c r="J517" s="13">
        <f t="shared" si="97"/>
        <v>1</v>
      </c>
      <c r="K517" s="138"/>
      <c r="L517" s="8">
        <v>564717</v>
      </c>
      <c r="M517" s="8">
        <v>565464</v>
      </c>
      <c r="N517" s="13">
        <f t="shared" si="99"/>
        <v>747</v>
      </c>
      <c r="O517" s="136"/>
      <c r="P517" s="8">
        <v>327507</v>
      </c>
      <c r="Q517" s="8">
        <v>327801</v>
      </c>
      <c r="R517" s="133">
        <f t="shared" si="98"/>
        <v>294</v>
      </c>
      <c r="S517" s="8">
        <v>10214</v>
      </c>
      <c r="T517" s="8">
        <v>10246</v>
      </c>
      <c r="U517" s="133">
        <f t="shared" si="103"/>
        <v>32</v>
      </c>
      <c r="V517" s="8">
        <v>320227</v>
      </c>
      <c r="W517" s="8">
        <v>320341</v>
      </c>
      <c r="X517" s="13">
        <f t="shared" si="96"/>
        <v>114</v>
      </c>
      <c r="Y517" s="8">
        <v>20928</v>
      </c>
      <c r="Z517" s="8">
        <v>20954</v>
      </c>
      <c r="AA517" s="13">
        <f t="shared" si="100"/>
        <v>26</v>
      </c>
      <c r="AB517" s="8">
        <v>198617</v>
      </c>
      <c r="AC517" s="8">
        <v>198752</v>
      </c>
      <c r="AD517" s="13">
        <f t="shared" si="93"/>
        <v>135</v>
      </c>
      <c r="AE517" s="135"/>
      <c r="AF517" s="135"/>
      <c r="AG517" s="135"/>
      <c r="AH517" s="136"/>
      <c r="AI517" s="50">
        <f t="shared" si="101"/>
        <v>466</v>
      </c>
    </row>
    <row r="518" spans="1:35">
      <c r="A518" s="12">
        <v>44893</v>
      </c>
      <c r="B518" s="8">
        <v>1767964</v>
      </c>
      <c r="C518" s="8">
        <v>1767994</v>
      </c>
      <c r="D518" s="13">
        <f t="shared" si="95"/>
        <v>30</v>
      </c>
      <c r="E518" s="69">
        <v>65058</v>
      </c>
      <c r="F518" s="69">
        <v>66023</v>
      </c>
      <c r="G518" s="133">
        <f t="shared" si="102"/>
        <v>965</v>
      </c>
      <c r="H518" s="8">
        <v>209880</v>
      </c>
      <c r="I518" s="8">
        <v>209996</v>
      </c>
      <c r="J518" s="13">
        <f t="shared" si="97"/>
        <v>116</v>
      </c>
      <c r="K518" s="138"/>
      <c r="L518" s="8">
        <v>565464</v>
      </c>
      <c r="M518" s="8">
        <v>566525</v>
      </c>
      <c r="N518" s="13">
        <f t="shared" si="99"/>
        <v>1061</v>
      </c>
      <c r="O518" s="136"/>
      <c r="P518" s="8">
        <v>327801</v>
      </c>
      <c r="Q518" s="8">
        <v>328152</v>
      </c>
      <c r="R518" s="133">
        <f t="shared" si="98"/>
        <v>351</v>
      </c>
      <c r="S518" s="8">
        <v>10246</v>
      </c>
      <c r="T518" s="8">
        <v>10330</v>
      </c>
      <c r="U518" s="133">
        <f t="shared" si="103"/>
        <v>84</v>
      </c>
      <c r="V518" s="8">
        <v>320341</v>
      </c>
      <c r="W518" s="8">
        <v>320429</v>
      </c>
      <c r="X518" s="13">
        <f t="shared" si="96"/>
        <v>88</v>
      </c>
      <c r="Y518" s="8">
        <v>20954</v>
      </c>
      <c r="Z518" s="8">
        <v>20964</v>
      </c>
      <c r="AA518" s="13">
        <f t="shared" si="100"/>
        <v>10</v>
      </c>
      <c r="AB518" s="8">
        <v>198752</v>
      </c>
      <c r="AC518" s="8">
        <v>198867</v>
      </c>
      <c r="AD518" s="13">
        <f t="shared" si="93"/>
        <v>115</v>
      </c>
      <c r="AE518" s="135"/>
      <c r="AF518" s="135"/>
      <c r="AG518" s="135"/>
      <c r="AH518" s="136"/>
      <c r="AI518" s="50">
        <f t="shared" si="101"/>
        <v>533</v>
      </c>
    </row>
    <row r="519" spans="1:35">
      <c r="A519" s="12">
        <v>44894</v>
      </c>
      <c r="B519" s="8">
        <v>1767994</v>
      </c>
      <c r="C519" s="8">
        <v>1768265</v>
      </c>
      <c r="D519" s="13">
        <f t="shared" si="95"/>
        <v>271</v>
      </c>
      <c r="E519" s="69">
        <v>66023</v>
      </c>
      <c r="F519" s="69">
        <v>66383</v>
      </c>
      <c r="G519" s="133">
        <f t="shared" si="102"/>
        <v>360</v>
      </c>
      <c r="H519" s="8">
        <v>209996</v>
      </c>
      <c r="I519" s="8">
        <v>210228</v>
      </c>
      <c r="J519" s="13">
        <f t="shared" si="97"/>
        <v>232</v>
      </c>
      <c r="K519" s="138"/>
      <c r="L519" s="8">
        <v>566525</v>
      </c>
      <c r="M519" s="8">
        <v>566862</v>
      </c>
      <c r="N519" s="13">
        <f t="shared" si="99"/>
        <v>337</v>
      </c>
      <c r="O519" s="136"/>
      <c r="P519" s="8">
        <v>328152</v>
      </c>
      <c r="Q519" s="8">
        <v>328471</v>
      </c>
      <c r="R519" s="133">
        <f t="shared" si="98"/>
        <v>319</v>
      </c>
      <c r="S519" s="8">
        <v>10330</v>
      </c>
      <c r="T519" s="8">
        <v>10375</v>
      </c>
      <c r="U519" s="133">
        <f t="shared" si="103"/>
        <v>45</v>
      </c>
      <c r="V519" s="8">
        <v>320429</v>
      </c>
      <c r="W519" s="8">
        <v>320519</v>
      </c>
      <c r="X519" s="13">
        <f t="shared" si="96"/>
        <v>90</v>
      </c>
      <c r="Y519" s="8">
        <v>20964</v>
      </c>
      <c r="Z519" s="8">
        <v>20981</v>
      </c>
      <c r="AA519" s="13">
        <f t="shared" si="100"/>
        <v>17</v>
      </c>
      <c r="AB519" s="8">
        <v>198867</v>
      </c>
      <c r="AC519" s="8">
        <v>199008</v>
      </c>
      <c r="AD519" s="13">
        <f t="shared" si="93"/>
        <v>141</v>
      </c>
      <c r="AE519" s="135"/>
      <c r="AF519" s="135"/>
      <c r="AG519" s="135"/>
      <c r="AH519" s="136"/>
      <c r="AI519" s="50">
        <f t="shared" si="101"/>
        <v>471</v>
      </c>
    </row>
    <row r="520" spans="1:35">
      <c r="A520" s="12">
        <v>44895</v>
      </c>
      <c r="B520" s="8">
        <v>1768265</v>
      </c>
      <c r="C520" s="8">
        <v>1768660</v>
      </c>
      <c r="D520" s="13">
        <f t="shared" si="95"/>
        <v>395</v>
      </c>
      <c r="E520" s="69">
        <v>66383</v>
      </c>
      <c r="F520" s="69">
        <v>66849</v>
      </c>
      <c r="G520" s="133">
        <f t="shared" si="102"/>
        <v>466</v>
      </c>
      <c r="H520" s="8">
        <v>210228</v>
      </c>
      <c r="I520" s="8">
        <v>210903</v>
      </c>
      <c r="J520" s="13">
        <f t="shared" si="97"/>
        <v>675</v>
      </c>
      <c r="K520" s="138"/>
      <c r="L520" s="8">
        <v>566862</v>
      </c>
      <c r="M520" s="8">
        <v>567222</v>
      </c>
      <c r="N520" s="13">
        <f t="shared" si="99"/>
        <v>360</v>
      </c>
      <c r="O520" s="136"/>
      <c r="P520" s="8">
        <v>328471</v>
      </c>
      <c r="Q520" s="8">
        <v>328778</v>
      </c>
      <c r="R520" s="133">
        <f t="shared" si="98"/>
        <v>307</v>
      </c>
      <c r="S520" s="8">
        <v>10375</v>
      </c>
      <c r="T520" s="8">
        <v>10418</v>
      </c>
      <c r="U520" s="133">
        <f t="shared" si="103"/>
        <v>43</v>
      </c>
      <c r="V520" s="8">
        <v>320519</v>
      </c>
      <c r="W520" s="8">
        <v>320595</v>
      </c>
      <c r="X520" s="13">
        <f t="shared" si="96"/>
        <v>76</v>
      </c>
      <c r="Y520" s="8">
        <v>20981</v>
      </c>
      <c r="Z520" s="8">
        <v>21001</v>
      </c>
      <c r="AA520" s="13">
        <f t="shared" si="100"/>
        <v>20</v>
      </c>
      <c r="AB520" s="8">
        <v>199008</v>
      </c>
      <c r="AC520" s="8">
        <v>199140</v>
      </c>
      <c r="AD520" s="13">
        <f t="shared" ref="AD520:AD583" si="104">AC520-AB520</f>
        <v>132</v>
      </c>
      <c r="AE520" s="135"/>
      <c r="AF520" s="135"/>
      <c r="AG520" s="135"/>
      <c r="AH520" s="136"/>
      <c r="AI520" s="50">
        <f t="shared" si="101"/>
        <v>446</v>
      </c>
    </row>
    <row r="521" spans="1:35">
      <c r="A521" s="12">
        <v>44896</v>
      </c>
      <c r="B521" s="8">
        <v>1768660</v>
      </c>
      <c r="C521" s="8">
        <v>1769039</v>
      </c>
      <c r="D521" s="13">
        <f t="shared" si="95"/>
        <v>379</v>
      </c>
      <c r="E521" s="69">
        <v>66849</v>
      </c>
      <c r="F521" s="69">
        <v>67614</v>
      </c>
      <c r="G521" s="133">
        <f t="shared" si="102"/>
        <v>765</v>
      </c>
      <c r="H521" s="8">
        <v>210903</v>
      </c>
      <c r="I521" s="8">
        <v>211630</v>
      </c>
      <c r="J521" s="13">
        <f t="shared" si="97"/>
        <v>727</v>
      </c>
      <c r="K521" s="138"/>
      <c r="L521" s="8">
        <v>567222</v>
      </c>
      <c r="M521" s="8">
        <v>567523</v>
      </c>
      <c r="N521" s="13">
        <f t="shared" si="99"/>
        <v>301</v>
      </c>
      <c r="O521" s="136"/>
      <c r="P521" s="8">
        <v>328778</v>
      </c>
      <c r="Q521" s="8">
        <v>329155</v>
      </c>
      <c r="R521" s="133">
        <f t="shared" si="98"/>
        <v>377</v>
      </c>
      <c r="S521" s="8">
        <v>10418</v>
      </c>
      <c r="T521" s="8">
        <v>10458</v>
      </c>
      <c r="U521" s="133">
        <f t="shared" si="103"/>
        <v>40</v>
      </c>
      <c r="V521" s="8">
        <v>320595</v>
      </c>
      <c r="W521" s="8">
        <v>320702</v>
      </c>
      <c r="X521" s="13">
        <f t="shared" si="96"/>
        <v>107</v>
      </c>
      <c r="Y521" s="8">
        <v>21001</v>
      </c>
      <c r="Z521" s="8">
        <v>21021</v>
      </c>
      <c r="AA521" s="13">
        <f t="shared" si="100"/>
        <v>20</v>
      </c>
      <c r="AB521" s="8">
        <v>199140</v>
      </c>
      <c r="AC521" s="8">
        <v>199331</v>
      </c>
      <c r="AD521" s="13">
        <f t="shared" si="104"/>
        <v>191</v>
      </c>
      <c r="AE521" s="135"/>
      <c r="AF521" s="135"/>
      <c r="AG521" s="135"/>
      <c r="AH521" s="136"/>
      <c r="AI521" s="50">
        <f t="shared" si="101"/>
        <v>544</v>
      </c>
    </row>
    <row r="522" spans="1:35">
      <c r="A522" s="12">
        <v>44897</v>
      </c>
      <c r="B522" s="8">
        <v>1769039</v>
      </c>
      <c r="C522" s="8">
        <v>1769039</v>
      </c>
      <c r="D522" s="13">
        <f t="shared" si="95"/>
        <v>0</v>
      </c>
      <c r="E522" s="69">
        <v>67614</v>
      </c>
      <c r="F522" s="69">
        <v>68278</v>
      </c>
      <c r="G522" s="133">
        <f t="shared" si="102"/>
        <v>664</v>
      </c>
      <c r="H522" s="8">
        <v>211630</v>
      </c>
      <c r="I522" s="8">
        <v>211630</v>
      </c>
      <c r="J522" s="13">
        <f t="shared" si="97"/>
        <v>0</v>
      </c>
      <c r="K522" s="138"/>
      <c r="L522" s="8">
        <v>567523</v>
      </c>
      <c r="M522" s="8">
        <v>568952</v>
      </c>
      <c r="N522" s="13">
        <f t="shared" si="99"/>
        <v>1429</v>
      </c>
      <c r="O522" s="136"/>
      <c r="P522" s="8">
        <v>329155</v>
      </c>
      <c r="Q522" s="8">
        <v>329764</v>
      </c>
      <c r="R522" s="133">
        <f t="shared" si="98"/>
        <v>609</v>
      </c>
      <c r="S522" s="8">
        <v>10458</v>
      </c>
      <c r="T522" s="8">
        <v>10495</v>
      </c>
      <c r="U522" s="133">
        <f t="shared" si="103"/>
        <v>37</v>
      </c>
      <c r="V522" s="8">
        <v>320702</v>
      </c>
      <c r="W522" s="8">
        <v>320842</v>
      </c>
      <c r="X522" s="13">
        <f t="shared" si="96"/>
        <v>140</v>
      </c>
      <c r="Y522" s="8">
        <v>21021</v>
      </c>
      <c r="Z522" s="8">
        <v>21048</v>
      </c>
      <c r="AA522" s="13">
        <f t="shared" si="100"/>
        <v>27</v>
      </c>
      <c r="AB522" s="8">
        <v>199331</v>
      </c>
      <c r="AC522" s="8">
        <v>199538</v>
      </c>
      <c r="AD522" s="13">
        <f t="shared" si="104"/>
        <v>207</v>
      </c>
      <c r="AE522" s="135"/>
      <c r="AF522" s="135"/>
      <c r="AG522" s="135"/>
      <c r="AH522" s="136"/>
      <c r="AI522" s="50">
        <f t="shared" si="101"/>
        <v>813</v>
      </c>
    </row>
    <row r="523" spans="1:35">
      <c r="A523" s="12">
        <v>44898</v>
      </c>
      <c r="B523" s="8">
        <v>1769039</v>
      </c>
      <c r="C523" s="8">
        <v>1769039</v>
      </c>
      <c r="D523" s="13">
        <f t="shared" si="95"/>
        <v>0</v>
      </c>
      <c r="E523" s="69">
        <v>68278</v>
      </c>
      <c r="F523" s="77">
        <v>68941</v>
      </c>
      <c r="G523" s="133">
        <f t="shared" si="102"/>
        <v>663</v>
      </c>
      <c r="H523" s="8">
        <v>211630</v>
      </c>
      <c r="I523" s="8">
        <v>212386</v>
      </c>
      <c r="J523" s="13">
        <f t="shared" si="97"/>
        <v>756</v>
      </c>
      <c r="K523" s="138"/>
      <c r="L523" s="8">
        <v>568952</v>
      </c>
      <c r="M523" s="8">
        <v>569064</v>
      </c>
      <c r="N523" s="13">
        <f t="shared" si="99"/>
        <v>112</v>
      </c>
      <c r="O523" s="136"/>
      <c r="P523" s="8">
        <v>329764</v>
      </c>
      <c r="Q523" s="8">
        <v>330214</v>
      </c>
      <c r="R523" s="133">
        <f t="shared" si="98"/>
        <v>450</v>
      </c>
      <c r="S523" s="8">
        <v>10495</v>
      </c>
      <c r="T523" s="8">
        <v>10536</v>
      </c>
      <c r="U523" s="133">
        <f t="shared" si="103"/>
        <v>41</v>
      </c>
      <c r="V523" s="8">
        <v>320842</v>
      </c>
      <c r="W523" s="8">
        <v>320937</v>
      </c>
      <c r="X523" s="13">
        <f t="shared" si="96"/>
        <v>95</v>
      </c>
      <c r="Y523" s="8">
        <v>21048</v>
      </c>
      <c r="Z523" s="8">
        <v>21069</v>
      </c>
      <c r="AA523" s="13">
        <f t="shared" si="100"/>
        <v>21</v>
      </c>
      <c r="AB523" s="8">
        <v>199538</v>
      </c>
      <c r="AC523" s="8">
        <v>199589</v>
      </c>
      <c r="AD523" s="13">
        <f t="shared" si="104"/>
        <v>51</v>
      </c>
      <c r="AE523" s="135"/>
      <c r="AF523" s="135"/>
      <c r="AG523" s="135"/>
      <c r="AH523" s="136"/>
      <c r="AI523" s="50">
        <f t="shared" si="101"/>
        <v>607</v>
      </c>
    </row>
    <row r="524" spans="1:35">
      <c r="A524" s="12">
        <v>44899</v>
      </c>
      <c r="B524" s="8">
        <v>1769039</v>
      </c>
      <c r="C524" s="8">
        <v>1769152</v>
      </c>
      <c r="D524" s="13">
        <f t="shared" si="95"/>
        <v>113</v>
      </c>
      <c r="E524" s="77">
        <v>68941</v>
      </c>
      <c r="F524" s="69">
        <v>69429</v>
      </c>
      <c r="G524" s="133">
        <f t="shared" si="102"/>
        <v>488</v>
      </c>
      <c r="H524" s="8">
        <v>212386</v>
      </c>
      <c r="I524" s="8">
        <v>213069</v>
      </c>
      <c r="J524" s="13">
        <f t="shared" si="97"/>
        <v>683</v>
      </c>
      <c r="K524" s="138"/>
      <c r="L524" s="8">
        <v>569064</v>
      </c>
      <c r="M524" s="8">
        <v>569397</v>
      </c>
      <c r="N524" s="13">
        <f t="shared" si="99"/>
        <v>333</v>
      </c>
      <c r="O524" s="136"/>
      <c r="P524" s="8">
        <v>330214</v>
      </c>
      <c r="Q524" s="8">
        <v>330537</v>
      </c>
      <c r="R524" s="133">
        <f t="shared" si="98"/>
        <v>323</v>
      </c>
      <c r="S524" s="8">
        <v>10536</v>
      </c>
      <c r="T524" s="8">
        <v>10560</v>
      </c>
      <c r="U524" s="133">
        <f t="shared" si="103"/>
        <v>24</v>
      </c>
      <c r="V524" s="8">
        <v>320937</v>
      </c>
      <c r="W524" s="8">
        <v>321008</v>
      </c>
      <c r="X524" s="13">
        <f t="shared" si="96"/>
        <v>71</v>
      </c>
      <c r="Y524" s="8">
        <v>21069</v>
      </c>
      <c r="Z524" s="8">
        <v>21089</v>
      </c>
      <c r="AA524" s="13">
        <f t="shared" si="100"/>
        <v>20</v>
      </c>
      <c r="AB524" s="8">
        <v>199589</v>
      </c>
      <c r="AC524" s="8">
        <v>199656</v>
      </c>
      <c r="AD524" s="13">
        <f t="shared" si="104"/>
        <v>67</v>
      </c>
      <c r="AE524" s="135"/>
      <c r="AF524" s="135"/>
      <c r="AG524" s="135"/>
      <c r="AH524" s="136"/>
      <c r="AI524" s="50">
        <f t="shared" si="101"/>
        <v>438</v>
      </c>
    </row>
    <row r="525" spans="1:35">
      <c r="A525" s="12">
        <v>44900</v>
      </c>
      <c r="B525" s="8">
        <v>1769152</v>
      </c>
      <c r="C525" s="8">
        <v>1769552</v>
      </c>
      <c r="D525" s="13">
        <f t="shared" si="95"/>
        <v>400</v>
      </c>
      <c r="E525" s="69">
        <v>69429</v>
      </c>
      <c r="F525" s="69">
        <v>70117</v>
      </c>
      <c r="G525" s="133">
        <f t="shared" si="102"/>
        <v>688</v>
      </c>
      <c r="H525" s="8">
        <v>213069</v>
      </c>
      <c r="I525" s="8">
        <v>213570</v>
      </c>
      <c r="J525" s="13">
        <f t="shared" si="97"/>
        <v>501</v>
      </c>
      <c r="K525" s="138"/>
      <c r="L525" s="8">
        <v>569397</v>
      </c>
      <c r="M525" s="8">
        <v>569712</v>
      </c>
      <c r="N525" s="13">
        <f t="shared" si="99"/>
        <v>315</v>
      </c>
      <c r="O525" s="136"/>
      <c r="P525" s="8">
        <v>330537</v>
      </c>
      <c r="Q525" s="8">
        <v>330844</v>
      </c>
      <c r="R525" s="133">
        <f t="shared" si="98"/>
        <v>307</v>
      </c>
      <c r="S525" s="8">
        <v>10560</v>
      </c>
      <c r="T525" s="8">
        <v>10596</v>
      </c>
      <c r="U525" s="133">
        <f t="shared" si="103"/>
        <v>36</v>
      </c>
      <c r="V525" s="8">
        <v>321008</v>
      </c>
      <c r="W525" s="8">
        <v>321121</v>
      </c>
      <c r="X525" s="13">
        <f t="shared" si="96"/>
        <v>113</v>
      </c>
      <c r="Y525" s="8">
        <v>21089</v>
      </c>
      <c r="Z525" s="8">
        <v>21111</v>
      </c>
      <c r="AA525" s="13">
        <f t="shared" si="100"/>
        <v>22</v>
      </c>
      <c r="AB525" s="8">
        <v>199656</v>
      </c>
      <c r="AC525" s="8">
        <v>199801</v>
      </c>
      <c r="AD525" s="13">
        <f t="shared" si="104"/>
        <v>145</v>
      </c>
      <c r="AE525" s="135"/>
      <c r="AF525" s="135"/>
      <c r="AG525" s="135"/>
      <c r="AH525" s="136"/>
      <c r="AI525" s="50">
        <f t="shared" si="101"/>
        <v>478</v>
      </c>
    </row>
    <row r="526" spans="1:35">
      <c r="A526" s="12">
        <v>44901</v>
      </c>
      <c r="B526" s="8">
        <v>1769552</v>
      </c>
      <c r="C526" s="8">
        <v>1769895</v>
      </c>
      <c r="D526" s="13">
        <f t="shared" si="95"/>
        <v>343</v>
      </c>
      <c r="E526" s="69">
        <v>70117</v>
      </c>
      <c r="F526" s="69">
        <v>70529</v>
      </c>
      <c r="G526" s="133">
        <f t="shared" si="102"/>
        <v>412</v>
      </c>
      <c r="H526" s="8">
        <v>213570</v>
      </c>
      <c r="I526" s="8">
        <v>214010</v>
      </c>
      <c r="J526" s="13">
        <f t="shared" si="97"/>
        <v>440</v>
      </c>
      <c r="K526" s="138"/>
      <c r="L526" s="8">
        <v>569712</v>
      </c>
      <c r="M526" s="8">
        <v>570042</v>
      </c>
      <c r="N526" s="13">
        <f t="shared" si="99"/>
        <v>330</v>
      </c>
      <c r="O526" s="136"/>
      <c r="P526" s="8">
        <v>330844</v>
      </c>
      <c r="Q526" s="8">
        <v>331116</v>
      </c>
      <c r="R526" s="133">
        <f t="shared" si="98"/>
        <v>272</v>
      </c>
      <c r="S526" s="8">
        <v>10596</v>
      </c>
      <c r="T526" s="8">
        <v>10620</v>
      </c>
      <c r="U526" s="133">
        <f t="shared" si="103"/>
        <v>24</v>
      </c>
      <c r="V526" s="8">
        <v>321121</v>
      </c>
      <c r="W526" s="8">
        <v>321205</v>
      </c>
      <c r="X526" s="13">
        <f t="shared" si="96"/>
        <v>84</v>
      </c>
      <c r="Y526" s="8">
        <v>21111</v>
      </c>
      <c r="Z526" s="8">
        <v>21135</v>
      </c>
      <c r="AA526" s="13">
        <f t="shared" si="100"/>
        <v>24</v>
      </c>
      <c r="AB526" s="8">
        <v>199801</v>
      </c>
      <c r="AC526" s="8">
        <v>199962</v>
      </c>
      <c r="AD526" s="13">
        <f t="shared" si="104"/>
        <v>161</v>
      </c>
      <c r="AE526" s="135"/>
      <c r="AF526" s="135"/>
      <c r="AG526" s="135"/>
      <c r="AH526" s="136"/>
      <c r="AI526" s="50">
        <f t="shared" si="101"/>
        <v>404</v>
      </c>
    </row>
    <row r="527" spans="1:35">
      <c r="A527" s="12">
        <v>44902</v>
      </c>
      <c r="B527" s="8">
        <v>1769895</v>
      </c>
      <c r="C527" s="8">
        <v>1769895</v>
      </c>
      <c r="D527" s="13">
        <f t="shared" si="95"/>
        <v>0</v>
      </c>
      <c r="E527" s="69">
        <v>70529</v>
      </c>
      <c r="F527" s="69">
        <v>71278</v>
      </c>
      <c r="G527" s="133">
        <f t="shared" si="102"/>
        <v>749</v>
      </c>
      <c r="H527" s="8">
        <v>214010</v>
      </c>
      <c r="I527" s="8">
        <v>214280</v>
      </c>
      <c r="J527" s="13">
        <f t="shared" si="97"/>
        <v>270</v>
      </c>
      <c r="K527" s="138"/>
      <c r="L527" s="8">
        <v>570042</v>
      </c>
      <c r="M527" s="8">
        <v>571122</v>
      </c>
      <c r="N527" s="13">
        <f t="shared" si="99"/>
        <v>1080</v>
      </c>
      <c r="O527" s="136"/>
      <c r="P527" s="8">
        <v>331116</v>
      </c>
      <c r="Q527" s="8">
        <v>331632</v>
      </c>
      <c r="R527" s="133">
        <f t="shared" si="98"/>
        <v>516</v>
      </c>
      <c r="S527" s="8">
        <v>10620</v>
      </c>
      <c r="T527" s="8">
        <v>10641</v>
      </c>
      <c r="U527" s="133">
        <f t="shared" si="103"/>
        <v>21</v>
      </c>
      <c r="V527" s="8">
        <v>321205</v>
      </c>
      <c r="W527" s="8">
        <v>321297</v>
      </c>
      <c r="X527" s="13">
        <f t="shared" si="96"/>
        <v>92</v>
      </c>
      <c r="Y527" s="8">
        <v>21135</v>
      </c>
      <c r="Z527" s="8">
        <v>21156</v>
      </c>
      <c r="AA527" s="13">
        <f t="shared" si="100"/>
        <v>21</v>
      </c>
      <c r="AB527" s="8">
        <v>199962</v>
      </c>
      <c r="AC527" s="8">
        <v>200158</v>
      </c>
      <c r="AD527" s="13">
        <f t="shared" si="104"/>
        <v>196</v>
      </c>
      <c r="AE527" s="135"/>
      <c r="AF527" s="135"/>
      <c r="AG527" s="135"/>
      <c r="AH527" s="136"/>
      <c r="AI527" s="50">
        <f t="shared" si="101"/>
        <v>650</v>
      </c>
    </row>
    <row r="528" spans="1:35">
      <c r="A528" s="12">
        <v>44903</v>
      </c>
      <c r="B528" s="8">
        <v>1769895</v>
      </c>
      <c r="C528" s="8">
        <v>1769898</v>
      </c>
      <c r="D528" s="13">
        <f t="shared" si="95"/>
        <v>3</v>
      </c>
      <c r="E528" s="69">
        <v>71278</v>
      </c>
      <c r="F528" s="69">
        <v>71697</v>
      </c>
      <c r="G528" s="133">
        <f t="shared" si="102"/>
        <v>419</v>
      </c>
      <c r="H528" s="8">
        <v>214280</v>
      </c>
      <c r="I528" s="8">
        <v>214953</v>
      </c>
      <c r="J528" s="13">
        <f t="shared" si="97"/>
        <v>673</v>
      </c>
      <c r="K528" s="138"/>
      <c r="L528" s="8">
        <v>571122</v>
      </c>
      <c r="M528" s="8">
        <v>571626</v>
      </c>
      <c r="N528" s="13">
        <f t="shared" si="99"/>
        <v>504</v>
      </c>
      <c r="O528" s="136"/>
      <c r="P528" s="8">
        <v>331632</v>
      </c>
      <c r="Q528" s="8">
        <v>332095</v>
      </c>
      <c r="R528" s="133">
        <f t="shared" si="98"/>
        <v>463</v>
      </c>
      <c r="S528" s="8">
        <v>10641</v>
      </c>
      <c r="T528" s="8">
        <v>10682</v>
      </c>
      <c r="U528" s="133">
        <f t="shared" si="103"/>
        <v>41</v>
      </c>
      <c r="V528" s="8">
        <v>321297</v>
      </c>
      <c r="W528" s="8">
        <v>321399</v>
      </c>
      <c r="X528" s="13">
        <f t="shared" si="96"/>
        <v>102</v>
      </c>
      <c r="Y528" s="8">
        <v>21156</v>
      </c>
      <c r="Z528" s="8">
        <v>21183</v>
      </c>
      <c r="AA528" s="13">
        <f t="shared" si="100"/>
        <v>27</v>
      </c>
      <c r="AB528" s="8">
        <v>200158</v>
      </c>
      <c r="AC528" s="8">
        <v>200345</v>
      </c>
      <c r="AD528" s="13">
        <f t="shared" si="104"/>
        <v>187</v>
      </c>
      <c r="AE528" s="135"/>
      <c r="AF528" s="135"/>
      <c r="AG528" s="135"/>
      <c r="AH528" s="136"/>
      <c r="AI528" s="50">
        <f t="shared" si="101"/>
        <v>633</v>
      </c>
    </row>
    <row r="529" spans="1:35">
      <c r="A529" s="12">
        <v>44904</v>
      </c>
      <c r="B529" s="8">
        <v>1769898</v>
      </c>
      <c r="C529" s="8">
        <v>1769899</v>
      </c>
      <c r="D529" s="13">
        <f t="shared" si="95"/>
        <v>1</v>
      </c>
      <c r="E529" s="69">
        <v>71697</v>
      </c>
      <c r="F529" s="69">
        <v>72184</v>
      </c>
      <c r="G529" s="133">
        <f t="shared" si="102"/>
        <v>487</v>
      </c>
      <c r="H529" s="8">
        <v>214953</v>
      </c>
      <c r="I529" s="8">
        <v>215468</v>
      </c>
      <c r="J529" s="13">
        <f t="shared" si="97"/>
        <v>515</v>
      </c>
      <c r="K529" s="138"/>
      <c r="L529" s="8">
        <v>571626</v>
      </c>
      <c r="M529" s="8">
        <v>572029</v>
      </c>
      <c r="N529" s="13">
        <f t="shared" si="99"/>
        <v>403</v>
      </c>
      <c r="O529" s="136"/>
      <c r="P529" s="8">
        <v>332095</v>
      </c>
      <c r="Q529" s="8">
        <v>332445</v>
      </c>
      <c r="R529" s="133">
        <f t="shared" si="98"/>
        <v>350</v>
      </c>
      <c r="S529" s="8">
        <v>10682</v>
      </c>
      <c r="T529" s="8">
        <v>10822</v>
      </c>
      <c r="U529" s="133">
        <f t="shared" si="103"/>
        <v>140</v>
      </c>
      <c r="V529" s="8">
        <v>321399</v>
      </c>
      <c r="W529" s="8">
        <v>321498</v>
      </c>
      <c r="X529" s="13">
        <f t="shared" si="96"/>
        <v>99</v>
      </c>
      <c r="Y529" s="8">
        <v>21183</v>
      </c>
      <c r="Z529" s="8">
        <v>21199</v>
      </c>
      <c r="AA529" s="13">
        <f t="shared" si="100"/>
        <v>16</v>
      </c>
      <c r="AB529" s="8">
        <v>200345</v>
      </c>
      <c r="AC529" s="8">
        <v>200576</v>
      </c>
      <c r="AD529" s="13">
        <f t="shared" si="104"/>
        <v>231</v>
      </c>
      <c r="AE529" s="135"/>
      <c r="AF529" s="135"/>
      <c r="AG529" s="135"/>
      <c r="AH529" s="136"/>
      <c r="AI529" s="50">
        <f t="shared" si="101"/>
        <v>605</v>
      </c>
    </row>
    <row r="530" spans="1:35">
      <c r="A530" s="12">
        <v>44905</v>
      </c>
      <c r="B530" s="8">
        <v>1769899</v>
      </c>
      <c r="C530" s="8">
        <v>1769899</v>
      </c>
      <c r="D530" s="13">
        <f t="shared" si="95"/>
        <v>0</v>
      </c>
      <c r="E530" s="69">
        <v>72184</v>
      </c>
      <c r="F530" s="69">
        <v>72819</v>
      </c>
      <c r="G530" s="133">
        <f t="shared" si="102"/>
        <v>635</v>
      </c>
      <c r="H530" s="8">
        <v>215468</v>
      </c>
      <c r="I530" s="8">
        <v>216236</v>
      </c>
      <c r="J530" s="13">
        <f t="shared" si="97"/>
        <v>768</v>
      </c>
      <c r="K530" s="138"/>
      <c r="L530" s="8">
        <v>572029</v>
      </c>
      <c r="M530" s="8">
        <v>572029</v>
      </c>
      <c r="N530" s="13">
        <f>M530-L530</f>
        <v>0</v>
      </c>
      <c r="O530" s="136"/>
      <c r="P530" s="8">
        <v>332445</v>
      </c>
      <c r="Q530" s="8">
        <v>332805</v>
      </c>
      <c r="R530" s="133">
        <f t="shared" si="98"/>
        <v>360</v>
      </c>
      <c r="S530" s="8">
        <v>10822</v>
      </c>
      <c r="T530" s="8">
        <v>10872</v>
      </c>
      <c r="U530" s="133">
        <f t="shared" si="103"/>
        <v>50</v>
      </c>
      <c r="V530" s="8">
        <v>321498</v>
      </c>
      <c r="W530" s="8">
        <v>321780</v>
      </c>
      <c r="X530" s="13">
        <f t="shared" si="96"/>
        <v>282</v>
      </c>
      <c r="Y530" s="8">
        <v>21199</v>
      </c>
      <c r="Z530" s="8">
        <v>21207</v>
      </c>
      <c r="AA530" s="13">
        <f t="shared" si="100"/>
        <v>8</v>
      </c>
      <c r="AB530" s="8">
        <v>200576</v>
      </c>
      <c r="AC530" s="8">
        <v>200701</v>
      </c>
      <c r="AD530" s="13">
        <f t="shared" si="104"/>
        <v>125</v>
      </c>
      <c r="AE530" s="135"/>
      <c r="AF530" s="135"/>
      <c r="AG530" s="135"/>
      <c r="AH530" s="136"/>
      <c r="AI530" s="50">
        <f t="shared" si="101"/>
        <v>700</v>
      </c>
    </row>
    <row r="531" spans="1:35">
      <c r="A531" s="12">
        <v>44906</v>
      </c>
      <c r="B531" s="8">
        <v>1769899</v>
      </c>
      <c r="C531" s="8">
        <v>1769899</v>
      </c>
      <c r="D531" s="13">
        <f t="shared" si="95"/>
        <v>0</v>
      </c>
      <c r="E531" s="69">
        <v>72819</v>
      </c>
      <c r="F531" s="69">
        <v>73566</v>
      </c>
      <c r="G531" s="133">
        <f t="shared" si="102"/>
        <v>747</v>
      </c>
      <c r="H531" s="8">
        <v>216236</v>
      </c>
      <c r="I531" s="8">
        <v>217094</v>
      </c>
      <c r="J531" s="13">
        <f t="shared" si="97"/>
        <v>858</v>
      </c>
      <c r="K531" s="138"/>
      <c r="L531" s="8">
        <v>572029</v>
      </c>
      <c r="M531" s="8">
        <v>572035</v>
      </c>
      <c r="N531" s="13">
        <f t="shared" si="99"/>
        <v>6</v>
      </c>
      <c r="O531" s="136"/>
      <c r="P531" s="8">
        <v>332805</v>
      </c>
      <c r="Q531" s="8">
        <v>333098</v>
      </c>
      <c r="R531" s="133">
        <f t="shared" si="98"/>
        <v>293</v>
      </c>
      <c r="S531" s="8">
        <v>10872</v>
      </c>
      <c r="T531" s="8">
        <v>10889</v>
      </c>
      <c r="U531" s="133">
        <f t="shared" si="103"/>
        <v>17</v>
      </c>
      <c r="V531" s="8">
        <v>321780</v>
      </c>
      <c r="W531" s="8">
        <v>322076</v>
      </c>
      <c r="X531" s="13">
        <f t="shared" si="96"/>
        <v>296</v>
      </c>
      <c r="Y531" s="8">
        <v>21207</v>
      </c>
      <c r="Z531" s="8">
        <v>21224</v>
      </c>
      <c r="AA531" s="13">
        <f t="shared" si="100"/>
        <v>17</v>
      </c>
      <c r="AB531" s="8">
        <v>200701</v>
      </c>
      <c r="AC531" s="8">
        <v>200806</v>
      </c>
      <c r="AD531" s="13">
        <f t="shared" si="104"/>
        <v>105</v>
      </c>
      <c r="AE531" s="135"/>
      <c r="AF531" s="135"/>
      <c r="AG531" s="135"/>
      <c r="AH531" s="136"/>
      <c r="AI531" s="50">
        <f t="shared" si="101"/>
        <v>623</v>
      </c>
    </row>
    <row r="532" spans="1:35">
      <c r="A532" s="12">
        <v>44907</v>
      </c>
      <c r="B532" s="8">
        <v>1769892</v>
      </c>
      <c r="C532" s="8">
        <v>1769899</v>
      </c>
      <c r="D532" s="13">
        <f t="shared" si="95"/>
        <v>7</v>
      </c>
      <c r="E532" s="69">
        <v>73566</v>
      </c>
      <c r="F532" s="69">
        <v>73961</v>
      </c>
      <c r="G532" s="133">
        <f t="shared" si="102"/>
        <v>395</v>
      </c>
      <c r="H532" s="8">
        <v>217094</v>
      </c>
      <c r="I532" s="8">
        <v>217195</v>
      </c>
      <c r="J532" s="13">
        <f t="shared" si="97"/>
        <v>101</v>
      </c>
      <c r="K532" s="138"/>
      <c r="L532" s="8">
        <v>572035</v>
      </c>
      <c r="M532" s="8">
        <v>573039</v>
      </c>
      <c r="N532" s="13">
        <f t="shared" si="99"/>
        <v>1004</v>
      </c>
      <c r="O532" s="136"/>
      <c r="P532" s="8">
        <v>333098</v>
      </c>
      <c r="Q532" s="8">
        <v>333451</v>
      </c>
      <c r="R532" s="133">
        <f t="shared" si="98"/>
        <v>353</v>
      </c>
      <c r="S532" s="8">
        <v>10889</v>
      </c>
      <c r="T532" s="8">
        <v>10912</v>
      </c>
      <c r="U532" s="133">
        <f t="shared" si="103"/>
        <v>23</v>
      </c>
      <c r="V532" s="8">
        <v>322076</v>
      </c>
      <c r="W532" s="8">
        <v>322189</v>
      </c>
      <c r="X532" s="13">
        <f t="shared" si="96"/>
        <v>113</v>
      </c>
      <c r="Y532" s="8">
        <v>21224</v>
      </c>
      <c r="Z532" s="8">
        <v>21240</v>
      </c>
      <c r="AA532" s="13">
        <f t="shared" si="100"/>
        <v>16</v>
      </c>
      <c r="AB532" s="8">
        <v>200806</v>
      </c>
      <c r="AC532" s="8">
        <v>200993</v>
      </c>
      <c r="AD532" s="13">
        <f t="shared" si="104"/>
        <v>187</v>
      </c>
      <c r="AE532" s="135"/>
      <c r="AF532" s="135"/>
      <c r="AG532" s="135"/>
      <c r="AH532" s="136"/>
      <c r="AI532" s="50">
        <f t="shared" si="101"/>
        <v>505</v>
      </c>
    </row>
    <row r="533" spans="1:35">
      <c r="A533" s="12">
        <v>44908</v>
      </c>
      <c r="B533" s="8">
        <v>1769899</v>
      </c>
      <c r="C533" s="8">
        <v>1770072</v>
      </c>
      <c r="D533" s="13">
        <f t="shared" si="95"/>
        <v>173</v>
      </c>
      <c r="E533" s="69">
        <v>73961</v>
      </c>
      <c r="F533" s="69">
        <v>74738</v>
      </c>
      <c r="G533" s="133">
        <f t="shared" si="102"/>
        <v>777</v>
      </c>
      <c r="H533" s="8">
        <v>217195</v>
      </c>
      <c r="I533" s="8">
        <v>217751</v>
      </c>
      <c r="J533" s="13">
        <f t="shared" si="97"/>
        <v>556</v>
      </c>
      <c r="K533" s="138"/>
      <c r="L533" s="8">
        <v>573039</v>
      </c>
      <c r="M533" s="8">
        <v>573424</v>
      </c>
      <c r="N533" s="13">
        <f t="shared" si="99"/>
        <v>385</v>
      </c>
      <c r="O533" s="136"/>
      <c r="P533" s="8">
        <v>333451</v>
      </c>
      <c r="Q533" s="8">
        <v>333857</v>
      </c>
      <c r="R533" s="133">
        <f t="shared" si="98"/>
        <v>406</v>
      </c>
      <c r="S533" s="8">
        <v>10912</v>
      </c>
      <c r="T533" s="8">
        <v>10960</v>
      </c>
      <c r="U533" s="133">
        <f t="shared" si="103"/>
        <v>48</v>
      </c>
      <c r="V533" s="8">
        <v>322189</v>
      </c>
      <c r="W533" s="8">
        <v>322281</v>
      </c>
      <c r="X533" s="13">
        <f t="shared" si="96"/>
        <v>92</v>
      </c>
      <c r="Y533" s="8">
        <v>21240</v>
      </c>
      <c r="Z533" s="8">
        <v>21259</v>
      </c>
      <c r="AA533" s="13">
        <f t="shared" si="100"/>
        <v>19</v>
      </c>
      <c r="AB533" s="8">
        <v>200993</v>
      </c>
      <c r="AC533" s="8">
        <v>201118</v>
      </c>
      <c r="AD533" s="13">
        <f t="shared" si="104"/>
        <v>125</v>
      </c>
      <c r="AE533" s="135"/>
      <c r="AF533" s="135"/>
      <c r="AG533" s="135"/>
      <c r="AH533" s="136"/>
      <c r="AI533" s="50">
        <f t="shared" si="101"/>
        <v>565</v>
      </c>
    </row>
    <row r="534" spans="1:35">
      <c r="A534" s="12">
        <v>44909</v>
      </c>
      <c r="B534" s="8">
        <v>1770072</v>
      </c>
      <c r="C534" s="8">
        <v>1770078</v>
      </c>
      <c r="D534" s="13">
        <f t="shared" si="95"/>
        <v>6</v>
      </c>
      <c r="E534" s="69">
        <v>74738</v>
      </c>
      <c r="F534" s="69">
        <v>75292</v>
      </c>
      <c r="G534" s="133">
        <f t="shared" si="102"/>
        <v>554</v>
      </c>
      <c r="H534" s="8">
        <v>217751</v>
      </c>
      <c r="I534" s="8">
        <v>218452</v>
      </c>
      <c r="J534" s="13">
        <f t="shared" si="97"/>
        <v>701</v>
      </c>
      <c r="K534" s="138"/>
      <c r="L534" s="8">
        <v>573424</v>
      </c>
      <c r="M534" s="8">
        <v>574138</v>
      </c>
      <c r="N534" s="13">
        <f t="shared" si="99"/>
        <v>714</v>
      </c>
      <c r="O534" s="136"/>
      <c r="P534" s="8">
        <v>333857</v>
      </c>
      <c r="Q534" s="8">
        <v>334416</v>
      </c>
      <c r="R534" s="133">
        <f t="shared" si="98"/>
        <v>559</v>
      </c>
      <c r="S534" s="8">
        <v>10960</v>
      </c>
      <c r="T534" s="8">
        <v>10980</v>
      </c>
      <c r="U534" s="133">
        <f t="shared" si="103"/>
        <v>20</v>
      </c>
      <c r="V534" s="8">
        <v>322281</v>
      </c>
      <c r="W534" s="8">
        <v>322388</v>
      </c>
      <c r="X534" s="13">
        <f t="shared" si="96"/>
        <v>107</v>
      </c>
      <c r="Y534" s="8">
        <v>21259</v>
      </c>
      <c r="Z534" s="8">
        <v>21280</v>
      </c>
      <c r="AA534" s="13">
        <f t="shared" si="100"/>
        <v>21</v>
      </c>
      <c r="AB534" s="8">
        <v>201118</v>
      </c>
      <c r="AC534" s="8">
        <v>201142</v>
      </c>
      <c r="AD534" s="13">
        <f t="shared" si="104"/>
        <v>24</v>
      </c>
      <c r="AE534" s="135"/>
      <c r="AF534" s="135"/>
      <c r="AG534" s="135"/>
      <c r="AH534" s="136"/>
      <c r="AI534" s="50">
        <f t="shared" si="101"/>
        <v>707</v>
      </c>
    </row>
    <row r="535" spans="1:35">
      <c r="A535" s="12">
        <v>44910</v>
      </c>
      <c r="B535" s="8">
        <v>1770078</v>
      </c>
      <c r="C535" s="8">
        <v>1770078</v>
      </c>
      <c r="D535" s="13">
        <f t="shared" si="95"/>
        <v>0</v>
      </c>
      <c r="E535" s="69">
        <v>75292</v>
      </c>
      <c r="F535" s="69">
        <v>75312</v>
      </c>
      <c r="G535" s="133">
        <f t="shared" si="102"/>
        <v>20</v>
      </c>
      <c r="H535" s="8">
        <v>218452</v>
      </c>
      <c r="I535" s="8">
        <v>219124</v>
      </c>
      <c r="J535" s="13">
        <f t="shared" si="97"/>
        <v>672</v>
      </c>
      <c r="K535" s="138"/>
      <c r="L535" s="8">
        <v>574138</v>
      </c>
      <c r="M535" s="8">
        <v>574448</v>
      </c>
      <c r="N535" s="13">
        <f t="shared" si="99"/>
        <v>310</v>
      </c>
      <c r="O535" s="136"/>
      <c r="P535" s="8">
        <v>334416</v>
      </c>
      <c r="Q535" s="8">
        <v>334869</v>
      </c>
      <c r="R535" s="133">
        <f t="shared" si="98"/>
        <v>453</v>
      </c>
      <c r="S535" s="8">
        <v>10980</v>
      </c>
      <c r="T535" s="8">
        <v>11030</v>
      </c>
      <c r="U535" s="133">
        <f t="shared" si="103"/>
        <v>50</v>
      </c>
      <c r="V535" s="8">
        <v>322388</v>
      </c>
      <c r="W535" s="8">
        <v>322962</v>
      </c>
      <c r="X535" s="13">
        <f t="shared" si="96"/>
        <v>574</v>
      </c>
      <c r="Y535" s="8">
        <v>21280</v>
      </c>
      <c r="Z535" s="8">
        <v>21304</v>
      </c>
      <c r="AA535" s="13">
        <f t="shared" si="100"/>
        <v>24</v>
      </c>
      <c r="AB535" s="8">
        <v>201142</v>
      </c>
      <c r="AC535" s="8">
        <v>201246</v>
      </c>
      <c r="AD535" s="13">
        <f t="shared" si="104"/>
        <v>104</v>
      </c>
      <c r="AE535" s="135"/>
      <c r="AF535" s="135"/>
      <c r="AG535" s="135"/>
      <c r="AH535" s="136"/>
      <c r="AI535" s="50">
        <f t="shared" si="101"/>
        <v>1101</v>
      </c>
    </row>
    <row r="536" spans="1:35">
      <c r="A536" s="12">
        <v>44911</v>
      </c>
      <c r="B536" s="8">
        <v>1770078</v>
      </c>
      <c r="C536" s="8">
        <v>1770443</v>
      </c>
      <c r="D536" s="13">
        <f t="shared" si="95"/>
        <v>365</v>
      </c>
      <c r="E536" s="69">
        <v>75312</v>
      </c>
      <c r="F536" s="69">
        <v>75678</v>
      </c>
      <c r="G536" s="133">
        <f t="shared" si="102"/>
        <v>366</v>
      </c>
      <c r="H536" s="8">
        <v>219124</v>
      </c>
      <c r="I536" s="8">
        <v>219882</v>
      </c>
      <c r="J536" s="13">
        <f t="shared" si="97"/>
        <v>758</v>
      </c>
      <c r="K536" s="138"/>
      <c r="L536" s="8">
        <v>574448</v>
      </c>
      <c r="M536" s="8">
        <v>574842</v>
      </c>
      <c r="N536" s="13">
        <f t="shared" si="99"/>
        <v>394</v>
      </c>
      <c r="O536" s="136"/>
      <c r="P536" s="8">
        <v>334869</v>
      </c>
      <c r="Q536" s="8">
        <v>335341</v>
      </c>
      <c r="R536" s="133">
        <f t="shared" si="98"/>
        <v>472</v>
      </c>
      <c r="S536" s="8">
        <v>11030</v>
      </c>
      <c r="T536" s="8">
        <v>11060</v>
      </c>
      <c r="U536" s="133">
        <f t="shared" si="103"/>
        <v>30</v>
      </c>
      <c r="V536" s="8">
        <v>322962</v>
      </c>
      <c r="W536" s="8">
        <v>323032</v>
      </c>
      <c r="X536" s="13">
        <f t="shared" si="96"/>
        <v>70</v>
      </c>
      <c r="Y536" s="8">
        <v>21304</v>
      </c>
      <c r="Z536" s="8">
        <v>21320</v>
      </c>
      <c r="AA536" s="13">
        <f t="shared" si="100"/>
        <v>16</v>
      </c>
      <c r="AB536" s="8">
        <v>201246</v>
      </c>
      <c r="AC536" s="8">
        <v>201375</v>
      </c>
      <c r="AD536" s="13">
        <f t="shared" si="104"/>
        <v>129</v>
      </c>
      <c r="AE536" s="135"/>
      <c r="AF536" s="135"/>
      <c r="AG536" s="135"/>
      <c r="AH536" s="136"/>
      <c r="AI536" s="50">
        <f t="shared" si="101"/>
        <v>588</v>
      </c>
    </row>
    <row r="537" spans="1:35">
      <c r="A537" s="12">
        <v>44912</v>
      </c>
      <c r="B537" s="8">
        <v>1770443</v>
      </c>
      <c r="C537" s="8">
        <v>1770765</v>
      </c>
      <c r="D537" s="13">
        <f t="shared" si="95"/>
        <v>322</v>
      </c>
      <c r="E537" s="69">
        <v>75678</v>
      </c>
      <c r="F537" s="69">
        <v>76338</v>
      </c>
      <c r="G537" s="133">
        <f t="shared" si="102"/>
        <v>660</v>
      </c>
      <c r="H537" s="8">
        <v>219882</v>
      </c>
      <c r="I537" s="8">
        <v>220280</v>
      </c>
      <c r="J537" s="13">
        <f t="shared" si="97"/>
        <v>398</v>
      </c>
      <c r="K537" s="138"/>
      <c r="L537" s="8">
        <v>574842</v>
      </c>
      <c r="M537" s="8">
        <v>575353</v>
      </c>
      <c r="N537" s="13">
        <f t="shared" si="99"/>
        <v>511</v>
      </c>
      <c r="O537" s="136"/>
      <c r="P537" s="8">
        <v>335341</v>
      </c>
      <c r="Q537" s="8">
        <v>335615</v>
      </c>
      <c r="R537" s="133">
        <f t="shared" si="98"/>
        <v>274</v>
      </c>
      <c r="S537" s="8">
        <v>11060</v>
      </c>
      <c r="T537" s="8">
        <v>11097</v>
      </c>
      <c r="U537" s="133">
        <f t="shared" si="103"/>
        <v>37</v>
      </c>
      <c r="V537" s="8">
        <v>323032</v>
      </c>
      <c r="W537" s="8">
        <v>323109</v>
      </c>
      <c r="X537" s="13">
        <f t="shared" ref="X537:X588" si="105">W537-V537</f>
        <v>77</v>
      </c>
      <c r="Y537" s="8">
        <v>21320</v>
      </c>
      <c r="Z537" s="8">
        <v>21334</v>
      </c>
      <c r="AA537" s="13">
        <f t="shared" si="100"/>
        <v>14</v>
      </c>
      <c r="AB537" s="8">
        <v>201375</v>
      </c>
      <c r="AC537" s="8">
        <v>201475</v>
      </c>
      <c r="AD537" s="13">
        <f t="shared" si="104"/>
        <v>100</v>
      </c>
      <c r="AE537" s="135"/>
      <c r="AF537" s="135"/>
      <c r="AG537" s="135"/>
      <c r="AH537" s="136"/>
      <c r="AI537" s="50">
        <f t="shared" si="101"/>
        <v>402</v>
      </c>
    </row>
    <row r="538" spans="1:35">
      <c r="A538" s="12">
        <v>44913</v>
      </c>
      <c r="B538" s="8">
        <v>1770765</v>
      </c>
      <c r="C538" s="8">
        <v>1771246</v>
      </c>
      <c r="D538" s="13">
        <f t="shared" si="95"/>
        <v>481</v>
      </c>
      <c r="E538" s="69">
        <v>76338</v>
      </c>
      <c r="F538" s="69">
        <v>77082</v>
      </c>
      <c r="G538" s="133">
        <f t="shared" si="102"/>
        <v>744</v>
      </c>
      <c r="H538" s="8">
        <v>220280</v>
      </c>
      <c r="I538" s="8">
        <v>220280</v>
      </c>
      <c r="J538" s="13">
        <f t="shared" si="97"/>
        <v>0</v>
      </c>
      <c r="K538" s="138"/>
      <c r="L538" s="8">
        <v>575353</v>
      </c>
      <c r="M538" s="8">
        <v>576467</v>
      </c>
      <c r="N538" s="13">
        <f t="shared" si="99"/>
        <v>1114</v>
      </c>
      <c r="O538" s="136"/>
      <c r="P538" s="8">
        <v>335615</v>
      </c>
      <c r="Q538" s="8">
        <v>335615</v>
      </c>
      <c r="R538" s="133">
        <f t="shared" ref="R538:R544" si="106">Q538-P538</f>
        <v>0</v>
      </c>
      <c r="S538" s="8">
        <v>11097</v>
      </c>
      <c r="T538" s="8">
        <v>11136</v>
      </c>
      <c r="U538" s="133">
        <f t="shared" si="103"/>
        <v>39</v>
      </c>
      <c r="V538" s="8">
        <v>323109</v>
      </c>
      <c r="W538" s="8">
        <v>323224</v>
      </c>
      <c r="X538" s="13">
        <f t="shared" si="105"/>
        <v>115</v>
      </c>
      <c r="Y538" s="8">
        <v>21334</v>
      </c>
      <c r="Z538" s="8">
        <v>21360</v>
      </c>
      <c r="AA538" s="13">
        <f t="shared" si="100"/>
        <v>26</v>
      </c>
      <c r="AB538" s="8">
        <v>201475</v>
      </c>
      <c r="AC538" s="8">
        <v>201614</v>
      </c>
      <c r="AD538" s="13">
        <f t="shared" si="104"/>
        <v>139</v>
      </c>
      <c r="AE538" s="135"/>
      <c r="AF538" s="135"/>
      <c r="AG538" s="135"/>
      <c r="AH538" s="136"/>
      <c r="AI538" s="50">
        <f t="shared" si="101"/>
        <v>180</v>
      </c>
    </row>
    <row r="539" spans="1:35">
      <c r="A539" s="12">
        <v>44914</v>
      </c>
      <c r="B539" s="8">
        <v>1771246</v>
      </c>
      <c r="C539" s="8">
        <v>1771658</v>
      </c>
      <c r="D539" s="13">
        <f t="shared" si="95"/>
        <v>412</v>
      </c>
      <c r="E539" s="69">
        <v>77082</v>
      </c>
      <c r="F539" s="69">
        <v>77802</v>
      </c>
      <c r="G539" s="133">
        <f t="shared" si="102"/>
        <v>720</v>
      </c>
      <c r="H539" s="8">
        <v>220280</v>
      </c>
      <c r="I539" s="8">
        <v>220790</v>
      </c>
      <c r="J539" s="13">
        <f t="shared" si="97"/>
        <v>510</v>
      </c>
      <c r="K539" s="138"/>
      <c r="L539" s="8">
        <v>576467</v>
      </c>
      <c r="M539" s="8">
        <v>577275</v>
      </c>
      <c r="N539" s="13">
        <f t="shared" si="99"/>
        <v>808</v>
      </c>
      <c r="O539" s="136"/>
      <c r="P539" s="8">
        <v>335615</v>
      </c>
      <c r="Q539" s="8">
        <v>336105</v>
      </c>
      <c r="R539" s="133">
        <f t="shared" si="106"/>
        <v>490</v>
      </c>
      <c r="S539" s="8">
        <v>11136</v>
      </c>
      <c r="T539" s="8">
        <v>11168</v>
      </c>
      <c r="U539" s="133">
        <f t="shared" si="103"/>
        <v>32</v>
      </c>
      <c r="V539" s="8">
        <v>323224</v>
      </c>
      <c r="W539" s="8">
        <v>323374</v>
      </c>
      <c r="X539" s="13">
        <f t="shared" si="105"/>
        <v>150</v>
      </c>
      <c r="Y539" s="8">
        <v>21360</v>
      </c>
      <c r="Z539" s="8">
        <v>21382</v>
      </c>
      <c r="AA539" s="13">
        <f t="shared" si="100"/>
        <v>22</v>
      </c>
      <c r="AB539" s="8">
        <v>201614</v>
      </c>
      <c r="AC539" s="8">
        <v>201734</v>
      </c>
      <c r="AD539" s="13">
        <f t="shared" si="104"/>
        <v>120</v>
      </c>
      <c r="AE539" s="135"/>
      <c r="AF539" s="135"/>
      <c r="AG539" s="135"/>
      <c r="AH539" s="136"/>
      <c r="AI539" s="50">
        <f t="shared" si="101"/>
        <v>694</v>
      </c>
    </row>
    <row r="540" spans="1:35">
      <c r="A540" s="12">
        <v>44915</v>
      </c>
      <c r="B540" s="8">
        <v>1771658</v>
      </c>
      <c r="C540" s="8">
        <v>1772265</v>
      </c>
      <c r="D540" s="13">
        <f t="shared" si="95"/>
        <v>607</v>
      </c>
      <c r="E540" s="69">
        <v>77802</v>
      </c>
      <c r="F540" s="69">
        <v>78207</v>
      </c>
      <c r="G540" s="133">
        <f t="shared" si="102"/>
        <v>405</v>
      </c>
      <c r="H540" s="8">
        <v>220790</v>
      </c>
      <c r="I540" s="8">
        <v>220790</v>
      </c>
      <c r="J540" s="13">
        <f t="shared" si="97"/>
        <v>0</v>
      </c>
      <c r="K540" s="138"/>
      <c r="L540" s="8">
        <v>577275</v>
      </c>
      <c r="M540" s="8">
        <v>578383</v>
      </c>
      <c r="N540" s="13">
        <f t="shared" si="99"/>
        <v>1108</v>
      </c>
      <c r="O540" s="136"/>
      <c r="P540" s="8">
        <v>336105</v>
      </c>
      <c r="Q540" s="8">
        <v>336582</v>
      </c>
      <c r="R540" s="133">
        <f t="shared" si="106"/>
        <v>477</v>
      </c>
      <c r="S540" s="8">
        <v>11168</v>
      </c>
      <c r="T540" s="8">
        <v>11192</v>
      </c>
      <c r="U540" s="133">
        <f t="shared" si="103"/>
        <v>24</v>
      </c>
      <c r="V540" s="8">
        <v>323374</v>
      </c>
      <c r="W540" s="8">
        <v>323479</v>
      </c>
      <c r="X540" s="13">
        <f t="shared" si="105"/>
        <v>105</v>
      </c>
      <c r="Y540" s="8">
        <v>21382</v>
      </c>
      <c r="Z540" s="8">
        <v>21399</v>
      </c>
      <c r="AA540" s="13">
        <f t="shared" si="100"/>
        <v>17</v>
      </c>
      <c r="AB540" s="8">
        <v>201734</v>
      </c>
      <c r="AC540" s="8">
        <v>201841</v>
      </c>
      <c r="AD540" s="13">
        <f t="shared" si="104"/>
        <v>107</v>
      </c>
      <c r="AE540" s="135"/>
      <c r="AF540" s="135"/>
      <c r="AG540" s="135"/>
      <c r="AH540" s="136"/>
      <c r="AI540" s="50">
        <f t="shared" si="101"/>
        <v>623</v>
      </c>
    </row>
    <row r="541" spans="1:35">
      <c r="A541" s="12">
        <v>44916</v>
      </c>
      <c r="B541" s="8">
        <v>1772265</v>
      </c>
      <c r="C541" s="8">
        <v>1772614</v>
      </c>
      <c r="D541" s="13">
        <f t="shared" si="95"/>
        <v>349</v>
      </c>
      <c r="E541" s="69">
        <v>78207</v>
      </c>
      <c r="F541" s="69">
        <v>79015</v>
      </c>
      <c r="G541" s="133">
        <f t="shared" si="102"/>
        <v>808</v>
      </c>
      <c r="H541" s="8">
        <v>220790</v>
      </c>
      <c r="I541" s="8">
        <v>221385</v>
      </c>
      <c r="J541" s="13">
        <f t="shared" si="97"/>
        <v>595</v>
      </c>
      <c r="K541" s="138"/>
      <c r="L541" s="8">
        <v>578383</v>
      </c>
      <c r="M541" s="8">
        <v>579012</v>
      </c>
      <c r="N541" s="13">
        <f t="shared" si="99"/>
        <v>629</v>
      </c>
      <c r="O541" s="136"/>
      <c r="P541" s="8">
        <v>336582</v>
      </c>
      <c r="Q541" s="8">
        <v>336988</v>
      </c>
      <c r="R541" s="133">
        <f t="shared" si="106"/>
        <v>406</v>
      </c>
      <c r="S541" s="8">
        <v>11192</v>
      </c>
      <c r="T541" s="8">
        <v>11240</v>
      </c>
      <c r="U541" s="133">
        <f t="shared" si="103"/>
        <v>48</v>
      </c>
      <c r="V541" s="8">
        <v>323479</v>
      </c>
      <c r="W541" s="8">
        <v>323675</v>
      </c>
      <c r="X541" s="13">
        <f t="shared" si="105"/>
        <v>196</v>
      </c>
      <c r="Y541" s="8">
        <v>21399</v>
      </c>
      <c r="Z541" s="8">
        <v>21424</v>
      </c>
      <c r="AA541" s="13">
        <f t="shared" si="100"/>
        <v>25</v>
      </c>
      <c r="AB541" s="8">
        <v>201841</v>
      </c>
      <c r="AC541" s="8">
        <v>201976</v>
      </c>
      <c r="AD541" s="13">
        <f t="shared" si="104"/>
        <v>135</v>
      </c>
      <c r="AE541" s="135"/>
      <c r="AF541" s="135"/>
      <c r="AG541" s="135"/>
      <c r="AH541" s="136"/>
      <c r="AI541" s="50">
        <f t="shared" si="101"/>
        <v>675</v>
      </c>
    </row>
    <row r="542" spans="1:35">
      <c r="A542" s="12">
        <v>44917</v>
      </c>
      <c r="B542" s="8">
        <v>1772614</v>
      </c>
      <c r="C542" s="8">
        <v>1772625</v>
      </c>
      <c r="D542" s="13">
        <f t="shared" si="95"/>
        <v>11</v>
      </c>
      <c r="E542" s="69">
        <v>79015</v>
      </c>
      <c r="F542" s="69">
        <v>79419</v>
      </c>
      <c r="G542" s="133">
        <f t="shared" si="102"/>
        <v>404</v>
      </c>
      <c r="H542" s="8">
        <v>221385</v>
      </c>
      <c r="I542" s="8">
        <v>222069</v>
      </c>
      <c r="J542" s="13">
        <f t="shared" si="97"/>
        <v>684</v>
      </c>
      <c r="K542" s="138"/>
      <c r="L542" s="8">
        <v>579012</v>
      </c>
      <c r="M542" s="8">
        <v>579564</v>
      </c>
      <c r="N542" s="13">
        <f t="shared" si="99"/>
        <v>552</v>
      </c>
      <c r="O542" s="136"/>
      <c r="P542" s="8">
        <v>336988</v>
      </c>
      <c r="Q542" s="8">
        <v>337461</v>
      </c>
      <c r="R542" s="133">
        <f t="shared" si="106"/>
        <v>473</v>
      </c>
      <c r="S542" s="8">
        <v>11240</v>
      </c>
      <c r="T542" s="8">
        <v>11269</v>
      </c>
      <c r="U542" s="133">
        <f t="shared" si="103"/>
        <v>29</v>
      </c>
      <c r="V542" s="8">
        <v>323675</v>
      </c>
      <c r="W542" s="8">
        <v>323776</v>
      </c>
      <c r="X542" s="13">
        <f t="shared" si="105"/>
        <v>101</v>
      </c>
      <c r="Y542" s="8">
        <v>21424</v>
      </c>
      <c r="Z542" s="8">
        <v>21442</v>
      </c>
      <c r="AA542" s="13">
        <f t="shared" si="100"/>
        <v>18</v>
      </c>
      <c r="AB542" s="8">
        <v>201976</v>
      </c>
      <c r="AC542" s="8">
        <v>202061</v>
      </c>
      <c r="AD542" s="13">
        <f t="shared" si="104"/>
        <v>85</v>
      </c>
      <c r="AE542" s="135"/>
      <c r="AF542" s="135"/>
      <c r="AG542" s="135"/>
      <c r="AH542" s="136"/>
      <c r="AI542" s="50">
        <f t="shared" si="101"/>
        <v>621</v>
      </c>
    </row>
    <row r="543" spans="1:35">
      <c r="A543" s="12">
        <v>44918</v>
      </c>
      <c r="B543" s="8">
        <v>1772625</v>
      </c>
      <c r="C543" s="8">
        <v>1772627</v>
      </c>
      <c r="D543" s="13">
        <f t="shared" si="95"/>
        <v>2</v>
      </c>
      <c r="E543" s="69">
        <v>79419</v>
      </c>
      <c r="F543" s="69">
        <v>80611</v>
      </c>
      <c r="G543" s="133">
        <f t="shared" si="102"/>
        <v>1192</v>
      </c>
      <c r="H543" s="8">
        <v>222069</v>
      </c>
      <c r="I543" s="8">
        <v>222069</v>
      </c>
      <c r="J543" s="13">
        <f t="shared" si="97"/>
        <v>0</v>
      </c>
      <c r="K543" s="138"/>
      <c r="L543" s="8">
        <v>579564</v>
      </c>
      <c r="M543" s="8">
        <v>579826</v>
      </c>
      <c r="N543" s="13">
        <f t="shared" si="99"/>
        <v>262</v>
      </c>
      <c r="O543" s="136"/>
      <c r="P543" s="8">
        <v>337461</v>
      </c>
      <c r="Q543" s="8">
        <v>337548</v>
      </c>
      <c r="R543" s="133">
        <f t="shared" si="106"/>
        <v>87</v>
      </c>
      <c r="S543" s="8">
        <v>11269</v>
      </c>
      <c r="T543" s="8">
        <v>11352</v>
      </c>
      <c r="U543" s="133">
        <f t="shared" si="103"/>
        <v>83</v>
      </c>
      <c r="V543" s="8">
        <v>323776</v>
      </c>
      <c r="W543" s="8">
        <v>323884</v>
      </c>
      <c r="X543" s="13">
        <f t="shared" si="105"/>
        <v>108</v>
      </c>
      <c r="Y543" s="8">
        <v>21442</v>
      </c>
      <c r="Z543" s="8">
        <v>21476</v>
      </c>
      <c r="AA543" s="13">
        <f t="shared" si="100"/>
        <v>34</v>
      </c>
      <c r="AB543" s="8">
        <v>202061</v>
      </c>
      <c r="AC543" s="8">
        <v>202148</v>
      </c>
      <c r="AD543" s="13">
        <f t="shared" si="104"/>
        <v>87</v>
      </c>
      <c r="AE543" s="135"/>
      <c r="AF543" s="135"/>
      <c r="AG543" s="135"/>
      <c r="AH543" s="136"/>
      <c r="AI543" s="50">
        <f t="shared" si="101"/>
        <v>312</v>
      </c>
    </row>
    <row r="544" spans="1:35">
      <c r="A544" s="12">
        <v>44919</v>
      </c>
      <c r="B544" s="8">
        <v>1772627</v>
      </c>
      <c r="C544" s="8">
        <v>1772853</v>
      </c>
      <c r="D544" s="13">
        <f t="shared" ref="D544:D620" si="107">C544-B544</f>
        <v>226</v>
      </c>
      <c r="E544" s="69">
        <v>80611</v>
      </c>
      <c r="F544" s="69">
        <v>80611</v>
      </c>
      <c r="G544" s="133">
        <f t="shared" si="102"/>
        <v>0</v>
      </c>
      <c r="H544" s="8">
        <v>222069</v>
      </c>
      <c r="I544" s="8">
        <v>222835</v>
      </c>
      <c r="J544" s="13">
        <f t="shared" si="97"/>
        <v>766</v>
      </c>
      <c r="K544" s="138"/>
      <c r="L544" s="8">
        <v>579826</v>
      </c>
      <c r="M544" s="8">
        <v>580212</v>
      </c>
      <c r="N544" s="13">
        <f t="shared" si="99"/>
        <v>386</v>
      </c>
      <c r="O544" s="136"/>
      <c r="P544" s="8">
        <v>337548</v>
      </c>
      <c r="Q544" s="8">
        <v>337983</v>
      </c>
      <c r="R544" s="133">
        <f t="shared" si="106"/>
        <v>435</v>
      </c>
      <c r="S544" s="8">
        <v>11352</v>
      </c>
      <c r="T544" s="8">
        <v>11420</v>
      </c>
      <c r="U544" s="133">
        <f t="shared" si="103"/>
        <v>68</v>
      </c>
      <c r="V544" s="8">
        <v>323884</v>
      </c>
      <c r="W544" s="8">
        <v>323998</v>
      </c>
      <c r="X544" s="13">
        <f t="shared" si="105"/>
        <v>114</v>
      </c>
      <c r="Y544" s="8">
        <v>21476</v>
      </c>
      <c r="Z544" s="8">
        <v>21493</v>
      </c>
      <c r="AA544" s="13">
        <f t="shared" si="100"/>
        <v>17</v>
      </c>
      <c r="AB544" s="8">
        <v>202148</v>
      </c>
      <c r="AC544" s="8">
        <v>202259</v>
      </c>
      <c r="AD544" s="13">
        <f t="shared" si="104"/>
        <v>111</v>
      </c>
      <c r="AE544" s="135"/>
      <c r="AF544" s="135"/>
      <c r="AG544" s="135"/>
      <c r="AH544" s="136"/>
      <c r="AI544" s="50">
        <f t="shared" si="101"/>
        <v>634</v>
      </c>
    </row>
    <row r="545" spans="1:35">
      <c r="A545" s="12">
        <v>44920</v>
      </c>
      <c r="B545" s="8">
        <v>1772853</v>
      </c>
      <c r="C545" s="8">
        <v>1773342</v>
      </c>
      <c r="D545" s="13">
        <f t="shared" si="107"/>
        <v>489</v>
      </c>
      <c r="E545" s="69">
        <v>80611</v>
      </c>
      <c r="F545" s="69">
        <v>81417</v>
      </c>
      <c r="G545" s="133">
        <f t="shared" si="102"/>
        <v>806</v>
      </c>
      <c r="H545" s="8">
        <v>222835</v>
      </c>
      <c r="I545" s="8">
        <v>223290</v>
      </c>
      <c r="J545" s="13">
        <f t="shared" si="97"/>
        <v>455</v>
      </c>
      <c r="K545" s="138"/>
      <c r="L545" s="8">
        <v>580212</v>
      </c>
      <c r="M545" s="8">
        <v>580775</v>
      </c>
      <c r="N545" s="13">
        <f t="shared" si="99"/>
        <v>563</v>
      </c>
      <c r="O545" s="136"/>
      <c r="P545" s="8">
        <v>337983</v>
      </c>
      <c r="Q545" s="8">
        <v>338456</v>
      </c>
      <c r="R545" s="133">
        <f t="shared" ref="R545:R591" si="108">Q545-P545</f>
        <v>473</v>
      </c>
      <c r="S545" s="8">
        <v>11420</v>
      </c>
      <c r="T545" s="8">
        <v>11490</v>
      </c>
      <c r="U545" s="133">
        <f t="shared" si="103"/>
        <v>70</v>
      </c>
      <c r="V545" s="8">
        <v>323998</v>
      </c>
      <c r="W545" s="8">
        <v>324211</v>
      </c>
      <c r="X545" s="13">
        <f>W545-V545</f>
        <v>213</v>
      </c>
      <c r="Y545" s="8">
        <v>21493</v>
      </c>
      <c r="Z545" s="8">
        <v>21521</v>
      </c>
      <c r="AA545" s="13">
        <f t="shared" si="100"/>
        <v>28</v>
      </c>
      <c r="AB545" s="8">
        <v>202259</v>
      </c>
      <c r="AC545" s="8">
        <v>202405</v>
      </c>
      <c r="AD545" s="13">
        <f t="shared" si="104"/>
        <v>146</v>
      </c>
      <c r="AE545" s="135"/>
      <c r="AF545" s="135"/>
      <c r="AG545" s="135"/>
      <c r="AH545" s="136"/>
      <c r="AI545" s="50">
        <f t="shared" si="101"/>
        <v>784</v>
      </c>
    </row>
    <row r="546" spans="1:35">
      <c r="A546" s="12">
        <v>44921</v>
      </c>
      <c r="B546" s="8">
        <v>1773342</v>
      </c>
      <c r="C546" s="8">
        <v>1773967</v>
      </c>
      <c r="D546" s="13">
        <f t="shared" si="107"/>
        <v>625</v>
      </c>
      <c r="E546" s="69">
        <v>81417</v>
      </c>
      <c r="F546" s="69">
        <v>82133</v>
      </c>
      <c r="G546" s="133">
        <f t="shared" si="102"/>
        <v>716</v>
      </c>
      <c r="H546" s="8">
        <v>223290</v>
      </c>
      <c r="I546" s="8">
        <v>223747</v>
      </c>
      <c r="J546" s="13">
        <f t="shared" si="97"/>
        <v>457</v>
      </c>
      <c r="K546" s="138"/>
      <c r="L546" s="8">
        <v>580775</v>
      </c>
      <c r="M546" s="8">
        <v>581499</v>
      </c>
      <c r="N546" s="13">
        <f t="shared" si="99"/>
        <v>724</v>
      </c>
      <c r="O546" s="136"/>
      <c r="P546" s="8">
        <v>338456</v>
      </c>
      <c r="Q546" s="8">
        <v>338772</v>
      </c>
      <c r="R546" s="133">
        <f t="shared" si="108"/>
        <v>316</v>
      </c>
      <c r="S546" s="8">
        <v>11490</v>
      </c>
      <c r="T546" s="8">
        <v>11532</v>
      </c>
      <c r="U546" s="133">
        <f t="shared" si="103"/>
        <v>42</v>
      </c>
      <c r="V546" s="8">
        <v>324211</v>
      </c>
      <c r="W546" s="8">
        <v>324386</v>
      </c>
      <c r="X546" s="13">
        <f>W546-V546</f>
        <v>175</v>
      </c>
      <c r="Y546" s="8">
        <v>21521</v>
      </c>
      <c r="Z546" s="8">
        <v>21538</v>
      </c>
      <c r="AA546" s="13">
        <f t="shared" si="100"/>
        <v>17</v>
      </c>
      <c r="AB546" s="8">
        <v>202405</v>
      </c>
      <c r="AC546" s="8">
        <v>202511</v>
      </c>
      <c r="AD546" s="13">
        <f t="shared" si="104"/>
        <v>106</v>
      </c>
      <c r="AE546" s="135"/>
      <c r="AF546" s="135"/>
      <c r="AG546" s="135"/>
      <c r="AH546" s="136"/>
      <c r="AI546" s="50">
        <f t="shared" si="101"/>
        <v>550</v>
      </c>
    </row>
    <row r="547" spans="1:35">
      <c r="A547" s="12">
        <v>44922</v>
      </c>
      <c r="B547" s="8">
        <v>1773967</v>
      </c>
      <c r="C547" s="8">
        <v>1774593</v>
      </c>
      <c r="D547" s="13">
        <f t="shared" si="107"/>
        <v>626</v>
      </c>
      <c r="E547" s="69">
        <v>82133</v>
      </c>
      <c r="F547" s="69">
        <v>82641</v>
      </c>
      <c r="G547" s="133">
        <f t="shared" si="102"/>
        <v>508</v>
      </c>
      <c r="H547" s="8">
        <v>223747</v>
      </c>
      <c r="I547" s="8">
        <v>223747</v>
      </c>
      <c r="J547" s="13">
        <f t="shared" si="97"/>
        <v>0</v>
      </c>
      <c r="K547" s="138"/>
      <c r="L547" s="8">
        <v>581499</v>
      </c>
      <c r="M547" s="8">
        <v>582587</v>
      </c>
      <c r="N547" s="13">
        <f t="shared" si="99"/>
        <v>1088</v>
      </c>
      <c r="O547" s="136"/>
      <c r="P547" s="8">
        <v>338772</v>
      </c>
      <c r="Q547" s="8">
        <v>339052</v>
      </c>
      <c r="R547" s="133">
        <f t="shared" si="108"/>
        <v>280</v>
      </c>
      <c r="S547" s="8">
        <v>11532</v>
      </c>
      <c r="T547" s="8">
        <v>11575</v>
      </c>
      <c r="U547" s="133">
        <f t="shared" si="103"/>
        <v>43</v>
      </c>
      <c r="V547" s="8">
        <v>324386</v>
      </c>
      <c r="W547" s="8">
        <v>324512</v>
      </c>
      <c r="X547" s="13">
        <f t="shared" si="105"/>
        <v>126</v>
      </c>
      <c r="Y547" s="8">
        <v>21538</v>
      </c>
      <c r="Z547" s="8">
        <v>21549</v>
      </c>
      <c r="AA547" s="13">
        <f t="shared" si="100"/>
        <v>11</v>
      </c>
      <c r="AB547" s="8">
        <v>202405</v>
      </c>
      <c r="AC547" s="8">
        <v>202592</v>
      </c>
      <c r="AD547" s="13">
        <f t="shared" si="104"/>
        <v>187</v>
      </c>
      <c r="AE547" s="135"/>
      <c r="AF547" s="135"/>
      <c r="AG547" s="135"/>
      <c r="AH547" s="136"/>
      <c r="AI547" s="50">
        <f t="shared" si="101"/>
        <v>460</v>
      </c>
    </row>
    <row r="548" spans="1:35">
      <c r="A548" s="12">
        <v>44923</v>
      </c>
      <c r="B548" s="8">
        <v>1774593</v>
      </c>
      <c r="C548" s="8">
        <v>1774984</v>
      </c>
      <c r="D548" s="13">
        <f t="shared" si="107"/>
        <v>391</v>
      </c>
      <c r="E548" s="69">
        <v>82641</v>
      </c>
      <c r="F548" s="69">
        <v>82756</v>
      </c>
      <c r="G548" s="133">
        <f t="shared" si="102"/>
        <v>115</v>
      </c>
      <c r="H548" s="8">
        <v>223747</v>
      </c>
      <c r="I548" s="8">
        <v>224155</v>
      </c>
      <c r="J548" s="13">
        <f t="shared" si="97"/>
        <v>408</v>
      </c>
      <c r="K548" s="138"/>
      <c r="L548" s="8">
        <v>582587</v>
      </c>
      <c r="M548" s="8">
        <v>583087</v>
      </c>
      <c r="N548" s="13">
        <f t="shared" si="99"/>
        <v>500</v>
      </c>
      <c r="O548" s="136"/>
      <c r="P548" s="8">
        <v>339052</v>
      </c>
      <c r="Q548" s="8">
        <v>339646</v>
      </c>
      <c r="R548" s="133">
        <f t="shared" si="108"/>
        <v>594</v>
      </c>
      <c r="S548" s="8">
        <v>11575</v>
      </c>
      <c r="T548" s="8">
        <v>11650</v>
      </c>
      <c r="U548" s="133">
        <f t="shared" si="103"/>
        <v>75</v>
      </c>
      <c r="V548" s="8">
        <v>324512</v>
      </c>
      <c r="W548" s="8">
        <v>324641</v>
      </c>
      <c r="X548" s="13">
        <f t="shared" si="105"/>
        <v>129</v>
      </c>
      <c r="Y548" s="8">
        <v>21549</v>
      </c>
      <c r="Z548" s="8">
        <v>21562</v>
      </c>
      <c r="AA548" s="13">
        <f t="shared" si="100"/>
        <v>13</v>
      </c>
      <c r="AB548" s="8">
        <v>202592</v>
      </c>
      <c r="AC548" s="8">
        <v>202699</v>
      </c>
      <c r="AD548" s="13">
        <f t="shared" si="104"/>
        <v>107</v>
      </c>
      <c r="AE548" s="135"/>
      <c r="AF548" s="135"/>
      <c r="AG548" s="135"/>
      <c r="AH548" s="136"/>
      <c r="AI548" s="50">
        <f t="shared" si="101"/>
        <v>811</v>
      </c>
    </row>
    <row r="549" spans="1:35">
      <c r="A549" s="12">
        <v>44924</v>
      </c>
      <c r="B549" s="8">
        <v>1774984</v>
      </c>
      <c r="C549" s="8">
        <v>1775567</v>
      </c>
      <c r="D549" s="13">
        <f t="shared" si="107"/>
        <v>583</v>
      </c>
      <c r="E549" s="69">
        <v>82756</v>
      </c>
      <c r="F549" s="69">
        <v>82804</v>
      </c>
      <c r="G549" s="133">
        <f t="shared" si="102"/>
        <v>48</v>
      </c>
      <c r="H549" s="8">
        <v>224155</v>
      </c>
      <c r="I549" s="8">
        <v>224817</v>
      </c>
      <c r="J549" s="13">
        <f t="shared" si="97"/>
        <v>662</v>
      </c>
      <c r="K549" s="138"/>
      <c r="L549" s="8">
        <v>583087</v>
      </c>
      <c r="M549" s="8">
        <v>583479</v>
      </c>
      <c r="N549" s="13">
        <f t="shared" si="99"/>
        <v>392</v>
      </c>
      <c r="O549" s="136"/>
      <c r="P549" s="8">
        <v>339646</v>
      </c>
      <c r="Q549" s="8">
        <v>340091</v>
      </c>
      <c r="R549" s="133">
        <f t="shared" si="108"/>
        <v>445</v>
      </c>
      <c r="S549" s="8">
        <v>11650</v>
      </c>
      <c r="T549" s="8">
        <v>11668</v>
      </c>
      <c r="U549" s="133">
        <f t="shared" si="103"/>
        <v>18</v>
      </c>
      <c r="V549" s="8">
        <v>324641</v>
      </c>
      <c r="W549" s="8">
        <v>324800</v>
      </c>
      <c r="X549" s="13">
        <f t="shared" si="105"/>
        <v>159</v>
      </c>
      <c r="Y549" s="8">
        <v>21562</v>
      </c>
      <c r="Z549" s="8">
        <v>21582</v>
      </c>
      <c r="AA549" s="13">
        <f t="shared" si="100"/>
        <v>20</v>
      </c>
      <c r="AB549" s="8">
        <v>202699</v>
      </c>
      <c r="AC549" s="8">
        <v>202859</v>
      </c>
      <c r="AD549" s="13">
        <f t="shared" si="104"/>
        <v>160</v>
      </c>
      <c r="AE549" s="135"/>
      <c r="AF549" s="135"/>
      <c r="AG549" s="135"/>
      <c r="AH549" s="136"/>
      <c r="AI549" s="50">
        <f t="shared" si="101"/>
        <v>642</v>
      </c>
    </row>
    <row r="550" spans="1:35">
      <c r="A550" s="12">
        <v>44925</v>
      </c>
      <c r="B550" s="8">
        <v>1775567</v>
      </c>
      <c r="C550" s="8">
        <v>1776076</v>
      </c>
      <c r="D550" s="13">
        <f t="shared" si="107"/>
        <v>509</v>
      </c>
      <c r="E550" s="69">
        <v>82804</v>
      </c>
      <c r="F550" s="69">
        <v>83097</v>
      </c>
      <c r="G550" s="133">
        <f t="shared" si="102"/>
        <v>293</v>
      </c>
      <c r="H550" s="8">
        <v>224817</v>
      </c>
      <c r="I550" s="8">
        <v>225390</v>
      </c>
      <c r="J550" s="13">
        <f t="shared" si="97"/>
        <v>573</v>
      </c>
      <c r="K550" s="138"/>
      <c r="L550" s="8">
        <v>583479</v>
      </c>
      <c r="M550" s="8">
        <v>583789</v>
      </c>
      <c r="N550" s="13">
        <f t="shared" si="99"/>
        <v>310</v>
      </c>
      <c r="O550" s="136"/>
      <c r="P550" s="8">
        <v>340091</v>
      </c>
      <c r="Q550" s="8">
        <v>340424</v>
      </c>
      <c r="R550" s="133">
        <f t="shared" si="108"/>
        <v>333</v>
      </c>
      <c r="S550" s="8">
        <v>11668</v>
      </c>
      <c r="T550" s="8">
        <v>11698</v>
      </c>
      <c r="U550" s="133">
        <f t="shared" si="103"/>
        <v>30</v>
      </c>
      <c r="V550" s="8">
        <v>324800</v>
      </c>
      <c r="W550" s="8">
        <v>324890</v>
      </c>
      <c r="X550" s="13">
        <f t="shared" si="105"/>
        <v>90</v>
      </c>
      <c r="Y550" s="8">
        <v>21582</v>
      </c>
      <c r="Z550" s="8">
        <v>21605</v>
      </c>
      <c r="AA550" s="13">
        <f t="shared" si="100"/>
        <v>23</v>
      </c>
      <c r="AB550" s="8">
        <v>202859</v>
      </c>
      <c r="AC550" s="8">
        <v>202975</v>
      </c>
      <c r="AD550" s="13">
        <f t="shared" si="104"/>
        <v>116</v>
      </c>
      <c r="AE550" s="135"/>
      <c r="AF550" s="135"/>
      <c r="AG550" s="135"/>
      <c r="AH550" s="136"/>
      <c r="AI550" s="50">
        <f t="shared" si="101"/>
        <v>476</v>
      </c>
    </row>
    <row r="551" spans="1:35">
      <c r="A551" s="12">
        <v>44926</v>
      </c>
      <c r="B551" s="8">
        <v>1776076</v>
      </c>
      <c r="C551" s="8">
        <v>1776398</v>
      </c>
      <c r="D551" s="13">
        <f t="shared" si="107"/>
        <v>322</v>
      </c>
      <c r="E551" s="69">
        <v>83097</v>
      </c>
      <c r="F551" s="69">
        <v>83776</v>
      </c>
      <c r="G551" s="133">
        <f t="shared" si="102"/>
        <v>679</v>
      </c>
      <c r="H551" s="8">
        <v>225390</v>
      </c>
      <c r="I551" s="8">
        <v>226199</v>
      </c>
      <c r="J551" s="13">
        <f t="shared" si="97"/>
        <v>809</v>
      </c>
      <c r="K551" s="138"/>
      <c r="L551" s="8">
        <v>583789</v>
      </c>
      <c r="M551" s="8">
        <v>584157</v>
      </c>
      <c r="N551" s="13">
        <f t="shared" si="99"/>
        <v>368</v>
      </c>
      <c r="O551" s="136"/>
      <c r="P551" s="8">
        <v>340424</v>
      </c>
      <c r="Q551" s="8">
        <v>340976</v>
      </c>
      <c r="R551" s="133">
        <f t="shared" si="108"/>
        <v>552</v>
      </c>
      <c r="S551" s="8">
        <v>11668</v>
      </c>
      <c r="T551" s="8">
        <v>11699</v>
      </c>
      <c r="U551" s="133">
        <f t="shared" si="103"/>
        <v>31</v>
      </c>
      <c r="V551" s="8">
        <v>324890</v>
      </c>
      <c r="W551" s="8">
        <v>325002</v>
      </c>
      <c r="X551" s="13">
        <f t="shared" si="105"/>
        <v>112</v>
      </c>
      <c r="Y551" s="8">
        <v>21605</v>
      </c>
      <c r="Z551" s="8">
        <v>21629</v>
      </c>
      <c r="AA551" s="13">
        <f t="shared" si="100"/>
        <v>24</v>
      </c>
      <c r="AB551" s="8">
        <v>202975</v>
      </c>
      <c r="AC551" s="8">
        <v>203054</v>
      </c>
      <c r="AD551" s="13">
        <f t="shared" si="104"/>
        <v>79</v>
      </c>
      <c r="AE551" s="135"/>
      <c r="AF551" s="135"/>
      <c r="AG551" s="135"/>
      <c r="AH551" s="136"/>
      <c r="AI551" s="50">
        <f t="shared" si="101"/>
        <v>719</v>
      </c>
    </row>
    <row r="552" spans="1:35">
      <c r="A552" s="12">
        <v>44927</v>
      </c>
      <c r="B552" s="8">
        <v>1776398</v>
      </c>
      <c r="C552" s="8">
        <v>1776697</v>
      </c>
      <c r="D552" s="13">
        <f t="shared" si="107"/>
        <v>299</v>
      </c>
      <c r="E552" s="69">
        <v>83776</v>
      </c>
      <c r="F552" s="69">
        <v>84411</v>
      </c>
      <c r="G552" s="133">
        <f t="shared" si="102"/>
        <v>635</v>
      </c>
      <c r="H552" s="8">
        <v>226199</v>
      </c>
      <c r="I552" s="8">
        <v>227000</v>
      </c>
      <c r="J552" s="13">
        <f t="shared" si="97"/>
        <v>801</v>
      </c>
      <c r="K552" s="138"/>
      <c r="L552" s="8">
        <v>584157</v>
      </c>
      <c r="M552" s="8">
        <v>584664</v>
      </c>
      <c r="N552" s="13">
        <f t="shared" si="99"/>
        <v>507</v>
      </c>
      <c r="O552" s="136"/>
      <c r="P552" s="8">
        <v>340976</v>
      </c>
      <c r="Q552" s="8">
        <v>341432</v>
      </c>
      <c r="R552" s="133">
        <f t="shared" si="108"/>
        <v>456</v>
      </c>
      <c r="S552" s="8">
        <v>11699</v>
      </c>
      <c r="T552" s="8">
        <v>11750</v>
      </c>
      <c r="U552" s="133">
        <f t="shared" si="103"/>
        <v>51</v>
      </c>
      <c r="V552" s="8">
        <v>325002</v>
      </c>
      <c r="W552" s="8">
        <v>325123</v>
      </c>
      <c r="X552" s="13">
        <f t="shared" si="105"/>
        <v>121</v>
      </c>
      <c r="Y552" s="8">
        <v>21629</v>
      </c>
      <c r="Z552" s="8">
        <v>21648</v>
      </c>
      <c r="AA552" s="13">
        <f t="shared" si="100"/>
        <v>19</v>
      </c>
      <c r="AB552" s="8">
        <v>203054</v>
      </c>
      <c r="AC552" s="8">
        <v>203217</v>
      </c>
      <c r="AD552" s="13">
        <f t="shared" si="104"/>
        <v>163</v>
      </c>
      <c r="AE552" s="135"/>
      <c r="AF552" s="135"/>
      <c r="AG552" s="135"/>
      <c r="AH552" s="136"/>
      <c r="AI552" s="50">
        <f t="shared" si="101"/>
        <v>647</v>
      </c>
    </row>
    <row r="553" spans="1:35">
      <c r="A553" s="12">
        <v>44928</v>
      </c>
      <c r="B553" s="8">
        <v>1776697</v>
      </c>
      <c r="C553" s="8">
        <v>1777015</v>
      </c>
      <c r="D553" s="13">
        <f t="shared" si="107"/>
        <v>318</v>
      </c>
      <c r="E553" s="69">
        <v>84411</v>
      </c>
      <c r="F553" s="69">
        <v>85181</v>
      </c>
      <c r="G553" s="133">
        <f t="shared" si="102"/>
        <v>770</v>
      </c>
      <c r="H553" s="8">
        <v>227000</v>
      </c>
      <c r="I553" s="8">
        <v>227000</v>
      </c>
      <c r="J553" s="13">
        <f t="shared" si="97"/>
        <v>0</v>
      </c>
      <c r="K553" s="138"/>
      <c r="L553" s="8">
        <v>584664</v>
      </c>
      <c r="M553" s="8">
        <v>585926</v>
      </c>
      <c r="N553" s="13">
        <f t="shared" si="99"/>
        <v>1262</v>
      </c>
      <c r="O553" s="136"/>
      <c r="P553" s="8">
        <v>341432</v>
      </c>
      <c r="Q553" s="8">
        <v>341971</v>
      </c>
      <c r="R553" s="133">
        <f t="shared" si="108"/>
        <v>539</v>
      </c>
      <c r="S553" s="8">
        <v>11750</v>
      </c>
      <c r="T553" s="8">
        <v>11794</v>
      </c>
      <c r="U553" s="133">
        <f t="shared" si="103"/>
        <v>44</v>
      </c>
      <c r="V553" s="8">
        <v>325123</v>
      </c>
      <c r="W553" s="8">
        <v>325295</v>
      </c>
      <c r="X553" s="13">
        <f t="shared" si="105"/>
        <v>172</v>
      </c>
      <c r="Y553" s="8">
        <v>21648</v>
      </c>
      <c r="Z553" s="8">
        <v>21674</v>
      </c>
      <c r="AA553" s="13">
        <f t="shared" si="100"/>
        <v>26</v>
      </c>
      <c r="AB553" s="8">
        <v>203217</v>
      </c>
      <c r="AC553" s="8">
        <v>203352</v>
      </c>
      <c r="AD553" s="13">
        <f t="shared" si="104"/>
        <v>135</v>
      </c>
      <c r="AE553" s="135"/>
      <c r="AF553" s="135"/>
      <c r="AG553" s="135"/>
      <c r="AH553" s="136"/>
      <c r="AI553" s="50">
        <f t="shared" si="101"/>
        <v>781</v>
      </c>
    </row>
    <row r="554" spans="1:35">
      <c r="A554" s="12">
        <v>44929</v>
      </c>
      <c r="B554" s="8">
        <v>1777015</v>
      </c>
      <c r="C554" s="8">
        <v>1777045</v>
      </c>
      <c r="D554" s="13">
        <f t="shared" si="107"/>
        <v>30</v>
      </c>
      <c r="E554" s="69">
        <v>85181</v>
      </c>
      <c r="F554" s="69">
        <v>85831</v>
      </c>
      <c r="G554" s="133">
        <f t="shared" si="102"/>
        <v>650</v>
      </c>
      <c r="H554" s="8">
        <v>227000</v>
      </c>
      <c r="I554" s="8">
        <v>227000</v>
      </c>
      <c r="J554" s="13">
        <f t="shared" si="97"/>
        <v>0</v>
      </c>
      <c r="K554" s="138"/>
      <c r="L554" s="8">
        <v>585926</v>
      </c>
      <c r="M554" s="8">
        <v>586643</v>
      </c>
      <c r="N554" s="13">
        <f t="shared" si="99"/>
        <v>717</v>
      </c>
      <c r="O554" s="136"/>
      <c r="P554" s="8">
        <v>341971</v>
      </c>
      <c r="Q554" s="8">
        <v>342243</v>
      </c>
      <c r="R554" s="133">
        <f t="shared" si="108"/>
        <v>272</v>
      </c>
      <c r="S554" s="8">
        <v>11794</v>
      </c>
      <c r="T554" s="8">
        <v>11845</v>
      </c>
      <c r="U554" s="133">
        <f t="shared" si="103"/>
        <v>51</v>
      </c>
      <c r="V554" s="8">
        <v>325295</v>
      </c>
      <c r="W554" s="8">
        <v>325382</v>
      </c>
      <c r="X554" s="13">
        <f t="shared" si="105"/>
        <v>87</v>
      </c>
      <c r="Y554" s="8">
        <v>21674</v>
      </c>
      <c r="Z554" s="8">
        <v>21696</v>
      </c>
      <c r="AA554" s="13">
        <f t="shared" si="100"/>
        <v>22</v>
      </c>
      <c r="AB554" s="8">
        <v>203352</v>
      </c>
      <c r="AC554" s="8">
        <v>203423</v>
      </c>
      <c r="AD554" s="13">
        <f t="shared" si="104"/>
        <v>71</v>
      </c>
      <c r="AE554" s="135"/>
      <c r="AF554" s="135"/>
      <c r="AG554" s="135"/>
      <c r="AH554" s="136"/>
      <c r="AI554" s="50">
        <f t="shared" si="101"/>
        <v>432</v>
      </c>
    </row>
    <row r="555" spans="1:35">
      <c r="A555" s="12">
        <v>44930</v>
      </c>
      <c r="B555" s="8">
        <v>1777045</v>
      </c>
      <c r="C555" s="8">
        <v>1777367</v>
      </c>
      <c r="D555" s="13">
        <f t="shared" si="107"/>
        <v>322</v>
      </c>
      <c r="E555" s="69">
        <v>85831</v>
      </c>
      <c r="F555" s="69">
        <v>86653</v>
      </c>
      <c r="G555" s="133">
        <f t="shared" si="102"/>
        <v>822</v>
      </c>
      <c r="H555" s="8">
        <v>227000</v>
      </c>
      <c r="I555" s="8">
        <v>227719</v>
      </c>
      <c r="J555" s="13">
        <f t="shared" si="97"/>
        <v>719</v>
      </c>
      <c r="K555" s="138"/>
      <c r="L555" s="8">
        <v>586643</v>
      </c>
      <c r="M555" s="8">
        <v>587147</v>
      </c>
      <c r="N555" s="13">
        <f t="shared" si="99"/>
        <v>504</v>
      </c>
      <c r="O555" s="136"/>
      <c r="P555" s="8">
        <v>342243</v>
      </c>
      <c r="Q555" s="8">
        <v>342696</v>
      </c>
      <c r="R555" s="133">
        <f t="shared" si="108"/>
        <v>453</v>
      </c>
      <c r="S555" s="8">
        <v>11845</v>
      </c>
      <c r="T555" s="8">
        <v>11940</v>
      </c>
      <c r="U555" s="133">
        <f t="shared" si="103"/>
        <v>95</v>
      </c>
      <c r="V555" s="8">
        <v>325382</v>
      </c>
      <c r="W555" s="8">
        <v>325528</v>
      </c>
      <c r="X555" s="13">
        <f t="shared" si="105"/>
        <v>146</v>
      </c>
      <c r="Y555" s="8">
        <v>21696</v>
      </c>
      <c r="Z555" s="8">
        <v>21715</v>
      </c>
      <c r="AA555" s="13">
        <f t="shared" si="100"/>
        <v>19</v>
      </c>
      <c r="AB555" s="8">
        <v>203423</v>
      </c>
      <c r="AC555" s="8">
        <v>203504</v>
      </c>
      <c r="AD555" s="13">
        <f t="shared" si="104"/>
        <v>81</v>
      </c>
      <c r="AE555" s="135"/>
      <c r="AF555" s="135"/>
      <c r="AG555" s="135"/>
      <c r="AH555" s="136"/>
      <c r="AI555" s="50">
        <f t="shared" si="101"/>
        <v>713</v>
      </c>
    </row>
    <row r="556" spans="1:35">
      <c r="A556" s="12">
        <v>44931</v>
      </c>
      <c r="B556" s="8">
        <v>1777367</v>
      </c>
      <c r="C556" s="8">
        <v>1777548</v>
      </c>
      <c r="D556" s="13">
        <f t="shared" si="107"/>
        <v>181</v>
      </c>
      <c r="E556" s="69">
        <v>86653</v>
      </c>
      <c r="F556" s="69">
        <v>87464</v>
      </c>
      <c r="G556" s="133">
        <f t="shared" si="102"/>
        <v>811</v>
      </c>
      <c r="H556" s="8">
        <v>227719</v>
      </c>
      <c r="I556" s="8">
        <v>228105</v>
      </c>
      <c r="J556" s="13">
        <f t="shared" si="97"/>
        <v>386</v>
      </c>
      <c r="K556" s="138"/>
      <c r="L556" s="8">
        <v>587147</v>
      </c>
      <c r="M556" s="8">
        <v>587678</v>
      </c>
      <c r="N556" s="13">
        <f t="shared" si="99"/>
        <v>531</v>
      </c>
      <c r="O556" s="136"/>
      <c r="P556" s="8">
        <v>342696</v>
      </c>
      <c r="Q556" s="8">
        <v>342943</v>
      </c>
      <c r="R556" s="133">
        <f t="shared" si="108"/>
        <v>247</v>
      </c>
      <c r="S556" s="8">
        <v>11940</v>
      </c>
      <c r="T556" s="8">
        <v>12032</v>
      </c>
      <c r="U556" s="133">
        <f t="shared" si="103"/>
        <v>92</v>
      </c>
      <c r="V556" s="8">
        <v>325528</v>
      </c>
      <c r="W556" s="8">
        <v>325672</v>
      </c>
      <c r="X556" s="13">
        <f t="shared" si="105"/>
        <v>144</v>
      </c>
      <c r="Y556" s="8">
        <v>21715</v>
      </c>
      <c r="Z556" s="8">
        <v>21736</v>
      </c>
      <c r="AA556" s="13">
        <f t="shared" si="100"/>
        <v>21</v>
      </c>
      <c r="AB556" s="8">
        <v>203504</v>
      </c>
      <c r="AC556" s="8">
        <v>203659</v>
      </c>
      <c r="AD556" s="13">
        <f t="shared" si="104"/>
        <v>155</v>
      </c>
      <c r="AE556" s="135"/>
      <c r="AF556" s="135"/>
      <c r="AG556" s="135"/>
      <c r="AH556" s="136"/>
      <c r="AI556" s="50">
        <f t="shared" si="101"/>
        <v>504</v>
      </c>
    </row>
    <row r="557" spans="1:35">
      <c r="A557" s="12">
        <v>44932</v>
      </c>
      <c r="B557" s="8">
        <v>1777548</v>
      </c>
      <c r="C557" s="8">
        <v>1777895</v>
      </c>
      <c r="D557" s="13">
        <f t="shared" si="107"/>
        <v>347</v>
      </c>
      <c r="E557" s="69">
        <v>87464</v>
      </c>
      <c r="F557" s="69">
        <v>88232</v>
      </c>
      <c r="G557" s="133">
        <f t="shared" si="102"/>
        <v>768</v>
      </c>
      <c r="H557" s="8">
        <v>228105</v>
      </c>
      <c r="I557" s="8">
        <v>228712</v>
      </c>
      <c r="J557" s="13">
        <f t="shared" si="97"/>
        <v>607</v>
      </c>
      <c r="K557" s="138"/>
      <c r="L557" s="8">
        <v>587678</v>
      </c>
      <c r="M557" s="8">
        <v>588212</v>
      </c>
      <c r="N557" s="13">
        <f t="shared" si="99"/>
        <v>534</v>
      </c>
      <c r="O557" s="136"/>
      <c r="P557" s="8">
        <v>342943</v>
      </c>
      <c r="Q557" s="8">
        <v>343286</v>
      </c>
      <c r="R557" s="133">
        <f t="shared" si="108"/>
        <v>343</v>
      </c>
      <c r="S557" s="8">
        <v>12032</v>
      </c>
      <c r="T557" s="8">
        <v>12110</v>
      </c>
      <c r="U557" s="133">
        <f t="shared" si="103"/>
        <v>78</v>
      </c>
      <c r="V557" s="8">
        <v>325672</v>
      </c>
      <c r="W557" s="8">
        <v>325782</v>
      </c>
      <c r="X557" s="13">
        <f t="shared" si="105"/>
        <v>110</v>
      </c>
      <c r="Y557" s="8">
        <v>21736</v>
      </c>
      <c r="Z557" s="8">
        <v>21758</v>
      </c>
      <c r="AA557" s="13">
        <f t="shared" si="100"/>
        <v>22</v>
      </c>
      <c r="AB557" s="8">
        <v>203659</v>
      </c>
      <c r="AC557" s="8">
        <v>203847</v>
      </c>
      <c r="AD557" s="13">
        <f t="shared" si="104"/>
        <v>188</v>
      </c>
      <c r="AE557" s="135"/>
      <c r="AF557" s="135"/>
      <c r="AG557" s="135"/>
      <c r="AH557" s="136"/>
      <c r="AI557" s="50">
        <f t="shared" si="101"/>
        <v>553</v>
      </c>
    </row>
    <row r="558" spans="1:35">
      <c r="A558" s="12">
        <v>44933</v>
      </c>
      <c r="B558" s="8">
        <v>1777895</v>
      </c>
      <c r="C558" s="8">
        <v>1778258</v>
      </c>
      <c r="D558" s="13">
        <f t="shared" si="107"/>
        <v>363</v>
      </c>
      <c r="E558" s="69">
        <v>88232</v>
      </c>
      <c r="F558" s="69">
        <v>89045</v>
      </c>
      <c r="G558" s="133">
        <f t="shared" si="102"/>
        <v>813</v>
      </c>
      <c r="H558" s="8">
        <v>228712</v>
      </c>
      <c r="I558" s="8">
        <v>228712</v>
      </c>
      <c r="J558" s="13">
        <f t="shared" si="97"/>
        <v>0</v>
      </c>
      <c r="K558" s="138"/>
      <c r="L558" s="8">
        <v>588212</v>
      </c>
      <c r="M558" s="8">
        <v>589574</v>
      </c>
      <c r="N558" s="13">
        <f t="shared" si="99"/>
        <v>1362</v>
      </c>
      <c r="O558" s="136"/>
      <c r="P558" s="8">
        <v>343286</v>
      </c>
      <c r="Q558" s="8">
        <v>343975</v>
      </c>
      <c r="R558" s="133">
        <f t="shared" si="108"/>
        <v>689</v>
      </c>
      <c r="S558" s="8">
        <v>12110</v>
      </c>
      <c r="T558" s="8">
        <v>12140</v>
      </c>
      <c r="U558" s="133">
        <f t="shared" si="103"/>
        <v>30</v>
      </c>
      <c r="V558" s="8">
        <v>325782</v>
      </c>
      <c r="W558" s="8">
        <v>325904</v>
      </c>
      <c r="X558" s="13">
        <f t="shared" si="105"/>
        <v>122</v>
      </c>
      <c r="Y558" s="8">
        <v>21758</v>
      </c>
      <c r="Z558" s="8">
        <v>21780</v>
      </c>
      <c r="AA558" s="13">
        <f t="shared" si="100"/>
        <v>22</v>
      </c>
      <c r="AB558" s="8">
        <v>203847</v>
      </c>
      <c r="AC558" s="8">
        <v>203961</v>
      </c>
      <c r="AD558" s="13">
        <f t="shared" si="104"/>
        <v>114</v>
      </c>
      <c r="AE558" s="135"/>
      <c r="AF558" s="135"/>
      <c r="AG558" s="135"/>
      <c r="AH558" s="136"/>
      <c r="AI558" s="50">
        <f t="shared" si="101"/>
        <v>863</v>
      </c>
    </row>
    <row r="559" spans="1:35">
      <c r="A559" s="12">
        <v>44934</v>
      </c>
      <c r="B559" s="8">
        <v>1778258</v>
      </c>
      <c r="C559" s="8">
        <v>1778735</v>
      </c>
      <c r="D559" s="13">
        <f t="shared" si="107"/>
        <v>477</v>
      </c>
      <c r="E559" s="69">
        <v>89045</v>
      </c>
      <c r="F559" s="69">
        <v>89784</v>
      </c>
      <c r="G559" s="133">
        <f t="shared" si="102"/>
        <v>739</v>
      </c>
      <c r="H559" s="8">
        <v>228712</v>
      </c>
      <c r="I559" s="8">
        <v>228712</v>
      </c>
      <c r="J559" s="13">
        <f t="shared" ref="J559:J566" si="109">I559-H559</f>
        <v>0</v>
      </c>
      <c r="K559" s="138"/>
      <c r="L559" s="8">
        <v>589574</v>
      </c>
      <c r="M559" s="8">
        <v>590676</v>
      </c>
      <c r="N559" s="13">
        <f t="shared" si="99"/>
        <v>1102</v>
      </c>
      <c r="O559" s="136"/>
      <c r="P559" s="8">
        <v>343975</v>
      </c>
      <c r="Q559" s="8">
        <v>344474</v>
      </c>
      <c r="R559" s="133">
        <f t="shared" si="108"/>
        <v>499</v>
      </c>
      <c r="S559" s="8">
        <v>12140</v>
      </c>
      <c r="T559" s="8">
        <v>12176</v>
      </c>
      <c r="U559" s="133">
        <f t="shared" si="103"/>
        <v>36</v>
      </c>
      <c r="V559" s="8">
        <v>325904</v>
      </c>
      <c r="W559" s="8">
        <v>326012</v>
      </c>
      <c r="X559" s="13">
        <f t="shared" si="105"/>
        <v>108</v>
      </c>
      <c r="Y559" s="8">
        <v>21780</v>
      </c>
      <c r="Z559" s="8">
        <v>21809</v>
      </c>
      <c r="AA559" s="13">
        <f t="shared" si="100"/>
        <v>29</v>
      </c>
      <c r="AB559" s="8">
        <v>203961</v>
      </c>
      <c r="AC559" s="8">
        <v>204072</v>
      </c>
      <c r="AD559" s="13">
        <f t="shared" si="104"/>
        <v>111</v>
      </c>
      <c r="AE559" s="135"/>
      <c r="AF559" s="135"/>
      <c r="AG559" s="135"/>
      <c r="AH559" s="136"/>
      <c r="AI559" s="50">
        <f t="shared" si="101"/>
        <v>672</v>
      </c>
    </row>
    <row r="560" spans="1:35">
      <c r="A560" s="12">
        <v>44935</v>
      </c>
      <c r="B560" s="8">
        <v>1778735</v>
      </c>
      <c r="C560" s="8">
        <v>1778845</v>
      </c>
      <c r="D560" s="13">
        <f t="shared" si="107"/>
        <v>110</v>
      </c>
      <c r="E560" s="69">
        <v>89784</v>
      </c>
      <c r="F560" s="69">
        <v>90582</v>
      </c>
      <c r="G560" s="133">
        <f t="shared" si="102"/>
        <v>798</v>
      </c>
      <c r="H560" s="8">
        <v>228712</v>
      </c>
      <c r="I560" s="8">
        <v>229313</v>
      </c>
      <c r="J560" s="13">
        <f t="shared" si="109"/>
        <v>601</v>
      </c>
      <c r="K560" s="138"/>
      <c r="L560" s="8">
        <v>590676</v>
      </c>
      <c r="M560" s="8">
        <v>591449</v>
      </c>
      <c r="N560" s="13">
        <f t="shared" si="99"/>
        <v>773</v>
      </c>
      <c r="O560" s="136"/>
      <c r="P560" s="8">
        <v>344474</v>
      </c>
      <c r="Q560" s="8">
        <v>344962</v>
      </c>
      <c r="R560" s="133">
        <f t="shared" si="108"/>
        <v>488</v>
      </c>
      <c r="S560" s="8">
        <v>12176</v>
      </c>
      <c r="T560" s="8">
        <v>12227</v>
      </c>
      <c r="U560" s="133">
        <f t="shared" si="103"/>
        <v>51</v>
      </c>
      <c r="V560" s="8">
        <v>326012</v>
      </c>
      <c r="W560" s="8">
        <v>326128</v>
      </c>
      <c r="X560" s="13">
        <f t="shared" si="105"/>
        <v>116</v>
      </c>
      <c r="Y560" s="8">
        <v>21809</v>
      </c>
      <c r="Z560" s="8">
        <v>21825</v>
      </c>
      <c r="AA560" s="13">
        <f t="shared" si="100"/>
        <v>16</v>
      </c>
      <c r="AB560" s="8">
        <v>204072</v>
      </c>
      <c r="AC560" s="8">
        <v>204196</v>
      </c>
      <c r="AD560" s="13">
        <f t="shared" si="104"/>
        <v>124</v>
      </c>
      <c r="AE560" s="135"/>
      <c r="AF560" s="135"/>
      <c r="AG560" s="135"/>
      <c r="AH560" s="136"/>
      <c r="AI560" s="50">
        <f t="shared" si="101"/>
        <v>671</v>
      </c>
    </row>
    <row r="561" spans="1:35">
      <c r="A561" s="12">
        <v>44936</v>
      </c>
      <c r="B561" s="8">
        <v>1778845</v>
      </c>
      <c r="C561" s="8">
        <v>1778853</v>
      </c>
      <c r="D561" s="13">
        <f t="shared" si="107"/>
        <v>8</v>
      </c>
      <c r="E561" s="69">
        <v>90582</v>
      </c>
      <c r="F561" s="69">
        <v>91364</v>
      </c>
      <c r="G561" s="133">
        <f t="shared" si="102"/>
        <v>782</v>
      </c>
      <c r="H561" s="8">
        <v>229313</v>
      </c>
      <c r="I561" s="8">
        <v>230007</v>
      </c>
      <c r="J561" s="13">
        <f t="shared" si="109"/>
        <v>694</v>
      </c>
      <c r="K561" s="138"/>
      <c r="L561" s="8">
        <v>591449</v>
      </c>
      <c r="M561" s="8">
        <v>591928</v>
      </c>
      <c r="N561" s="13">
        <f t="shared" si="99"/>
        <v>479</v>
      </c>
      <c r="O561" s="136"/>
      <c r="P561" s="8">
        <v>344962</v>
      </c>
      <c r="Q561" s="8">
        <v>345407</v>
      </c>
      <c r="R561" s="133">
        <f t="shared" si="108"/>
        <v>445</v>
      </c>
      <c r="S561" s="8">
        <v>12227</v>
      </c>
      <c r="T561" s="8">
        <v>12336</v>
      </c>
      <c r="U561" s="133">
        <f t="shared" si="103"/>
        <v>109</v>
      </c>
      <c r="V561" s="8">
        <v>326128</v>
      </c>
      <c r="W561" s="8">
        <v>326290</v>
      </c>
      <c r="X561" s="13">
        <f t="shared" si="105"/>
        <v>162</v>
      </c>
      <c r="Y561" s="8">
        <v>21825</v>
      </c>
      <c r="Z561" s="8">
        <v>21850</v>
      </c>
      <c r="AA561" s="13">
        <f t="shared" si="100"/>
        <v>25</v>
      </c>
      <c r="AB561" s="8">
        <v>204196</v>
      </c>
      <c r="AC561" s="8">
        <v>204283</v>
      </c>
      <c r="AD561" s="13">
        <f t="shared" si="104"/>
        <v>87</v>
      </c>
      <c r="AE561" s="135"/>
      <c r="AF561" s="135"/>
      <c r="AG561" s="135"/>
      <c r="AH561" s="136"/>
      <c r="AI561" s="50">
        <f t="shared" si="101"/>
        <v>741</v>
      </c>
    </row>
    <row r="562" spans="1:35">
      <c r="A562" s="12">
        <v>44937</v>
      </c>
      <c r="B562" s="8">
        <v>1778853</v>
      </c>
      <c r="C562" s="8">
        <v>1779078</v>
      </c>
      <c r="D562" s="13">
        <f t="shared" si="107"/>
        <v>225</v>
      </c>
      <c r="E562" s="69">
        <v>91364</v>
      </c>
      <c r="F562" s="69">
        <v>91981</v>
      </c>
      <c r="G562" s="133">
        <f t="shared" si="102"/>
        <v>617</v>
      </c>
      <c r="H562" s="8">
        <v>230007</v>
      </c>
      <c r="I562" s="8">
        <v>230007</v>
      </c>
      <c r="J562" s="13">
        <f t="shared" si="109"/>
        <v>0</v>
      </c>
      <c r="K562" s="138"/>
      <c r="L562" s="8">
        <v>591928</v>
      </c>
      <c r="M562" s="8">
        <v>592458</v>
      </c>
      <c r="N562" s="13">
        <f t="shared" si="99"/>
        <v>530</v>
      </c>
      <c r="O562" s="136"/>
      <c r="P562" s="8">
        <v>345407</v>
      </c>
      <c r="Q562" s="8">
        <v>345416</v>
      </c>
      <c r="R562" s="133">
        <f t="shared" si="108"/>
        <v>9</v>
      </c>
      <c r="S562" s="8">
        <v>12336</v>
      </c>
      <c r="T562" s="8">
        <v>12383</v>
      </c>
      <c r="U562" s="133">
        <f t="shared" si="103"/>
        <v>47</v>
      </c>
      <c r="V562" s="8">
        <v>326290</v>
      </c>
      <c r="W562" s="8">
        <v>326430</v>
      </c>
      <c r="X562" s="13">
        <f t="shared" si="105"/>
        <v>140</v>
      </c>
      <c r="Y562" s="8">
        <v>21850</v>
      </c>
      <c r="Z562" s="8">
        <v>21877</v>
      </c>
      <c r="AA562" s="13">
        <f t="shared" si="100"/>
        <v>27</v>
      </c>
      <c r="AB562" s="8">
        <v>204283</v>
      </c>
      <c r="AC562" s="8">
        <v>204468</v>
      </c>
      <c r="AD562" s="13">
        <f t="shared" si="104"/>
        <v>185</v>
      </c>
      <c r="AE562" s="135"/>
      <c r="AF562" s="135"/>
      <c r="AG562" s="135"/>
      <c r="AH562" s="136"/>
      <c r="AI562" s="50">
        <f t="shared" si="101"/>
        <v>223</v>
      </c>
    </row>
    <row r="563" spans="1:35">
      <c r="A563" s="12">
        <v>44938</v>
      </c>
      <c r="B563" s="8">
        <v>1779078</v>
      </c>
      <c r="C563" s="8">
        <v>1779442</v>
      </c>
      <c r="D563" s="13">
        <f t="shared" si="107"/>
        <v>364</v>
      </c>
      <c r="E563" s="69">
        <v>91981</v>
      </c>
      <c r="F563" s="69">
        <v>92797</v>
      </c>
      <c r="G563" s="133">
        <f t="shared" si="102"/>
        <v>816</v>
      </c>
      <c r="H563" s="8">
        <v>230007</v>
      </c>
      <c r="I563" s="8">
        <v>230610</v>
      </c>
      <c r="J563" s="13">
        <f t="shared" si="109"/>
        <v>603</v>
      </c>
      <c r="K563" s="138"/>
      <c r="L563" s="8">
        <v>592458</v>
      </c>
      <c r="M563" s="8">
        <v>593273</v>
      </c>
      <c r="N563" s="13">
        <f t="shared" si="99"/>
        <v>815</v>
      </c>
      <c r="O563" s="136"/>
      <c r="P563" s="8">
        <v>345416</v>
      </c>
      <c r="Q563" s="8">
        <v>346077</v>
      </c>
      <c r="R563" s="133">
        <f t="shared" si="108"/>
        <v>661</v>
      </c>
      <c r="S563" s="8">
        <v>12383</v>
      </c>
      <c r="T563" s="8">
        <v>12458</v>
      </c>
      <c r="U563" s="133">
        <f t="shared" si="103"/>
        <v>75</v>
      </c>
      <c r="V563" s="8">
        <v>326430</v>
      </c>
      <c r="W563" s="8">
        <v>326709</v>
      </c>
      <c r="X563" s="13">
        <f t="shared" si="105"/>
        <v>279</v>
      </c>
      <c r="Y563" s="8">
        <v>21877</v>
      </c>
      <c r="Z563" s="8">
        <v>21893</v>
      </c>
      <c r="AA563" s="13">
        <f t="shared" si="100"/>
        <v>16</v>
      </c>
      <c r="AB563" s="8">
        <v>204468</v>
      </c>
      <c r="AC563" s="8">
        <v>204647</v>
      </c>
      <c r="AD563" s="13">
        <f t="shared" si="104"/>
        <v>179</v>
      </c>
      <c r="AE563" s="135"/>
      <c r="AF563" s="135"/>
      <c r="AG563" s="135"/>
      <c r="AH563" s="136"/>
      <c r="AI563" s="50">
        <f t="shared" si="101"/>
        <v>1031</v>
      </c>
    </row>
    <row r="564" spans="1:35">
      <c r="A564" s="12">
        <v>44939</v>
      </c>
      <c r="B564" s="8">
        <v>1779442</v>
      </c>
      <c r="C564" s="8">
        <v>1779792</v>
      </c>
      <c r="D564" s="13">
        <f t="shared" si="107"/>
        <v>350</v>
      </c>
      <c r="E564" s="69">
        <v>92797</v>
      </c>
      <c r="F564" s="69">
        <v>93497</v>
      </c>
      <c r="G564" s="133">
        <f t="shared" si="102"/>
        <v>700</v>
      </c>
      <c r="H564" s="8">
        <v>230610</v>
      </c>
      <c r="I564" s="8">
        <v>231335</v>
      </c>
      <c r="J564" s="13">
        <f t="shared" si="109"/>
        <v>725</v>
      </c>
      <c r="K564" s="138"/>
      <c r="L564" s="8">
        <v>593273</v>
      </c>
      <c r="M564" s="8">
        <v>593863</v>
      </c>
      <c r="N564" s="13">
        <f t="shared" si="99"/>
        <v>590</v>
      </c>
      <c r="O564" s="136"/>
      <c r="P564" s="8">
        <v>346077</v>
      </c>
      <c r="Q564" s="8">
        <v>346644</v>
      </c>
      <c r="R564" s="133">
        <f t="shared" si="108"/>
        <v>567</v>
      </c>
      <c r="S564" s="8">
        <v>12458</v>
      </c>
      <c r="T564" s="8">
        <v>12521</v>
      </c>
      <c r="U564" s="133">
        <f t="shared" si="103"/>
        <v>63</v>
      </c>
      <c r="V564" s="8">
        <v>326709</v>
      </c>
      <c r="W564" s="8">
        <v>326845</v>
      </c>
      <c r="X564" s="13">
        <f t="shared" si="105"/>
        <v>136</v>
      </c>
      <c r="Y564" s="8">
        <v>21893</v>
      </c>
      <c r="Z564" s="8">
        <v>21913</v>
      </c>
      <c r="AA564" s="13">
        <f t="shared" si="100"/>
        <v>20</v>
      </c>
      <c r="AB564" s="8">
        <v>204647</v>
      </c>
      <c r="AC564" s="8">
        <v>204824</v>
      </c>
      <c r="AD564" s="13">
        <f t="shared" si="104"/>
        <v>177</v>
      </c>
      <c r="AE564" s="135"/>
      <c r="AF564" s="135"/>
      <c r="AG564" s="135"/>
      <c r="AH564" s="136"/>
      <c r="AI564" s="50">
        <f t="shared" si="101"/>
        <v>786</v>
      </c>
    </row>
    <row r="565" spans="1:35">
      <c r="A565" s="12">
        <v>44940</v>
      </c>
      <c r="B565" s="8">
        <v>1779792</v>
      </c>
      <c r="C565" s="8">
        <v>1780093</v>
      </c>
      <c r="D565" s="13">
        <f t="shared" si="107"/>
        <v>301</v>
      </c>
      <c r="E565" s="69">
        <v>93497</v>
      </c>
      <c r="F565" s="69">
        <v>94238</v>
      </c>
      <c r="G565" s="133">
        <f t="shared" si="102"/>
        <v>741</v>
      </c>
      <c r="H565" s="8">
        <v>231335</v>
      </c>
      <c r="I565" s="8">
        <v>231852</v>
      </c>
      <c r="J565" s="13">
        <f t="shared" si="109"/>
        <v>517</v>
      </c>
      <c r="K565" s="138"/>
      <c r="L565" s="8">
        <v>593863</v>
      </c>
      <c r="M565" s="8">
        <v>594524</v>
      </c>
      <c r="N565" s="13">
        <f t="shared" si="99"/>
        <v>661</v>
      </c>
      <c r="O565" s="136"/>
      <c r="P565" s="8">
        <v>346644</v>
      </c>
      <c r="Q565" s="8">
        <v>347126</v>
      </c>
      <c r="R565" s="133">
        <f t="shared" si="108"/>
        <v>482</v>
      </c>
      <c r="S565" s="8">
        <v>12521</v>
      </c>
      <c r="T565" s="8">
        <v>12571</v>
      </c>
      <c r="U565" s="133">
        <f t="shared" si="103"/>
        <v>50</v>
      </c>
      <c r="V565" s="8">
        <v>326845</v>
      </c>
      <c r="W565" s="8">
        <v>326965</v>
      </c>
      <c r="X565" s="13">
        <f t="shared" si="105"/>
        <v>120</v>
      </c>
      <c r="Y565" s="8">
        <v>21913</v>
      </c>
      <c r="Z565" s="8">
        <v>21934</v>
      </c>
      <c r="AA565" s="13">
        <f t="shared" si="100"/>
        <v>21</v>
      </c>
      <c r="AB565" s="8">
        <v>204824</v>
      </c>
      <c r="AC565" s="8">
        <v>204953</v>
      </c>
      <c r="AD565" s="13">
        <f t="shared" si="104"/>
        <v>129</v>
      </c>
      <c r="AE565" s="135"/>
      <c r="AF565" s="135"/>
      <c r="AG565" s="135"/>
      <c r="AH565" s="136"/>
      <c r="AI565" s="50">
        <f t="shared" si="101"/>
        <v>673</v>
      </c>
    </row>
    <row r="566" spans="1:35">
      <c r="A566" s="12">
        <v>44941</v>
      </c>
      <c r="B566" s="8">
        <v>1780093</v>
      </c>
      <c r="C566" s="8">
        <v>1780344</v>
      </c>
      <c r="D566" s="13">
        <f t="shared" si="107"/>
        <v>251</v>
      </c>
      <c r="E566" s="69">
        <v>94238</v>
      </c>
      <c r="F566" s="69">
        <v>94737</v>
      </c>
      <c r="G566" s="133">
        <f t="shared" si="102"/>
        <v>499</v>
      </c>
      <c r="H566" s="8">
        <v>231852</v>
      </c>
      <c r="I566" s="8">
        <v>232555</v>
      </c>
      <c r="J566" s="13">
        <f t="shared" si="109"/>
        <v>703</v>
      </c>
      <c r="K566" s="138"/>
      <c r="L566" s="8">
        <v>594524</v>
      </c>
      <c r="M566" s="8">
        <v>594771</v>
      </c>
      <c r="N566" s="13">
        <f t="shared" si="99"/>
        <v>247</v>
      </c>
      <c r="O566" s="136"/>
      <c r="P566" s="8">
        <v>347126</v>
      </c>
      <c r="Q566" s="8">
        <v>347495</v>
      </c>
      <c r="R566" s="133">
        <f t="shared" si="108"/>
        <v>369</v>
      </c>
      <c r="S566" s="8">
        <v>12571</v>
      </c>
      <c r="T566" s="8">
        <v>12620</v>
      </c>
      <c r="U566" s="133">
        <f t="shared" si="103"/>
        <v>49</v>
      </c>
      <c r="V566" s="8">
        <v>326965</v>
      </c>
      <c r="W566" s="8">
        <v>327123</v>
      </c>
      <c r="X566" s="13">
        <f t="shared" si="105"/>
        <v>158</v>
      </c>
      <c r="Y566" s="8">
        <v>21934</v>
      </c>
      <c r="Z566" s="8">
        <v>21952</v>
      </c>
      <c r="AA566" s="13">
        <f t="shared" si="100"/>
        <v>18</v>
      </c>
      <c r="AB566" s="8">
        <v>204953</v>
      </c>
      <c r="AC566" s="8">
        <v>205102</v>
      </c>
      <c r="AD566" s="13">
        <f t="shared" si="104"/>
        <v>149</v>
      </c>
      <c r="AE566" s="135"/>
      <c r="AF566" s="135"/>
      <c r="AG566" s="135"/>
      <c r="AH566" s="136"/>
      <c r="AI566" s="50">
        <f t="shared" si="101"/>
        <v>594</v>
      </c>
    </row>
    <row r="567" spans="1:35">
      <c r="A567" s="12">
        <v>44942</v>
      </c>
      <c r="B567" s="8">
        <v>1780344</v>
      </c>
      <c r="C567" s="8">
        <v>1780695</v>
      </c>
      <c r="D567" s="13">
        <f t="shared" si="107"/>
        <v>351</v>
      </c>
      <c r="E567" s="69">
        <v>94737</v>
      </c>
      <c r="F567" s="69">
        <v>95162</v>
      </c>
      <c r="G567" s="133">
        <f t="shared" si="102"/>
        <v>425</v>
      </c>
      <c r="H567" s="8">
        <v>232555</v>
      </c>
      <c r="I567" s="8">
        <v>232681</v>
      </c>
      <c r="J567" s="13">
        <f>I567-H567</f>
        <v>126</v>
      </c>
      <c r="K567" s="138"/>
      <c r="L567" s="8">
        <v>594771</v>
      </c>
      <c r="M567" s="8">
        <v>595832</v>
      </c>
      <c r="N567" s="13">
        <f t="shared" si="99"/>
        <v>1061</v>
      </c>
      <c r="O567" s="136"/>
      <c r="P567" s="8">
        <v>347495</v>
      </c>
      <c r="Q567" s="8">
        <v>348013</v>
      </c>
      <c r="R567" s="133">
        <f t="shared" si="108"/>
        <v>518</v>
      </c>
      <c r="S567" s="8">
        <v>12620</v>
      </c>
      <c r="T567" s="8">
        <v>12690</v>
      </c>
      <c r="U567" s="133">
        <f t="shared" si="103"/>
        <v>70</v>
      </c>
      <c r="V567" s="8">
        <v>327123</v>
      </c>
      <c r="W567" s="8">
        <v>327313</v>
      </c>
      <c r="X567" s="13">
        <f t="shared" si="105"/>
        <v>190</v>
      </c>
      <c r="Y567" s="8">
        <v>21952</v>
      </c>
      <c r="Z567" s="8">
        <v>21971</v>
      </c>
      <c r="AA567" s="13">
        <f t="shared" si="100"/>
        <v>19</v>
      </c>
      <c r="AB567" s="8">
        <v>205102</v>
      </c>
      <c r="AC567" s="8">
        <v>205321</v>
      </c>
      <c r="AD567" s="13">
        <f t="shared" si="104"/>
        <v>219</v>
      </c>
      <c r="AE567" s="135"/>
      <c r="AF567" s="135"/>
      <c r="AG567" s="135"/>
      <c r="AH567" s="136"/>
      <c r="AI567" s="50">
        <f t="shared" si="101"/>
        <v>797</v>
      </c>
    </row>
    <row r="568" spans="1:35">
      <c r="A568" s="12">
        <v>44943</v>
      </c>
      <c r="B568" s="8">
        <v>1780695</v>
      </c>
      <c r="C568" s="8">
        <v>1781078</v>
      </c>
      <c r="D568" s="13">
        <f t="shared" si="107"/>
        <v>383</v>
      </c>
      <c r="E568" s="69">
        <v>95162</v>
      </c>
      <c r="F568" s="69">
        <v>95273</v>
      </c>
      <c r="G568" s="133">
        <f t="shared" si="102"/>
        <v>111</v>
      </c>
      <c r="H568" s="8">
        <v>232681</v>
      </c>
      <c r="I568" s="8">
        <v>233277</v>
      </c>
      <c r="J568" s="13">
        <f>I568-H568</f>
        <v>596</v>
      </c>
      <c r="K568" s="138"/>
      <c r="L568" s="8">
        <v>595832</v>
      </c>
      <c r="M568" s="8">
        <v>596333</v>
      </c>
      <c r="N568" s="13">
        <f t="shared" si="99"/>
        <v>501</v>
      </c>
      <c r="O568" s="136"/>
      <c r="P568" s="8">
        <v>348013</v>
      </c>
      <c r="Q568" s="8">
        <v>348389</v>
      </c>
      <c r="R568" s="133">
        <f t="shared" si="108"/>
        <v>376</v>
      </c>
      <c r="S568" s="8">
        <v>12690</v>
      </c>
      <c r="T568" s="8">
        <v>12798</v>
      </c>
      <c r="U568" s="133">
        <f t="shared" si="103"/>
        <v>108</v>
      </c>
      <c r="V568" s="8">
        <v>327313</v>
      </c>
      <c r="W568" s="8">
        <v>327422</v>
      </c>
      <c r="X568" s="13">
        <f t="shared" si="105"/>
        <v>109</v>
      </c>
      <c r="Y568" s="8">
        <v>21971</v>
      </c>
      <c r="Z568" s="8">
        <v>21986</v>
      </c>
      <c r="AA568" s="13">
        <f t="shared" si="100"/>
        <v>15</v>
      </c>
      <c r="AB568" s="8">
        <v>205321</v>
      </c>
      <c r="AC568" s="8">
        <v>205390</v>
      </c>
      <c r="AD568" s="13">
        <f t="shared" si="104"/>
        <v>69</v>
      </c>
      <c r="AE568" s="135"/>
      <c r="AF568" s="135"/>
      <c r="AG568" s="135"/>
      <c r="AH568" s="136"/>
      <c r="AI568" s="50">
        <f t="shared" si="101"/>
        <v>608</v>
      </c>
    </row>
    <row r="569" spans="1:35">
      <c r="A569" s="12">
        <v>44944</v>
      </c>
      <c r="B569" s="8">
        <v>1781078</v>
      </c>
      <c r="C569" s="8">
        <v>1781285</v>
      </c>
      <c r="D569" s="13">
        <f t="shared" si="107"/>
        <v>207</v>
      </c>
      <c r="E569" s="69">
        <v>95273</v>
      </c>
      <c r="F569" s="69">
        <v>95564</v>
      </c>
      <c r="G569" s="133">
        <f t="shared" si="102"/>
        <v>291</v>
      </c>
      <c r="H569" s="8">
        <v>233277</v>
      </c>
      <c r="I569" s="8">
        <v>233830</v>
      </c>
      <c r="J569" s="13">
        <f>I569-H569</f>
        <v>553</v>
      </c>
      <c r="K569" s="138"/>
      <c r="L569" s="8">
        <v>596333</v>
      </c>
      <c r="M569" s="8">
        <v>596476</v>
      </c>
      <c r="N569" s="13">
        <f t="shared" si="99"/>
        <v>143</v>
      </c>
      <c r="O569" s="136"/>
      <c r="P569" s="8">
        <v>348389</v>
      </c>
      <c r="Q569" s="8">
        <v>348634</v>
      </c>
      <c r="R569" s="133">
        <f t="shared" si="108"/>
        <v>245</v>
      </c>
      <c r="S569" s="8">
        <v>12798</v>
      </c>
      <c r="T569" s="8">
        <v>12893</v>
      </c>
      <c r="U569" s="133">
        <f t="shared" si="103"/>
        <v>95</v>
      </c>
      <c r="V569" s="8">
        <v>327422</v>
      </c>
      <c r="W569" s="8">
        <v>327568</v>
      </c>
      <c r="X569" s="13">
        <f t="shared" si="105"/>
        <v>146</v>
      </c>
      <c r="Y569" s="8">
        <v>21986</v>
      </c>
      <c r="Z569" s="8">
        <v>22012</v>
      </c>
      <c r="AA569" s="13">
        <f t="shared" si="100"/>
        <v>26</v>
      </c>
      <c r="AB569" s="8">
        <v>205390</v>
      </c>
      <c r="AC569" s="8">
        <v>205471</v>
      </c>
      <c r="AD569" s="13">
        <f t="shared" si="104"/>
        <v>81</v>
      </c>
      <c r="AE569" s="135"/>
      <c r="AF569" s="135"/>
      <c r="AG569" s="135"/>
      <c r="AH569" s="136"/>
      <c r="AI569" s="50">
        <f t="shared" si="101"/>
        <v>512</v>
      </c>
    </row>
    <row r="570" spans="1:35">
      <c r="A570" s="12">
        <v>44945</v>
      </c>
      <c r="B570" s="8">
        <v>1781285</v>
      </c>
      <c r="C570" s="8">
        <v>1781295</v>
      </c>
      <c r="D570" s="13">
        <f t="shared" si="107"/>
        <v>10</v>
      </c>
      <c r="E570" s="69">
        <v>95564</v>
      </c>
      <c r="F570" s="69">
        <v>95817</v>
      </c>
      <c r="G570" s="133">
        <f t="shared" si="102"/>
        <v>253</v>
      </c>
      <c r="H570" s="8">
        <v>233830</v>
      </c>
      <c r="I570" s="8">
        <v>233830</v>
      </c>
      <c r="J570" s="13">
        <f>I570-H570</f>
        <v>0</v>
      </c>
      <c r="K570" s="138"/>
      <c r="L570" s="8">
        <v>596476</v>
      </c>
      <c r="M570" s="8">
        <v>596759</v>
      </c>
      <c r="N570" s="13">
        <f t="shared" si="99"/>
        <v>283</v>
      </c>
      <c r="O570" s="136"/>
      <c r="P570" s="8">
        <v>348634</v>
      </c>
      <c r="Q570" s="8">
        <v>348634</v>
      </c>
      <c r="R570" s="133">
        <f t="shared" si="108"/>
        <v>0</v>
      </c>
      <c r="S570" s="8">
        <v>12893</v>
      </c>
      <c r="T570" s="8">
        <v>12935</v>
      </c>
      <c r="U570" s="133">
        <f t="shared" si="103"/>
        <v>42</v>
      </c>
      <c r="V570" s="8">
        <v>327568</v>
      </c>
      <c r="W570" s="8">
        <v>327682</v>
      </c>
      <c r="X570" s="13">
        <f t="shared" si="105"/>
        <v>114</v>
      </c>
      <c r="Y570" s="8">
        <v>22012</v>
      </c>
      <c r="Z570" s="8">
        <v>22038</v>
      </c>
      <c r="AA570" s="13">
        <f t="shared" si="100"/>
        <v>26</v>
      </c>
      <c r="AB570" s="8">
        <v>205471</v>
      </c>
      <c r="AC570" s="8">
        <v>205571</v>
      </c>
      <c r="AD570" s="13">
        <f t="shared" si="104"/>
        <v>100</v>
      </c>
      <c r="AE570" s="135"/>
      <c r="AF570" s="135"/>
      <c r="AG570" s="135"/>
      <c r="AH570" s="136"/>
      <c r="AI570" s="50">
        <f t="shared" si="101"/>
        <v>182</v>
      </c>
    </row>
    <row r="571" spans="1:35">
      <c r="A571" s="12">
        <v>44946</v>
      </c>
      <c r="B571" s="8">
        <v>1781295</v>
      </c>
      <c r="C571" s="8">
        <v>1781328</v>
      </c>
      <c r="D571" s="13">
        <f t="shared" si="107"/>
        <v>33</v>
      </c>
      <c r="E571" s="69">
        <v>95817</v>
      </c>
      <c r="F571" s="69">
        <v>96454</v>
      </c>
      <c r="G571" s="133">
        <f t="shared" si="102"/>
        <v>637</v>
      </c>
      <c r="H571" s="8">
        <v>233830</v>
      </c>
      <c r="I571" s="8">
        <v>233830</v>
      </c>
      <c r="J571" s="13">
        <f t="shared" ref="J571:J634" si="110">I571-H571</f>
        <v>0</v>
      </c>
      <c r="K571" s="138"/>
      <c r="L571" s="8">
        <v>596759</v>
      </c>
      <c r="M571" s="8">
        <v>596869</v>
      </c>
      <c r="N571" s="13">
        <f t="shared" si="99"/>
        <v>110</v>
      </c>
      <c r="O571" s="136"/>
      <c r="P571" s="8">
        <v>348634</v>
      </c>
      <c r="Q571" s="8">
        <v>348641</v>
      </c>
      <c r="R571" s="133">
        <f t="shared" si="108"/>
        <v>7</v>
      </c>
      <c r="S571" s="8">
        <v>12935</v>
      </c>
      <c r="T571" s="8">
        <v>13100</v>
      </c>
      <c r="U571" s="133">
        <f t="shared" si="103"/>
        <v>165</v>
      </c>
      <c r="V571" s="8">
        <v>327682</v>
      </c>
      <c r="W571" s="8">
        <v>327795</v>
      </c>
      <c r="X571" s="13">
        <f t="shared" si="105"/>
        <v>113</v>
      </c>
      <c r="Y571" s="8">
        <v>22038</v>
      </c>
      <c r="Z571" s="8">
        <v>22059</v>
      </c>
      <c r="AA571" s="13">
        <f t="shared" si="100"/>
        <v>21</v>
      </c>
      <c r="AB571" s="8">
        <v>205571</v>
      </c>
      <c r="AC571" s="8">
        <v>205759</v>
      </c>
      <c r="AD571" s="13">
        <f t="shared" si="104"/>
        <v>188</v>
      </c>
      <c r="AE571" s="135"/>
      <c r="AF571" s="135"/>
      <c r="AG571" s="135"/>
      <c r="AH571" s="136"/>
      <c r="AI571" s="50">
        <f t="shared" si="101"/>
        <v>306</v>
      </c>
    </row>
    <row r="572" spans="1:35">
      <c r="A572" s="12">
        <v>44947</v>
      </c>
      <c r="B572" s="8">
        <v>1781328</v>
      </c>
      <c r="C572" s="8">
        <v>1781336</v>
      </c>
      <c r="D572" s="13">
        <f t="shared" si="107"/>
        <v>8</v>
      </c>
      <c r="E572" s="69">
        <v>96454</v>
      </c>
      <c r="F572" s="69">
        <v>97192</v>
      </c>
      <c r="G572" s="133">
        <f t="shared" si="102"/>
        <v>738</v>
      </c>
      <c r="H572" s="8">
        <v>233830</v>
      </c>
      <c r="I572" s="8">
        <v>234633</v>
      </c>
      <c r="J572" s="13">
        <f t="shared" si="110"/>
        <v>803</v>
      </c>
      <c r="K572" s="138"/>
      <c r="L572" s="8">
        <v>596869</v>
      </c>
      <c r="M572" s="8">
        <v>597283</v>
      </c>
      <c r="N572" s="13">
        <f t="shared" si="99"/>
        <v>414</v>
      </c>
      <c r="O572" s="136"/>
      <c r="P572" s="8">
        <v>348641</v>
      </c>
      <c r="Q572" s="8">
        <v>348954</v>
      </c>
      <c r="R572" s="133">
        <f t="shared" si="108"/>
        <v>313</v>
      </c>
      <c r="S572" s="8">
        <v>13100</v>
      </c>
      <c r="T572" s="8">
        <v>13139</v>
      </c>
      <c r="U572" s="133">
        <f t="shared" si="103"/>
        <v>39</v>
      </c>
      <c r="V572" s="8">
        <v>327795</v>
      </c>
      <c r="W572" s="8">
        <v>328104</v>
      </c>
      <c r="X572" s="13">
        <f t="shared" si="105"/>
        <v>309</v>
      </c>
      <c r="Y572" s="8">
        <v>22059</v>
      </c>
      <c r="Z572" s="8">
        <v>22093</v>
      </c>
      <c r="AA572" s="13">
        <f t="shared" si="100"/>
        <v>34</v>
      </c>
      <c r="AB572" s="8">
        <v>205759</v>
      </c>
      <c r="AC572" s="8">
        <v>205945</v>
      </c>
      <c r="AD572" s="13">
        <f t="shared" si="104"/>
        <v>186</v>
      </c>
      <c r="AE572" s="135"/>
      <c r="AF572" s="135"/>
      <c r="AG572" s="135"/>
      <c r="AH572" s="136"/>
      <c r="AI572" s="50">
        <f t="shared" si="101"/>
        <v>695</v>
      </c>
    </row>
    <row r="573" spans="1:35">
      <c r="A573" s="12">
        <v>44948</v>
      </c>
      <c r="B573" s="8">
        <v>1781336</v>
      </c>
      <c r="C573" s="8">
        <v>1781337</v>
      </c>
      <c r="D573" s="13">
        <f t="shared" si="107"/>
        <v>1</v>
      </c>
      <c r="E573" s="69">
        <v>97192</v>
      </c>
      <c r="F573" s="69">
        <v>97678</v>
      </c>
      <c r="G573" s="133">
        <f t="shared" si="102"/>
        <v>486</v>
      </c>
      <c r="H573" s="8">
        <v>234633</v>
      </c>
      <c r="I573" s="8">
        <v>235329</v>
      </c>
      <c r="J573" s="13">
        <f t="shared" si="110"/>
        <v>696</v>
      </c>
      <c r="K573" s="138"/>
      <c r="L573" s="8">
        <v>597283</v>
      </c>
      <c r="M573" s="8">
        <v>597619</v>
      </c>
      <c r="N573" s="13">
        <f t="shared" ref="N573:N640" si="111">M573-L573</f>
        <v>336</v>
      </c>
      <c r="O573" s="136"/>
      <c r="P573" s="8">
        <v>348954</v>
      </c>
      <c r="Q573" s="8">
        <v>349238</v>
      </c>
      <c r="R573" s="133">
        <f t="shared" si="108"/>
        <v>284</v>
      </c>
      <c r="S573" s="8">
        <v>13139</v>
      </c>
      <c r="T573" s="8">
        <v>13204</v>
      </c>
      <c r="U573" s="133">
        <f t="shared" si="103"/>
        <v>65</v>
      </c>
      <c r="V573" s="8">
        <v>328104</v>
      </c>
      <c r="W573" s="8">
        <v>328202</v>
      </c>
      <c r="X573" s="13">
        <f t="shared" si="105"/>
        <v>98</v>
      </c>
      <c r="Y573" s="8">
        <v>22093</v>
      </c>
      <c r="Z573" s="8">
        <v>22122</v>
      </c>
      <c r="AA573" s="13">
        <f t="shared" si="100"/>
        <v>29</v>
      </c>
      <c r="AB573" s="8">
        <v>205945</v>
      </c>
      <c r="AC573" s="8">
        <v>206216</v>
      </c>
      <c r="AD573" s="13">
        <f t="shared" si="104"/>
        <v>271</v>
      </c>
      <c r="AE573" s="135"/>
      <c r="AF573" s="135"/>
      <c r="AG573" s="135"/>
      <c r="AH573" s="136"/>
      <c r="AI573" s="50">
        <f t="shared" si="101"/>
        <v>476</v>
      </c>
    </row>
    <row r="574" spans="1:35">
      <c r="A574" s="12">
        <v>44949</v>
      </c>
      <c r="B574" s="8">
        <v>1781337</v>
      </c>
      <c r="C574" s="8">
        <v>1781337</v>
      </c>
      <c r="D574" s="13">
        <f t="shared" si="107"/>
        <v>0</v>
      </c>
      <c r="E574" s="69">
        <v>97678</v>
      </c>
      <c r="F574" s="69">
        <v>98449</v>
      </c>
      <c r="G574" s="133">
        <f t="shared" si="102"/>
        <v>771</v>
      </c>
      <c r="H574" s="8">
        <v>235329</v>
      </c>
      <c r="I574" s="8">
        <v>236123</v>
      </c>
      <c r="J574" s="13">
        <f t="shared" si="110"/>
        <v>794</v>
      </c>
      <c r="K574" s="138"/>
      <c r="L574" s="8">
        <v>597619</v>
      </c>
      <c r="M574" s="8">
        <v>598222</v>
      </c>
      <c r="N574" s="13">
        <f t="shared" si="111"/>
        <v>603</v>
      </c>
      <c r="O574" s="136"/>
      <c r="P574" s="8">
        <v>349238</v>
      </c>
      <c r="Q574" s="8">
        <v>349986</v>
      </c>
      <c r="R574" s="133">
        <f t="shared" si="108"/>
        <v>748</v>
      </c>
      <c r="S574" s="8">
        <v>13204</v>
      </c>
      <c r="T574" s="8">
        <v>13250</v>
      </c>
      <c r="U574" s="133">
        <f t="shared" si="103"/>
        <v>46</v>
      </c>
      <c r="V574" s="8">
        <v>328202</v>
      </c>
      <c r="W574" s="8">
        <v>328313</v>
      </c>
      <c r="X574" s="13">
        <f t="shared" si="105"/>
        <v>111</v>
      </c>
      <c r="Y574" s="8">
        <v>22122</v>
      </c>
      <c r="Z574" s="8">
        <v>22139</v>
      </c>
      <c r="AA574" s="13">
        <f t="shared" ref="AA574:AA647" si="112">Z574-Y574</f>
        <v>17</v>
      </c>
      <c r="AB574" s="8">
        <v>206216</v>
      </c>
      <c r="AC574" s="8">
        <v>206294</v>
      </c>
      <c r="AD574" s="13">
        <f t="shared" si="104"/>
        <v>78</v>
      </c>
      <c r="AE574" s="135"/>
      <c r="AF574" s="135"/>
      <c r="AG574" s="135"/>
      <c r="AH574" s="136"/>
      <c r="AI574" s="50">
        <f t="shared" si="101"/>
        <v>922</v>
      </c>
    </row>
    <row r="575" spans="1:35">
      <c r="A575" s="12">
        <v>44950</v>
      </c>
      <c r="B575" s="8">
        <v>1781337</v>
      </c>
      <c r="C575" s="8">
        <v>1781337</v>
      </c>
      <c r="D575" s="13">
        <f t="shared" si="107"/>
        <v>0</v>
      </c>
      <c r="E575" s="69">
        <v>98449</v>
      </c>
      <c r="F575" s="69">
        <v>99161</v>
      </c>
      <c r="G575" s="133">
        <f t="shared" si="102"/>
        <v>712</v>
      </c>
      <c r="H575" s="8">
        <v>236123</v>
      </c>
      <c r="I575" s="8">
        <v>236760</v>
      </c>
      <c r="J575" s="13">
        <f t="shared" si="110"/>
        <v>637</v>
      </c>
      <c r="K575" s="138"/>
      <c r="L575" s="8">
        <v>598222</v>
      </c>
      <c r="M575" s="8">
        <v>598656</v>
      </c>
      <c r="N575" s="13">
        <f t="shared" si="111"/>
        <v>434</v>
      </c>
      <c r="O575" s="136"/>
      <c r="P575" s="8">
        <v>349986</v>
      </c>
      <c r="Q575" s="8">
        <v>350554</v>
      </c>
      <c r="R575" s="133">
        <f t="shared" si="108"/>
        <v>568</v>
      </c>
      <c r="S575" s="8">
        <v>13250</v>
      </c>
      <c r="T575" s="8">
        <v>13316</v>
      </c>
      <c r="U575" s="133">
        <f t="shared" si="103"/>
        <v>66</v>
      </c>
      <c r="V575" s="8">
        <v>328313</v>
      </c>
      <c r="W575" s="8">
        <v>328506</v>
      </c>
      <c r="X575" s="13">
        <f t="shared" si="105"/>
        <v>193</v>
      </c>
      <c r="Y575" s="8">
        <v>22139</v>
      </c>
      <c r="Z575" s="8">
        <v>22159</v>
      </c>
      <c r="AA575" s="13">
        <f t="shared" si="112"/>
        <v>20</v>
      </c>
      <c r="AB575" s="8">
        <v>206294</v>
      </c>
      <c r="AC575" s="101">
        <v>206427</v>
      </c>
      <c r="AD575" s="13">
        <f t="shared" si="104"/>
        <v>133</v>
      </c>
      <c r="AE575" s="135"/>
      <c r="AF575" s="135"/>
      <c r="AG575" s="135"/>
      <c r="AH575" s="136"/>
      <c r="AI575" s="50">
        <f t="shared" si="101"/>
        <v>847</v>
      </c>
    </row>
    <row r="576" spans="1:35">
      <c r="A576" s="12">
        <v>44951</v>
      </c>
      <c r="B576" s="8">
        <v>1781337</v>
      </c>
      <c r="C576" s="8">
        <v>1781337</v>
      </c>
      <c r="D576" s="13">
        <f t="shared" si="107"/>
        <v>0</v>
      </c>
      <c r="E576" s="69">
        <v>99161</v>
      </c>
      <c r="F576" s="69">
        <v>99975</v>
      </c>
      <c r="G576" s="133">
        <f t="shared" si="102"/>
        <v>814</v>
      </c>
      <c r="H576" s="8">
        <v>236760</v>
      </c>
      <c r="I576" s="8">
        <v>237589</v>
      </c>
      <c r="J576" s="13">
        <f t="shared" si="110"/>
        <v>829</v>
      </c>
      <c r="K576" s="138"/>
      <c r="L576" s="8">
        <v>598656</v>
      </c>
      <c r="M576" s="8">
        <v>599173</v>
      </c>
      <c r="N576" s="13">
        <f t="shared" si="111"/>
        <v>517</v>
      </c>
      <c r="O576" s="136"/>
      <c r="P576" s="8">
        <v>350554</v>
      </c>
      <c r="Q576" s="8">
        <v>351047</v>
      </c>
      <c r="R576" s="133">
        <f t="shared" si="108"/>
        <v>493</v>
      </c>
      <c r="S576" s="8">
        <v>13316</v>
      </c>
      <c r="T576" s="8">
        <v>13368</v>
      </c>
      <c r="U576" s="133">
        <f t="shared" si="103"/>
        <v>52</v>
      </c>
      <c r="V576" s="8">
        <v>328506</v>
      </c>
      <c r="W576" s="8">
        <v>328805</v>
      </c>
      <c r="X576" s="13">
        <f t="shared" si="105"/>
        <v>299</v>
      </c>
      <c r="Y576" s="8">
        <v>22159</v>
      </c>
      <c r="Z576" s="8">
        <v>22180</v>
      </c>
      <c r="AA576" s="13">
        <f t="shared" si="112"/>
        <v>21</v>
      </c>
      <c r="AB576" s="101">
        <v>206427</v>
      </c>
      <c r="AC576" s="8">
        <v>206573</v>
      </c>
      <c r="AD576" s="13">
        <f t="shared" si="104"/>
        <v>146</v>
      </c>
      <c r="AE576" s="135"/>
      <c r="AF576" s="135"/>
      <c r="AG576" s="135"/>
      <c r="AH576" s="136"/>
      <c r="AI576" s="50">
        <f t="shared" si="101"/>
        <v>865</v>
      </c>
    </row>
    <row r="577" spans="1:35">
      <c r="A577" s="12">
        <v>44952</v>
      </c>
      <c r="B577" s="8">
        <v>1781337</v>
      </c>
      <c r="C577" s="8">
        <v>1781337</v>
      </c>
      <c r="D577" s="13">
        <f t="shared" si="107"/>
        <v>0</v>
      </c>
      <c r="E577" s="69">
        <v>99975</v>
      </c>
      <c r="F577" s="69">
        <v>100173</v>
      </c>
      <c r="G577" s="133">
        <f t="shared" si="102"/>
        <v>198</v>
      </c>
      <c r="H577" s="8">
        <v>237589</v>
      </c>
      <c r="I577" s="8">
        <v>238390</v>
      </c>
      <c r="J577" s="13">
        <f t="shared" si="110"/>
        <v>801</v>
      </c>
      <c r="K577" s="138"/>
      <c r="L577" s="8">
        <v>599173</v>
      </c>
      <c r="M577" s="8">
        <v>599485</v>
      </c>
      <c r="N577" s="13">
        <f t="shared" si="111"/>
        <v>312</v>
      </c>
      <c r="O577" s="136"/>
      <c r="P577" s="8">
        <v>351047</v>
      </c>
      <c r="Q577" s="8">
        <v>351460</v>
      </c>
      <c r="R577" s="133">
        <f t="shared" si="108"/>
        <v>413</v>
      </c>
      <c r="S577" s="8">
        <v>13368</v>
      </c>
      <c r="T577" s="8">
        <v>13392</v>
      </c>
      <c r="U577" s="133">
        <f t="shared" si="103"/>
        <v>24</v>
      </c>
      <c r="V577" s="8">
        <v>328805</v>
      </c>
      <c r="W577" s="8">
        <v>329138</v>
      </c>
      <c r="X577" s="13">
        <f t="shared" si="105"/>
        <v>333</v>
      </c>
      <c r="Y577" s="8">
        <v>22180</v>
      </c>
      <c r="Z577" s="8">
        <v>22197</v>
      </c>
      <c r="AA577" s="13">
        <f t="shared" si="112"/>
        <v>17</v>
      </c>
      <c r="AB577" s="8">
        <v>206573</v>
      </c>
      <c r="AC577" s="8">
        <v>206835</v>
      </c>
      <c r="AD577" s="13">
        <f t="shared" si="104"/>
        <v>262</v>
      </c>
      <c r="AE577" s="135"/>
      <c r="AF577" s="135"/>
      <c r="AG577" s="135"/>
      <c r="AH577" s="136"/>
      <c r="AI577" s="50">
        <f t="shared" ref="AI577:AI640" si="113">AA577+U577+R577+O577+X577</f>
        <v>787</v>
      </c>
    </row>
    <row r="578" spans="1:35">
      <c r="A578" s="12">
        <v>44953</v>
      </c>
      <c r="B578" s="8">
        <v>1781337</v>
      </c>
      <c r="C578" s="8">
        <v>1781337</v>
      </c>
      <c r="D578" s="13">
        <f t="shared" si="107"/>
        <v>0</v>
      </c>
      <c r="E578" s="69">
        <v>100173</v>
      </c>
      <c r="F578" s="77">
        <v>100913</v>
      </c>
      <c r="G578" s="133">
        <f t="shared" si="102"/>
        <v>740</v>
      </c>
      <c r="H578" s="8">
        <v>238390</v>
      </c>
      <c r="I578" s="8">
        <v>239315</v>
      </c>
      <c r="J578" s="13">
        <f t="shared" si="110"/>
        <v>925</v>
      </c>
      <c r="K578" s="138"/>
      <c r="L578" s="8">
        <v>599485</v>
      </c>
      <c r="M578" s="8">
        <v>599718</v>
      </c>
      <c r="N578" s="13">
        <f t="shared" si="111"/>
        <v>233</v>
      </c>
      <c r="O578" s="136"/>
      <c r="P578" s="8">
        <v>351460</v>
      </c>
      <c r="Q578" s="8">
        <v>351843</v>
      </c>
      <c r="R578" s="133">
        <f>Q578-P578</f>
        <v>383</v>
      </c>
      <c r="S578" s="8">
        <v>13392</v>
      </c>
      <c r="T578" s="8">
        <v>13428</v>
      </c>
      <c r="U578" s="133">
        <f t="shared" si="103"/>
        <v>36</v>
      </c>
      <c r="V578" s="8">
        <v>329138</v>
      </c>
      <c r="W578" s="8">
        <v>329414</v>
      </c>
      <c r="X578" s="13">
        <f t="shared" si="105"/>
        <v>276</v>
      </c>
      <c r="Y578" s="8">
        <v>22197</v>
      </c>
      <c r="Z578" s="8">
        <v>22228</v>
      </c>
      <c r="AA578" s="13">
        <f t="shared" si="112"/>
        <v>31</v>
      </c>
      <c r="AB578" s="8">
        <v>206835</v>
      </c>
      <c r="AC578" s="8">
        <v>207106</v>
      </c>
      <c r="AD578" s="13">
        <f t="shared" si="104"/>
        <v>271</v>
      </c>
      <c r="AE578" s="135"/>
      <c r="AF578" s="135"/>
      <c r="AG578" s="135"/>
      <c r="AH578" s="136"/>
      <c r="AI578" s="50">
        <f t="shared" si="113"/>
        <v>726</v>
      </c>
    </row>
    <row r="579" spans="1:35">
      <c r="A579" s="12">
        <v>44954</v>
      </c>
      <c r="B579" s="8">
        <v>1781337</v>
      </c>
      <c r="C579" s="8">
        <v>1781337</v>
      </c>
      <c r="D579" s="13">
        <f t="shared" si="107"/>
        <v>0</v>
      </c>
      <c r="E579" s="77">
        <v>100913</v>
      </c>
      <c r="F579" s="77">
        <v>101596</v>
      </c>
      <c r="G579" s="133">
        <f t="shared" ref="G579:G642" si="114">F579-E579</f>
        <v>683</v>
      </c>
      <c r="H579" s="8">
        <v>239315</v>
      </c>
      <c r="I579" s="8">
        <v>239315</v>
      </c>
      <c r="J579" s="13">
        <f t="shared" si="110"/>
        <v>0</v>
      </c>
      <c r="K579" s="138"/>
      <c r="L579" s="8">
        <v>599718</v>
      </c>
      <c r="M579" s="8">
        <v>600051</v>
      </c>
      <c r="N579" s="13">
        <f t="shared" si="111"/>
        <v>333</v>
      </c>
      <c r="O579" s="136"/>
      <c r="P579" s="8">
        <v>351843</v>
      </c>
      <c r="Q579" s="8">
        <v>352243</v>
      </c>
      <c r="R579" s="133">
        <f t="shared" si="108"/>
        <v>400</v>
      </c>
      <c r="S579" s="8">
        <v>13428</v>
      </c>
      <c r="T579" s="8">
        <v>13468</v>
      </c>
      <c r="U579" s="133">
        <f t="shared" si="103"/>
        <v>40</v>
      </c>
      <c r="V579" s="8">
        <v>329414</v>
      </c>
      <c r="W579" s="8">
        <v>329627</v>
      </c>
      <c r="X579" s="13">
        <f t="shared" si="105"/>
        <v>213</v>
      </c>
      <c r="Y579" s="8">
        <v>22228</v>
      </c>
      <c r="Z579" s="8">
        <v>22256</v>
      </c>
      <c r="AA579" s="13">
        <f t="shared" si="112"/>
        <v>28</v>
      </c>
      <c r="AB579" s="8">
        <v>207106</v>
      </c>
      <c r="AC579" s="8">
        <v>207423</v>
      </c>
      <c r="AD579" s="13">
        <f t="shared" si="104"/>
        <v>317</v>
      </c>
      <c r="AE579" s="135"/>
      <c r="AF579" s="135"/>
      <c r="AG579" s="135"/>
      <c r="AH579" s="136"/>
      <c r="AI579" s="50">
        <f t="shared" si="113"/>
        <v>681</v>
      </c>
    </row>
    <row r="580" spans="1:35">
      <c r="A580" s="12">
        <v>44955</v>
      </c>
      <c r="B580" s="8">
        <v>1781337</v>
      </c>
      <c r="C580" s="8">
        <v>1781337</v>
      </c>
      <c r="D580" s="13">
        <f t="shared" si="107"/>
        <v>0</v>
      </c>
      <c r="E580" s="77">
        <v>101596</v>
      </c>
      <c r="F580" s="77">
        <v>102351</v>
      </c>
      <c r="G580" s="133">
        <f t="shared" si="114"/>
        <v>755</v>
      </c>
      <c r="H580" s="8">
        <v>239315</v>
      </c>
      <c r="I580" s="8">
        <v>240036</v>
      </c>
      <c r="J580" s="13">
        <f t="shared" si="110"/>
        <v>721</v>
      </c>
      <c r="K580" s="138"/>
      <c r="L580" s="8">
        <v>600051</v>
      </c>
      <c r="M580" s="8">
        <v>600318</v>
      </c>
      <c r="N580" s="13">
        <f t="shared" si="111"/>
        <v>267</v>
      </c>
      <c r="O580" s="136"/>
      <c r="P580" s="8">
        <v>352243</v>
      </c>
      <c r="Q580" s="8">
        <v>352673</v>
      </c>
      <c r="R580" s="133">
        <f t="shared" si="108"/>
        <v>430</v>
      </c>
      <c r="S580" s="8">
        <v>13468</v>
      </c>
      <c r="T580" s="8">
        <v>13522</v>
      </c>
      <c r="U580" s="133">
        <f t="shared" si="103"/>
        <v>54</v>
      </c>
      <c r="V580" s="8">
        <v>329627</v>
      </c>
      <c r="W580" s="8">
        <v>329791</v>
      </c>
      <c r="X580" s="13">
        <f t="shared" si="105"/>
        <v>164</v>
      </c>
      <c r="Y580" s="8">
        <v>22256</v>
      </c>
      <c r="Z580" s="8">
        <v>22272</v>
      </c>
      <c r="AA580" s="13">
        <f t="shared" si="112"/>
        <v>16</v>
      </c>
      <c r="AB580" s="8">
        <v>207423</v>
      </c>
      <c r="AC580" s="8">
        <v>207598</v>
      </c>
      <c r="AD580" s="13">
        <f t="shared" si="104"/>
        <v>175</v>
      </c>
      <c r="AE580" s="135"/>
      <c r="AF580" s="135"/>
      <c r="AG580" s="135"/>
      <c r="AH580" s="136"/>
      <c r="AI580" s="50">
        <f t="shared" si="113"/>
        <v>664</v>
      </c>
    </row>
    <row r="581" spans="1:35">
      <c r="A581" s="12">
        <v>44956</v>
      </c>
      <c r="B581" s="8">
        <v>1781337</v>
      </c>
      <c r="C581" s="8">
        <v>1781337</v>
      </c>
      <c r="D581" s="13">
        <f t="shared" si="107"/>
        <v>0</v>
      </c>
      <c r="E581" s="77">
        <v>102351</v>
      </c>
      <c r="F581" s="77">
        <v>103039</v>
      </c>
      <c r="G581" s="133">
        <f t="shared" si="114"/>
        <v>688</v>
      </c>
      <c r="H581" s="8">
        <v>240036</v>
      </c>
      <c r="I581" s="8">
        <v>240744</v>
      </c>
      <c r="J581" s="13">
        <f t="shared" si="110"/>
        <v>708</v>
      </c>
      <c r="K581" s="138"/>
      <c r="L581" s="8">
        <v>600318</v>
      </c>
      <c r="M581" s="8">
        <v>600986</v>
      </c>
      <c r="N581" s="13">
        <f t="shared" si="111"/>
        <v>668</v>
      </c>
      <c r="O581" s="136"/>
      <c r="P581" s="8">
        <v>352673</v>
      </c>
      <c r="Q581" s="8">
        <v>353002</v>
      </c>
      <c r="R581" s="133">
        <f t="shared" si="108"/>
        <v>329</v>
      </c>
      <c r="S581" s="8">
        <v>13522</v>
      </c>
      <c r="T581" s="8">
        <v>13589</v>
      </c>
      <c r="U581" s="133">
        <f t="shared" ref="U581:U586" si="115">T581-S581</f>
        <v>67</v>
      </c>
      <c r="V581" s="8">
        <v>329791</v>
      </c>
      <c r="W581" s="8">
        <v>329891</v>
      </c>
      <c r="X581" s="13">
        <f t="shared" si="105"/>
        <v>100</v>
      </c>
      <c r="Y581" s="8">
        <v>22272</v>
      </c>
      <c r="Z581" s="8">
        <v>22302</v>
      </c>
      <c r="AA581" s="13">
        <f t="shared" si="112"/>
        <v>30</v>
      </c>
      <c r="AB581" s="8">
        <v>207598</v>
      </c>
      <c r="AC581" s="8">
        <v>207871</v>
      </c>
      <c r="AD581" s="13">
        <f t="shared" si="104"/>
        <v>273</v>
      </c>
      <c r="AE581" s="135"/>
      <c r="AF581" s="135"/>
      <c r="AG581" s="135"/>
      <c r="AH581" s="136"/>
      <c r="AI581" s="50">
        <f t="shared" si="113"/>
        <v>526</v>
      </c>
    </row>
    <row r="582" spans="1:35">
      <c r="A582" s="12">
        <v>44957</v>
      </c>
      <c r="B582" s="8">
        <v>1781337</v>
      </c>
      <c r="C582" s="8">
        <v>1781337</v>
      </c>
      <c r="D582" s="13">
        <f t="shared" si="107"/>
        <v>0</v>
      </c>
      <c r="E582" s="77">
        <v>103039</v>
      </c>
      <c r="F582" s="77">
        <v>103701</v>
      </c>
      <c r="G582" s="133">
        <f t="shared" si="114"/>
        <v>662</v>
      </c>
      <c r="H582" s="8">
        <v>240744</v>
      </c>
      <c r="I582" s="8">
        <v>241503</v>
      </c>
      <c r="J582" s="13">
        <f t="shared" si="110"/>
        <v>759</v>
      </c>
      <c r="K582" s="138"/>
      <c r="L582" s="8">
        <v>600986</v>
      </c>
      <c r="M582" s="8">
        <v>601045</v>
      </c>
      <c r="N582" s="13">
        <f t="shared" si="111"/>
        <v>59</v>
      </c>
      <c r="O582" s="136"/>
      <c r="P582" s="8">
        <v>353002</v>
      </c>
      <c r="Q582" s="8">
        <v>353403</v>
      </c>
      <c r="R582" s="133">
        <f t="shared" si="108"/>
        <v>401</v>
      </c>
      <c r="S582" s="8">
        <v>13589</v>
      </c>
      <c r="T582" s="8">
        <v>13636</v>
      </c>
      <c r="U582" s="133">
        <f t="shared" si="115"/>
        <v>47</v>
      </c>
      <c r="V582" s="8">
        <v>329891</v>
      </c>
      <c r="W582" s="8">
        <v>329999</v>
      </c>
      <c r="X582" s="13">
        <f t="shared" si="105"/>
        <v>108</v>
      </c>
      <c r="Y582" s="8">
        <v>22302</v>
      </c>
      <c r="Z582" s="8">
        <v>22326</v>
      </c>
      <c r="AA582" s="13">
        <f t="shared" si="112"/>
        <v>24</v>
      </c>
      <c r="AB582" s="8">
        <v>207871</v>
      </c>
      <c r="AC582" s="8">
        <v>208112</v>
      </c>
      <c r="AD582" s="13">
        <f t="shared" si="104"/>
        <v>241</v>
      </c>
      <c r="AE582" s="135"/>
      <c r="AF582" s="135"/>
      <c r="AG582" s="135"/>
      <c r="AH582" s="136"/>
      <c r="AI582" s="50">
        <f t="shared" si="113"/>
        <v>580</v>
      </c>
    </row>
    <row r="583" spans="1:35">
      <c r="A583" s="12">
        <v>44958</v>
      </c>
      <c r="B583" s="8">
        <v>1781337</v>
      </c>
      <c r="C583" s="8">
        <v>1781778</v>
      </c>
      <c r="D583" s="13">
        <f t="shared" si="107"/>
        <v>441</v>
      </c>
      <c r="E583" s="77">
        <v>103701</v>
      </c>
      <c r="F583" s="77">
        <v>104315</v>
      </c>
      <c r="G583" s="133">
        <f t="shared" si="114"/>
        <v>614</v>
      </c>
      <c r="H583" s="8">
        <v>241503</v>
      </c>
      <c r="I583" s="8">
        <v>242067</v>
      </c>
      <c r="J583" s="13">
        <f t="shared" si="110"/>
        <v>564</v>
      </c>
      <c r="K583" s="138"/>
      <c r="L583" s="8">
        <v>601045</v>
      </c>
      <c r="M583" s="8">
        <v>601353</v>
      </c>
      <c r="N583" s="13">
        <f t="shared" si="111"/>
        <v>308</v>
      </c>
      <c r="O583" s="136"/>
      <c r="P583" s="8">
        <v>353403</v>
      </c>
      <c r="Q583" s="8">
        <v>353831</v>
      </c>
      <c r="R583" s="133">
        <f t="shared" si="108"/>
        <v>428</v>
      </c>
      <c r="S583" s="8">
        <v>13650</v>
      </c>
      <c r="T583" s="8">
        <v>13710</v>
      </c>
      <c r="U583" s="133">
        <f t="shared" si="115"/>
        <v>60</v>
      </c>
      <c r="V583" s="8">
        <v>329999</v>
      </c>
      <c r="W583" s="8">
        <v>330162</v>
      </c>
      <c r="X583" s="13">
        <f t="shared" si="105"/>
        <v>163</v>
      </c>
      <c r="Y583" s="8">
        <v>22326</v>
      </c>
      <c r="Z583" s="8">
        <v>22367</v>
      </c>
      <c r="AA583" s="13">
        <f t="shared" si="112"/>
        <v>41</v>
      </c>
      <c r="AB583" s="8">
        <v>208112</v>
      </c>
      <c r="AC583" s="8">
        <v>208373</v>
      </c>
      <c r="AD583" s="13">
        <f t="shared" si="104"/>
        <v>261</v>
      </c>
      <c r="AE583" s="135"/>
      <c r="AF583" s="135"/>
      <c r="AG583" s="135"/>
      <c r="AH583" s="136"/>
      <c r="AI583" s="50">
        <f t="shared" si="113"/>
        <v>692</v>
      </c>
    </row>
    <row r="584" spans="1:35">
      <c r="A584" s="12">
        <v>44959</v>
      </c>
      <c r="B584" s="8">
        <v>1781778</v>
      </c>
      <c r="C584" s="8">
        <v>1782402</v>
      </c>
      <c r="D584" s="13">
        <f t="shared" si="107"/>
        <v>624</v>
      </c>
      <c r="E584" s="77">
        <v>104315</v>
      </c>
      <c r="F584" s="69">
        <v>104914</v>
      </c>
      <c r="G584" s="133">
        <f t="shared" si="114"/>
        <v>599</v>
      </c>
      <c r="H584" s="8">
        <v>243067</v>
      </c>
      <c r="I584" s="8">
        <v>243067</v>
      </c>
      <c r="J584" s="13">
        <f t="shared" si="110"/>
        <v>0</v>
      </c>
      <c r="K584" s="138"/>
      <c r="L584" s="8">
        <v>601353</v>
      </c>
      <c r="M584" s="8">
        <v>602583</v>
      </c>
      <c r="N584" s="13">
        <f t="shared" si="111"/>
        <v>1230</v>
      </c>
      <c r="O584" s="136"/>
      <c r="P584" s="8">
        <v>353831</v>
      </c>
      <c r="Q584" s="8">
        <v>354462</v>
      </c>
      <c r="R584" s="133">
        <f t="shared" si="108"/>
        <v>631</v>
      </c>
      <c r="S584" s="8">
        <v>13710</v>
      </c>
      <c r="T584" s="8">
        <v>13750</v>
      </c>
      <c r="U584" s="133">
        <f t="shared" si="115"/>
        <v>40</v>
      </c>
      <c r="V584" s="8">
        <v>330162</v>
      </c>
      <c r="W584" s="8">
        <v>330420</v>
      </c>
      <c r="X584" s="13">
        <f t="shared" si="105"/>
        <v>258</v>
      </c>
      <c r="Y584" s="8">
        <v>22367</v>
      </c>
      <c r="Z584" s="8">
        <v>22432</v>
      </c>
      <c r="AA584" s="13">
        <f t="shared" si="112"/>
        <v>65</v>
      </c>
      <c r="AB584" s="8">
        <v>208373</v>
      </c>
      <c r="AC584" s="8">
        <v>208484</v>
      </c>
      <c r="AD584" s="13">
        <f t="shared" ref="AD584:AD647" si="116">AC584-AB584</f>
        <v>111</v>
      </c>
      <c r="AE584" s="135"/>
      <c r="AF584" s="135"/>
      <c r="AG584" s="135"/>
      <c r="AH584" s="136"/>
      <c r="AI584" s="50">
        <f t="shared" si="113"/>
        <v>994</v>
      </c>
    </row>
    <row r="585" spans="1:35">
      <c r="A585" s="12">
        <v>44960</v>
      </c>
      <c r="B585" s="8">
        <v>1782402</v>
      </c>
      <c r="C585" s="8">
        <v>1782986</v>
      </c>
      <c r="D585" s="13">
        <f t="shared" si="107"/>
        <v>584</v>
      </c>
      <c r="E585" s="69">
        <v>104914</v>
      </c>
      <c r="F585" s="69">
        <v>105562</v>
      </c>
      <c r="G585" s="133">
        <f t="shared" si="114"/>
        <v>648</v>
      </c>
      <c r="H585" s="8">
        <v>243067</v>
      </c>
      <c r="I585" s="8">
        <v>243067</v>
      </c>
      <c r="J585" s="13">
        <f t="shared" si="110"/>
        <v>0</v>
      </c>
      <c r="K585" s="138"/>
      <c r="L585" s="8">
        <v>602583</v>
      </c>
      <c r="M585" s="8">
        <v>603585</v>
      </c>
      <c r="N585" s="13">
        <f t="shared" si="111"/>
        <v>1002</v>
      </c>
      <c r="O585" s="136"/>
      <c r="P585" s="8">
        <v>354462</v>
      </c>
      <c r="Q585" s="8">
        <v>354973</v>
      </c>
      <c r="R585" s="133">
        <f t="shared" si="108"/>
        <v>511</v>
      </c>
      <c r="S585" s="8">
        <v>13750</v>
      </c>
      <c r="T585" s="8">
        <v>13797</v>
      </c>
      <c r="U585" s="133">
        <f t="shared" si="115"/>
        <v>47</v>
      </c>
      <c r="V585" s="8">
        <v>330420</v>
      </c>
      <c r="W585" s="8">
        <v>330592</v>
      </c>
      <c r="X585" s="13">
        <f t="shared" si="105"/>
        <v>172</v>
      </c>
      <c r="Y585" s="8">
        <v>22432</v>
      </c>
      <c r="Z585" s="8">
        <v>22480</v>
      </c>
      <c r="AA585" s="13">
        <f t="shared" si="112"/>
        <v>48</v>
      </c>
      <c r="AB585" s="8">
        <v>208484</v>
      </c>
      <c r="AC585" s="8">
        <v>208621</v>
      </c>
      <c r="AD585" s="13">
        <f t="shared" si="116"/>
        <v>137</v>
      </c>
      <c r="AE585" s="135"/>
      <c r="AF585" s="135"/>
      <c r="AG585" s="135"/>
      <c r="AH585" s="136"/>
      <c r="AI585" s="50">
        <f t="shared" si="113"/>
        <v>778</v>
      </c>
    </row>
    <row r="586" spans="1:35">
      <c r="A586" s="12">
        <v>44961</v>
      </c>
      <c r="B586" s="8">
        <v>1782986</v>
      </c>
      <c r="C586" s="8">
        <v>1783298</v>
      </c>
      <c r="D586" s="13">
        <f t="shared" si="107"/>
        <v>312</v>
      </c>
      <c r="E586" s="69">
        <v>105562</v>
      </c>
      <c r="F586" s="69">
        <v>106225</v>
      </c>
      <c r="G586" s="133">
        <f t="shared" si="114"/>
        <v>663</v>
      </c>
      <c r="H586" s="8">
        <v>243067</v>
      </c>
      <c r="I586" s="8">
        <v>243590</v>
      </c>
      <c r="J586" s="13">
        <f>I586-H586</f>
        <v>523</v>
      </c>
      <c r="K586" s="138"/>
      <c r="L586" s="8">
        <v>603585</v>
      </c>
      <c r="M586" s="8">
        <v>604173</v>
      </c>
      <c r="N586" s="13">
        <f t="shared" si="111"/>
        <v>588</v>
      </c>
      <c r="O586" s="136"/>
      <c r="P586" s="8">
        <v>354973</v>
      </c>
      <c r="Q586" s="8">
        <v>355336</v>
      </c>
      <c r="R586" s="133">
        <f t="shared" si="108"/>
        <v>363</v>
      </c>
      <c r="S586" s="8">
        <v>13797</v>
      </c>
      <c r="T586" s="8">
        <v>13949</v>
      </c>
      <c r="U586" s="133">
        <f t="shared" si="115"/>
        <v>152</v>
      </c>
      <c r="V586" s="8">
        <v>330592</v>
      </c>
      <c r="W586" s="8">
        <v>330782</v>
      </c>
      <c r="X586" s="13">
        <f t="shared" si="105"/>
        <v>190</v>
      </c>
      <c r="Y586" s="8">
        <v>22480</v>
      </c>
      <c r="Z586" s="8">
        <v>22590</v>
      </c>
      <c r="AA586" s="13">
        <f t="shared" si="112"/>
        <v>110</v>
      </c>
      <c r="AB586" s="8">
        <v>208621</v>
      </c>
      <c r="AC586" s="8">
        <v>208858</v>
      </c>
      <c r="AD586" s="13">
        <f t="shared" si="116"/>
        <v>237</v>
      </c>
      <c r="AE586" s="135"/>
      <c r="AF586" s="135"/>
      <c r="AG586" s="135"/>
      <c r="AH586" s="136"/>
      <c r="AI586" s="50">
        <f t="shared" si="113"/>
        <v>815</v>
      </c>
    </row>
    <row r="587" spans="1:35">
      <c r="A587" s="12">
        <v>44962</v>
      </c>
      <c r="B587" s="8">
        <v>1783298</v>
      </c>
      <c r="C587" s="8">
        <v>1783798</v>
      </c>
      <c r="D587" s="13">
        <f t="shared" si="107"/>
        <v>500</v>
      </c>
      <c r="E587" s="69">
        <v>106225</v>
      </c>
      <c r="F587" s="69">
        <v>106997</v>
      </c>
      <c r="G587" s="133">
        <f t="shared" si="114"/>
        <v>772</v>
      </c>
      <c r="H587" s="8">
        <v>243590</v>
      </c>
      <c r="I587" s="8">
        <v>244102</v>
      </c>
      <c r="J587" s="13">
        <f t="shared" si="110"/>
        <v>512</v>
      </c>
      <c r="K587" s="138"/>
      <c r="L587" s="8">
        <v>604173</v>
      </c>
      <c r="M587" s="8">
        <v>604676</v>
      </c>
      <c r="N587" s="13">
        <f t="shared" si="111"/>
        <v>503</v>
      </c>
      <c r="O587" s="136"/>
      <c r="P587" s="8">
        <v>355336</v>
      </c>
      <c r="Q587" s="8">
        <v>355682</v>
      </c>
      <c r="R587" s="133">
        <f t="shared" si="108"/>
        <v>346</v>
      </c>
      <c r="S587" s="8">
        <v>13949</v>
      </c>
      <c r="T587" s="8">
        <v>14113</v>
      </c>
      <c r="U587" s="133">
        <f>T587-S587</f>
        <v>164</v>
      </c>
      <c r="V587" s="8">
        <v>330782</v>
      </c>
      <c r="W587" s="8">
        <v>330976</v>
      </c>
      <c r="X587" s="13">
        <f t="shared" si="105"/>
        <v>194</v>
      </c>
      <c r="Y587" s="8">
        <v>22590</v>
      </c>
      <c r="Z587" s="8">
        <v>22713</v>
      </c>
      <c r="AA587" s="13">
        <f t="shared" si="112"/>
        <v>123</v>
      </c>
      <c r="AB587" s="8">
        <v>208858</v>
      </c>
      <c r="AC587" s="8">
        <v>209038</v>
      </c>
      <c r="AD587" s="13">
        <f t="shared" si="116"/>
        <v>180</v>
      </c>
      <c r="AE587" s="135"/>
      <c r="AF587" s="135"/>
      <c r="AG587" s="135"/>
      <c r="AH587" s="136"/>
      <c r="AI587" s="50">
        <f t="shared" si="113"/>
        <v>827</v>
      </c>
    </row>
    <row r="588" spans="1:35">
      <c r="A588" s="12">
        <v>44963</v>
      </c>
      <c r="B588" s="8">
        <v>1783798</v>
      </c>
      <c r="C588" s="8">
        <v>1784186</v>
      </c>
      <c r="D588" s="13">
        <f t="shared" si="107"/>
        <v>388</v>
      </c>
      <c r="E588" s="69">
        <v>106997</v>
      </c>
      <c r="F588" s="69">
        <v>107725</v>
      </c>
      <c r="G588" s="133">
        <f t="shared" si="114"/>
        <v>728</v>
      </c>
      <c r="H588" s="8">
        <v>244102</v>
      </c>
      <c r="I588" s="8">
        <v>244348</v>
      </c>
      <c r="J588" s="13">
        <f t="shared" si="110"/>
        <v>246</v>
      </c>
      <c r="K588" s="138"/>
      <c r="L588" s="8">
        <v>604676</v>
      </c>
      <c r="M588" s="8">
        <v>605828</v>
      </c>
      <c r="N588" s="13">
        <f t="shared" si="111"/>
        <v>1152</v>
      </c>
      <c r="O588" s="136"/>
      <c r="P588" s="8">
        <v>355682</v>
      </c>
      <c r="Q588" s="8">
        <v>356303</v>
      </c>
      <c r="R588" s="133">
        <f t="shared" si="108"/>
        <v>621</v>
      </c>
      <c r="S588" s="8">
        <v>14113</v>
      </c>
      <c r="T588" s="8">
        <v>14200</v>
      </c>
      <c r="U588" s="133">
        <f t="shared" ref="U588:U652" si="117">T588-S588</f>
        <v>87</v>
      </c>
      <c r="V588" s="8">
        <v>330976</v>
      </c>
      <c r="W588" s="8">
        <v>331134</v>
      </c>
      <c r="X588" s="13">
        <f t="shared" si="105"/>
        <v>158</v>
      </c>
      <c r="Y588" s="8">
        <v>22713</v>
      </c>
      <c r="Z588" s="8">
        <v>22796</v>
      </c>
      <c r="AA588" s="13">
        <f t="shared" si="112"/>
        <v>83</v>
      </c>
      <c r="AB588" s="8">
        <v>209038</v>
      </c>
      <c r="AC588" s="8">
        <v>209247</v>
      </c>
      <c r="AD588" s="13">
        <f t="shared" si="116"/>
        <v>209</v>
      </c>
      <c r="AE588" s="135"/>
      <c r="AF588" s="135"/>
      <c r="AG588" s="135"/>
      <c r="AH588" s="136"/>
      <c r="AI588" s="50">
        <f t="shared" si="113"/>
        <v>949</v>
      </c>
    </row>
    <row r="589" spans="1:35">
      <c r="A589" s="12">
        <v>44964</v>
      </c>
      <c r="B589" s="8">
        <v>1784186</v>
      </c>
      <c r="C589" s="8">
        <v>1784586</v>
      </c>
      <c r="D589" s="13">
        <f t="shared" si="107"/>
        <v>400</v>
      </c>
      <c r="E589" s="69">
        <v>107725</v>
      </c>
      <c r="F589" s="69">
        <v>108401</v>
      </c>
      <c r="G589" s="133">
        <f t="shared" si="114"/>
        <v>676</v>
      </c>
      <c r="H589" s="8">
        <v>244348</v>
      </c>
      <c r="I589" s="8">
        <v>244738</v>
      </c>
      <c r="J589" s="13">
        <f t="shared" si="110"/>
        <v>390</v>
      </c>
      <c r="K589" s="138"/>
      <c r="L589" s="8">
        <v>605828</v>
      </c>
      <c r="M589" s="8">
        <v>606513</v>
      </c>
      <c r="N589" s="13">
        <f t="shared" si="111"/>
        <v>685</v>
      </c>
      <c r="O589" s="136"/>
      <c r="P589" s="8">
        <v>356303</v>
      </c>
      <c r="Q589" s="8">
        <v>356817</v>
      </c>
      <c r="R589" s="133">
        <f t="shared" si="108"/>
        <v>514</v>
      </c>
      <c r="S589" s="8">
        <v>14200</v>
      </c>
      <c r="T589" s="8">
        <v>14241</v>
      </c>
      <c r="U589" s="133">
        <f t="shared" si="117"/>
        <v>41</v>
      </c>
      <c r="V589" s="8">
        <v>331134</v>
      </c>
      <c r="W589" s="8">
        <v>331387</v>
      </c>
      <c r="X589" s="13">
        <f>W589-V589</f>
        <v>253</v>
      </c>
      <c r="Y589" s="8">
        <v>22796</v>
      </c>
      <c r="Z589" s="8">
        <v>22880</v>
      </c>
      <c r="AA589" s="13">
        <f t="shared" si="112"/>
        <v>84</v>
      </c>
      <c r="AB589" s="8">
        <v>209247</v>
      </c>
      <c r="AC589" s="8">
        <v>209417</v>
      </c>
      <c r="AD589" s="13">
        <f t="shared" si="116"/>
        <v>170</v>
      </c>
      <c r="AE589" s="135"/>
      <c r="AF589" s="135"/>
      <c r="AG589" s="135"/>
      <c r="AH589" s="136"/>
      <c r="AI589" s="50">
        <f t="shared" si="113"/>
        <v>892</v>
      </c>
    </row>
    <row r="590" spans="1:35">
      <c r="A590" s="12">
        <v>44965</v>
      </c>
      <c r="B590" s="8">
        <v>1784586</v>
      </c>
      <c r="C590" s="8">
        <v>1784676</v>
      </c>
      <c r="D590" s="13">
        <f t="shared" si="107"/>
        <v>90</v>
      </c>
      <c r="E590" s="69">
        <v>108401</v>
      </c>
      <c r="F590" s="69">
        <v>109021</v>
      </c>
      <c r="G590" s="133">
        <f t="shared" si="114"/>
        <v>620</v>
      </c>
      <c r="H590" s="8">
        <v>244738</v>
      </c>
      <c r="I590" s="8">
        <v>245382</v>
      </c>
      <c r="J590" s="13">
        <f t="shared" si="110"/>
        <v>644</v>
      </c>
      <c r="K590" s="138"/>
      <c r="L590" s="8">
        <v>606513</v>
      </c>
      <c r="M590" s="8">
        <v>607158</v>
      </c>
      <c r="N590" s="13">
        <f t="shared" si="111"/>
        <v>645</v>
      </c>
      <c r="O590" s="136"/>
      <c r="P590" s="8">
        <v>356817</v>
      </c>
      <c r="Q590" s="8">
        <v>357288</v>
      </c>
      <c r="R590" s="133">
        <f t="shared" si="108"/>
        <v>471</v>
      </c>
      <c r="S590" s="8">
        <v>14241</v>
      </c>
      <c r="T590" s="8">
        <v>14290</v>
      </c>
      <c r="U590" s="133">
        <f t="shared" si="117"/>
        <v>49</v>
      </c>
      <c r="V590" s="8">
        <v>331387</v>
      </c>
      <c r="W590" s="8">
        <v>331568</v>
      </c>
      <c r="X590" s="13">
        <f>W590-V590</f>
        <v>181</v>
      </c>
      <c r="Y590" s="8">
        <v>22880</v>
      </c>
      <c r="Z590" s="8">
        <v>22921</v>
      </c>
      <c r="AA590" s="13">
        <f t="shared" si="112"/>
        <v>41</v>
      </c>
      <c r="AB590" s="8">
        <v>209417</v>
      </c>
      <c r="AC590" s="8">
        <v>209579</v>
      </c>
      <c r="AD590" s="13">
        <f t="shared" si="116"/>
        <v>162</v>
      </c>
      <c r="AE590" s="135"/>
      <c r="AF590" s="135"/>
      <c r="AG590" s="135"/>
      <c r="AH590" s="136"/>
      <c r="AI590" s="50">
        <f t="shared" si="113"/>
        <v>742</v>
      </c>
    </row>
    <row r="591" spans="1:35">
      <c r="A591" s="12">
        <v>44966</v>
      </c>
      <c r="B591" s="8">
        <v>1784676</v>
      </c>
      <c r="C591" s="8">
        <v>1784683</v>
      </c>
      <c r="D591" s="13">
        <f t="shared" si="107"/>
        <v>7</v>
      </c>
      <c r="E591" s="69">
        <v>109021</v>
      </c>
      <c r="F591" s="69">
        <v>109612</v>
      </c>
      <c r="G591" s="133">
        <f t="shared" si="114"/>
        <v>591</v>
      </c>
      <c r="H591" s="8">
        <v>245382</v>
      </c>
      <c r="I591" s="8">
        <v>246132</v>
      </c>
      <c r="J591" s="13">
        <f t="shared" si="110"/>
        <v>750</v>
      </c>
      <c r="K591" s="138"/>
      <c r="L591" s="8">
        <v>607158</v>
      </c>
      <c r="M591" s="8">
        <v>607513</v>
      </c>
      <c r="N591" s="13">
        <f t="shared" si="111"/>
        <v>355</v>
      </c>
      <c r="O591" s="136"/>
      <c r="P591" s="8">
        <v>357288</v>
      </c>
      <c r="Q591" s="8">
        <v>357824</v>
      </c>
      <c r="R591" s="133">
        <f t="shared" si="108"/>
        <v>536</v>
      </c>
      <c r="S591" s="8">
        <v>14290</v>
      </c>
      <c r="T591" s="8">
        <v>14351</v>
      </c>
      <c r="U591" s="133">
        <f t="shared" si="117"/>
        <v>61</v>
      </c>
      <c r="V591" s="8">
        <v>331568</v>
      </c>
      <c r="W591" s="8">
        <v>331718</v>
      </c>
      <c r="X591" s="13">
        <f>W591-V591</f>
        <v>150</v>
      </c>
      <c r="Y591" s="8">
        <v>22921</v>
      </c>
      <c r="Z591" s="8">
        <v>22941</v>
      </c>
      <c r="AA591" s="13">
        <f t="shared" si="112"/>
        <v>20</v>
      </c>
      <c r="AB591" s="8">
        <v>209579</v>
      </c>
      <c r="AC591" s="8">
        <v>209734</v>
      </c>
      <c r="AD591" s="13">
        <f t="shared" si="116"/>
        <v>155</v>
      </c>
      <c r="AE591" s="135"/>
      <c r="AF591" s="135"/>
      <c r="AG591" s="135"/>
      <c r="AH591" s="136"/>
      <c r="AI591" s="50">
        <f t="shared" si="113"/>
        <v>767</v>
      </c>
    </row>
    <row r="592" spans="1:35">
      <c r="A592" s="12">
        <v>44967</v>
      </c>
      <c r="B592" s="8">
        <v>1784683</v>
      </c>
      <c r="C592" s="8">
        <v>1785196</v>
      </c>
      <c r="D592" s="13">
        <f t="shared" si="107"/>
        <v>513</v>
      </c>
      <c r="E592" s="69">
        <v>109612</v>
      </c>
      <c r="F592" s="69">
        <v>110281</v>
      </c>
      <c r="G592" s="133">
        <f t="shared" si="114"/>
        <v>669</v>
      </c>
      <c r="H592" s="8">
        <v>246132</v>
      </c>
      <c r="I592" s="8">
        <v>246798</v>
      </c>
      <c r="J592" s="13">
        <f t="shared" si="110"/>
        <v>666</v>
      </c>
      <c r="K592" s="138"/>
      <c r="L592" s="8">
        <v>607513</v>
      </c>
      <c r="M592" s="8">
        <v>608065</v>
      </c>
      <c r="N592" s="13">
        <f t="shared" si="111"/>
        <v>552</v>
      </c>
      <c r="O592" s="136"/>
      <c r="P592" s="8">
        <v>357824</v>
      </c>
      <c r="Q592" s="8">
        <v>358145</v>
      </c>
      <c r="R592" s="133">
        <f>P593-P592</f>
        <v>321</v>
      </c>
      <c r="S592" s="8">
        <v>14351</v>
      </c>
      <c r="T592" s="8">
        <v>14390</v>
      </c>
      <c r="U592" s="133">
        <f t="shared" si="117"/>
        <v>39</v>
      </c>
      <c r="V592" s="8">
        <v>331718</v>
      </c>
      <c r="W592" s="8">
        <v>331890</v>
      </c>
      <c r="X592" s="13">
        <f t="shared" ref="X592:X613" si="118">W592-V592</f>
        <v>172</v>
      </c>
      <c r="Y592" s="8">
        <v>22941</v>
      </c>
      <c r="Z592" s="8">
        <v>22970</v>
      </c>
      <c r="AA592" s="13">
        <f t="shared" si="112"/>
        <v>29</v>
      </c>
      <c r="AB592" s="8">
        <v>209734</v>
      </c>
      <c r="AC592" s="8">
        <v>209955</v>
      </c>
      <c r="AD592" s="13">
        <f t="shared" si="116"/>
        <v>221</v>
      </c>
      <c r="AE592" s="135"/>
      <c r="AF592" s="135"/>
      <c r="AG592" s="135"/>
      <c r="AH592" s="136"/>
      <c r="AI592" s="50">
        <f t="shared" si="113"/>
        <v>561</v>
      </c>
    </row>
    <row r="593" spans="1:35">
      <c r="A593" s="12">
        <v>44968</v>
      </c>
      <c r="B593" s="8">
        <v>1785196</v>
      </c>
      <c r="C593" s="8">
        <v>1785665</v>
      </c>
      <c r="D593" s="13">
        <f t="shared" si="107"/>
        <v>469</v>
      </c>
      <c r="E593" s="69">
        <v>110281</v>
      </c>
      <c r="F593" s="69">
        <v>110984</v>
      </c>
      <c r="G593" s="133">
        <f t="shared" si="114"/>
        <v>703</v>
      </c>
      <c r="H593" s="8">
        <v>246798</v>
      </c>
      <c r="I593" s="8">
        <v>247430</v>
      </c>
      <c r="J593" s="13">
        <f t="shared" si="110"/>
        <v>632</v>
      </c>
      <c r="K593" s="138"/>
      <c r="L593" s="8">
        <v>608065</v>
      </c>
      <c r="M593" s="8">
        <v>608584</v>
      </c>
      <c r="N593" s="13">
        <f t="shared" si="111"/>
        <v>519</v>
      </c>
      <c r="O593" s="136"/>
      <c r="P593" s="8">
        <v>358145</v>
      </c>
      <c r="Q593" s="8">
        <v>358627</v>
      </c>
      <c r="R593" s="133">
        <f>P594-P593</f>
        <v>482</v>
      </c>
      <c r="S593" s="8">
        <v>14390</v>
      </c>
      <c r="T593" s="8">
        <v>14430</v>
      </c>
      <c r="U593" s="133">
        <f t="shared" si="117"/>
        <v>40</v>
      </c>
      <c r="V593" s="8">
        <v>331890</v>
      </c>
      <c r="W593" s="8">
        <v>332020</v>
      </c>
      <c r="X593" s="13">
        <f t="shared" si="118"/>
        <v>130</v>
      </c>
      <c r="Y593" s="8">
        <v>22970</v>
      </c>
      <c r="Z593" s="8">
        <v>22999</v>
      </c>
      <c r="AA593" s="13">
        <f t="shared" si="112"/>
        <v>29</v>
      </c>
      <c r="AB593" s="8">
        <v>209955</v>
      </c>
      <c r="AC593" s="8">
        <v>210245</v>
      </c>
      <c r="AD593" s="13">
        <f t="shared" si="116"/>
        <v>290</v>
      </c>
      <c r="AE593" s="135"/>
      <c r="AF593" s="135"/>
      <c r="AG593" s="135"/>
      <c r="AH593" s="136"/>
      <c r="AI593" s="50">
        <f t="shared" si="113"/>
        <v>681</v>
      </c>
    </row>
    <row r="594" spans="1:35">
      <c r="A594" s="12">
        <v>44969</v>
      </c>
      <c r="B594" s="8">
        <v>1785665</v>
      </c>
      <c r="C594" s="8">
        <v>1786008</v>
      </c>
      <c r="D594" s="13">
        <f t="shared" si="107"/>
        <v>343</v>
      </c>
      <c r="E594" s="69">
        <v>110984</v>
      </c>
      <c r="F594" s="69">
        <v>111663</v>
      </c>
      <c r="G594" s="133">
        <f t="shared" si="114"/>
        <v>679</v>
      </c>
      <c r="H594" s="8">
        <v>247430</v>
      </c>
      <c r="I594" s="8">
        <v>248179</v>
      </c>
      <c r="J594" s="13">
        <f t="shared" si="110"/>
        <v>749</v>
      </c>
      <c r="K594" s="138"/>
      <c r="L594" s="8">
        <v>608584</v>
      </c>
      <c r="M594" s="8">
        <v>609274</v>
      </c>
      <c r="N594" s="13">
        <f t="shared" si="111"/>
        <v>690</v>
      </c>
      <c r="O594" s="136"/>
      <c r="P594" s="8">
        <v>358627</v>
      </c>
      <c r="Q594" s="8">
        <v>359092</v>
      </c>
      <c r="R594" s="133">
        <f>Q594-P594</f>
        <v>465</v>
      </c>
      <c r="S594" s="8">
        <v>14430</v>
      </c>
      <c r="T594" s="8">
        <v>14512</v>
      </c>
      <c r="U594" s="133">
        <f t="shared" si="117"/>
        <v>82</v>
      </c>
      <c r="V594" s="8">
        <v>332020</v>
      </c>
      <c r="W594" s="8">
        <v>332266</v>
      </c>
      <c r="X594" s="13">
        <f t="shared" si="118"/>
        <v>246</v>
      </c>
      <c r="Y594" s="8">
        <v>22999</v>
      </c>
      <c r="Z594" s="8">
        <v>23029</v>
      </c>
      <c r="AA594" s="13">
        <f t="shared" si="112"/>
        <v>30</v>
      </c>
      <c r="AB594" s="8">
        <v>210245</v>
      </c>
      <c r="AC594" s="8">
        <v>210438</v>
      </c>
      <c r="AD594" s="13">
        <f t="shared" si="116"/>
        <v>193</v>
      </c>
      <c r="AE594" s="135"/>
      <c r="AF594" s="135"/>
      <c r="AG594" s="135"/>
      <c r="AH594" s="136"/>
      <c r="AI594" s="50">
        <f t="shared" si="113"/>
        <v>823</v>
      </c>
    </row>
    <row r="595" spans="1:35">
      <c r="A595" s="12">
        <v>44970</v>
      </c>
      <c r="B595" s="8">
        <v>1786008</v>
      </c>
      <c r="C595" s="8">
        <v>1786154</v>
      </c>
      <c r="D595" s="13">
        <f t="shared" si="107"/>
        <v>146</v>
      </c>
      <c r="E595" s="69">
        <v>111663</v>
      </c>
      <c r="F595" s="69">
        <v>112237</v>
      </c>
      <c r="G595" s="133">
        <f t="shared" si="114"/>
        <v>574</v>
      </c>
      <c r="H595" s="8">
        <v>248179</v>
      </c>
      <c r="I595" s="8">
        <v>248179</v>
      </c>
      <c r="J595" s="13">
        <f t="shared" si="110"/>
        <v>0</v>
      </c>
      <c r="K595" s="138"/>
      <c r="L595" s="8">
        <v>609274</v>
      </c>
      <c r="M595" s="8">
        <v>610833</v>
      </c>
      <c r="N595" s="13">
        <f t="shared" si="111"/>
        <v>1559</v>
      </c>
      <c r="O595" s="136"/>
      <c r="P595" s="8">
        <v>359092</v>
      </c>
      <c r="Q595" s="8">
        <v>359737</v>
      </c>
      <c r="R595" s="133">
        <f t="shared" ref="R595:R658" si="119">Q595-P595</f>
        <v>645</v>
      </c>
      <c r="S595" s="8">
        <v>14512</v>
      </c>
      <c r="T595" s="8">
        <v>14550</v>
      </c>
      <c r="U595" s="133">
        <f t="shared" si="117"/>
        <v>38</v>
      </c>
      <c r="V595" s="8">
        <v>332266</v>
      </c>
      <c r="W595" s="8">
        <v>332705</v>
      </c>
      <c r="X595" s="13">
        <f t="shared" si="118"/>
        <v>439</v>
      </c>
      <c r="Y595" s="8">
        <v>23029</v>
      </c>
      <c r="Z595" s="8">
        <v>23059</v>
      </c>
      <c r="AA595" s="13">
        <f t="shared" si="112"/>
        <v>30</v>
      </c>
      <c r="AB595" s="8">
        <v>210438</v>
      </c>
      <c r="AC595" s="8">
        <v>210627</v>
      </c>
      <c r="AD595" s="13">
        <f t="shared" si="116"/>
        <v>189</v>
      </c>
      <c r="AE595" s="135"/>
      <c r="AF595" s="135"/>
      <c r="AG595" s="135"/>
      <c r="AH595" s="136"/>
      <c r="AI595" s="50">
        <f t="shared" si="113"/>
        <v>1152</v>
      </c>
    </row>
    <row r="596" spans="1:35">
      <c r="A596" s="12">
        <v>44971</v>
      </c>
      <c r="B596" s="8">
        <v>1786154</v>
      </c>
      <c r="C596" s="8">
        <v>1786814</v>
      </c>
      <c r="D596" s="13">
        <f t="shared" si="107"/>
        <v>660</v>
      </c>
      <c r="E596" s="69">
        <v>112237</v>
      </c>
      <c r="F596" s="69">
        <v>113061</v>
      </c>
      <c r="G596" s="133">
        <f t="shared" si="114"/>
        <v>824</v>
      </c>
      <c r="H596" s="8">
        <v>248179</v>
      </c>
      <c r="I596" s="8">
        <v>248319</v>
      </c>
      <c r="J596" s="13">
        <f t="shared" si="110"/>
        <v>140</v>
      </c>
      <c r="K596" s="138"/>
      <c r="L596" s="8">
        <v>610833</v>
      </c>
      <c r="M596" s="8">
        <v>611198</v>
      </c>
      <c r="N596" s="13">
        <f t="shared" si="111"/>
        <v>365</v>
      </c>
      <c r="O596" s="136"/>
      <c r="P596" s="8">
        <v>359737</v>
      </c>
      <c r="Q596" s="8">
        <v>359857</v>
      </c>
      <c r="R596" s="133">
        <f t="shared" si="119"/>
        <v>120</v>
      </c>
      <c r="S596" s="8">
        <v>14550</v>
      </c>
      <c r="T596" s="8">
        <v>14620</v>
      </c>
      <c r="U596" s="133">
        <f t="shared" si="117"/>
        <v>70</v>
      </c>
      <c r="V596" s="8">
        <v>332705</v>
      </c>
      <c r="W596" s="8">
        <v>332859</v>
      </c>
      <c r="X596" s="13">
        <f t="shared" si="118"/>
        <v>154</v>
      </c>
      <c r="Y596" s="8">
        <v>23059</v>
      </c>
      <c r="Z596" s="8">
        <v>23078</v>
      </c>
      <c r="AA596" s="13">
        <f t="shared" si="112"/>
        <v>19</v>
      </c>
      <c r="AB596" s="8">
        <v>210627</v>
      </c>
      <c r="AC596" s="8">
        <v>210837</v>
      </c>
      <c r="AD596" s="13">
        <f t="shared" si="116"/>
        <v>210</v>
      </c>
      <c r="AE596" s="135"/>
      <c r="AF596" s="135"/>
      <c r="AG596" s="135"/>
      <c r="AH596" s="136"/>
      <c r="AI596" s="50">
        <f t="shared" si="113"/>
        <v>363</v>
      </c>
    </row>
    <row r="597" spans="1:35">
      <c r="A597" s="12">
        <v>44972</v>
      </c>
      <c r="B597" s="8">
        <v>1786814</v>
      </c>
      <c r="C597" s="8">
        <v>1787453</v>
      </c>
      <c r="D597" s="13">
        <f t="shared" si="107"/>
        <v>639</v>
      </c>
      <c r="E597" s="69">
        <v>113061</v>
      </c>
      <c r="F597" s="69">
        <v>113729</v>
      </c>
      <c r="G597" s="133">
        <f t="shared" si="114"/>
        <v>668</v>
      </c>
      <c r="H597" s="8">
        <v>248319</v>
      </c>
      <c r="I597" s="8">
        <v>248387</v>
      </c>
      <c r="J597" s="13">
        <f t="shared" si="110"/>
        <v>68</v>
      </c>
      <c r="K597" s="138"/>
      <c r="L597" s="8">
        <v>611198</v>
      </c>
      <c r="M597" s="8">
        <v>612233</v>
      </c>
      <c r="N597" s="13">
        <f t="shared" si="111"/>
        <v>1035</v>
      </c>
      <c r="O597" s="136"/>
      <c r="P597" s="8">
        <v>359857</v>
      </c>
      <c r="Q597" s="8">
        <v>360232</v>
      </c>
      <c r="R597" s="133">
        <f t="shared" si="119"/>
        <v>375</v>
      </c>
      <c r="S597" s="8">
        <v>14620</v>
      </c>
      <c r="T597" s="8">
        <v>14680</v>
      </c>
      <c r="U597" s="133">
        <f t="shared" si="117"/>
        <v>60</v>
      </c>
      <c r="V597" s="8">
        <v>332859</v>
      </c>
      <c r="W597" s="8">
        <v>333049</v>
      </c>
      <c r="X597" s="13">
        <f t="shared" si="118"/>
        <v>190</v>
      </c>
      <c r="Y597" s="8">
        <v>23078</v>
      </c>
      <c r="Z597" s="8">
        <v>23103</v>
      </c>
      <c r="AA597" s="13">
        <f t="shared" si="112"/>
        <v>25</v>
      </c>
      <c r="AB597" s="8">
        <v>210837</v>
      </c>
      <c r="AC597" s="8">
        <v>211043</v>
      </c>
      <c r="AD597" s="13">
        <f t="shared" si="116"/>
        <v>206</v>
      </c>
      <c r="AE597" s="135"/>
      <c r="AF597" s="135"/>
      <c r="AG597" s="135"/>
      <c r="AH597" s="136"/>
      <c r="AI597" s="50">
        <f t="shared" si="113"/>
        <v>650</v>
      </c>
    </row>
    <row r="598" spans="1:35">
      <c r="A598" s="12">
        <v>44973</v>
      </c>
      <c r="B598" s="8">
        <v>1787453</v>
      </c>
      <c r="C598" s="8">
        <v>1788168</v>
      </c>
      <c r="D598" s="13">
        <f t="shared" si="107"/>
        <v>715</v>
      </c>
      <c r="E598" s="69">
        <v>113729</v>
      </c>
      <c r="F598" s="69">
        <v>114330</v>
      </c>
      <c r="G598" s="133">
        <f t="shared" si="114"/>
        <v>601</v>
      </c>
      <c r="H598" s="8">
        <v>248387</v>
      </c>
      <c r="I598" s="8">
        <v>248966</v>
      </c>
      <c r="J598" s="13">
        <f t="shared" si="110"/>
        <v>579</v>
      </c>
      <c r="K598" s="138"/>
      <c r="L598" s="8">
        <v>612233</v>
      </c>
      <c r="M598" s="8">
        <v>613201</v>
      </c>
      <c r="N598" s="13">
        <f t="shared" si="111"/>
        <v>968</v>
      </c>
      <c r="O598" s="136"/>
      <c r="P598" s="8">
        <v>360232</v>
      </c>
      <c r="Q598" s="8">
        <v>360909</v>
      </c>
      <c r="R598" s="133">
        <f t="shared" si="119"/>
        <v>677</v>
      </c>
      <c r="S598" s="8">
        <v>14680</v>
      </c>
      <c r="T598" s="8">
        <v>14730</v>
      </c>
      <c r="U598" s="133">
        <f t="shared" si="117"/>
        <v>50</v>
      </c>
      <c r="V598" s="8">
        <v>333049</v>
      </c>
      <c r="W598" s="8">
        <v>333210</v>
      </c>
      <c r="X598" s="13">
        <f t="shared" si="118"/>
        <v>161</v>
      </c>
      <c r="Y598" s="8">
        <v>23103</v>
      </c>
      <c r="Z598" s="8">
        <v>23130</v>
      </c>
      <c r="AA598" s="13">
        <f t="shared" si="112"/>
        <v>27</v>
      </c>
      <c r="AB598" s="8">
        <v>211043</v>
      </c>
      <c r="AC598" s="8">
        <v>211186</v>
      </c>
      <c r="AD598" s="13">
        <f t="shared" si="116"/>
        <v>143</v>
      </c>
      <c r="AE598" s="135"/>
      <c r="AF598" s="135"/>
      <c r="AG598" s="135"/>
      <c r="AH598" s="136"/>
      <c r="AI598" s="50">
        <f t="shared" si="113"/>
        <v>915</v>
      </c>
    </row>
    <row r="599" spans="1:35">
      <c r="A599" s="12">
        <v>44974</v>
      </c>
      <c r="B599" s="8">
        <v>1788168</v>
      </c>
      <c r="C599" s="8">
        <v>1788814</v>
      </c>
      <c r="D599" s="13">
        <f t="shared" si="107"/>
        <v>646</v>
      </c>
      <c r="E599" s="69">
        <v>114330</v>
      </c>
      <c r="F599" s="69">
        <v>114997</v>
      </c>
      <c r="G599" s="133">
        <f t="shared" si="114"/>
        <v>667</v>
      </c>
      <c r="H599" s="8">
        <v>248966</v>
      </c>
      <c r="I599" s="8">
        <v>249724</v>
      </c>
      <c r="J599" s="13">
        <f t="shared" si="110"/>
        <v>758</v>
      </c>
      <c r="K599" s="138"/>
      <c r="L599" s="8">
        <v>613201</v>
      </c>
      <c r="M599" s="8">
        <v>613858</v>
      </c>
      <c r="N599" s="13">
        <f t="shared" si="111"/>
        <v>657</v>
      </c>
      <c r="O599" s="136"/>
      <c r="P599" s="8">
        <v>360909</v>
      </c>
      <c r="Q599" s="8">
        <v>361463</v>
      </c>
      <c r="R599" s="133">
        <f t="shared" si="119"/>
        <v>554</v>
      </c>
      <c r="S599" s="8">
        <v>14730</v>
      </c>
      <c r="T599" s="8">
        <v>14778</v>
      </c>
      <c r="U599" s="133">
        <f t="shared" si="117"/>
        <v>48</v>
      </c>
      <c r="V599" s="8">
        <v>333210</v>
      </c>
      <c r="W599" s="8">
        <v>333414</v>
      </c>
      <c r="X599" s="13">
        <f t="shared" si="118"/>
        <v>204</v>
      </c>
      <c r="Y599" s="8">
        <v>23130</v>
      </c>
      <c r="Z599" s="8">
        <v>23161</v>
      </c>
      <c r="AA599" s="13">
        <f t="shared" si="112"/>
        <v>31</v>
      </c>
      <c r="AB599" s="8">
        <v>211186</v>
      </c>
      <c r="AC599" s="8">
        <v>211478</v>
      </c>
      <c r="AD599" s="13">
        <f t="shared" si="116"/>
        <v>292</v>
      </c>
      <c r="AE599" s="135"/>
      <c r="AF599" s="135"/>
      <c r="AG599" s="135"/>
      <c r="AH599" s="136"/>
      <c r="AI599" s="50">
        <f t="shared" si="113"/>
        <v>837</v>
      </c>
    </row>
    <row r="600" spans="1:35">
      <c r="A600" s="12">
        <v>44975</v>
      </c>
      <c r="B600" s="8">
        <v>1788814</v>
      </c>
      <c r="C600" s="8">
        <v>1789475</v>
      </c>
      <c r="D600" s="13">
        <f t="shared" si="107"/>
        <v>661</v>
      </c>
      <c r="E600" s="69">
        <v>114997</v>
      </c>
      <c r="F600" s="69">
        <v>115631</v>
      </c>
      <c r="G600" s="133">
        <f t="shared" si="114"/>
        <v>634</v>
      </c>
      <c r="H600" s="8">
        <v>249724</v>
      </c>
      <c r="I600" s="8">
        <v>250224</v>
      </c>
      <c r="J600" s="13">
        <f t="shared" si="110"/>
        <v>500</v>
      </c>
      <c r="K600" s="138"/>
      <c r="L600" s="8">
        <v>613858</v>
      </c>
      <c r="M600" s="8">
        <v>614816</v>
      </c>
      <c r="N600" s="13">
        <f t="shared" si="111"/>
        <v>958</v>
      </c>
      <c r="O600" s="136"/>
      <c r="P600" s="8">
        <v>361463</v>
      </c>
      <c r="Q600" s="8">
        <v>362044</v>
      </c>
      <c r="R600" s="133">
        <f t="shared" si="119"/>
        <v>581</v>
      </c>
      <c r="S600" s="8">
        <v>14778</v>
      </c>
      <c r="T600" s="8">
        <v>14820</v>
      </c>
      <c r="U600" s="133">
        <f t="shared" si="117"/>
        <v>42</v>
      </c>
      <c r="V600" s="8">
        <v>333414</v>
      </c>
      <c r="W600" s="8">
        <v>333620</v>
      </c>
      <c r="X600" s="13">
        <f t="shared" si="118"/>
        <v>206</v>
      </c>
      <c r="Y600" s="8">
        <v>23161</v>
      </c>
      <c r="Z600" s="8">
        <v>23203</v>
      </c>
      <c r="AA600" s="13">
        <f t="shared" si="112"/>
        <v>42</v>
      </c>
      <c r="AB600" s="8">
        <v>211478</v>
      </c>
      <c r="AC600" s="8">
        <v>211669</v>
      </c>
      <c r="AD600" s="13">
        <f t="shared" si="116"/>
        <v>191</v>
      </c>
      <c r="AE600" s="135"/>
      <c r="AF600" s="135"/>
      <c r="AG600" s="135"/>
      <c r="AH600" s="136"/>
      <c r="AI600" s="50">
        <f t="shared" si="113"/>
        <v>871</v>
      </c>
    </row>
    <row r="601" spans="1:35">
      <c r="A601" s="12">
        <v>44976</v>
      </c>
      <c r="B601" s="8">
        <v>1789475</v>
      </c>
      <c r="C601" s="8">
        <v>1790026</v>
      </c>
      <c r="D601" s="13">
        <f t="shared" si="107"/>
        <v>551</v>
      </c>
      <c r="E601" s="69">
        <v>115631</v>
      </c>
      <c r="F601" s="69">
        <v>116177</v>
      </c>
      <c r="G601" s="133">
        <f t="shared" si="114"/>
        <v>546</v>
      </c>
      <c r="H601" s="8">
        <v>250224</v>
      </c>
      <c r="I601" s="8">
        <v>250787</v>
      </c>
      <c r="J601" s="13">
        <f t="shared" si="110"/>
        <v>563</v>
      </c>
      <c r="K601" s="138"/>
      <c r="L601" s="8">
        <v>614816</v>
      </c>
      <c r="M601" s="8">
        <v>615124</v>
      </c>
      <c r="N601" s="13">
        <f t="shared" si="111"/>
        <v>308</v>
      </c>
      <c r="O601" s="136"/>
      <c r="P601" s="8">
        <v>362044</v>
      </c>
      <c r="Q601" s="8">
        <v>362468</v>
      </c>
      <c r="R601" s="133">
        <f t="shared" si="119"/>
        <v>424</v>
      </c>
      <c r="S601" s="8">
        <v>14820</v>
      </c>
      <c r="T601" s="8">
        <v>14880</v>
      </c>
      <c r="U601" s="133">
        <f t="shared" si="117"/>
        <v>60</v>
      </c>
      <c r="V601" s="8">
        <v>333620</v>
      </c>
      <c r="W601" s="8">
        <v>333812</v>
      </c>
      <c r="X601" s="13">
        <f t="shared" si="118"/>
        <v>192</v>
      </c>
      <c r="Y601" s="8">
        <v>23203</v>
      </c>
      <c r="Z601" s="8">
        <v>23243</v>
      </c>
      <c r="AA601" s="13">
        <f t="shared" si="112"/>
        <v>40</v>
      </c>
      <c r="AB601" s="8">
        <v>211669</v>
      </c>
      <c r="AC601" s="8">
        <v>211912</v>
      </c>
      <c r="AD601" s="13">
        <f t="shared" si="116"/>
        <v>243</v>
      </c>
      <c r="AE601" s="135"/>
      <c r="AF601" s="135"/>
      <c r="AG601" s="135"/>
      <c r="AH601" s="136"/>
      <c r="AI601" s="50">
        <f t="shared" si="113"/>
        <v>716</v>
      </c>
    </row>
    <row r="602" spans="1:35">
      <c r="A602" s="12">
        <v>44977</v>
      </c>
      <c r="B602" s="8">
        <v>1790026</v>
      </c>
      <c r="C602" s="8">
        <v>1790193</v>
      </c>
      <c r="D602" s="13">
        <f t="shared" si="107"/>
        <v>167</v>
      </c>
      <c r="E602" s="69">
        <v>116177</v>
      </c>
      <c r="F602" s="69">
        <v>116697</v>
      </c>
      <c r="G602" s="133">
        <f t="shared" si="114"/>
        <v>520</v>
      </c>
      <c r="H602" s="8">
        <v>250787</v>
      </c>
      <c r="I602" s="8">
        <v>251115</v>
      </c>
      <c r="J602" s="13">
        <f t="shared" si="110"/>
        <v>328</v>
      </c>
      <c r="K602" s="138"/>
      <c r="L602" s="8">
        <v>615124</v>
      </c>
      <c r="M602" s="8">
        <v>615558</v>
      </c>
      <c r="N602" s="13">
        <f t="shared" si="111"/>
        <v>434</v>
      </c>
      <c r="O602" s="136"/>
      <c r="P602" s="8">
        <v>362468</v>
      </c>
      <c r="Q602" s="8">
        <v>362688</v>
      </c>
      <c r="R602" s="133">
        <f t="shared" si="119"/>
        <v>220</v>
      </c>
      <c r="S602" s="8">
        <v>14880</v>
      </c>
      <c r="T602" s="8">
        <v>14960</v>
      </c>
      <c r="U602" s="133">
        <f t="shared" si="117"/>
        <v>80</v>
      </c>
      <c r="V602" s="8">
        <v>333812</v>
      </c>
      <c r="W602" s="8">
        <v>334062</v>
      </c>
      <c r="X602" s="13">
        <f t="shared" si="118"/>
        <v>250</v>
      </c>
      <c r="Y602" s="8">
        <v>23243</v>
      </c>
      <c r="Z602" s="8">
        <v>23480</v>
      </c>
      <c r="AA602" s="13">
        <f t="shared" si="112"/>
        <v>237</v>
      </c>
      <c r="AB602" s="8">
        <v>211912</v>
      </c>
      <c r="AC602" s="8">
        <v>212158</v>
      </c>
      <c r="AD602" s="13">
        <f t="shared" si="116"/>
        <v>246</v>
      </c>
      <c r="AE602" s="135"/>
      <c r="AF602" s="135"/>
      <c r="AG602" s="135"/>
      <c r="AH602" s="136"/>
      <c r="AI602" s="50">
        <f t="shared" si="113"/>
        <v>787</v>
      </c>
    </row>
    <row r="603" spans="1:35">
      <c r="A603" s="12">
        <v>44978</v>
      </c>
      <c r="B603" s="8">
        <v>1790193</v>
      </c>
      <c r="C603" s="8">
        <v>1790694</v>
      </c>
      <c r="D603" s="13">
        <f t="shared" si="107"/>
        <v>501</v>
      </c>
      <c r="E603" s="69">
        <v>116697</v>
      </c>
      <c r="F603" s="69">
        <v>117278</v>
      </c>
      <c r="G603" s="133">
        <f t="shared" si="114"/>
        <v>581</v>
      </c>
      <c r="H603" s="8">
        <v>251115</v>
      </c>
      <c r="I603" s="8">
        <v>251403</v>
      </c>
      <c r="J603" s="13">
        <f t="shared" si="110"/>
        <v>288</v>
      </c>
      <c r="K603" s="138"/>
      <c r="L603" s="8">
        <v>615558</v>
      </c>
      <c r="M603" s="8">
        <v>616886</v>
      </c>
      <c r="N603" s="13">
        <f t="shared" si="111"/>
        <v>1328</v>
      </c>
      <c r="O603" s="136"/>
      <c r="P603" s="8">
        <v>362688</v>
      </c>
      <c r="Q603" s="8">
        <v>363338</v>
      </c>
      <c r="R603" s="133">
        <f t="shared" si="119"/>
        <v>650</v>
      </c>
      <c r="S603" s="8">
        <v>14960</v>
      </c>
      <c r="T603" s="8">
        <v>14999</v>
      </c>
      <c r="U603" s="133">
        <f t="shared" si="117"/>
        <v>39</v>
      </c>
      <c r="V603" s="8">
        <v>334062</v>
      </c>
      <c r="W603" s="8">
        <v>334131</v>
      </c>
      <c r="X603" s="13">
        <f t="shared" si="118"/>
        <v>69</v>
      </c>
      <c r="Y603" s="8">
        <v>23480</v>
      </c>
      <c r="Z603" s="8">
        <v>23705</v>
      </c>
      <c r="AA603" s="13">
        <f t="shared" si="112"/>
        <v>225</v>
      </c>
      <c r="AB603" s="8">
        <v>212158</v>
      </c>
      <c r="AC603" s="8">
        <v>212381</v>
      </c>
      <c r="AD603" s="13">
        <f t="shared" si="116"/>
        <v>223</v>
      </c>
      <c r="AE603" s="135"/>
      <c r="AF603" s="135"/>
      <c r="AG603" s="135"/>
      <c r="AH603" s="136"/>
      <c r="AI603" s="50">
        <f t="shared" si="113"/>
        <v>983</v>
      </c>
    </row>
    <row r="604" spans="1:35">
      <c r="A604" s="12">
        <v>44979</v>
      </c>
      <c r="B604" s="8">
        <v>1790694</v>
      </c>
      <c r="C604" s="8">
        <v>1791128</v>
      </c>
      <c r="D604" s="13">
        <f t="shared" si="107"/>
        <v>434</v>
      </c>
      <c r="E604" s="69">
        <v>117278</v>
      </c>
      <c r="F604" s="69">
        <v>117668</v>
      </c>
      <c r="G604" s="133">
        <f t="shared" si="114"/>
        <v>390</v>
      </c>
      <c r="H604" s="8">
        <v>251403</v>
      </c>
      <c r="I604" s="8">
        <v>252036</v>
      </c>
      <c r="J604" s="13">
        <f t="shared" si="110"/>
        <v>633</v>
      </c>
      <c r="K604" s="138"/>
      <c r="L604" s="8">
        <v>616886</v>
      </c>
      <c r="M604" s="8">
        <v>617212</v>
      </c>
      <c r="N604" s="13">
        <f t="shared" si="111"/>
        <v>326</v>
      </c>
      <c r="O604" s="136"/>
      <c r="P604" s="8">
        <v>363338</v>
      </c>
      <c r="Q604" s="8">
        <v>363769</v>
      </c>
      <c r="R604" s="133">
        <f t="shared" si="119"/>
        <v>431</v>
      </c>
      <c r="S604" s="8">
        <v>14999</v>
      </c>
      <c r="T604" s="8">
        <v>15070</v>
      </c>
      <c r="U604" s="133">
        <f t="shared" si="117"/>
        <v>71</v>
      </c>
      <c r="V604" s="8">
        <v>334131</v>
      </c>
      <c r="W604" s="8">
        <v>334304</v>
      </c>
      <c r="X604" s="13">
        <f t="shared" si="118"/>
        <v>173</v>
      </c>
      <c r="Y604" s="8">
        <v>23705</v>
      </c>
      <c r="Z604" s="8">
        <v>23940</v>
      </c>
      <c r="AA604" s="13">
        <f t="shared" si="112"/>
        <v>235</v>
      </c>
      <c r="AB604" s="8">
        <v>212381</v>
      </c>
      <c r="AC604" s="8">
        <v>212593</v>
      </c>
      <c r="AD604" s="13">
        <f t="shared" si="116"/>
        <v>212</v>
      </c>
      <c r="AE604" s="135"/>
      <c r="AF604" s="135"/>
      <c r="AG604" s="135"/>
      <c r="AH604" s="136"/>
      <c r="AI604" s="50">
        <f t="shared" si="113"/>
        <v>910</v>
      </c>
    </row>
    <row r="605" spans="1:35">
      <c r="A605" s="12">
        <v>44980</v>
      </c>
      <c r="B605" s="8">
        <v>1791128</v>
      </c>
      <c r="C605" s="8">
        <v>1791824</v>
      </c>
      <c r="D605" s="13">
        <f t="shared" si="107"/>
        <v>696</v>
      </c>
      <c r="E605" s="69">
        <v>117668</v>
      </c>
      <c r="F605" s="69">
        <v>117756</v>
      </c>
      <c r="G605" s="133">
        <f t="shared" si="114"/>
        <v>88</v>
      </c>
      <c r="H605" s="8">
        <v>252036</v>
      </c>
      <c r="I605" s="8">
        <v>252167</v>
      </c>
      <c r="J605" s="13">
        <f t="shared" si="110"/>
        <v>131</v>
      </c>
      <c r="K605" s="138"/>
      <c r="L605" s="8">
        <v>617212</v>
      </c>
      <c r="M605" s="8">
        <v>617779</v>
      </c>
      <c r="N605" s="13">
        <f t="shared" si="111"/>
        <v>567</v>
      </c>
      <c r="O605" s="136"/>
      <c r="P605" s="8">
        <v>363769</v>
      </c>
      <c r="Q605" s="8">
        <v>364022</v>
      </c>
      <c r="R605" s="133">
        <f t="shared" si="119"/>
        <v>253</v>
      </c>
      <c r="S605" s="8">
        <v>15070</v>
      </c>
      <c r="T605" s="8">
        <v>15120</v>
      </c>
      <c r="U605" s="133">
        <f t="shared" si="117"/>
        <v>50</v>
      </c>
      <c r="V605" s="8">
        <v>334304</v>
      </c>
      <c r="W605" s="8">
        <v>334460</v>
      </c>
      <c r="X605" s="13">
        <f t="shared" si="118"/>
        <v>156</v>
      </c>
      <c r="Y605" s="8">
        <v>23940</v>
      </c>
      <c r="Z605" s="8">
        <v>23965</v>
      </c>
      <c r="AA605" s="13">
        <f t="shared" si="112"/>
        <v>25</v>
      </c>
      <c r="AB605" s="8">
        <v>212593</v>
      </c>
      <c r="AC605" s="8">
        <v>212772</v>
      </c>
      <c r="AD605" s="13">
        <f t="shared" si="116"/>
        <v>179</v>
      </c>
      <c r="AE605" s="135"/>
      <c r="AF605" s="135"/>
      <c r="AG605" s="135"/>
      <c r="AH605" s="136"/>
      <c r="AI605" s="50">
        <f t="shared" si="113"/>
        <v>484</v>
      </c>
    </row>
    <row r="606" spans="1:35">
      <c r="A606" s="12">
        <v>44981</v>
      </c>
      <c r="B606" s="8">
        <v>1791824</v>
      </c>
      <c r="C606" s="8">
        <v>1792458</v>
      </c>
      <c r="D606" s="13">
        <f t="shared" si="107"/>
        <v>634</v>
      </c>
      <c r="E606" s="69">
        <v>117756</v>
      </c>
      <c r="F606" s="69">
        <v>118218</v>
      </c>
      <c r="G606" s="133">
        <f t="shared" si="114"/>
        <v>462</v>
      </c>
      <c r="H606" s="8">
        <v>252167</v>
      </c>
      <c r="I606" s="8">
        <v>252465</v>
      </c>
      <c r="J606" s="13">
        <f t="shared" si="110"/>
        <v>298</v>
      </c>
      <c r="K606" s="138"/>
      <c r="L606" s="8">
        <v>617779</v>
      </c>
      <c r="M606" s="8">
        <v>618486</v>
      </c>
      <c r="N606" s="13">
        <f t="shared" si="111"/>
        <v>707</v>
      </c>
      <c r="O606" s="136"/>
      <c r="P606" s="8">
        <v>364022</v>
      </c>
      <c r="Q606" s="8">
        <v>364027</v>
      </c>
      <c r="R606" s="133">
        <f t="shared" si="119"/>
        <v>5</v>
      </c>
      <c r="S606" s="8">
        <v>15120</v>
      </c>
      <c r="T606" s="8">
        <v>15163</v>
      </c>
      <c r="U606" s="133">
        <f t="shared" si="117"/>
        <v>43</v>
      </c>
      <c r="V606" s="8">
        <v>334460</v>
      </c>
      <c r="W606" s="8">
        <v>334680</v>
      </c>
      <c r="X606" s="13">
        <f t="shared" si="118"/>
        <v>220</v>
      </c>
      <c r="Y606" s="8">
        <v>23965</v>
      </c>
      <c r="Z606" s="8">
        <v>23996</v>
      </c>
      <c r="AA606" s="13">
        <f t="shared" si="112"/>
        <v>31</v>
      </c>
      <c r="AB606" s="8">
        <v>212772</v>
      </c>
      <c r="AC606" s="8">
        <v>212987</v>
      </c>
      <c r="AD606" s="13">
        <f t="shared" si="116"/>
        <v>215</v>
      </c>
      <c r="AE606" s="135"/>
      <c r="AF606" s="135"/>
      <c r="AG606" s="135"/>
      <c r="AH606" s="136"/>
      <c r="AI606" s="50">
        <f t="shared" si="113"/>
        <v>299</v>
      </c>
    </row>
    <row r="607" spans="1:35">
      <c r="A607" s="12">
        <v>44982</v>
      </c>
      <c r="B607" s="8">
        <v>1792458</v>
      </c>
      <c r="C607" s="8">
        <v>1793018</v>
      </c>
      <c r="D607" s="13">
        <f t="shared" si="107"/>
        <v>560</v>
      </c>
      <c r="E607" s="69">
        <v>118218</v>
      </c>
      <c r="F607" s="69">
        <v>118946</v>
      </c>
      <c r="G607" s="133">
        <f t="shared" si="114"/>
        <v>728</v>
      </c>
      <c r="H607" s="8">
        <v>252465</v>
      </c>
      <c r="I607" s="8">
        <v>252465</v>
      </c>
      <c r="J607" s="13">
        <f t="shared" si="110"/>
        <v>0</v>
      </c>
      <c r="K607" s="138"/>
      <c r="L607" s="8">
        <v>618486</v>
      </c>
      <c r="M607" s="8">
        <v>619225</v>
      </c>
      <c r="N607" s="13">
        <f t="shared" si="111"/>
        <v>739</v>
      </c>
      <c r="O607" s="136"/>
      <c r="P607" s="8">
        <v>364027</v>
      </c>
      <c r="Q607" s="8">
        <v>364155</v>
      </c>
      <c r="R607" s="133">
        <f t="shared" si="119"/>
        <v>128</v>
      </c>
      <c r="S607" s="8">
        <v>15163</v>
      </c>
      <c r="T607" s="8">
        <v>15260</v>
      </c>
      <c r="U607" s="133">
        <f t="shared" si="117"/>
        <v>97</v>
      </c>
      <c r="V607" s="8">
        <v>334680</v>
      </c>
      <c r="W607" s="8">
        <v>334920</v>
      </c>
      <c r="X607" s="13">
        <f t="shared" si="118"/>
        <v>240</v>
      </c>
      <c r="Y607" s="8">
        <v>23996</v>
      </c>
      <c r="Z607" s="8">
        <v>24023</v>
      </c>
      <c r="AA607" s="13">
        <f t="shared" si="112"/>
        <v>27</v>
      </c>
      <c r="AB607" s="8">
        <v>212987</v>
      </c>
      <c r="AC607" s="8">
        <v>213162</v>
      </c>
      <c r="AD607" s="13">
        <f t="shared" si="116"/>
        <v>175</v>
      </c>
      <c r="AE607" s="135"/>
      <c r="AF607" s="135"/>
      <c r="AG607" s="135"/>
      <c r="AH607" s="136"/>
      <c r="AI607" s="50">
        <f t="shared" si="113"/>
        <v>492</v>
      </c>
    </row>
    <row r="608" spans="1:35">
      <c r="A608" s="12">
        <v>44983</v>
      </c>
      <c r="B608" s="8">
        <v>1793018</v>
      </c>
      <c r="C608" s="8">
        <v>1793599</v>
      </c>
      <c r="D608" s="13">
        <f t="shared" si="107"/>
        <v>581</v>
      </c>
      <c r="E608" s="69">
        <v>118946</v>
      </c>
      <c r="F608" s="69">
        <v>119498</v>
      </c>
      <c r="G608" s="133">
        <f t="shared" si="114"/>
        <v>552</v>
      </c>
      <c r="H608" s="8">
        <v>252465</v>
      </c>
      <c r="I608" s="8">
        <v>253317</v>
      </c>
      <c r="J608" s="13">
        <f t="shared" si="110"/>
        <v>852</v>
      </c>
      <c r="K608" s="138"/>
      <c r="L608" s="8">
        <v>619225</v>
      </c>
      <c r="M608" s="8">
        <v>619716</v>
      </c>
      <c r="N608" s="13">
        <f t="shared" si="111"/>
        <v>491</v>
      </c>
      <c r="O608" s="136"/>
      <c r="P608" s="8">
        <v>364155</v>
      </c>
      <c r="Q608" s="8">
        <v>364623</v>
      </c>
      <c r="R608" s="133">
        <f t="shared" si="119"/>
        <v>468</v>
      </c>
      <c r="S608" s="8">
        <v>15260</v>
      </c>
      <c r="T608" s="8">
        <v>15350</v>
      </c>
      <c r="U608" s="133">
        <f t="shared" si="117"/>
        <v>90</v>
      </c>
      <c r="V608" s="8">
        <v>334920</v>
      </c>
      <c r="W608" s="8">
        <v>335190</v>
      </c>
      <c r="X608" s="13">
        <f t="shared" si="118"/>
        <v>270</v>
      </c>
      <c r="Y608" s="8">
        <v>24023</v>
      </c>
      <c r="Z608" s="8">
        <v>24023</v>
      </c>
      <c r="AA608" s="13">
        <f t="shared" si="112"/>
        <v>0</v>
      </c>
      <c r="AB608" s="8">
        <v>213162</v>
      </c>
      <c r="AC608" s="8">
        <v>213384</v>
      </c>
      <c r="AD608" s="13">
        <f t="shared" si="116"/>
        <v>222</v>
      </c>
      <c r="AE608" s="135"/>
      <c r="AF608" s="135"/>
      <c r="AG608" s="135"/>
      <c r="AH608" s="136"/>
      <c r="AI608" s="50">
        <f t="shared" si="113"/>
        <v>828</v>
      </c>
    </row>
    <row r="609" spans="1:35">
      <c r="A609" s="12">
        <v>44984</v>
      </c>
      <c r="B609" s="8">
        <v>1793599</v>
      </c>
      <c r="C609" s="8">
        <v>1793968</v>
      </c>
      <c r="D609" s="13">
        <f t="shared" si="107"/>
        <v>369</v>
      </c>
      <c r="E609" s="69">
        <v>119498</v>
      </c>
      <c r="F609" s="69">
        <v>120083</v>
      </c>
      <c r="G609" s="133">
        <f t="shared" si="114"/>
        <v>585</v>
      </c>
      <c r="H609" s="8">
        <v>253317</v>
      </c>
      <c r="I609" s="8">
        <v>253317</v>
      </c>
      <c r="J609" s="13">
        <f t="shared" si="110"/>
        <v>0</v>
      </c>
      <c r="K609" s="138"/>
      <c r="L609" s="8">
        <v>619716</v>
      </c>
      <c r="M609" s="8">
        <v>620172</v>
      </c>
      <c r="N609" s="13">
        <f t="shared" si="111"/>
        <v>456</v>
      </c>
      <c r="O609" s="136"/>
      <c r="P609" s="8">
        <v>364623</v>
      </c>
      <c r="Q609" s="8">
        <v>364823</v>
      </c>
      <c r="R609" s="133">
        <f t="shared" si="119"/>
        <v>200</v>
      </c>
      <c r="S609" s="8">
        <v>15350</v>
      </c>
      <c r="T609" s="8">
        <v>15415</v>
      </c>
      <c r="U609" s="133">
        <f t="shared" si="117"/>
        <v>65</v>
      </c>
      <c r="V609" s="8">
        <v>335190</v>
      </c>
      <c r="W609" s="8">
        <v>335493</v>
      </c>
      <c r="X609" s="13">
        <f t="shared" si="118"/>
        <v>303</v>
      </c>
      <c r="Y609" s="8">
        <v>24023</v>
      </c>
      <c r="Z609" s="8">
        <v>24166</v>
      </c>
      <c r="AA609" s="13">
        <f t="shared" si="112"/>
        <v>143</v>
      </c>
      <c r="AB609" s="8">
        <v>213384</v>
      </c>
      <c r="AC609" s="8">
        <v>213638</v>
      </c>
      <c r="AD609" s="13">
        <f t="shared" si="116"/>
        <v>254</v>
      </c>
      <c r="AE609" s="135"/>
      <c r="AF609" s="135"/>
      <c r="AG609" s="135"/>
      <c r="AH609" s="136"/>
      <c r="AI609" s="50">
        <f t="shared" si="113"/>
        <v>711</v>
      </c>
    </row>
    <row r="610" spans="1:35">
      <c r="A610" s="12">
        <v>44985</v>
      </c>
      <c r="B610" s="8">
        <v>1793968</v>
      </c>
      <c r="C610" s="8">
        <v>1794078</v>
      </c>
      <c r="D610" s="13">
        <f t="shared" si="107"/>
        <v>110</v>
      </c>
      <c r="E610" s="69">
        <v>120083</v>
      </c>
      <c r="F610" s="69">
        <v>120746</v>
      </c>
      <c r="G610" s="133">
        <f t="shared" si="114"/>
        <v>663</v>
      </c>
      <c r="H610" s="8">
        <v>253317</v>
      </c>
      <c r="I610" s="8">
        <v>253759</v>
      </c>
      <c r="J610" s="13">
        <f t="shared" si="110"/>
        <v>442</v>
      </c>
      <c r="K610" s="138"/>
      <c r="L610" s="8">
        <v>620172</v>
      </c>
      <c r="M610" s="8">
        <v>621332</v>
      </c>
      <c r="N610" s="13">
        <f t="shared" si="111"/>
        <v>1160</v>
      </c>
      <c r="O610" s="136"/>
      <c r="P610" s="8">
        <v>364823</v>
      </c>
      <c r="Q610" s="8">
        <v>365437</v>
      </c>
      <c r="R610" s="133">
        <f t="shared" si="119"/>
        <v>614</v>
      </c>
      <c r="S610" s="8">
        <v>15415</v>
      </c>
      <c r="T610" s="8">
        <v>15450</v>
      </c>
      <c r="U610" s="133">
        <f t="shared" si="117"/>
        <v>35</v>
      </c>
      <c r="V610" s="8">
        <v>335493</v>
      </c>
      <c r="W610" s="8">
        <v>335804</v>
      </c>
      <c r="X610" s="13">
        <f t="shared" si="118"/>
        <v>311</v>
      </c>
      <c r="Y610" s="8">
        <v>24166</v>
      </c>
      <c r="Z610" s="8">
        <v>24202</v>
      </c>
      <c r="AA610" s="13">
        <f t="shared" si="112"/>
        <v>36</v>
      </c>
      <c r="AB610" s="8">
        <v>213638</v>
      </c>
      <c r="AC610" s="8">
        <v>213855</v>
      </c>
      <c r="AD610" s="13">
        <f t="shared" si="116"/>
        <v>217</v>
      </c>
      <c r="AE610" s="135"/>
      <c r="AF610" s="135"/>
      <c r="AG610" s="135"/>
      <c r="AH610" s="136"/>
      <c r="AI610" s="50">
        <f t="shared" si="113"/>
        <v>996</v>
      </c>
    </row>
    <row r="611" spans="1:35">
      <c r="A611" s="12">
        <v>44986</v>
      </c>
      <c r="B611" s="8">
        <v>1794078</v>
      </c>
      <c r="C611" s="8">
        <v>1794149</v>
      </c>
      <c r="D611" s="13">
        <f t="shared" si="107"/>
        <v>71</v>
      </c>
      <c r="E611" s="69">
        <v>120746</v>
      </c>
      <c r="F611" s="69">
        <v>121579</v>
      </c>
      <c r="G611" s="133">
        <f t="shared" si="114"/>
        <v>833</v>
      </c>
      <c r="H611" s="8">
        <v>253759</v>
      </c>
      <c r="I611" s="8">
        <v>253956</v>
      </c>
      <c r="J611" s="13">
        <f t="shared" si="110"/>
        <v>197</v>
      </c>
      <c r="K611" s="138"/>
      <c r="L611" s="8">
        <v>621332</v>
      </c>
      <c r="M611" s="8">
        <v>622325</v>
      </c>
      <c r="N611" s="13">
        <f t="shared" si="111"/>
        <v>993</v>
      </c>
      <c r="O611" s="136"/>
      <c r="P611" s="8">
        <v>365437</v>
      </c>
      <c r="Q611" s="8">
        <v>365937</v>
      </c>
      <c r="R611" s="133">
        <f t="shared" si="119"/>
        <v>500</v>
      </c>
      <c r="S611" s="8">
        <v>15450</v>
      </c>
      <c r="T611" s="8">
        <v>15496</v>
      </c>
      <c r="U611" s="133">
        <f t="shared" si="117"/>
        <v>46</v>
      </c>
      <c r="V611" s="8">
        <v>335804</v>
      </c>
      <c r="W611" s="8">
        <v>335962</v>
      </c>
      <c r="X611" s="13">
        <f t="shared" si="118"/>
        <v>158</v>
      </c>
      <c r="Y611" s="8">
        <v>24202</v>
      </c>
      <c r="Z611" s="8">
        <v>24205</v>
      </c>
      <c r="AA611" s="13">
        <f t="shared" si="112"/>
        <v>3</v>
      </c>
      <c r="AB611" s="8">
        <v>213855</v>
      </c>
      <c r="AC611" s="8">
        <v>214048</v>
      </c>
      <c r="AD611" s="13">
        <f t="shared" si="116"/>
        <v>193</v>
      </c>
      <c r="AE611" s="135"/>
      <c r="AF611" s="135"/>
      <c r="AG611" s="135"/>
      <c r="AH611" s="136"/>
      <c r="AI611" s="50">
        <f t="shared" si="113"/>
        <v>707</v>
      </c>
    </row>
    <row r="612" spans="1:35">
      <c r="A612" s="12">
        <v>44987</v>
      </c>
      <c r="B612" s="8">
        <v>1794149</v>
      </c>
      <c r="C612" s="8">
        <v>1794375</v>
      </c>
      <c r="D612" s="13">
        <f t="shared" si="107"/>
        <v>226</v>
      </c>
      <c r="E612" s="69">
        <v>121579</v>
      </c>
      <c r="F612" s="69">
        <v>122367</v>
      </c>
      <c r="G612" s="133">
        <f t="shared" si="114"/>
        <v>788</v>
      </c>
      <c r="H612" s="8">
        <v>253956</v>
      </c>
      <c r="I612" s="8">
        <v>254685</v>
      </c>
      <c r="J612" s="13">
        <f t="shared" si="110"/>
        <v>729</v>
      </c>
      <c r="K612" s="138"/>
      <c r="L612" s="8">
        <v>622325</v>
      </c>
      <c r="M612" s="8">
        <v>622807</v>
      </c>
      <c r="N612" s="13">
        <f t="shared" si="111"/>
        <v>482</v>
      </c>
      <c r="O612" s="136"/>
      <c r="P612" s="8">
        <v>365937</v>
      </c>
      <c r="Q612" s="8">
        <v>366451</v>
      </c>
      <c r="R612" s="133">
        <f t="shared" si="119"/>
        <v>514</v>
      </c>
      <c r="S612" s="8">
        <v>15496</v>
      </c>
      <c r="T612" s="8">
        <v>15549</v>
      </c>
      <c r="U612" s="133">
        <f t="shared" si="117"/>
        <v>53</v>
      </c>
      <c r="V612" s="8">
        <v>335962</v>
      </c>
      <c r="W612" s="8">
        <v>336161</v>
      </c>
      <c r="X612" s="13">
        <f t="shared" si="118"/>
        <v>199</v>
      </c>
      <c r="Y612" s="8">
        <v>24205</v>
      </c>
      <c r="Z612" s="8">
        <v>24205</v>
      </c>
      <c r="AA612" s="13">
        <f t="shared" si="112"/>
        <v>0</v>
      </c>
      <c r="AB612" s="8">
        <v>214048</v>
      </c>
      <c r="AC612" s="8">
        <v>214286</v>
      </c>
      <c r="AD612" s="13">
        <f t="shared" si="116"/>
        <v>238</v>
      </c>
      <c r="AE612" s="135"/>
      <c r="AF612" s="135"/>
      <c r="AG612" s="135"/>
      <c r="AH612" s="136"/>
      <c r="AI612" s="50">
        <f t="shared" si="113"/>
        <v>766</v>
      </c>
    </row>
    <row r="613" spans="1:35">
      <c r="A613" s="12">
        <v>44988</v>
      </c>
      <c r="B613" s="8">
        <v>1794375</v>
      </c>
      <c r="C613" s="8">
        <v>1794784</v>
      </c>
      <c r="D613" s="13">
        <f t="shared" si="107"/>
        <v>409</v>
      </c>
      <c r="E613" s="69">
        <v>122367</v>
      </c>
      <c r="F613" s="69">
        <v>123212</v>
      </c>
      <c r="G613" s="133">
        <f t="shared" si="114"/>
        <v>845</v>
      </c>
      <c r="H613" s="8">
        <v>254685</v>
      </c>
      <c r="I613" s="8">
        <v>255254</v>
      </c>
      <c r="J613" s="13">
        <f t="shared" si="110"/>
        <v>569</v>
      </c>
      <c r="K613" s="138"/>
      <c r="L613" s="8">
        <v>622807</v>
      </c>
      <c r="M613" s="8">
        <v>623345</v>
      </c>
      <c r="N613" s="13">
        <f t="shared" si="111"/>
        <v>538</v>
      </c>
      <c r="O613" s="136"/>
      <c r="P613" s="8">
        <v>366451</v>
      </c>
      <c r="Q613" s="8">
        <v>366934</v>
      </c>
      <c r="R613" s="133">
        <f t="shared" si="119"/>
        <v>483</v>
      </c>
      <c r="S613" s="8">
        <v>15549</v>
      </c>
      <c r="T613" s="8">
        <v>15589</v>
      </c>
      <c r="U613" s="133">
        <f t="shared" si="117"/>
        <v>40</v>
      </c>
      <c r="V613" s="8">
        <v>336161</v>
      </c>
      <c r="W613" s="8">
        <v>336362</v>
      </c>
      <c r="X613" s="13">
        <f t="shared" si="118"/>
        <v>201</v>
      </c>
      <c r="Y613" s="8">
        <v>24205</v>
      </c>
      <c r="Z613" s="8">
        <v>24238</v>
      </c>
      <c r="AA613" s="13">
        <f t="shared" si="112"/>
        <v>33</v>
      </c>
      <c r="AB613" s="8">
        <v>214479</v>
      </c>
      <c r="AC613" s="8">
        <v>214479</v>
      </c>
      <c r="AD613" s="13">
        <f t="shared" si="116"/>
        <v>0</v>
      </c>
      <c r="AE613" s="135"/>
      <c r="AF613" s="135"/>
      <c r="AG613" s="135"/>
      <c r="AH613" s="136"/>
      <c r="AI613" s="50">
        <f t="shared" si="113"/>
        <v>757</v>
      </c>
    </row>
    <row r="614" spans="1:35">
      <c r="A614" s="12">
        <v>44989</v>
      </c>
      <c r="B614" s="8">
        <v>1794784</v>
      </c>
      <c r="C614" s="8">
        <v>1795176</v>
      </c>
      <c r="D614" s="13">
        <f t="shared" si="107"/>
        <v>392</v>
      </c>
      <c r="E614" s="69">
        <v>123212</v>
      </c>
      <c r="F614" s="69">
        <v>123783</v>
      </c>
      <c r="G614" s="133">
        <f t="shared" si="114"/>
        <v>571</v>
      </c>
      <c r="H614" s="8">
        <v>255254</v>
      </c>
      <c r="I614" s="8">
        <v>255800</v>
      </c>
      <c r="J614" s="13">
        <f t="shared" si="110"/>
        <v>546</v>
      </c>
      <c r="K614" s="138"/>
      <c r="L614" s="8">
        <v>623345</v>
      </c>
      <c r="M614" s="8">
        <v>623675</v>
      </c>
      <c r="N614" s="13">
        <f t="shared" si="111"/>
        <v>330</v>
      </c>
      <c r="O614" s="136"/>
      <c r="P614" s="8">
        <v>366934</v>
      </c>
      <c r="Q614" s="8">
        <v>367314</v>
      </c>
      <c r="R614" s="133">
        <f t="shared" si="119"/>
        <v>380</v>
      </c>
      <c r="S614" s="8">
        <v>15589</v>
      </c>
      <c r="T614" s="8">
        <v>15640</v>
      </c>
      <c r="U614" s="133">
        <f t="shared" si="117"/>
        <v>51</v>
      </c>
      <c r="V614" s="8">
        <v>336362</v>
      </c>
      <c r="W614" s="8">
        <v>336479</v>
      </c>
      <c r="X614" s="13">
        <f>W614-V614</f>
        <v>117</v>
      </c>
      <c r="Y614" s="8">
        <v>24238</v>
      </c>
      <c r="Z614" s="8">
        <v>24280</v>
      </c>
      <c r="AA614" s="13">
        <f t="shared" si="112"/>
        <v>42</v>
      </c>
      <c r="AB614" s="8">
        <v>214479</v>
      </c>
      <c r="AC614" s="8">
        <v>214726</v>
      </c>
      <c r="AD614" s="13">
        <f t="shared" si="116"/>
        <v>247</v>
      </c>
      <c r="AE614" s="135"/>
      <c r="AF614" s="135"/>
      <c r="AG614" s="135"/>
      <c r="AH614" s="136"/>
      <c r="AI614" s="50">
        <f t="shared" si="113"/>
        <v>590</v>
      </c>
    </row>
    <row r="615" spans="1:35">
      <c r="A615" s="12">
        <v>44990</v>
      </c>
      <c r="B615" s="8">
        <v>1795176</v>
      </c>
      <c r="C615" s="8">
        <v>1795435</v>
      </c>
      <c r="D615" s="13">
        <f t="shared" si="107"/>
        <v>259</v>
      </c>
      <c r="E615" s="69">
        <v>123783</v>
      </c>
      <c r="F615" s="69">
        <v>124388</v>
      </c>
      <c r="G615" s="133">
        <f t="shared" si="114"/>
        <v>605</v>
      </c>
      <c r="H615" s="8">
        <v>255800</v>
      </c>
      <c r="I615" s="8">
        <v>255827</v>
      </c>
      <c r="J615" s="13">
        <f t="shared" si="110"/>
        <v>27</v>
      </c>
      <c r="K615" s="138"/>
      <c r="L615" s="8">
        <v>623675</v>
      </c>
      <c r="M615" s="8">
        <v>625026</v>
      </c>
      <c r="N615" s="13">
        <f t="shared" si="111"/>
        <v>1351</v>
      </c>
      <c r="O615" s="136"/>
      <c r="P615" s="8">
        <v>367314</v>
      </c>
      <c r="Q615" s="8">
        <v>367994</v>
      </c>
      <c r="R615" s="133">
        <f t="shared" si="119"/>
        <v>680</v>
      </c>
      <c r="S615" s="8">
        <v>15640</v>
      </c>
      <c r="T615" s="8">
        <v>15690</v>
      </c>
      <c r="U615" s="133">
        <f t="shared" si="117"/>
        <v>50</v>
      </c>
      <c r="V615" s="8">
        <v>336479</v>
      </c>
      <c r="W615" s="8">
        <v>336628</v>
      </c>
      <c r="X615" s="13">
        <f>W615-V615</f>
        <v>149</v>
      </c>
      <c r="Y615" s="8">
        <v>24280</v>
      </c>
      <c r="Z615" s="8">
        <v>24302</v>
      </c>
      <c r="AA615" s="13">
        <f t="shared" si="112"/>
        <v>22</v>
      </c>
      <c r="AB615" s="8">
        <v>214726</v>
      </c>
      <c r="AC615" s="8">
        <v>214903</v>
      </c>
      <c r="AD615" s="13">
        <f t="shared" si="116"/>
        <v>177</v>
      </c>
      <c r="AE615" s="135"/>
      <c r="AF615" s="135"/>
      <c r="AG615" s="135"/>
      <c r="AH615" s="136"/>
      <c r="AI615" s="50">
        <f t="shared" si="113"/>
        <v>901</v>
      </c>
    </row>
    <row r="616" spans="1:35">
      <c r="A616" s="12">
        <v>44991</v>
      </c>
      <c r="B616" s="8">
        <v>1795435</v>
      </c>
      <c r="C616" s="8">
        <v>1796038</v>
      </c>
      <c r="D616" s="13">
        <f t="shared" si="107"/>
        <v>603</v>
      </c>
      <c r="E616" s="69">
        <v>124388</v>
      </c>
      <c r="F616" s="69">
        <v>125186</v>
      </c>
      <c r="G616" s="133">
        <f t="shared" si="114"/>
        <v>798</v>
      </c>
      <c r="H616" s="8">
        <v>255827</v>
      </c>
      <c r="I616" s="8">
        <v>256391</v>
      </c>
      <c r="J616" s="13">
        <f t="shared" si="110"/>
        <v>564</v>
      </c>
      <c r="K616" s="138"/>
      <c r="L616" s="8">
        <v>625026</v>
      </c>
      <c r="M616" s="8">
        <v>625569</v>
      </c>
      <c r="N616" s="13">
        <f t="shared" si="111"/>
        <v>543</v>
      </c>
      <c r="O616" s="136"/>
      <c r="P616" s="8">
        <v>367994</v>
      </c>
      <c r="Q616" s="8">
        <v>368428</v>
      </c>
      <c r="R616" s="133">
        <f t="shared" si="119"/>
        <v>434</v>
      </c>
      <c r="S616" s="8">
        <v>15690</v>
      </c>
      <c r="T616" s="8">
        <v>15750</v>
      </c>
      <c r="U616" s="133">
        <f t="shared" si="117"/>
        <v>60</v>
      </c>
      <c r="V616" s="8">
        <v>336628</v>
      </c>
      <c r="W616" s="8">
        <v>336763</v>
      </c>
      <c r="X616" s="13">
        <f>W616-V616</f>
        <v>135</v>
      </c>
      <c r="Y616" s="8">
        <v>24302</v>
      </c>
      <c r="Z616" s="8">
        <v>24330</v>
      </c>
      <c r="AA616" s="13">
        <f t="shared" si="112"/>
        <v>28</v>
      </c>
      <c r="AB616" s="8">
        <v>214903</v>
      </c>
      <c r="AC616" s="8">
        <v>215096</v>
      </c>
      <c r="AD616" s="13">
        <f t="shared" si="116"/>
        <v>193</v>
      </c>
      <c r="AE616" s="135"/>
      <c r="AF616" s="135"/>
      <c r="AG616" s="135"/>
      <c r="AH616" s="136"/>
      <c r="AI616" s="50">
        <f t="shared" si="113"/>
        <v>657</v>
      </c>
    </row>
    <row r="617" spans="1:35">
      <c r="A617" s="12">
        <v>44992</v>
      </c>
      <c r="B617" s="8">
        <v>1796038</v>
      </c>
      <c r="C617" s="8">
        <v>1796543</v>
      </c>
      <c r="D617" s="13">
        <f t="shared" si="107"/>
        <v>505</v>
      </c>
      <c r="E617" s="69">
        <v>125186</v>
      </c>
      <c r="F617" s="69">
        <v>126002</v>
      </c>
      <c r="G617" s="133">
        <f t="shared" si="114"/>
        <v>816</v>
      </c>
      <c r="H617" s="8">
        <v>256391</v>
      </c>
      <c r="I617" s="8">
        <v>256391</v>
      </c>
      <c r="J617" s="13">
        <f t="shared" si="110"/>
        <v>0</v>
      </c>
      <c r="K617" s="138"/>
      <c r="L617" s="8">
        <v>625569</v>
      </c>
      <c r="M617" s="8">
        <v>626836</v>
      </c>
      <c r="N617" s="13">
        <f t="shared" si="111"/>
        <v>1267</v>
      </c>
      <c r="O617" s="136"/>
      <c r="P617" s="8">
        <v>368428</v>
      </c>
      <c r="Q617" s="8">
        <v>368942</v>
      </c>
      <c r="R617" s="133">
        <f t="shared" si="119"/>
        <v>514</v>
      </c>
      <c r="S617" s="8">
        <v>15750</v>
      </c>
      <c r="T617" s="8">
        <v>15799</v>
      </c>
      <c r="U617" s="133">
        <f t="shared" si="117"/>
        <v>49</v>
      </c>
      <c r="V617" s="8">
        <v>336763</v>
      </c>
      <c r="W617" s="8">
        <v>336978</v>
      </c>
      <c r="X617" s="13">
        <f t="shared" ref="X617:X680" si="120">W617-V617</f>
        <v>215</v>
      </c>
      <c r="Y617" s="8">
        <v>24330</v>
      </c>
      <c r="Z617" s="8">
        <v>24351</v>
      </c>
      <c r="AA617" s="13">
        <f t="shared" si="112"/>
        <v>21</v>
      </c>
      <c r="AB617" s="8">
        <v>215096</v>
      </c>
      <c r="AC617" s="8">
        <v>215264</v>
      </c>
      <c r="AD617" s="13">
        <f t="shared" si="116"/>
        <v>168</v>
      </c>
      <c r="AE617" s="135"/>
      <c r="AF617" s="135"/>
      <c r="AG617" s="135"/>
      <c r="AH617" s="136"/>
      <c r="AI617" s="50">
        <f t="shared" si="113"/>
        <v>799</v>
      </c>
    </row>
    <row r="618" spans="1:35">
      <c r="A618" s="12">
        <v>44993</v>
      </c>
      <c r="B618" s="8">
        <v>1796543</v>
      </c>
      <c r="C618" s="8">
        <v>1796876</v>
      </c>
      <c r="D618" s="13">
        <f t="shared" si="107"/>
        <v>333</v>
      </c>
      <c r="E618" s="69">
        <v>126002</v>
      </c>
      <c r="F618" s="69">
        <v>126796</v>
      </c>
      <c r="G618" s="133">
        <f t="shared" si="114"/>
        <v>794</v>
      </c>
      <c r="H618" s="8">
        <v>256391</v>
      </c>
      <c r="I618" s="8">
        <v>256916</v>
      </c>
      <c r="J618" s="13">
        <f t="shared" si="110"/>
        <v>525</v>
      </c>
      <c r="K618" s="138"/>
      <c r="L618" s="8">
        <v>626836</v>
      </c>
      <c r="M618" s="8">
        <v>627352</v>
      </c>
      <c r="N618" s="13">
        <f t="shared" si="111"/>
        <v>516</v>
      </c>
      <c r="O618" s="136"/>
      <c r="P618" s="8">
        <v>368942</v>
      </c>
      <c r="Q618" s="8">
        <v>369261</v>
      </c>
      <c r="R618" s="133">
        <f t="shared" si="119"/>
        <v>319</v>
      </c>
      <c r="S618" s="8">
        <v>15799</v>
      </c>
      <c r="T618" s="8">
        <v>15850</v>
      </c>
      <c r="U618" s="133">
        <f t="shared" si="117"/>
        <v>51</v>
      </c>
      <c r="V618" s="8">
        <v>336978</v>
      </c>
      <c r="W618" s="8">
        <v>337224</v>
      </c>
      <c r="X618" s="13">
        <f t="shared" si="120"/>
        <v>246</v>
      </c>
      <c r="Y618" s="8">
        <v>24351</v>
      </c>
      <c r="Z618" s="8">
        <v>24374</v>
      </c>
      <c r="AA618" s="13">
        <f t="shared" si="112"/>
        <v>23</v>
      </c>
      <c r="AB618" s="8">
        <v>215264</v>
      </c>
      <c r="AC618" s="8">
        <v>215448</v>
      </c>
      <c r="AD618" s="13">
        <f t="shared" si="116"/>
        <v>184</v>
      </c>
      <c r="AE618" s="135"/>
      <c r="AF618" s="135"/>
      <c r="AG618" s="135"/>
      <c r="AH618" s="136"/>
      <c r="AI618" s="50">
        <f t="shared" si="113"/>
        <v>639</v>
      </c>
    </row>
    <row r="619" spans="1:35">
      <c r="A619" s="12">
        <v>44994</v>
      </c>
      <c r="B619" s="8">
        <v>1796876</v>
      </c>
      <c r="C619" s="8">
        <v>1797356</v>
      </c>
      <c r="D619" s="13">
        <f t="shared" si="107"/>
        <v>480</v>
      </c>
      <c r="E619" s="69">
        <v>126796</v>
      </c>
      <c r="F619" s="69">
        <v>127611</v>
      </c>
      <c r="G619" s="133">
        <f t="shared" si="114"/>
        <v>815</v>
      </c>
      <c r="H619" s="8">
        <v>256916</v>
      </c>
      <c r="I619" s="8">
        <v>257231</v>
      </c>
      <c r="J619" s="13">
        <f t="shared" si="110"/>
        <v>315</v>
      </c>
      <c r="K619" s="138"/>
      <c r="L619" s="8">
        <v>627352</v>
      </c>
      <c r="M619" s="8">
        <v>628358</v>
      </c>
      <c r="N619" s="13">
        <f t="shared" si="111"/>
        <v>1006</v>
      </c>
      <c r="O619" s="136"/>
      <c r="P619" s="8">
        <v>369261</v>
      </c>
      <c r="Q619" s="8">
        <v>369835</v>
      </c>
      <c r="R619" s="133">
        <f t="shared" si="119"/>
        <v>574</v>
      </c>
      <c r="S619" s="8">
        <v>15850</v>
      </c>
      <c r="T619" s="8">
        <v>15931</v>
      </c>
      <c r="U619" s="133">
        <f t="shared" si="117"/>
        <v>81</v>
      </c>
      <c r="V619" s="8">
        <v>337224</v>
      </c>
      <c r="W619" s="8">
        <v>337564</v>
      </c>
      <c r="X619" s="13">
        <f t="shared" si="120"/>
        <v>340</v>
      </c>
      <c r="Y619" s="8">
        <v>24374</v>
      </c>
      <c r="Z619" s="8">
        <v>24393</v>
      </c>
      <c r="AA619" s="13">
        <f t="shared" si="112"/>
        <v>19</v>
      </c>
      <c r="AB619" s="8">
        <v>215448</v>
      </c>
      <c r="AC619" s="8">
        <v>215643</v>
      </c>
      <c r="AD619" s="13">
        <f t="shared" si="116"/>
        <v>195</v>
      </c>
      <c r="AE619" s="135"/>
      <c r="AF619" s="135"/>
      <c r="AG619" s="135"/>
      <c r="AH619" s="136"/>
      <c r="AI619" s="50">
        <f t="shared" si="113"/>
        <v>1014</v>
      </c>
    </row>
    <row r="620" spans="1:35">
      <c r="A620" s="12">
        <v>44995</v>
      </c>
      <c r="B620" s="8">
        <v>1797356</v>
      </c>
      <c r="C620" s="8">
        <v>1798016</v>
      </c>
      <c r="D620" s="13">
        <f t="shared" si="107"/>
        <v>660</v>
      </c>
      <c r="E620" s="69">
        <v>127611</v>
      </c>
      <c r="F620" s="69">
        <v>128346</v>
      </c>
      <c r="G620" s="133">
        <f t="shared" si="114"/>
        <v>735</v>
      </c>
      <c r="H620" s="8">
        <v>257231</v>
      </c>
      <c r="I620" s="8">
        <v>257625</v>
      </c>
      <c r="J620" s="13">
        <f t="shared" si="110"/>
        <v>394</v>
      </c>
      <c r="K620" s="138"/>
      <c r="L620" s="8">
        <v>628358</v>
      </c>
      <c r="M620" s="8">
        <v>629218</v>
      </c>
      <c r="N620" s="13">
        <f t="shared" si="111"/>
        <v>860</v>
      </c>
      <c r="O620" s="136"/>
      <c r="P620" s="8">
        <v>369835</v>
      </c>
      <c r="Q620" s="8">
        <v>370368</v>
      </c>
      <c r="R620" s="133">
        <f t="shared" si="119"/>
        <v>533</v>
      </c>
      <c r="S620" s="8">
        <v>15931</v>
      </c>
      <c r="T620" s="8">
        <v>15982</v>
      </c>
      <c r="U620" s="133">
        <f t="shared" si="117"/>
        <v>51</v>
      </c>
      <c r="V620" s="8">
        <v>337564</v>
      </c>
      <c r="W620" s="8">
        <v>337765</v>
      </c>
      <c r="X620" s="13">
        <f t="shared" si="120"/>
        <v>201</v>
      </c>
      <c r="Y620" s="8">
        <v>24393</v>
      </c>
      <c r="Z620" s="8">
        <v>24415</v>
      </c>
      <c r="AA620" s="13">
        <f t="shared" si="112"/>
        <v>22</v>
      </c>
      <c r="AB620" s="8">
        <v>215643</v>
      </c>
      <c r="AC620" s="8">
        <v>215842</v>
      </c>
      <c r="AD620" s="13">
        <f t="shared" si="116"/>
        <v>199</v>
      </c>
      <c r="AE620" s="135"/>
      <c r="AF620" s="135"/>
      <c r="AG620" s="135"/>
      <c r="AH620" s="136"/>
      <c r="AI620" s="50">
        <f t="shared" si="113"/>
        <v>807</v>
      </c>
    </row>
    <row r="621" spans="1:35">
      <c r="A621" s="12">
        <v>44996</v>
      </c>
      <c r="B621" s="8">
        <v>1798016</v>
      </c>
      <c r="C621" s="8">
        <v>1798543</v>
      </c>
      <c r="D621" s="13">
        <f t="shared" ref="D621:D651" si="121">C621-B621</f>
        <v>527</v>
      </c>
      <c r="E621" s="69">
        <v>128346</v>
      </c>
      <c r="F621" s="77">
        <v>129021</v>
      </c>
      <c r="G621" s="133">
        <f t="shared" si="114"/>
        <v>675</v>
      </c>
      <c r="H621" s="8">
        <v>257625</v>
      </c>
      <c r="I621" s="8">
        <v>258134</v>
      </c>
      <c r="J621" s="13">
        <f t="shared" si="110"/>
        <v>509</v>
      </c>
      <c r="K621" s="138"/>
      <c r="L621" s="8">
        <v>629218</v>
      </c>
      <c r="M621" s="8">
        <v>629778</v>
      </c>
      <c r="N621" s="13">
        <f t="shared" si="111"/>
        <v>560</v>
      </c>
      <c r="O621" s="136"/>
      <c r="P621" s="8">
        <v>370368</v>
      </c>
      <c r="Q621" s="8">
        <v>370721</v>
      </c>
      <c r="R621" s="133">
        <f t="shared" si="119"/>
        <v>353</v>
      </c>
      <c r="S621" s="8">
        <v>15982</v>
      </c>
      <c r="T621" s="8">
        <v>16014</v>
      </c>
      <c r="U621" s="133">
        <f t="shared" si="117"/>
        <v>32</v>
      </c>
      <c r="V621" s="8">
        <v>337765</v>
      </c>
      <c r="W621" s="8">
        <v>337846</v>
      </c>
      <c r="X621" s="13">
        <f t="shared" si="120"/>
        <v>81</v>
      </c>
      <c r="Y621" s="8">
        <v>24415</v>
      </c>
      <c r="Z621" s="8">
        <v>24436</v>
      </c>
      <c r="AA621" s="13">
        <f t="shared" si="112"/>
        <v>21</v>
      </c>
      <c r="AB621" s="8">
        <v>215842</v>
      </c>
      <c r="AC621" s="8">
        <v>216093</v>
      </c>
      <c r="AD621" s="13">
        <f t="shared" si="116"/>
        <v>251</v>
      </c>
      <c r="AE621" s="135"/>
      <c r="AF621" s="135"/>
      <c r="AG621" s="135"/>
      <c r="AH621" s="136"/>
      <c r="AI621" s="50">
        <f t="shared" si="113"/>
        <v>487</v>
      </c>
    </row>
    <row r="622" spans="1:35">
      <c r="A622" s="12">
        <v>44997</v>
      </c>
      <c r="B622" s="8">
        <v>1798543</v>
      </c>
      <c r="C622" s="8">
        <v>1798826</v>
      </c>
      <c r="D622" s="13">
        <f t="shared" si="121"/>
        <v>283</v>
      </c>
      <c r="E622" s="77">
        <v>129021</v>
      </c>
      <c r="F622" s="69">
        <v>129787</v>
      </c>
      <c r="G622" s="133">
        <f t="shared" si="114"/>
        <v>766</v>
      </c>
      <c r="H622" s="8">
        <v>258134</v>
      </c>
      <c r="I622" s="8">
        <v>258134</v>
      </c>
      <c r="J622" s="13">
        <f t="shared" si="110"/>
        <v>0</v>
      </c>
      <c r="K622" s="138"/>
      <c r="L622" s="8">
        <v>629778</v>
      </c>
      <c r="M622" s="8">
        <v>631158</v>
      </c>
      <c r="N622" s="13">
        <f t="shared" si="111"/>
        <v>1380</v>
      </c>
      <c r="O622" s="136"/>
      <c r="P622" s="8">
        <v>370721</v>
      </c>
      <c r="Q622" s="8">
        <v>371369</v>
      </c>
      <c r="R622" s="133">
        <f t="shared" si="119"/>
        <v>648</v>
      </c>
      <c r="S622" s="8">
        <v>16014</v>
      </c>
      <c r="T622" s="8">
        <v>16060</v>
      </c>
      <c r="U622" s="133">
        <f t="shared" si="117"/>
        <v>46</v>
      </c>
      <c r="V622" s="8">
        <v>337846</v>
      </c>
      <c r="W622" s="8">
        <v>337900</v>
      </c>
      <c r="X622" s="13">
        <f t="shared" si="120"/>
        <v>54</v>
      </c>
      <c r="Y622" s="8">
        <v>24436</v>
      </c>
      <c r="Z622" s="8">
        <v>24459</v>
      </c>
      <c r="AA622" s="13">
        <f t="shared" si="112"/>
        <v>23</v>
      </c>
      <c r="AB622" s="8">
        <v>216093</v>
      </c>
      <c r="AC622" s="8">
        <v>216312</v>
      </c>
      <c r="AD622" s="13">
        <f t="shared" si="116"/>
        <v>219</v>
      </c>
      <c r="AE622" s="135"/>
      <c r="AF622" s="135"/>
      <c r="AG622" s="135"/>
      <c r="AH622" s="136"/>
      <c r="AI622" s="50">
        <f t="shared" si="113"/>
        <v>771</v>
      </c>
    </row>
    <row r="623" spans="1:35">
      <c r="A623" s="12">
        <v>44998</v>
      </c>
      <c r="B623" s="8">
        <v>1798826</v>
      </c>
      <c r="C623" s="8">
        <v>1799223</v>
      </c>
      <c r="D623" s="13">
        <f t="shared" si="121"/>
        <v>397</v>
      </c>
      <c r="E623" s="69">
        <v>129787</v>
      </c>
      <c r="F623" s="69">
        <v>130569</v>
      </c>
      <c r="G623" s="133">
        <f t="shared" si="114"/>
        <v>782</v>
      </c>
      <c r="H623" s="8">
        <v>258134</v>
      </c>
      <c r="I623" s="8">
        <v>258134</v>
      </c>
      <c r="J623" s="13">
        <f t="shared" si="110"/>
        <v>0</v>
      </c>
      <c r="K623" s="138"/>
      <c r="L623" s="8">
        <v>631158</v>
      </c>
      <c r="M623" s="8">
        <v>631969</v>
      </c>
      <c r="N623" s="13">
        <f t="shared" si="111"/>
        <v>811</v>
      </c>
      <c r="O623" s="136"/>
      <c r="P623" s="8">
        <v>371369</v>
      </c>
      <c r="Q623" s="8">
        <v>371923</v>
      </c>
      <c r="R623" s="133">
        <f t="shared" si="119"/>
        <v>554</v>
      </c>
      <c r="S623" s="8">
        <v>16060</v>
      </c>
      <c r="T623" s="8">
        <v>16148</v>
      </c>
      <c r="U623" s="133">
        <f t="shared" si="117"/>
        <v>88</v>
      </c>
      <c r="V623" s="8">
        <v>337900</v>
      </c>
      <c r="W623" s="8">
        <v>338123</v>
      </c>
      <c r="X623" s="13">
        <f t="shared" si="120"/>
        <v>223</v>
      </c>
      <c r="Y623" s="8">
        <v>24459</v>
      </c>
      <c r="Z623" s="8">
        <v>24480</v>
      </c>
      <c r="AA623" s="13">
        <f t="shared" si="112"/>
        <v>21</v>
      </c>
      <c r="AB623" s="8">
        <v>216312</v>
      </c>
      <c r="AC623" s="8">
        <v>216564</v>
      </c>
      <c r="AD623" s="13">
        <f t="shared" si="116"/>
        <v>252</v>
      </c>
      <c r="AE623" s="135"/>
      <c r="AF623" s="135"/>
      <c r="AG623" s="135"/>
      <c r="AH623" s="136"/>
      <c r="AI623" s="50">
        <f t="shared" si="113"/>
        <v>886</v>
      </c>
    </row>
    <row r="624" spans="1:35">
      <c r="A624" s="12">
        <v>44999</v>
      </c>
      <c r="B624" s="8">
        <v>1799223</v>
      </c>
      <c r="C624" s="8">
        <v>1799846</v>
      </c>
      <c r="D624" s="13">
        <f t="shared" si="121"/>
        <v>623</v>
      </c>
      <c r="E624" s="69">
        <v>130569</v>
      </c>
      <c r="F624" s="69">
        <v>131358</v>
      </c>
      <c r="G624" s="133">
        <f t="shared" si="114"/>
        <v>789</v>
      </c>
      <c r="H624" s="8">
        <v>258134</v>
      </c>
      <c r="I624" s="8">
        <v>258545</v>
      </c>
      <c r="J624" s="13">
        <f t="shared" si="110"/>
        <v>411</v>
      </c>
      <c r="K624" s="138"/>
      <c r="L624" s="8">
        <v>631969</v>
      </c>
      <c r="M624" s="8">
        <v>633135</v>
      </c>
      <c r="N624" s="13">
        <f t="shared" si="111"/>
        <v>1166</v>
      </c>
      <c r="O624" s="136"/>
      <c r="P624" s="8">
        <v>371923</v>
      </c>
      <c r="Q624" s="8">
        <v>372349</v>
      </c>
      <c r="R624" s="133">
        <f t="shared" si="119"/>
        <v>426</v>
      </c>
      <c r="S624" s="8">
        <v>16148</v>
      </c>
      <c r="T624" s="8">
        <v>16198</v>
      </c>
      <c r="U624" s="133">
        <f t="shared" si="117"/>
        <v>50</v>
      </c>
      <c r="V624" s="8">
        <v>338123</v>
      </c>
      <c r="W624" s="8">
        <v>338421</v>
      </c>
      <c r="X624" s="13">
        <f t="shared" si="120"/>
        <v>298</v>
      </c>
      <c r="Y624" s="8">
        <v>24480</v>
      </c>
      <c r="Z624" s="8">
        <v>24499</v>
      </c>
      <c r="AA624" s="13">
        <f t="shared" si="112"/>
        <v>19</v>
      </c>
      <c r="AB624" s="8">
        <v>216564</v>
      </c>
      <c r="AC624" s="8">
        <v>216724</v>
      </c>
      <c r="AD624" s="13">
        <f t="shared" si="116"/>
        <v>160</v>
      </c>
      <c r="AE624" s="135"/>
      <c r="AF624" s="135"/>
      <c r="AG624" s="135"/>
      <c r="AH624" s="136"/>
      <c r="AI624" s="50">
        <f t="shared" si="113"/>
        <v>793</v>
      </c>
    </row>
    <row r="625" spans="1:35">
      <c r="A625" s="12">
        <v>45000</v>
      </c>
      <c r="B625" s="8">
        <v>1799846</v>
      </c>
      <c r="C625" s="8">
        <v>1800293</v>
      </c>
      <c r="D625" s="13">
        <f t="shared" si="121"/>
        <v>447</v>
      </c>
      <c r="E625" s="69">
        <v>131358</v>
      </c>
      <c r="F625" s="69">
        <v>132181</v>
      </c>
      <c r="G625" s="133">
        <f t="shared" si="114"/>
        <v>823</v>
      </c>
      <c r="H625" s="8">
        <v>258545</v>
      </c>
      <c r="I625" s="8">
        <v>258897</v>
      </c>
      <c r="J625" s="13">
        <f t="shared" si="110"/>
        <v>352</v>
      </c>
      <c r="K625" s="138"/>
      <c r="L625" s="8">
        <v>633135</v>
      </c>
      <c r="M625" s="8">
        <v>634028</v>
      </c>
      <c r="N625" s="13">
        <f t="shared" si="111"/>
        <v>893</v>
      </c>
      <c r="O625" s="136"/>
      <c r="P625" s="8">
        <v>372349</v>
      </c>
      <c r="Q625" s="8">
        <v>372826</v>
      </c>
      <c r="R625" s="133">
        <f t="shared" si="119"/>
        <v>477</v>
      </c>
      <c r="S625" s="8">
        <v>16198</v>
      </c>
      <c r="T625" s="8">
        <v>16253</v>
      </c>
      <c r="U625" s="133">
        <f t="shared" si="117"/>
        <v>55</v>
      </c>
      <c r="V625" s="8">
        <v>338421</v>
      </c>
      <c r="W625" s="8">
        <v>338764</v>
      </c>
      <c r="X625" s="13">
        <f t="shared" si="120"/>
        <v>343</v>
      </c>
      <c r="Y625" s="8">
        <v>24499</v>
      </c>
      <c r="Z625" s="8">
        <v>24561</v>
      </c>
      <c r="AA625" s="13">
        <f t="shared" si="112"/>
        <v>62</v>
      </c>
      <c r="AB625" s="8">
        <v>216724</v>
      </c>
      <c r="AC625" s="8">
        <v>217047</v>
      </c>
      <c r="AD625" s="13">
        <f t="shared" si="116"/>
        <v>323</v>
      </c>
      <c r="AE625" s="135"/>
      <c r="AF625" s="135"/>
      <c r="AG625" s="135"/>
      <c r="AH625" s="136"/>
      <c r="AI625" s="50">
        <f t="shared" si="113"/>
        <v>937</v>
      </c>
    </row>
    <row r="626" spans="1:35">
      <c r="A626" s="12">
        <v>45001</v>
      </c>
      <c r="B626" s="8">
        <v>1800293</v>
      </c>
      <c r="C626" s="8">
        <v>1800825</v>
      </c>
      <c r="D626" s="13">
        <f t="shared" si="121"/>
        <v>532</v>
      </c>
      <c r="E626" s="69">
        <v>132181</v>
      </c>
      <c r="F626" s="69">
        <v>132978</v>
      </c>
      <c r="G626" s="133">
        <f t="shared" si="114"/>
        <v>797</v>
      </c>
      <c r="H626" s="8">
        <v>258897</v>
      </c>
      <c r="I626" s="8">
        <v>259258</v>
      </c>
      <c r="J626" s="13">
        <f t="shared" si="110"/>
        <v>361</v>
      </c>
      <c r="K626" s="138"/>
      <c r="L626" s="8">
        <v>634028</v>
      </c>
      <c r="M626" s="8">
        <v>634836</v>
      </c>
      <c r="N626" s="13">
        <f t="shared" si="111"/>
        <v>808</v>
      </c>
      <c r="O626" s="136"/>
      <c r="P626" s="8">
        <v>372826</v>
      </c>
      <c r="Q626" s="8">
        <v>373277</v>
      </c>
      <c r="R626" s="133">
        <f t="shared" si="119"/>
        <v>451</v>
      </c>
      <c r="S626" s="8">
        <v>16253</v>
      </c>
      <c r="T626" s="8">
        <v>16298</v>
      </c>
      <c r="U626" s="133">
        <f t="shared" si="117"/>
        <v>45</v>
      </c>
      <c r="V626" s="8">
        <v>338764</v>
      </c>
      <c r="W626" s="8">
        <v>338906</v>
      </c>
      <c r="X626" s="13">
        <f t="shared" si="120"/>
        <v>142</v>
      </c>
      <c r="Y626" s="8">
        <v>24561</v>
      </c>
      <c r="Z626" s="8">
        <v>24594</v>
      </c>
      <c r="AA626" s="13">
        <f t="shared" si="112"/>
        <v>33</v>
      </c>
      <c r="AB626" s="8">
        <v>217047</v>
      </c>
      <c r="AC626" s="8">
        <v>217276</v>
      </c>
      <c r="AD626" s="13">
        <f t="shared" si="116"/>
        <v>229</v>
      </c>
      <c r="AE626" s="135"/>
      <c r="AF626" s="135"/>
      <c r="AG626" s="135"/>
      <c r="AH626" s="136"/>
      <c r="AI626" s="50">
        <f t="shared" si="113"/>
        <v>671</v>
      </c>
    </row>
    <row r="627" spans="1:35">
      <c r="A627" s="12">
        <v>45002</v>
      </c>
      <c r="B627" s="8">
        <v>1800825</v>
      </c>
      <c r="C627" s="8">
        <v>1801134</v>
      </c>
      <c r="D627" s="13">
        <f t="shared" si="121"/>
        <v>309</v>
      </c>
      <c r="E627" s="69">
        <v>132978</v>
      </c>
      <c r="F627" s="69">
        <v>133803</v>
      </c>
      <c r="G627" s="133">
        <f t="shared" si="114"/>
        <v>825</v>
      </c>
      <c r="H627" s="8">
        <v>259258</v>
      </c>
      <c r="I627" s="8">
        <v>259645</v>
      </c>
      <c r="J627" s="13">
        <f t="shared" si="110"/>
        <v>387</v>
      </c>
      <c r="K627" s="138"/>
      <c r="L627" s="8">
        <v>634836</v>
      </c>
      <c r="M627" s="8">
        <v>635718</v>
      </c>
      <c r="N627" s="13">
        <f t="shared" si="111"/>
        <v>882</v>
      </c>
      <c r="O627" s="136"/>
      <c r="P627" s="8">
        <v>373277</v>
      </c>
      <c r="Q627" s="8">
        <v>373931</v>
      </c>
      <c r="R627" s="133">
        <f t="shared" si="119"/>
        <v>654</v>
      </c>
      <c r="S627" s="8">
        <v>16298</v>
      </c>
      <c r="T627" s="8">
        <v>16341</v>
      </c>
      <c r="U627" s="133">
        <f t="shared" si="117"/>
        <v>43</v>
      </c>
      <c r="V627" s="8">
        <v>338906</v>
      </c>
      <c r="W627" s="8">
        <v>339002</v>
      </c>
      <c r="X627" s="13">
        <f t="shared" si="120"/>
        <v>96</v>
      </c>
      <c r="Y627" s="8">
        <v>24594</v>
      </c>
      <c r="Z627" s="8">
        <v>24623</v>
      </c>
      <c r="AA627" s="13">
        <f t="shared" si="112"/>
        <v>29</v>
      </c>
      <c r="AB627" s="8">
        <v>217276</v>
      </c>
      <c r="AC627" s="8">
        <v>217499</v>
      </c>
      <c r="AD627" s="13">
        <f t="shared" si="116"/>
        <v>223</v>
      </c>
      <c r="AE627" s="135"/>
      <c r="AF627" s="135"/>
      <c r="AG627" s="135"/>
      <c r="AH627" s="136"/>
      <c r="AI627" s="50">
        <f t="shared" si="113"/>
        <v>822</v>
      </c>
    </row>
    <row r="628" spans="1:35">
      <c r="A628" s="12">
        <v>45003</v>
      </c>
      <c r="B628" s="8">
        <v>1801134</v>
      </c>
      <c r="C628" s="8">
        <v>1801446</v>
      </c>
      <c r="D628" s="13">
        <f t="shared" si="121"/>
        <v>312</v>
      </c>
      <c r="E628" s="69">
        <v>133803</v>
      </c>
      <c r="F628" s="69">
        <v>134522</v>
      </c>
      <c r="G628" s="133">
        <f t="shared" si="114"/>
        <v>719</v>
      </c>
      <c r="H628" s="8">
        <v>259645</v>
      </c>
      <c r="I628" s="8">
        <v>259998</v>
      </c>
      <c r="J628" s="13">
        <f t="shared" si="110"/>
        <v>353</v>
      </c>
      <c r="K628" s="138"/>
      <c r="L628" s="8">
        <v>635718</v>
      </c>
      <c r="M628" s="8">
        <v>636428</v>
      </c>
      <c r="N628" s="13">
        <f t="shared" si="111"/>
        <v>710</v>
      </c>
      <c r="O628" s="136"/>
      <c r="P628" s="8">
        <v>373931</v>
      </c>
      <c r="Q628" s="8">
        <v>374445</v>
      </c>
      <c r="R628" s="133">
        <f t="shared" si="119"/>
        <v>514</v>
      </c>
      <c r="S628" s="8">
        <v>16341</v>
      </c>
      <c r="T628" s="8">
        <v>16385</v>
      </c>
      <c r="U628" s="133">
        <f t="shared" si="117"/>
        <v>44</v>
      </c>
      <c r="V628" s="8">
        <v>339002</v>
      </c>
      <c r="W628" s="8">
        <v>339110</v>
      </c>
      <c r="X628" s="13">
        <f t="shared" si="120"/>
        <v>108</v>
      </c>
      <c r="Y628" s="8">
        <v>24623</v>
      </c>
      <c r="Z628" s="8">
        <v>24680</v>
      </c>
      <c r="AA628" s="13">
        <f t="shared" si="112"/>
        <v>57</v>
      </c>
      <c r="AB628" s="8">
        <v>217499</v>
      </c>
      <c r="AC628" s="8">
        <v>217664</v>
      </c>
      <c r="AD628" s="13">
        <f t="shared" si="116"/>
        <v>165</v>
      </c>
      <c r="AE628" s="135"/>
      <c r="AF628" s="135"/>
      <c r="AG628" s="135"/>
      <c r="AH628" s="136"/>
      <c r="AI628" s="50">
        <f t="shared" si="113"/>
        <v>723</v>
      </c>
    </row>
    <row r="629" spans="1:35">
      <c r="A629" s="12">
        <v>45004</v>
      </c>
      <c r="B629" s="8">
        <v>1801446</v>
      </c>
      <c r="C629" s="8">
        <v>1801974</v>
      </c>
      <c r="D629" s="13">
        <f t="shared" si="121"/>
        <v>528</v>
      </c>
      <c r="E629" s="69">
        <v>134522</v>
      </c>
      <c r="F629" s="69">
        <v>135278</v>
      </c>
      <c r="G629" s="133">
        <f t="shared" si="114"/>
        <v>756</v>
      </c>
      <c r="H629" s="8">
        <v>259998</v>
      </c>
      <c r="I629" s="8">
        <v>260384</v>
      </c>
      <c r="J629" s="13">
        <f t="shared" si="110"/>
        <v>386</v>
      </c>
      <c r="K629" s="138"/>
      <c r="L629" s="8">
        <v>636428</v>
      </c>
      <c r="M629" s="8">
        <v>637183</v>
      </c>
      <c r="N629" s="13">
        <f t="shared" si="111"/>
        <v>755</v>
      </c>
      <c r="O629" s="136"/>
      <c r="P629" s="8">
        <v>374445</v>
      </c>
      <c r="Q629" s="8">
        <v>374997</v>
      </c>
      <c r="R629" s="133">
        <f t="shared" si="119"/>
        <v>552</v>
      </c>
      <c r="S629" s="8">
        <v>16385</v>
      </c>
      <c r="T629" s="8">
        <v>16420</v>
      </c>
      <c r="U629" s="133">
        <f t="shared" si="117"/>
        <v>35</v>
      </c>
      <c r="V629" s="8">
        <v>339110</v>
      </c>
      <c r="W629" s="8">
        <v>339257</v>
      </c>
      <c r="X629" s="13">
        <f t="shared" si="120"/>
        <v>147</v>
      </c>
      <c r="Y629" s="8">
        <v>24680</v>
      </c>
      <c r="Z629" s="8">
        <v>24762</v>
      </c>
      <c r="AA629" s="13">
        <f t="shared" si="112"/>
        <v>82</v>
      </c>
      <c r="AB629" s="8">
        <v>217664</v>
      </c>
      <c r="AC629" s="8">
        <v>217824</v>
      </c>
      <c r="AD629" s="13">
        <f t="shared" si="116"/>
        <v>160</v>
      </c>
      <c r="AE629" s="135"/>
      <c r="AF629" s="135"/>
      <c r="AG629" s="135"/>
      <c r="AH629" s="136"/>
      <c r="AI629" s="50">
        <f t="shared" si="113"/>
        <v>816</v>
      </c>
    </row>
    <row r="630" spans="1:35">
      <c r="A630" s="12">
        <v>45005</v>
      </c>
      <c r="B630" s="8">
        <v>1801974</v>
      </c>
      <c r="C630" s="8">
        <v>1802646</v>
      </c>
      <c r="D630" s="13">
        <f t="shared" si="121"/>
        <v>672</v>
      </c>
      <c r="E630" s="69">
        <v>135278</v>
      </c>
      <c r="F630" s="69">
        <v>136051</v>
      </c>
      <c r="G630" s="133">
        <f t="shared" si="114"/>
        <v>773</v>
      </c>
      <c r="H630" s="8">
        <v>260384</v>
      </c>
      <c r="I630" s="8">
        <v>260384</v>
      </c>
      <c r="J630" s="13">
        <f t="shared" si="110"/>
        <v>0</v>
      </c>
      <c r="K630" s="138"/>
      <c r="L630" s="8">
        <v>637183</v>
      </c>
      <c r="M630" s="8">
        <v>638467</v>
      </c>
      <c r="N630" s="13">
        <f t="shared" si="111"/>
        <v>1284</v>
      </c>
      <c r="O630" s="136"/>
      <c r="P630" s="8">
        <v>374997</v>
      </c>
      <c r="Q630" s="8">
        <v>375460</v>
      </c>
      <c r="R630" s="133">
        <f t="shared" si="119"/>
        <v>463</v>
      </c>
      <c r="S630" s="8">
        <v>16420</v>
      </c>
      <c r="T630" s="8">
        <v>16464</v>
      </c>
      <c r="U630" s="133">
        <f t="shared" si="117"/>
        <v>44</v>
      </c>
      <c r="V630" s="8">
        <v>339257</v>
      </c>
      <c r="W630" s="8">
        <v>339594</v>
      </c>
      <c r="X630" s="13">
        <f t="shared" si="120"/>
        <v>337</v>
      </c>
      <c r="Y630" s="8">
        <v>24762</v>
      </c>
      <c r="Z630" s="8">
        <v>24856</v>
      </c>
      <c r="AA630" s="13">
        <f t="shared" si="112"/>
        <v>94</v>
      </c>
      <c r="AB630" s="8">
        <v>217824</v>
      </c>
      <c r="AC630" s="8">
        <v>218187</v>
      </c>
      <c r="AD630" s="13">
        <f t="shared" si="116"/>
        <v>363</v>
      </c>
      <c r="AE630" s="135"/>
      <c r="AF630" s="135"/>
      <c r="AG630" s="135"/>
      <c r="AH630" s="136"/>
      <c r="AI630" s="50">
        <f t="shared" si="113"/>
        <v>938</v>
      </c>
    </row>
    <row r="631" spans="1:35">
      <c r="A631" s="12">
        <v>45006</v>
      </c>
      <c r="B631" s="8">
        <v>1802646</v>
      </c>
      <c r="C631" s="8">
        <v>1802664</v>
      </c>
      <c r="D631" s="13">
        <f t="shared" si="121"/>
        <v>18</v>
      </c>
      <c r="E631" s="69">
        <v>136051</v>
      </c>
      <c r="F631" s="69">
        <v>136833</v>
      </c>
      <c r="G631" s="133">
        <f t="shared" si="114"/>
        <v>782</v>
      </c>
      <c r="H631" s="8">
        <v>260384</v>
      </c>
      <c r="I631" s="8">
        <v>260384</v>
      </c>
      <c r="J631" s="13">
        <f t="shared" si="110"/>
        <v>0</v>
      </c>
      <c r="K631" s="138"/>
      <c r="L631" s="8">
        <v>638467</v>
      </c>
      <c r="M631" s="8">
        <v>639515</v>
      </c>
      <c r="N631" s="13">
        <f t="shared" si="111"/>
        <v>1048</v>
      </c>
      <c r="O631" s="136"/>
      <c r="P631" s="8">
        <v>375460</v>
      </c>
      <c r="Q631" s="8">
        <v>375856</v>
      </c>
      <c r="R631" s="133">
        <f t="shared" si="119"/>
        <v>396</v>
      </c>
      <c r="S631" s="8">
        <v>16464</v>
      </c>
      <c r="T631" s="8">
        <v>16512</v>
      </c>
      <c r="U631" s="133">
        <f t="shared" si="117"/>
        <v>48</v>
      </c>
      <c r="V631" s="8">
        <v>339594</v>
      </c>
      <c r="W631" s="8">
        <v>339730</v>
      </c>
      <c r="X631" s="13">
        <f t="shared" si="120"/>
        <v>136</v>
      </c>
      <c r="Y631" s="8">
        <v>24856</v>
      </c>
      <c r="Z631" s="8">
        <v>24943</v>
      </c>
      <c r="AA631" s="13">
        <f t="shared" si="112"/>
        <v>87</v>
      </c>
      <c r="AB631" s="8">
        <v>218187</v>
      </c>
      <c r="AC631" s="8">
        <v>218347</v>
      </c>
      <c r="AD631" s="13">
        <f t="shared" si="116"/>
        <v>160</v>
      </c>
      <c r="AE631" s="135"/>
      <c r="AF631" s="135"/>
      <c r="AG631" s="135"/>
      <c r="AH631" s="136"/>
      <c r="AI631" s="50">
        <f t="shared" si="113"/>
        <v>667</v>
      </c>
    </row>
    <row r="632" spans="1:35">
      <c r="A632" s="12">
        <v>45007</v>
      </c>
      <c r="B632" s="8">
        <v>1802664</v>
      </c>
      <c r="C632" s="8">
        <v>1803376</v>
      </c>
      <c r="D632" s="13">
        <f t="shared" si="121"/>
        <v>712</v>
      </c>
      <c r="E632" s="69">
        <v>136833</v>
      </c>
      <c r="F632" s="69">
        <v>137623</v>
      </c>
      <c r="G632" s="133">
        <f t="shared" si="114"/>
        <v>790</v>
      </c>
      <c r="H632" s="8">
        <v>260384</v>
      </c>
      <c r="I632" s="8">
        <v>261055</v>
      </c>
      <c r="J632" s="13">
        <f t="shared" si="110"/>
        <v>671</v>
      </c>
      <c r="K632" s="138"/>
      <c r="L632" s="8">
        <v>639515</v>
      </c>
      <c r="M632" s="8">
        <v>639879</v>
      </c>
      <c r="N632" s="13">
        <f t="shared" si="111"/>
        <v>364</v>
      </c>
      <c r="O632" s="136"/>
      <c r="P632" s="8">
        <v>375856</v>
      </c>
      <c r="Q632" s="8">
        <v>376326</v>
      </c>
      <c r="R632" s="133">
        <f t="shared" si="119"/>
        <v>470</v>
      </c>
      <c r="S632" s="8">
        <v>16512</v>
      </c>
      <c r="T632" s="8">
        <v>16562</v>
      </c>
      <c r="U632" s="133">
        <f t="shared" si="117"/>
        <v>50</v>
      </c>
      <c r="V632" s="8">
        <v>339730</v>
      </c>
      <c r="W632" s="8">
        <v>339896</v>
      </c>
      <c r="X632" s="13">
        <f t="shared" si="120"/>
        <v>166</v>
      </c>
      <c r="Y632" s="8">
        <v>24943</v>
      </c>
      <c r="Z632" s="8">
        <v>25027</v>
      </c>
      <c r="AA632" s="13">
        <f t="shared" si="112"/>
        <v>84</v>
      </c>
      <c r="AB632" s="8">
        <v>218347</v>
      </c>
      <c r="AC632" s="8">
        <v>218463</v>
      </c>
      <c r="AD632" s="13">
        <f t="shared" si="116"/>
        <v>116</v>
      </c>
      <c r="AE632" s="135"/>
      <c r="AF632" s="135"/>
      <c r="AG632" s="135"/>
      <c r="AH632" s="136"/>
      <c r="AI632" s="50">
        <f t="shared" si="113"/>
        <v>770</v>
      </c>
    </row>
    <row r="633" spans="1:35">
      <c r="A633" s="12">
        <v>45008</v>
      </c>
      <c r="B633" s="8">
        <v>1803376</v>
      </c>
      <c r="C633" s="8">
        <v>1803936</v>
      </c>
      <c r="D633" s="13">
        <f t="shared" si="121"/>
        <v>560</v>
      </c>
      <c r="E633" s="69">
        <v>137623</v>
      </c>
      <c r="F633" s="69">
        <v>138438</v>
      </c>
      <c r="G633" s="133">
        <f t="shared" si="114"/>
        <v>815</v>
      </c>
      <c r="H633" s="8">
        <v>261055</v>
      </c>
      <c r="I633" s="8">
        <v>261055</v>
      </c>
      <c r="J633" s="13">
        <f t="shared" si="110"/>
        <v>0</v>
      </c>
      <c r="K633" s="138"/>
      <c r="L633" s="8">
        <v>639879</v>
      </c>
      <c r="M633" s="8">
        <v>641089</v>
      </c>
      <c r="N633" s="13">
        <f t="shared" si="111"/>
        <v>1210</v>
      </c>
      <c r="O633" s="136"/>
      <c r="P633" s="8">
        <v>376326</v>
      </c>
      <c r="Q633" s="8">
        <v>376817</v>
      </c>
      <c r="R633" s="133">
        <f t="shared" si="119"/>
        <v>491</v>
      </c>
      <c r="S633" s="8">
        <v>16562</v>
      </c>
      <c r="T633" s="8">
        <v>16594</v>
      </c>
      <c r="U633" s="133">
        <f t="shared" si="117"/>
        <v>32</v>
      </c>
      <c r="V633" s="8">
        <v>339896</v>
      </c>
      <c r="W633" s="8">
        <v>340038</v>
      </c>
      <c r="X633" s="13">
        <f t="shared" si="120"/>
        <v>142</v>
      </c>
      <c r="Y633" s="8">
        <v>25027</v>
      </c>
      <c r="Z633" s="8">
        <v>25113</v>
      </c>
      <c r="AA633" s="13">
        <f t="shared" si="112"/>
        <v>86</v>
      </c>
      <c r="AB633" s="8">
        <v>218463</v>
      </c>
      <c r="AC633" s="8">
        <v>218567</v>
      </c>
      <c r="AD633" s="13">
        <f t="shared" si="116"/>
        <v>104</v>
      </c>
      <c r="AE633" s="135"/>
      <c r="AF633" s="135"/>
      <c r="AG633" s="135"/>
      <c r="AH633" s="136"/>
      <c r="AI633" s="50">
        <f t="shared" si="113"/>
        <v>751</v>
      </c>
    </row>
    <row r="634" spans="1:35">
      <c r="A634" s="12">
        <v>45009</v>
      </c>
      <c r="B634" s="8">
        <v>1803936</v>
      </c>
      <c r="C634" s="8">
        <v>1804753</v>
      </c>
      <c r="D634" s="13">
        <f t="shared" si="121"/>
        <v>817</v>
      </c>
      <c r="E634" s="69">
        <v>138438</v>
      </c>
      <c r="F634" s="69">
        <v>139285</v>
      </c>
      <c r="G634" s="133">
        <f t="shared" si="114"/>
        <v>847</v>
      </c>
      <c r="H634" s="8">
        <v>261055</v>
      </c>
      <c r="I634" s="8">
        <v>261055</v>
      </c>
      <c r="J634" s="13">
        <f t="shared" si="110"/>
        <v>0</v>
      </c>
      <c r="K634" s="138"/>
      <c r="L634" s="8">
        <v>641089</v>
      </c>
      <c r="M634" s="8">
        <v>642228</v>
      </c>
      <c r="N634" s="13">
        <f t="shared" si="111"/>
        <v>1139</v>
      </c>
      <c r="O634" s="136"/>
      <c r="P634" s="8">
        <v>376817</v>
      </c>
      <c r="Q634" s="8">
        <v>376890</v>
      </c>
      <c r="R634" s="133">
        <f t="shared" si="119"/>
        <v>73</v>
      </c>
      <c r="S634" s="8">
        <v>16594</v>
      </c>
      <c r="T634" s="8">
        <v>16623</v>
      </c>
      <c r="U634" s="133">
        <f t="shared" si="117"/>
        <v>29</v>
      </c>
      <c r="V634" s="8">
        <v>340038</v>
      </c>
      <c r="W634" s="8">
        <v>340200</v>
      </c>
      <c r="X634" s="13">
        <f t="shared" si="120"/>
        <v>162</v>
      </c>
      <c r="Y634" s="8">
        <v>25113</v>
      </c>
      <c r="Z634" s="8">
        <v>25149</v>
      </c>
      <c r="AA634" s="13">
        <f t="shared" si="112"/>
        <v>36</v>
      </c>
      <c r="AB634" s="8">
        <v>218567</v>
      </c>
      <c r="AC634" s="8">
        <v>218678</v>
      </c>
      <c r="AD634" s="13">
        <f t="shared" si="116"/>
        <v>111</v>
      </c>
      <c r="AE634" s="135"/>
      <c r="AF634" s="135"/>
      <c r="AG634" s="135"/>
      <c r="AH634" s="136"/>
      <c r="AI634" s="50">
        <f t="shared" si="113"/>
        <v>300</v>
      </c>
    </row>
    <row r="635" spans="1:35">
      <c r="A635" s="12">
        <v>45010</v>
      </c>
      <c r="B635" s="8">
        <v>1804753</v>
      </c>
      <c r="C635" s="8">
        <v>1805772</v>
      </c>
      <c r="D635" s="13">
        <f t="shared" si="121"/>
        <v>1019</v>
      </c>
      <c r="E635" s="69">
        <v>139285</v>
      </c>
      <c r="F635" s="69">
        <v>139864</v>
      </c>
      <c r="G635" s="133">
        <f t="shared" si="114"/>
        <v>579</v>
      </c>
      <c r="H635" s="8">
        <v>261055</v>
      </c>
      <c r="I635" s="8">
        <v>261055</v>
      </c>
      <c r="J635" s="13">
        <f t="shared" ref="J635:J698" si="122">I635-H635</f>
        <v>0</v>
      </c>
      <c r="K635" s="138"/>
      <c r="L635" s="8">
        <v>642228</v>
      </c>
      <c r="M635" s="8">
        <v>643198</v>
      </c>
      <c r="N635" s="13">
        <f t="shared" si="111"/>
        <v>970</v>
      </c>
      <c r="O635" s="136"/>
      <c r="P635" s="8">
        <v>376890</v>
      </c>
      <c r="Q635" s="8">
        <v>377886</v>
      </c>
      <c r="R635" s="133">
        <f t="shared" si="119"/>
        <v>996</v>
      </c>
      <c r="S635" s="8">
        <v>16623</v>
      </c>
      <c r="T635" s="8">
        <v>16649</v>
      </c>
      <c r="U635" s="133">
        <f t="shared" si="117"/>
        <v>26</v>
      </c>
      <c r="V635" s="8">
        <v>340200</v>
      </c>
      <c r="W635" s="8">
        <v>340401</v>
      </c>
      <c r="X635" s="13">
        <f t="shared" si="120"/>
        <v>201</v>
      </c>
      <c r="Y635" s="8">
        <v>25149</v>
      </c>
      <c r="Z635" s="8">
        <v>25309</v>
      </c>
      <c r="AA635" s="13">
        <f t="shared" si="112"/>
        <v>160</v>
      </c>
      <c r="AB635" s="8">
        <v>218678</v>
      </c>
      <c r="AC635" s="8">
        <v>218748</v>
      </c>
      <c r="AD635" s="13">
        <f t="shared" si="116"/>
        <v>70</v>
      </c>
      <c r="AE635" s="135"/>
      <c r="AF635" s="135"/>
      <c r="AG635" s="135"/>
      <c r="AH635" s="136"/>
      <c r="AI635" s="50">
        <f t="shared" si="113"/>
        <v>1383</v>
      </c>
    </row>
    <row r="636" spans="1:35">
      <c r="A636" s="12">
        <v>45011</v>
      </c>
      <c r="B636" s="8">
        <v>1805772</v>
      </c>
      <c r="C636" s="8">
        <v>1806174</v>
      </c>
      <c r="D636" s="13">
        <f t="shared" si="121"/>
        <v>402</v>
      </c>
      <c r="E636" s="69">
        <v>139864</v>
      </c>
      <c r="F636" s="69">
        <v>140441</v>
      </c>
      <c r="G636" s="133">
        <f t="shared" si="114"/>
        <v>577</v>
      </c>
      <c r="H636" s="8">
        <v>261055</v>
      </c>
      <c r="I636" s="8">
        <v>261055</v>
      </c>
      <c r="J636" s="13">
        <f t="shared" si="122"/>
        <v>0</v>
      </c>
      <c r="K636" s="138"/>
      <c r="L636" s="8">
        <v>643198</v>
      </c>
      <c r="M636" s="8">
        <v>643657</v>
      </c>
      <c r="N636" s="13">
        <f t="shared" si="111"/>
        <v>459</v>
      </c>
      <c r="O636" s="136"/>
      <c r="P636" s="8">
        <v>377886</v>
      </c>
      <c r="Q636" s="8">
        <v>377886</v>
      </c>
      <c r="R636" s="133">
        <f t="shared" si="119"/>
        <v>0</v>
      </c>
      <c r="S636" s="8">
        <v>16649</v>
      </c>
      <c r="T636" s="8">
        <v>16702</v>
      </c>
      <c r="U636" s="133">
        <f t="shared" si="117"/>
        <v>53</v>
      </c>
      <c r="V636" s="8">
        <v>340401</v>
      </c>
      <c r="W636" s="8">
        <v>340685</v>
      </c>
      <c r="X636" s="13">
        <f t="shared" si="120"/>
        <v>284</v>
      </c>
      <c r="Y636" s="8">
        <v>25309</v>
      </c>
      <c r="Z636" s="8">
        <v>25399</v>
      </c>
      <c r="AA636" s="13">
        <f t="shared" si="112"/>
        <v>90</v>
      </c>
      <c r="AB636" s="8">
        <v>218748</v>
      </c>
      <c r="AC636" s="8">
        <v>218858</v>
      </c>
      <c r="AD636" s="13">
        <f t="shared" si="116"/>
        <v>110</v>
      </c>
      <c r="AE636" s="135"/>
      <c r="AF636" s="135"/>
      <c r="AG636" s="135"/>
      <c r="AH636" s="136"/>
      <c r="AI636" s="50">
        <f t="shared" si="113"/>
        <v>427</v>
      </c>
    </row>
    <row r="637" spans="1:35">
      <c r="A637" s="12">
        <v>45012</v>
      </c>
      <c r="B637" s="8">
        <v>1806174</v>
      </c>
      <c r="C637" s="8">
        <v>1806385</v>
      </c>
      <c r="D637" s="13">
        <f t="shared" si="121"/>
        <v>211</v>
      </c>
      <c r="E637" s="69">
        <v>140441</v>
      </c>
      <c r="F637" s="69">
        <v>140919</v>
      </c>
      <c r="G637" s="133">
        <f t="shared" si="114"/>
        <v>478</v>
      </c>
      <c r="H637" s="8">
        <v>261055</v>
      </c>
      <c r="I637" s="8">
        <v>261431</v>
      </c>
      <c r="J637" s="13">
        <f t="shared" si="122"/>
        <v>376</v>
      </c>
      <c r="K637" s="138"/>
      <c r="L637" s="8">
        <v>643657</v>
      </c>
      <c r="M637" s="8">
        <v>644573</v>
      </c>
      <c r="N637" s="13">
        <f t="shared" si="111"/>
        <v>916</v>
      </c>
      <c r="O637" s="136"/>
      <c r="P637" s="8">
        <v>377886</v>
      </c>
      <c r="Q637" s="8">
        <v>378433</v>
      </c>
      <c r="R637" s="133">
        <f t="shared" si="119"/>
        <v>547</v>
      </c>
      <c r="S637" s="8">
        <v>16702</v>
      </c>
      <c r="T637" s="8">
        <v>16749</v>
      </c>
      <c r="U637" s="133">
        <f t="shared" si="117"/>
        <v>47</v>
      </c>
      <c r="V637" s="8">
        <v>340685</v>
      </c>
      <c r="W637" s="8">
        <v>341022</v>
      </c>
      <c r="X637" s="13">
        <f t="shared" si="120"/>
        <v>337</v>
      </c>
      <c r="Y637" s="8">
        <v>25399</v>
      </c>
      <c r="Z637" s="8">
        <v>25560</v>
      </c>
      <c r="AA637" s="13">
        <f t="shared" si="112"/>
        <v>161</v>
      </c>
      <c r="AB637" s="8">
        <v>218858</v>
      </c>
      <c r="AC637" s="8">
        <v>218968</v>
      </c>
      <c r="AD637" s="13">
        <f t="shared" si="116"/>
        <v>110</v>
      </c>
      <c r="AE637" s="135"/>
      <c r="AF637" s="135"/>
      <c r="AG637" s="135"/>
      <c r="AH637" s="136"/>
      <c r="AI637" s="50">
        <f t="shared" si="113"/>
        <v>1092</v>
      </c>
    </row>
    <row r="638" spans="1:35">
      <c r="A638" s="12">
        <v>45013</v>
      </c>
      <c r="B638" s="8">
        <v>1806385</v>
      </c>
      <c r="C638" s="8">
        <v>1806536</v>
      </c>
      <c r="D638" s="13">
        <f t="shared" si="121"/>
        <v>151</v>
      </c>
      <c r="E638" s="69">
        <v>140919</v>
      </c>
      <c r="F638" s="69">
        <v>141732</v>
      </c>
      <c r="G638" s="133">
        <f t="shared" si="114"/>
        <v>813</v>
      </c>
      <c r="H638" s="8">
        <v>261431</v>
      </c>
      <c r="I638" s="8">
        <v>261431</v>
      </c>
      <c r="J638" s="13">
        <f t="shared" si="122"/>
        <v>0</v>
      </c>
      <c r="K638" s="138"/>
      <c r="L638" s="8">
        <v>644573</v>
      </c>
      <c r="M638" s="8">
        <v>645693</v>
      </c>
      <c r="N638" s="13">
        <f t="shared" si="111"/>
        <v>1120</v>
      </c>
      <c r="O638" s="136"/>
      <c r="P638" s="8">
        <v>378433</v>
      </c>
      <c r="Q638" s="8">
        <v>378903</v>
      </c>
      <c r="R638" s="133">
        <f t="shared" si="119"/>
        <v>470</v>
      </c>
      <c r="S638" s="8">
        <v>16749</v>
      </c>
      <c r="T638" s="8">
        <v>16791</v>
      </c>
      <c r="U638" s="133">
        <f t="shared" si="117"/>
        <v>42</v>
      </c>
      <c r="V638" s="8">
        <v>341022</v>
      </c>
      <c r="W638" s="8">
        <v>341146</v>
      </c>
      <c r="X638" s="13">
        <f t="shared" si="120"/>
        <v>124</v>
      </c>
      <c r="Y638" s="8">
        <v>25560</v>
      </c>
      <c r="Z638" s="8">
        <v>25623</v>
      </c>
      <c r="AA638" s="13">
        <f t="shared" si="112"/>
        <v>63</v>
      </c>
      <c r="AB638" s="8">
        <v>218968</v>
      </c>
      <c r="AC638" s="8">
        <v>219076</v>
      </c>
      <c r="AD638" s="13">
        <f t="shared" si="116"/>
        <v>108</v>
      </c>
      <c r="AE638" s="135"/>
      <c r="AF638" s="135"/>
      <c r="AG638" s="135"/>
      <c r="AH638" s="136"/>
      <c r="AI638" s="50">
        <f t="shared" si="113"/>
        <v>699</v>
      </c>
    </row>
    <row r="639" spans="1:35">
      <c r="A639" s="12">
        <v>45014</v>
      </c>
      <c r="B639" s="8">
        <v>1806536</v>
      </c>
      <c r="C639" s="8">
        <v>1807268</v>
      </c>
      <c r="D639" s="13">
        <f t="shared" si="121"/>
        <v>732</v>
      </c>
      <c r="E639" s="69">
        <v>141732</v>
      </c>
      <c r="F639" s="69">
        <v>142544</v>
      </c>
      <c r="G639" s="133">
        <f t="shared" si="114"/>
        <v>812</v>
      </c>
      <c r="H639" s="8">
        <v>261431</v>
      </c>
      <c r="I639" s="8">
        <v>261431</v>
      </c>
      <c r="J639" s="13">
        <f t="shared" si="122"/>
        <v>0</v>
      </c>
      <c r="K639" s="138"/>
      <c r="L639" s="8">
        <v>645693</v>
      </c>
      <c r="M639" s="8">
        <v>646816</v>
      </c>
      <c r="N639" s="13">
        <f t="shared" si="111"/>
        <v>1123</v>
      </c>
      <c r="O639" s="136"/>
      <c r="P639" s="8">
        <v>378903</v>
      </c>
      <c r="Q639" s="8">
        <v>379369</v>
      </c>
      <c r="R639" s="133">
        <f t="shared" si="119"/>
        <v>466</v>
      </c>
      <c r="S639" s="8">
        <v>16791</v>
      </c>
      <c r="T639" s="8">
        <v>16862</v>
      </c>
      <c r="U639" s="133">
        <f t="shared" si="117"/>
        <v>71</v>
      </c>
      <c r="V639" s="8">
        <v>341146</v>
      </c>
      <c r="W639" s="8">
        <v>341326</v>
      </c>
      <c r="X639" s="13">
        <f t="shared" si="120"/>
        <v>180</v>
      </c>
      <c r="Y639" s="8">
        <v>25623</v>
      </c>
      <c r="Z639" s="8">
        <v>25732</v>
      </c>
      <c r="AA639" s="13">
        <f t="shared" si="112"/>
        <v>109</v>
      </c>
      <c r="AB639" s="8">
        <v>219076</v>
      </c>
      <c r="AC639" s="8">
        <v>219163</v>
      </c>
      <c r="AD639" s="13">
        <f t="shared" si="116"/>
        <v>87</v>
      </c>
      <c r="AE639" s="135"/>
      <c r="AF639" s="135"/>
      <c r="AG639" s="135"/>
      <c r="AH639" s="136"/>
      <c r="AI639" s="50">
        <f t="shared" si="113"/>
        <v>826</v>
      </c>
    </row>
    <row r="640" spans="1:35">
      <c r="A640" s="12">
        <v>45015</v>
      </c>
      <c r="B640" s="8">
        <v>1807268</v>
      </c>
      <c r="C640" s="8">
        <v>1808002</v>
      </c>
      <c r="D640" s="13">
        <f t="shared" si="121"/>
        <v>734</v>
      </c>
      <c r="E640" s="69">
        <v>142544</v>
      </c>
      <c r="F640" s="69">
        <v>143348</v>
      </c>
      <c r="G640" s="133">
        <f t="shared" si="114"/>
        <v>804</v>
      </c>
      <c r="H640" s="8">
        <v>261431</v>
      </c>
      <c r="I640" s="8">
        <v>261431</v>
      </c>
      <c r="J640" s="13">
        <f t="shared" si="122"/>
        <v>0</v>
      </c>
      <c r="K640" s="138"/>
      <c r="L640" s="8">
        <v>646816</v>
      </c>
      <c r="M640" s="8">
        <v>647889</v>
      </c>
      <c r="N640" s="13">
        <f t="shared" si="111"/>
        <v>1073</v>
      </c>
      <c r="O640" s="136"/>
      <c r="P640" s="8">
        <v>379369</v>
      </c>
      <c r="Q640" s="8">
        <v>379802</v>
      </c>
      <c r="R640" s="133">
        <f t="shared" si="119"/>
        <v>433</v>
      </c>
      <c r="S640" s="8">
        <v>16862</v>
      </c>
      <c r="T640" s="8">
        <v>16881</v>
      </c>
      <c r="U640" s="133">
        <f t="shared" si="117"/>
        <v>19</v>
      </c>
      <c r="V640" s="8">
        <v>341326</v>
      </c>
      <c r="W640" s="8">
        <v>341458</v>
      </c>
      <c r="X640" s="13">
        <f t="shared" si="120"/>
        <v>132</v>
      </c>
      <c r="Y640" s="8">
        <v>25732</v>
      </c>
      <c r="Z640" s="8">
        <v>25839</v>
      </c>
      <c r="AA640" s="13">
        <f t="shared" si="112"/>
        <v>107</v>
      </c>
      <c r="AB640" s="8">
        <v>219163</v>
      </c>
      <c r="AC640" s="8">
        <v>219259</v>
      </c>
      <c r="AD640" s="13">
        <f t="shared" si="116"/>
        <v>96</v>
      </c>
      <c r="AE640" s="135"/>
      <c r="AF640" s="135"/>
      <c r="AG640" s="135"/>
      <c r="AH640" s="136"/>
      <c r="AI640" s="50">
        <f t="shared" si="113"/>
        <v>691</v>
      </c>
    </row>
    <row r="641" spans="1:35">
      <c r="A641" s="12">
        <v>45016</v>
      </c>
      <c r="B641" s="8">
        <v>1808002</v>
      </c>
      <c r="C641" s="8">
        <v>1808436</v>
      </c>
      <c r="D641" s="13">
        <f t="shared" si="121"/>
        <v>434</v>
      </c>
      <c r="E641" s="69">
        <v>143348</v>
      </c>
      <c r="F641" s="69">
        <v>144118</v>
      </c>
      <c r="G641" s="133">
        <f t="shared" si="114"/>
        <v>770</v>
      </c>
      <c r="H641" s="8">
        <v>261431</v>
      </c>
      <c r="I641" s="8">
        <v>261431</v>
      </c>
      <c r="J641" s="13">
        <f t="shared" si="122"/>
        <v>0</v>
      </c>
      <c r="K641" s="138"/>
      <c r="L641" s="8">
        <v>647889</v>
      </c>
      <c r="M641" s="8">
        <v>648858</v>
      </c>
      <c r="N641" s="13">
        <f t="shared" ref="N641:N705" si="123">M641-L641</f>
        <v>969</v>
      </c>
      <c r="O641" s="136"/>
      <c r="P641" s="8">
        <v>379802</v>
      </c>
      <c r="Q641" s="8">
        <v>380191</v>
      </c>
      <c r="R641" s="133">
        <f t="shared" si="119"/>
        <v>389</v>
      </c>
      <c r="S641" s="8">
        <v>16881</v>
      </c>
      <c r="T641" s="8">
        <v>16930</v>
      </c>
      <c r="U641" s="133">
        <f t="shared" si="117"/>
        <v>49</v>
      </c>
      <c r="V641" s="8">
        <v>341458</v>
      </c>
      <c r="W641" s="8">
        <v>341570</v>
      </c>
      <c r="X641" s="13">
        <f t="shared" si="120"/>
        <v>112</v>
      </c>
      <c r="Y641" s="8">
        <v>25839</v>
      </c>
      <c r="Z641" s="8">
        <v>25949</v>
      </c>
      <c r="AA641" s="13">
        <f t="shared" si="112"/>
        <v>110</v>
      </c>
      <c r="AB641" s="8">
        <v>219259</v>
      </c>
      <c r="AC641" s="8">
        <v>219328</v>
      </c>
      <c r="AD641" s="13">
        <f t="shared" si="116"/>
        <v>69</v>
      </c>
      <c r="AE641" s="135"/>
      <c r="AF641" s="135"/>
      <c r="AG641" s="135"/>
      <c r="AH641" s="136"/>
      <c r="AI641" s="50">
        <f t="shared" ref="AI641:AI704" si="124">AA641+U641+R641+O641+X641</f>
        <v>660</v>
      </c>
    </row>
    <row r="642" spans="1:35">
      <c r="A642" s="12">
        <v>45017</v>
      </c>
      <c r="B642" s="8">
        <v>1808436</v>
      </c>
      <c r="C642" s="8">
        <v>1808959</v>
      </c>
      <c r="D642" s="13">
        <f t="shared" si="121"/>
        <v>523</v>
      </c>
      <c r="E642" s="69">
        <v>144118</v>
      </c>
      <c r="F642" s="69">
        <v>144902</v>
      </c>
      <c r="G642" s="133">
        <f t="shared" si="114"/>
        <v>784</v>
      </c>
      <c r="H642" s="8">
        <v>261431</v>
      </c>
      <c r="I642" s="8">
        <v>261431</v>
      </c>
      <c r="J642" s="13">
        <f t="shared" si="122"/>
        <v>0</v>
      </c>
      <c r="K642" s="138"/>
      <c r="L642" s="8">
        <v>648858</v>
      </c>
      <c r="M642" s="8">
        <v>649968</v>
      </c>
      <c r="N642" s="13">
        <f t="shared" si="123"/>
        <v>1110</v>
      </c>
      <c r="O642" s="136"/>
      <c r="P642" s="8">
        <v>380191</v>
      </c>
      <c r="Q642" s="8">
        <v>380707</v>
      </c>
      <c r="R642" s="133">
        <f t="shared" si="119"/>
        <v>516</v>
      </c>
      <c r="S642" s="8">
        <v>16930</v>
      </c>
      <c r="T642" s="8">
        <v>16989</v>
      </c>
      <c r="U642" s="133">
        <f t="shared" si="117"/>
        <v>59</v>
      </c>
      <c r="V642" s="8">
        <v>341570</v>
      </c>
      <c r="W642" s="8">
        <v>341699</v>
      </c>
      <c r="X642" s="13">
        <f t="shared" si="120"/>
        <v>129</v>
      </c>
      <c r="Y642" s="8">
        <v>25949</v>
      </c>
      <c r="Z642" s="8">
        <v>26023</v>
      </c>
      <c r="AA642" s="13">
        <f t="shared" si="112"/>
        <v>74</v>
      </c>
      <c r="AB642" s="8">
        <v>219328</v>
      </c>
      <c r="AC642" s="8">
        <v>219399</v>
      </c>
      <c r="AD642" s="13">
        <f t="shared" si="116"/>
        <v>71</v>
      </c>
      <c r="AE642" s="135"/>
      <c r="AF642" s="135"/>
      <c r="AG642" s="135"/>
      <c r="AH642" s="136"/>
      <c r="AI642" s="50">
        <f t="shared" si="124"/>
        <v>778</v>
      </c>
    </row>
    <row r="643" spans="1:35">
      <c r="A643" s="12">
        <v>45018</v>
      </c>
      <c r="B643" s="8">
        <v>1808959</v>
      </c>
      <c r="C643" s="8">
        <v>1809393</v>
      </c>
      <c r="D643" s="13">
        <f t="shared" si="121"/>
        <v>434</v>
      </c>
      <c r="E643" s="69">
        <v>144902</v>
      </c>
      <c r="F643" s="69">
        <v>145702</v>
      </c>
      <c r="G643" s="133">
        <f t="shared" ref="G643:G706" si="125">F643-E643</f>
        <v>800</v>
      </c>
      <c r="H643" s="8">
        <v>261431</v>
      </c>
      <c r="I643" s="8">
        <v>261431</v>
      </c>
      <c r="J643" s="13">
        <f t="shared" si="122"/>
        <v>0</v>
      </c>
      <c r="K643" s="138"/>
      <c r="L643" s="8">
        <v>649968</v>
      </c>
      <c r="M643" s="8">
        <v>651019</v>
      </c>
      <c r="N643" s="13">
        <f t="shared" si="123"/>
        <v>1051</v>
      </c>
      <c r="O643" s="136"/>
      <c r="P643" s="8">
        <v>380707</v>
      </c>
      <c r="Q643" s="8">
        <v>381169</v>
      </c>
      <c r="R643" s="133">
        <f t="shared" si="119"/>
        <v>462</v>
      </c>
      <c r="S643" s="8">
        <v>16989</v>
      </c>
      <c r="T643" s="8">
        <v>17052</v>
      </c>
      <c r="U643" s="133">
        <f t="shared" si="117"/>
        <v>63</v>
      </c>
      <c r="V643" s="8">
        <v>341699</v>
      </c>
      <c r="W643" s="8">
        <v>341872</v>
      </c>
      <c r="X643" s="13">
        <f t="shared" si="120"/>
        <v>173</v>
      </c>
      <c r="Y643" s="8">
        <v>26023</v>
      </c>
      <c r="Z643" s="8">
        <v>26134</v>
      </c>
      <c r="AA643" s="13">
        <f t="shared" si="112"/>
        <v>111</v>
      </c>
      <c r="AB643" s="8">
        <v>219399</v>
      </c>
      <c r="AC643" s="8">
        <v>219494</v>
      </c>
      <c r="AD643" s="13">
        <f t="shared" si="116"/>
        <v>95</v>
      </c>
      <c r="AE643" s="135"/>
      <c r="AF643" s="135"/>
      <c r="AG643" s="135"/>
      <c r="AH643" s="136"/>
      <c r="AI643" s="50">
        <f t="shared" si="124"/>
        <v>809</v>
      </c>
    </row>
    <row r="644" spans="1:35">
      <c r="A644" s="12">
        <v>45019</v>
      </c>
      <c r="B644" s="8">
        <v>1809393</v>
      </c>
      <c r="C644" s="8">
        <v>1809954</v>
      </c>
      <c r="D644" s="13">
        <f t="shared" si="121"/>
        <v>561</v>
      </c>
      <c r="E644" s="69">
        <v>145702</v>
      </c>
      <c r="F644" s="69">
        <v>146495</v>
      </c>
      <c r="G644" s="133">
        <f t="shared" si="125"/>
        <v>793</v>
      </c>
      <c r="H644" s="8">
        <v>261431</v>
      </c>
      <c r="I644" s="8">
        <v>261431</v>
      </c>
      <c r="J644" s="13">
        <f t="shared" si="122"/>
        <v>0</v>
      </c>
      <c r="K644" s="138"/>
      <c r="L644" s="8">
        <v>651019</v>
      </c>
      <c r="M644" s="8">
        <v>652154</v>
      </c>
      <c r="N644" s="13">
        <f t="shared" si="123"/>
        <v>1135</v>
      </c>
      <c r="O644" s="136"/>
      <c r="P644" s="8">
        <v>381169</v>
      </c>
      <c r="Q644" s="8">
        <v>381566</v>
      </c>
      <c r="R644" s="133">
        <f t="shared" si="119"/>
        <v>397</v>
      </c>
      <c r="S644" s="8">
        <v>17052</v>
      </c>
      <c r="T644" s="8">
        <v>17085</v>
      </c>
      <c r="U644" s="133">
        <f t="shared" si="117"/>
        <v>33</v>
      </c>
      <c r="V644" s="8">
        <v>341872</v>
      </c>
      <c r="W644" s="8">
        <v>342026</v>
      </c>
      <c r="X644" s="13">
        <f t="shared" si="120"/>
        <v>154</v>
      </c>
      <c r="Y644" s="8">
        <v>26134</v>
      </c>
      <c r="Z644" s="8">
        <v>26237</v>
      </c>
      <c r="AA644" s="13">
        <f t="shared" si="112"/>
        <v>103</v>
      </c>
      <c r="AB644" s="8">
        <v>219494</v>
      </c>
      <c r="AC644" s="8">
        <v>219572</v>
      </c>
      <c r="AD644" s="13">
        <f t="shared" si="116"/>
        <v>78</v>
      </c>
      <c r="AE644" s="135"/>
      <c r="AF644" s="135"/>
      <c r="AG644" s="135"/>
      <c r="AH644" s="136"/>
      <c r="AI644" s="50">
        <f t="shared" si="124"/>
        <v>687</v>
      </c>
    </row>
    <row r="645" spans="1:35">
      <c r="A645" s="12">
        <v>45020</v>
      </c>
      <c r="B645" s="8">
        <v>1809954</v>
      </c>
      <c r="C645" s="8">
        <v>1810445</v>
      </c>
      <c r="D645" s="13">
        <f t="shared" si="121"/>
        <v>491</v>
      </c>
      <c r="E645" s="69">
        <v>146495</v>
      </c>
      <c r="F645" s="69">
        <v>147293</v>
      </c>
      <c r="G645" s="133">
        <f t="shared" si="125"/>
        <v>798</v>
      </c>
      <c r="H645" s="8">
        <v>261431</v>
      </c>
      <c r="I645" s="8">
        <v>261431</v>
      </c>
      <c r="J645" s="13">
        <f t="shared" si="122"/>
        <v>0</v>
      </c>
      <c r="K645" s="138"/>
      <c r="L645" s="8">
        <v>652154</v>
      </c>
      <c r="M645" s="8">
        <v>653079</v>
      </c>
      <c r="N645" s="13">
        <f t="shared" si="123"/>
        <v>925</v>
      </c>
      <c r="O645" s="136"/>
      <c r="P645" s="8">
        <v>381566</v>
      </c>
      <c r="Q645" s="8">
        <v>382027</v>
      </c>
      <c r="R645" s="133">
        <f t="shared" si="119"/>
        <v>461</v>
      </c>
      <c r="S645" s="8">
        <v>17085</v>
      </c>
      <c r="T645" s="8">
        <v>17120</v>
      </c>
      <c r="U645" s="133">
        <f t="shared" si="117"/>
        <v>35</v>
      </c>
      <c r="V645" s="8">
        <v>342026</v>
      </c>
      <c r="W645" s="8">
        <v>342148</v>
      </c>
      <c r="X645" s="13">
        <f t="shared" si="120"/>
        <v>122</v>
      </c>
      <c r="Y645" s="8">
        <v>26237</v>
      </c>
      <c r="Z645" s="8">
        <v>26334</v>
      </c>
      <c r="AA645" s="13">
        <f t="shared" si="112"/>
        <v>97</v>
      </c>
      <c r="AB645" s="8">
        <v>219572</v>
      </c>
      <c r="AC645" s="8">
        <v>219658</v>
      </c>
      <c r="AD645" s="13">
        <f t="shared" si="116"/>
        <v>86</v>
      </c>
      <c r="AE645" s="135"/>
      <c r="AF645" s="135"/>
      <c r="AG645" s="135"/>
      <c r="AH645" s="136"/>
      <c r="AI645" s="50">
        <f t="shared" si="124"/>
        <v>715</v>
      </c>
    </row>
    <row r="646" spans="1:35">
      <c r="A646" s="12">
        <v>45021</v>
      </c>
      <c r="B646" s="8">
        <v>1810445</v>
      </c>
      <c r="C646" s="8">
        <v>1810989</v>
      </c>
      <c r="D646" s="13">
        <f t="shared" si="121"/>
        <v>544</v>
      </c>
      <c r="E646" s="69">
        <v>147293</v>
      </c>
      <c r="F646" s="69">
        <v>148106</v>
      </c>
      <c r="G646" s="133">
        <f t="shared" si="125"/>
        <v>813</v>
      </c>
      <c r="H646" s="8">
        <v>261431</v>
      </c>
      <c r="I646" s="8">
        <v>261431</v>
      </c>
      <c r="J646" s="13">
        <f t="shared" si="122"/>
        <v>0</v>
      </c>
      <c r="K646" s="138"/>
      <c r="L646" s="8">
        <v>653079</v>
      </c>
      <c r="M646" s="8">
        <v>654176</v>
      </c>
      <c r="N646" s="13">
        <f t="shared" si="123"/>
        <v>1097</v>
      </c>
      <c r="O646" s="136"/>
      <c r="P646" s="8">
        <v>382027</v>
      </c>
      <c r="Q646" s="8">
        <v>382468</v>
      </c>
      <c r="R646" s="133">
        <f t="shared" si="119"/>
        <v>441</v>
      </c>
      <c r="S646" s="8">
        <v>17120</v>
      </c>
      <c r="T646" s="8">
        <v>17182</v>
      </c>
      <c r="U646" s="133">
        <f t="shared" si="117"/>
        <v>62</v>
      </c>
      <c r="V646" s="8">
        <v>342148</v>
      </c>
      <c r="W646" s="8">
        <v>342290</v>
      </c>
      <c r="X646" s="13">
        <f t="shared" si="120"/>
        <v>142</v>
      </c>
      <c r="Y646" s="8">
        <v>26334</v>
      </c>
      <c r="Z646" s="8">
        <v>26436</v>
      </c>
      <c r="AA646" s="13">
        <f t="shared" si="112"/>
        <v>102</v>
      </c>
      <c r="AB646" s="8">
        <v>219658</v>
      </c>
      <c r="AC646" s="8">
        <v>219732</v>
      </c>
      <c r="AD646" s="13">
        <f t="shared" si="116"/>
        <v>74</v>
      </c>
      <c r="AE646" s="135"/>
      <c r="AF646" s="135"/>
      <c r="AG646" s="135"/>
      <c r="AH646" s="136"/>
      <c r="AI646" s="50">
        <f t="shared" si="124"/>
        <v>747</v>
      </c>
    </row>
    <row r="647" spans="1:35">
      <c r="A647" s="12">
        <v>45022</v>
      </c>
      <c r="B647" s="8">
        <v>1810989</v>
      </c>
      <c r="C647" s="8">
        <v>1811495</v>
      </c>
      <c r="D647" s="13">
        <f t="shared" si="121"/>
        <v>506</v>
      </c>
      <c r="E647" s="69">
        <v>148106</v>
      </c>
      <c r="F647" s="69">
        <v>148908</v>
      </c>
      <c r="G647" s="133">
        <f t="shared" si="125"/>
        <v>802</v>
      </c>
      <c r="H647" s="8">
        <v>261431</v>
      </c>
      <c r="I647" s="8">
        <v>261431</v>
      </c>
      <c r="J647" s="13">
        <f t="shared" si="122"/>
        <v>0</v>
      </c>
      <c r="K647" s="138"/>
      <c r="L647" s="8">
        <v>654176</v>
      </c>
      <c r="M647" s="8">
        <v>654904</v>
      </c>
      <c r="N647" s="13">
        <f t="shared" si="123"/>
        <v>728</v>
      </c>
      <c r="O647" s="136"/>
      <c r="P647" s="8">
        <v>382468</v>
      </c>
      <c r="Q647" s="8">
        <v>382578</v>
      </c>
      <c r="R647" s="133">
        <f t="shared" si="119"/>
        <v>110</v>
      </c>
      <c r="S647" s="8">
        <v>17182</v>
      </c>
      <c r="T647" s="8">
        <v>17230</v>
      </c>
      <c r="U647" s="133">
        <f t="shared" si="117"/>
        <v>48</v>
      </c>
      <c r="V647" s="8">
        <v>342290</v>
      </c>
      <c r="W647" s="8">
        <v>342457</v>
      </c>
      <c r="X647" s="13">
        <f t="shared" si="120"/>
        <v>167</v>
      </c>
      <c r="Y647" s="8">
        <v>26436</v>
      </c>
      <c r="Z647" s="8">
        <v>26458</v>
      </c>
      <c r="AA647" s="13">
        <f t="shared" si="112"/>
        <v>22</v>
      </c>
      <c r="AB647" s="8">
        <v>219732</v>
      </c>
      <c r="AC647" s="8">
        <v>219816</v>
      </c>
      <c r="AD647" s="13">
        <f t="shared" si="116"/>
        <v>84</v>
      </c>
      <c r="AE647" s="135"/>
      <c r="AF647" s="135"/>
      <c r="AG647" s="135"/>
      <c r="AH647" s="136"/>
      <c r="AI647" s="50">
        <f t="shared" si="124"/>
        <v>347</v>
      </c>
    </row>
    <row r="648" spans="1:35">
      <c r="A648" s="12">
        <v>45023</v>
      </c>
      <c r="B648" s="8">
        <v>1811495</v>
      </c>
      <c r="C648" s="8">
        <v>1812024</v>
      </c>
      <c r="D648" s="13">
        <f t="shared" si="121"/>
        <v>529</v>
      </c>
      <c r="E648" s="69">
        <v>148908</v>
      </c>
      <c r="F648" s="69">
        <v>149453</v>
      </c>
      <c r="G648" s="133">
        <f t="shared" si="125"/>
        <v>545</v>
      </c>
      <c r="H648" s="8">
        <v>261431</v>
      </c>
      <c r="I648" s="8">
        <v>261431</v>
      </c>
      <c r="J648" s="13">
        <f t="shared" si="122"/>
        <v>0</v>
      </c>
      <c r="K648" s="138"/>
      <c r="L648" s="8">
        <v>654904</v>
      </c>
      <c r="M648" s="8">
        <v>655606</v>
      </c>
      <c r="N648" s="13">
        <f t="shared" si="123"/>
        <v>702</v>
      </c>
      <c r="O648" s="136"/>
      <c r="P648" s="8">
        <v>382578</v>
      </c>
      <c r="Q648" s="8">
        <v>382578</v>
      </c>
      <c r="R648" s="133">
        <f t="shared" si="119"/>
        <v>0</v>
      </c>
      <c r="S648" s="8">
        <v>17230</v>
      </c>
      <c r="T648" s="8">
        <v>17290</v>
      </c>
      <c r="U648" s="133">
        <f t="shared" si="117"/>
        <v>60</v>
      </c>
      <c r="V648" s="8">
        <v>342457</v>
      </c>
      <c r="W648" s="8">
        <v>342623</v>
      </c>
      <c r="X648" s="13">
        <f t="shared" si="120"/>
        <v>166</v>
      </c>
      <c r="Y648" s="8">
        <v>26458</v>
      </c>
      <c r="Z648" s="8">
        <v>26520</v>
      </c>
      <c r="AA648" s="13">
        <f t="shared" ref="AA648:AA706" si="126">Z648-Y648</f>
        <v>62</v>
      </c>
      <c r="AB648" s="8">
        <v>219816</v>
      </c>
      <c r="AC648" s="8">
        <v>219947</v>
      </c>
      <c r="AD648" s="13">
        <f t="shared" ref="AD648:AD711" si="127">AC648-AB648</f>
        <v>131</v>
      </c>
      <c r="AE648" s="135"/>
      <c r="AF648" s="135"/>
      <c r="AG648" s="135"/>
      <c r="AH648" s="136"/>
      <c r="AI648" s="50">
        <f t="shared" si="124"/>
        <v>288</v>
      </c>
    </row>
    <row r="649" spans="1:35">
      <c r="A649" s="12">
        <v>45024</v>
      </c>
      <c r="B649" s="8">
        <v>1812024</v>
      </c>
      <c r="C649" s="8">
        <v>1812278</v>
      </c>
      <c r="D649" s="13">
        <f t="shared" si="121"/>
        <v>254</v>
      </c>
      <c r="E649" s="69">
        <v>149453</v>
      </c>
      <c r="F649" s="69">
        <v>149861</v>
      </c>
      <c r="G649" s="133">
        <f t="shared" si="125"/>
        <v>408</v>
      </c>
      <c r="H649" s="8">
        <v>261431</v>
      </c>
      <c r="I649" s="8">
        <v>261631</v>
      </c>
      <c r="J649" s="13">
        <f t="shared" si="122"/>
        <v>200</v>
      </c>
      <c r="K649" s="138"/>
      <c r="L649" s="8">
        <v>655606</v>
      </c>
      <c r="M649" s="8">
        <v>656485</v>
      </c>
      <c r="N649" s="13">
        <f t="shared" si="123"/>
        <v>879</v>
      </c>
      <c r="O649" s="136"/>
      <c r="P649" s="8">
        <v>382578</v>
      </c>
      <c r="Q649" s="8">
        <v>383168</v>
      </c>
      <c r="R649" s="133">
        <f t="shared" si="119"/>
        <v>590</v>
      </c>
      <c r="S649" s="8">
        <v>17290</v>
      </c>
      <c r="T649" s="8">
        <v>17320</v>
      </c>
      <c r="U649" s="133">
        <f t="shared" si="117"/>
        <v>30</v>
      </c>
      <c r="V649" s="8">
        <v>342623</v>
      </c>
      <c r="W649" s="8">
        <v>342813</v>
      </c>
      <c r="X649" s="13">
        <f t="shared" si="120"/>
        <v>190</v>
      </c>
      <c r="Y649" s="8">
        <v>26520</v>
      </c>
      <c r="Z649" s="8">
        <v>26602</v>
      </c>
      <c r="AA649" s="13">
        <f t="shared" si="126"/>
        <v>82</v>
      </c>
      <c r="AB649" s="8">
        <v>219947</v>
      </c>
      <c r="AC649" s="8">
        <v>220006</v>
      </c>
      <c r="AD649" s="13">
        <f t="shared" si="127"/>
        <v>59</v>
      </c>
      <c r="AE649" s="135"/>
      <c r="AF649" s="135"/>
      <c r="AG649" s="135"/>
      <c r="AH649" s="136"/>
      <c r="AI649" s="50">
        <f t="shared" si="124"/>
        <v>892</v>
      </c>
    </row>
    <row r="650" spans="1:35">
      <c r="A650" s="12">
        <v>45025</v>
      </c>
      <c r="B650" s="8">
        <v>1812278</v>
      </c>
      <c r="C650" s="8">
        <v>1812712</v>
      </c>
      <c r="D650" s="13">
        <f t="shared" si="121"/>
        <v>434</v>
      </c>
      <c r="E650" s="69">
        <v>149861</v>
      </c>
      <c r="F650" s="69">
        <v>150665</v>
      </c>
      <c r="G650" s="133">
        <f t="shared" si="125"/>
        <v>804</v>
      </c>
      <c r="H650" s="8">
        <v>261631</v>
      </c>
      <c r="I650" s="8">
        <v>261631</v>
      </c>
      <c r="J650" s="13">
        <f t="shared" si="122"/>
        <v>0</v>
      </c>
      <c r="K650" s="138"/>
      <c r="L650" s="8">
        <v>656485</v>
      </c>
      <c r="M650" s="8">
        <v>657673</v>
      </c>
      <c r="N650" s="13">
        <f t="shared" si="123"/>
        <v>1188</v>
      </c>
      <c r="O650" s="136"/>
      <c r="P650" s="8">
        <v>383168</v>
      </c>
      <c r="Q650" s="8">
        <v>383738</v>
      </c>
      <c r="R650" s="133">
        <f t="shared" si="119"/>
        <v>570</v>
      </c>
      <c r="S650" s="8">
        <v>17320</v>
      </c>
      <c r="T650" s="8">
        <v>17360</v>
      </c>
      <c r="U650" s="133">
        <f t="shared" si="117"/>
        <v>40</v>
      </c>
      <c r="V650" s="8">
        <v>342813</v>
      </c>
      <c r="W650" s="8">
        <v>342980</v>
      </c>
      <c r="X650" s="13">
        <f t="shared" si="120"/>
        <v>167</v>
      </c>
      <c r="Y650" s="8">
        <v>26602</v>
      </c>
      <c r="Z650" s="8">
        <v>26805</v>
      </c>
      <c r="AA650" s="13">
        <f t="shared" si="126"/>
        <v>203</v>
      </c>
      <c r="AB650" s="8">
        <v>220006</v>
      </c>
      <c r="AC650" s="8">
        <v>220101</v>
      </c>
      <c r="AD650" s="13">
        <f t="shared" si="127"/>
        <v>95</v>
      </c>
      <c r="AE650" s="135"/>
      <c r="AF650" s="135"/>
      <c r="AG650" s="135"/>
      <c r="AH650" s="136"/>
      <c r="AI650" s="50">
        <f t="shared" si="124"/>
        <v>980</v>
      </c>
    </row>
    <row r="651" spans="1:35">
      <c r="A651" s="12">
        <v>45026</v>
      </c>
      <c r="B651" s="8">
        <v>1812712</v>
      </c>
      <c r="C651" s="8">
        <v>1813046</v>
      </c>
      <c r="D651" s="13">
        <f t="shared" si="121"/>
        <v>334</v>
      </c>
      <c r="E651" s="69">
        <v>150665</v>
      </c>
      <c r="F651" s="69">
        <v>151491</v>
      </c>
      <c r="G651" s="133">
        <f t="shared" si="125"/>
        <v>826</v>
      </c>
      <c r="H651" s="8">
        <v>261631</v>
      </c>
      <c r="I651" s="8">
        <v>262183</v>
      </c>
      <c r="J651" s="13">
        <f t="shared" si="122"/>
        <v>552</v>
      </c>
      <c r="K651" s="138"/>
      <c r="L651" s="8">
        <v>657673</v>
      </c>
      <c r="M651" s="8">
        <v>658154</v>
      </c>
      <c r="N651" s="13">
        <f t="shared" si="123"/>
        <v>481</v>
      </c>
      <c r="O651" s="136"/>
      <c r="P651" s="8">
        <v>383738</v>
      </c>
      <c r="Q651" s="8">
        <v>384184</v>
      </c>
      <c r="R651" s="133">
        <f t="shared" si="119"/>
        <v>446</v>
      </c>
      <c r="S651" s="8">
        <v>17360</v>
      </c>
      <c r="T651" s="8">
        <v>17399</v>
      </c>
      <c r="U651" s="133">
        <f t="shared" si="117"/>
        <v>39</v>
      </c>
      <c r="V651" s="8">
        <v>342980</v>
      </c>
      <c r="W651" s="8">
        <v>343257</v>
      </c>
      <c r="X651" s="13">
        <f t="shared" si="120"/>
        <v>277</v>
      </c>
      <c r="Y651" s="8">
        <v>26805</v>
      </c>
      <c r="Z651" s="8">
        <v>27008</v>
      </c>
      <c r="AA651" s="13">
        <f t="shared" si="126"/>
        <v>203</v>
      </c>
      <c r="AB651" s="8">
        <v>220101</v>
      </c>
      <c r="AC651" s="8">
        <v>220249</v>
      </c>
      <c r="AD651" s="13">
        <f t="shared" si="127"/>
        <v>148</v>
      </c>
      <c r="AE651" s="135"/>
      <c r="AF651" s="135"/>
      <c r="AG651" s="135"/>
      <c r="AH651" s="136"/>
      <c r="AI651" s="50">
        <f t="shared" si="124"/>
        <v>965</v>
      </c>
    </row>
    <row r="652" spans="1:35">
      <c r="A652" s="12">
        <v>45027</v>
      </c>
      <c r="B652" s="8">
        <v>1813046</v>
      </c>
      <c r="C652" s="8">
        <v>1813468</v>
      </c>
      <c r="D652" s="13">
        <f>C652-B652</f>
        <v>422</v>
      </c>
      <c r="E652" s="69">
        <v>151491</v>
      </c>
      <c r="F652" s="69">
        <v>152253</v>
      </c>
      <c r="G652" s="133">
        <f t="shared" si="125"/>
        <v>762</v>
      </c>
      <c r="H652" s="8">
        <v>262183</v>
      </c>
      <c r="I652" s="8">
        <v>262183</v>
      </c>
      <c r="J652" s="13">
        <f t="shared" si="122"/>
        <v>0</v>
      </c>
      <c r="K652" s="138"/>
      <c r="L652" s="8">
        <v>658154</v>
      </c>
      <c r="M652" s="8">
        <v>658868</v>
      </c>
      <c r="N652" s="13">
        <f t="shared" si="123"/>
        <v>714</v>
      </c>
      <c r="O652" s="136"/>
      <c r="P652" s="8">
        <v>384184</v>
      </c>
      <c r="Q652" s="8">
        <v>384500</v>
      </c>
      <c r="R652" s="133">
        <f t="shared" si="119"/>
        <v>316</v>
      </c>
      <c r="S652" s="8">
        <v>17399</v>
      </c>
      <c r="T652" s="8">
        <v>17445</v>
      </c>
      <c r="U652" s="133">
        <f t="shared" si="117"/>
        <v>46</v>
      </c>
      <c r="V652" s="8">
        <v>343257</v>
      </c>
      <c r="W652" s="8">
        <v>343375</v>
      </c>
      <c r="X652" s="13">
        <f t="shared" si="120"/>
        <v>118</v>
      </c>
      <c r="Y652" s="8">
        <v>27008</v>
      </c>
      <c r="Z652" s="8">
        <v>27184</v>
      </c>
      <c r="AA652" s="13">
        <f t="shared" si="126"/>
        <v>176</v>
      </c>
      <c r="AB652" s="8">
        <v>220249</v>
      </c>
      <c r="AC652" s="8">
        <v>220376</v>
      </c>
      <c r="AD652" s="13">
        <f t="shared" si="127"/>
        <v>127</v>
      </c>
      <c r="AE652" s="135"/>
      <c r="AF652" s="135"/>
      <c r="AG652" s="135"/>
      <c r="AH652" s="136"/>
      <c r="AI652" s="50">
        <f t="shared" si="124"/>
        <v>656</v>
      </c>
    </row>
    <row r="653" spans="1:35">
      <c r="A653" s="12">
        <v>45028</v>
      </c>
      <c r="B653" s="8">
        <v>1813468</v>
      </c>
      <c r="C653" s="8">
        <v>1813837</v>
      </c>
      <c r="D653" s="13">
        <f t="shared" ref="D653:D723" si="128">C653-B653</f>
        <v>369</v>
      </c>
      <c r="E653" s="69">
        <v>152253</v>
      </c>
      <c r="F653" s="69">
        <v>153042</v>
      </c>
      <c r="G653" s="133">
        <f t="shared" si="125"/>
        <v>789</v>
      </c>
      <c r="H653" s="8">
        <v>262183</v>
      </c>
      <c r="I653" s="8">
        <v>262398</v>
      </c>
      <c r="J653" s="13">
        <f t="shared" si="122"/>
        <v>215</v>
      </c>
      <c r="K653" s="138"/>
      <c r="L653" s="8">
        <v>658868</v>
      </c>
      <c r="M653" s="8">
        <v>660118</v>
      </c>
      <c r="N653" s="13">
        <f t="shared" si="123"/>
        <v>1250</v>
      </c>
      <c r="O653" s="136"/>
      <c r="P653" s="8">
        <v>384500</v>
      </c>
      <c r="Q653" s="8">
        <v>385077</v>
      </c>
      <c r="R653" s="133">
        <f t="shared" si="119"/>
        <v>577</v>
      </c>
      <c r="S653" s="8">
        <v>17445</v>
      </c>
      <c r="T653" s="8">
        <v>17508</v>
      </c>
      <c r="U653" s="133">
        <f t="shared" ref="U653:U717" si="129">T653-S653</f>
        <v>63</v>
      </c>
      <c r="V653" s="8">
        <v>343375</v>
      </c>
      <c r="W653" s="8">
        <v>343676</v>
      </c>
      <c r="X653" s="13">
        <f t="shared" si="120"/>
        <v>301</v>
      </c>
      <c r="Y653" s="8">
        <v>27184</v>
      </c>
      <c r="Z653" s="8">
        <v>27200</v>
      </c>
      <c r="AA653" s="13">
        <v>3</v>
      </c>
      <c r="AB653" s="8">
        <v>220376</v>
      </c>
      <c r="AC653" s="8">
        <v>220459</v>
      </c>
      <c r="AD653" s="13">
        <f t="shared" si="127"/>
        <v>83</v>
      </c>
      <c r="AE653" s="135"/>
      <c r="AF653" s="135"/>
      <c r="AG653" s="135"/>
      <c r="AH653" s="136"/>
      <c r="AI653" s="50">
        <f t="shared" si="124"/>
        <v>944</v>
      </c>
    </row>
    <row r="654" spans="1:35">
      <c r="A654" s="12">
        <v>45029</v>
      </c>
      <c r="B654" s="8">
        <v>1813837</v>
      </c>
      <c r="C654" s="8">
        <v>1814574</v>
      </c>
      <c r="D654" s="13">
        <f t="shared" si="128"/>
        <v>737</v>
      </c>
      <c r="E654" s="69">
        <v>153042</v>
      </c>
      <c r="F654" s="69">
        <v>153866</v>
      </c>
      <c r="G654" s="133">
        <f t="shared" si="125"/>
        <v>824</v>
      </c>
      <c r="H654" s="8">
        <v>262398</v>
      </c>
      <c r="I654" s="8">
        <v>262398</v>
      </c>
      <c r="J654" s="13">
        <f t="shared" si="122"/>
        <v>0</v>
      </c>
      <c r="K654" s="138"/>
      <c r="L654" s="8">
        <v>660118</v>
      </c>
      <c r="M654" s="8">
        <v>661296</v>
      </c>
      <c r="N654" s="13">
        <f t="shared" si="123"/>
        <v>1178</v>
      </c>
      <c r="O654" s="136"/>
      <c r="P654" s="8">
        <v>385077</v>
      </c>
      <c r="Q654" s="8">
        <v>385525</v>
      </c>
      <c r="R654" s="133">
        <f t="shared" si="119"/>
        <v>448</v>
      </c>
      <c r="S654" s="8">
        <v>17508</v>
      </c>
      <c r="T654" s="8">
        <v>17559</v>
      </c>
      <c r="U654" s="133">
        <f t="shared" si="129"/>
        <v>51</v>
      </c>
      <c r="V654" s="8">
        <v>343676</v>
      </c>
      <c r="W654" s="8">
        <v>343814</v>
      </c>
      <c r="X654" s="13">
        <f t="shared" si="120"/>
        <v>138</v>
      </c>
      <c r="Y654" s="8">
        <v>27200</v>
      </c>
      <c r="Z654" s="8">
        <v>27228</v>
      </c>
      <c r="AA654" s="13">
        <f t="shared" si="126"/>
        <v>28</v>
      </c>
      <c r="AB654" s="8">
        <v>220459</v>
      </c>
      <c r="AC654" s="8">
        <v>220522</v>
      </c>
      <c r="AD654" s="13">
        <f t="shared" si="127"/>
        <v>63</v>
      </c>
      <c r="AE654" s="135"/>
      <c r="AF654" s="135"/>
      <c r="AG654" s="135"/>
      <c r="AH654" s="136"/>
      <c r="AI654" s="50">
        <f t="shared" si="124"/>
        <v>665</v>
      </c>
    </row>
    <row r="655" spans="1:35">
      <c r="A655" s="12">
        <v>45030</v>
      </c>
      <c r="B655" s="8">
        <v>1814574</v>
      </c>
      <c r="C655" s="8">
        <v>1815263</v>
      </c>
      <c r="D655" s="13">
        <f t="shared" si="128"/>
        <v>689</v>
      </c>
      <c r="E655" s="69">
        <v>153866</v>
      </c>
      <c r="F655" s="69">
        <v>154620</v>
      </c>
      <c r="G655" s="133">
        <f t="shared" si="125"/>
        <v>754</v>
      </c>
      <c r="H655" s="8">
        <v>262398</v>
      </c>
      <c r="I655" s="8">
        <v>262398</v>
      </c>
      <c r="J655" s="13">
        <f t="shared" si="122"/>
        <v>0</v>
      </c>
      <c r="K655" s="138"/>
      <c r="L655" s="8">
        <v>661296</v>
      </c>
      <c r="M655" s="8">
        <v>662418</v>
      </c>
      <c r="N655" s="13">
        <f t="shared" si="123"/>
        <v>1122</v>
      </c>
      <c r="O655" s="136"/>
      <c r="P655" s="8">
        <v>385525</v>
      </c>
      <c r="Q655" s="8">
        <v>386009</v>
      </c>
      <c r="R655" s="133">
        <f t="shared" si="119"/>
        <v>484</v>
      </c>
      <c r="S655" s="8">
        <v>17559</v>
      </c>
      <c r="T655" s="8">
        <v>17620</v>
      </c>
      <c r="U655" s="133">
        <f t="shared" si="129"/>
        <v>61</v>
      </c>
      <c r="V655" s="8">
        <v>343814</v>
      </c>
      <c r="W655" s="8">
        <v>343980</v>
      </c>
      <c r="X655" s="13">
        <f t="shared" si="120"/>
        <v>166</v>
      </c>
      <c r="Y655" s="8">
        <v>27228</v>
      </c>
      <c r="Z655" s="8">
        <v>27251</v>
      </c>
      <c r="AA655" s="13">
        <f t="shared" si="126"/>
        <v>23</v>
      </c>
      <c r="AB655" s="8">
        <v>220522</v>
      </c>
      <c r="AC655" s="8">
        <v>220598</v>
      </c>
      <c r="AD655" s="13">
        <f t="shared" si="127"/>
        <v>76</v>
      </c>
      <c r="AE655" s="135"/>
      <c r="AF655" s="135"/>
      <c r="AG655" s="135"/>
      <c r="AH655" s="136"/>
      <c r="AI655" s="50">
        <f t="shared" si="124"/>
        <v>734</v>
      </c>
    </row>
    <row r="656" spans="1:35">
      <c r="A656" s="12">
        <v>45031</v>
      </c>
      <c r="B656" s="8">
        <v>1815263</v>
      </c>
      <c r="C656" s="8">
        <v>1816019</v>
      </c>
      <c r="D656" s="13">
        <f t="shared" si="128"/>
        <v>756</v>
      </c>
      <c r="E656" s="69">
        <v>154620</v>
      </c>
      <c r="F656" s="69">
        <v>155446</v>
      </c>
      <c r="G656" s="133">
        <f t="shared" si="125"/>
        <v>826</v>
      </c>
      <c r="H656" s="8">
        <v>262398</v>
      </c>
      <c r="I656" s="8">
        <v>262398</v>
      </c>
      <c r="J656" s="13">
        <f t="shared" si="122"/>
        <v>0</v>
      </c>
      <c r="K656" s="138"/>
      <c r="L656" s="8">
        <v>662418</v>
      </c>
      <c r="M656" s="8">
        <v>663738</v>
      </c>
      <c r="N656" s="13">
        <f t="shared" si="123"/>
        <v>1320</v>
      </c>
      <c r="O656" s="136"/>
      <c r="P656" s="8">
        <v>386009</v>
      </c>
      <c r="Q656" s="8">
        <v>386561</v>
      </c>
      <c r="R656" s="133">
        <f t="shared" si="119"/>
        <v>552</v>
      </c>
      <c r="S656" s="8">
        <v>17620</v>
      </c>
      <c r="T656" s="8">
        <v>17680</v>
      </c>
      <c r="U656" s="133">
        <f t="shared" si="129"/>
        <v>60</v>
      </c>
      <c r="V656" s="8">
        <v>343980</v>
      </c>
      <c r="W656" s="8">
        <v>344090</v>
      </c>
      <c r="X656" s="13">
        <f t="shared" si="120"/>
        <v>110</v>
      </c>
      <c r="Y656" s="8">
        <v>27251</v>
      </c>
      <c r="Z656" s="8">
        <v>27284</v>
      </c>
      <c r="AA656" s="13">
        <f t="shared" si="126"/>
        <v>33</v>
      </c>
      <c r="AB656" s="8">
        <v>220598</v>
      </c>
      <c r="AC656" s="8">
        <v>220673</v>
      </c>
      <c r="AD656" s="13">
        <f t="shared" si="127"/>
        <v>75</v>
      </c>
      <c r="AE656" s="135"/>
      <c r="AF656" s="135"/>
      <c r="AG656" s="135"/>
      <c r="AH656" s="136"/>
      <c r="AI656" s="50">
        <f t="shared" si="124"/>
        <v>755</v>
      </c>
    </row>
    <row r="657" spans="1:35">
      <c r="A657" s="12">
        <v>45032</v>
      </c>
      <c r="B657" s="8">
        <v>1816019</v>
      </c>
      <c r="C657" s="8">
        <v>1816819</v>
      </c>
      <c r="D657" s="13">
        <f t="shared" si="128"/>
        <v>800</v>
      </c>
      <c r="E657" s="69">
        <v>155446</v>
      </c>
      <c r="F657" s="69">
        <v>156171</v>
      </c>
      <c r="G657" s="133">
        <f t="shared" si="125"/>
        <v>725</v>
      </c>
      <c r="H657" s="8">
        <v>262398</v>
      </c>
      <c r="I657" s="8">
        <v>262398</v>
      </c>
      <c r="J657" s="13">
        <f t="shared" si="122"/>
        <v>0</v>
      </c>
      <c r="K657" s="138"/>
      <c r="L657" s="8">
        <v>663738</v>
      </c>
      <c r="M657" s="8">
        <v>664824</v>
      </c>
      <c r="N657" s="13">
        <f t="shared" si="123"/>
        <v>1086</v>
      </c>
      <c r="O657" s="136"/>
      <c r="P657" s="8">
        <v>386561</v>
      </c>
      <c r="Q657" s="8">
        <v>386997</v>
      </c>
      <c r="R657" s="133">
        <f t="shared" si="119"/>
        <v>436</v>
      </c>
      <c r="S657" s="8">
        <v>17680</v>
      </c>
      <c r="T657" s="8">
        <v>17716</v>
      </c>
      <c r="U657" s="133">
        <f t="shared" si="129"/>
        <v>36</v>
      </c>
      <c r="V657" s="8">
        <v>344090</v>
      </c>
      <c r="W657" s="8">
        <v>344325</v>
      </c>
      <c r="X657" s="13">
        <f t="shared" si="120"/>
        <v>235</v>
      </c>
      <c r="Y657" s="8">
        <v>27284</v>
      </c>
      <c r="Z657" s="8">
        <v>27301</v>
      </c>
      <c r="AA657" s="13">
        <f t="shared" si="126"/>
        <v>17</v>
      </c>
      <c r="AB657" s="8">
        <v>220673</v>
      </c>
      <c r="AC657" s="8">
        <v>220744</v>
      </c>
      <c r="AD657" s="13">
        <f t="shared" si="127"/>
        <v>71</v>
      </c>
      <c r="AE657" s="135"/>
      <c r="AF657" s="135"/>
      <c r="AG657" s="135"/>
      <c r="AH657" s="136"/>
      <c r="AI657" s="50">
        <f t="shared" si="124"/>
        <v>724</v>
      </c>
    </row>
    <row r="658" spans="1:35">
      <c r="A658" s="12">
        <v>45033</v>
      </c>
      <c r="B658" s="8">
        <v>1816819</v>
      </c>
      <c r="C658" s="8">
        <v>1817608</v>
      </c>
      <c r="D658" s="13">
        <f t="shared" si="128"/>
        <v>789</v>
      </c>
      <c r="E658" s="69">
        <v>156171</v>
      </c>
      <c r="F658" s="69">
        <v>156899</v>
      </c>
      <c r="G658" s="133">
        <f t="shared" si="125"/>
        <v>728</v>
      </c>
      <c r="H658" s="8">
        <v>262398</v>
      </c>
      <c r="I658" s="8">
        <v>262398</v>
      </c>
      <c r="J658" s="13">
        <f t="shared" si="122"/>
        <v>0</v>
      </c>
      <c r="K658" s="138"/>
      <c r="L658" s="8">
        <v>664824</v>
      </c>
      <c r="M658" s="8">
        <v>666004</v>
      </c>
      <c r="N658" s="13">
        <f t="shared" si="123"/>
        <v>1180</v>
      </c>
      <c r="O658" s="136"/>
      <c r="P658" s="8">
        <v>386997</v>
      </c>
      <c r="Q658" s="8">
        <v>387453</v>
      </c>
      <c r="R658" s="133">
        <f t="shared" si="119"/>
        <v>456</v>
      </c>
      <c r="S658" s="8">
        <v>17716</v>
      </c>
      <c r="T658" s="8">
        <v>17750</v>
      </c>
      <c r="U658" s="133">
        <f t="shared" si="129"/>
        <v>34</v>
      </c>
      <c r="V658" s="8">
        <v>344325</v>
      </c>
      <c r="W658" s="8">
        <v>344449</v>
      </c>
      <c r="X658" s="13">
        <f t="shared" si="120"/>
        <v>124</v>
      </c>
      <c r="Y658" s="8">
        <v>27322</v>
      </c>
      <c r="Z658" s="8">
        <v>27349</v>
      </c>
      <c r="AA658" s="13">
        <f t="shared" si="126"/>
        <v>27</v>
      </c>
      <c r="AB658" s="8">
        <v>220744</v>
      </c>
      <c r="AC658" s="8">
        <v>220823</v>
      </c>
      <c r="AD658" s="13">
        <f t="shared" si="127"/>
        <v>79</v>
      </c>
      <c r="AE658" s="135"/>
      <c r="AF658" s="135"/>
      <c r="AG658" s="135"/>
      <c r="AH658" s="136"/>
      <c r="AI658" s="50">
        <f t="shared" si="124"/>
        <v>641</v>
      </c>
    </row>
    <row r="659" spans="1:35">
      <c r="A659" s="12">
        <v>45034</v>
      </c>
      <c r="B659" s="8">
        <v>1817608</v>
      </c>
      <c r="C659" s="8">
        <v>1817784</v>
      </c>
      <c r="D659" s="13">
        <f t="shared" si="128"/>
        <v>176</v>
      </c>
      <c r="E659" s="69">
        <v>156899</v>
      </c>
      <c r="F659" s="69">
        <v>157696</v>
      </c>
      <c r="G659" s="133">
        <f t="shared" si="125"/>
        <v>797</v>
      </c>
      <c r="H659" s="8">
        <v>262398</v>
      </c>
      <c r="I659" s="8">
        <v>262398</v>
      </c>
      <c r="J659" s="13">
        <f t="shared" si="122"/>
        <v>0</v>
      </c>
      <c r="K659" s="138"/>
      <c r="L659" s="8">
        <v>666004</v>
      </c>
      <c r="M659" s="8">
        <v>667148</v>
      </c>
      <c r="N659" s="13">
        <f t="shared" si="123"/>
        <v>1144</v>
      </c>
      <c r="O659" s="136"/>
      <c r="P659" s="8">
        <v>387453</v>
      </c>
      <c r="Q659" s="8">
        <v>387885</v>
      </c>
      <c r="R659" s="133">
        <f t="shared" ref="R659:R724" si="130">Q659-P659</f>
        <v>432</v>
      </c>
      <c r="S659" s="8">
        <v>17750</v>
      </c>
      <c r="T659" s="8">
        <v>17782</v>
      </c>
      <c r="U659" s="133">
        <f t="shared" si="129"/>
        <v>32</v>
      </c>
      <c r="V659" s="8">
        <v>344449</v>
      </c>
      <c r="W659" s="8">
        <v>344561</v>
      </c>
      <c r="X659" s="13">
        <f t="shared" si="120"/>
        <v>112</v>
      </c>
      <c r="Y659" s="8">
        <v>27349</v>
      </c>
      <c r="Z659" s="8">
        <v>27365</v>
      </c>
      <c r="AA659" s="13">
        <f t="shared" si="126"/>
        <v>16</v>
      </c>
      <c r="AB659" s="8">
        <v>220823</v>
      </c>
      <c r="AC659" s="8">
        <v>220887</v>
      </c>
      <c r="AD659" s="13">
        <f t="shared" si="127"/>
        <v>64</v>
      </c>
      <c r="AE659" s="135"/>
      <c r="AF659" s="135"/>
      <c r="AG659" s="135"/>
      <c r="AH659" s="136"/>
      <c r="AI659" s="50">
        <f t="shared" si="124"/>
        <v>592</v>
      </c>
    </row>
    <row r="660" spans="1:35">
      <c r="A660" s="12">
        <v>45035</v>
      </c>
      <c r="B660" s="8">
        <v>1817784</v>
      </c>
      <c r="C660" s="8">
        <v>1818256</v>
      </c>
      <c r="D660" s="13">
        <f t="shared" si="128"/>
        <v>472</v>
      </c>
      <c r="E660" s="69">
        <v>157696</v>
      </c>
      <c r="F660" s="69">
        <v>158406</v>
      </c>
      <c r="G660" s="133">
        <f t="shared" si="125"/>
        <v>710</v>
      </c>
      <c r="H660" s="8">
        <v>262398</v>
      </c>
      <c r="I660" s="8">
        <v>262743</v>
      </c>
      <c r="J660" s="13">
        <f t="shared" si="122"/>
        <v>345</v>
      </c>
      <c r="K660" s="138"/>
      <c r="L660" s="8">
        <v>667148</v>
      </c>
      <c r="M660" s="8">
        <v>667624</v>
      </c>
      <c r="N660" s="13">
        <f t="shared" si="123"/>
        <v>476</v>
      </c>
      <c r="O660" s="136"/>
      <c r="P660" s="8">
        <v>387885</v>
      </c>
      <c r="Q660" s="8">
        <v>388356</v>
      </c>
      <c r="R660" s="133">
        <f t="shared" si="130"/>
        <v>471</v>
      </c>
      <c r="S660" s="8">
        <v>17782</v>
      </c>
      <c r="T660" s="8">
        <v>17820</v>
      </c>
      <c r="U660" s="133">
        <f t="shared" si="129"/>
        <v>38</v>
      </c>
      <c r="V660" s="8">
        <v>344561</v>
      </c>
      <c r="W660" s="8">
        <v>344716</v>
      </c>
      <c r="X660" s="13">
        <f t="shared" si="120"/>
        <v>155</v>
      </c>
      <c r="Y660" s="8">
        <v>27365</v>
      </c>
      <c r="Z660" s="8">
        <v>27398</v>
      </c>
      <c r="AA660" s="13">
        <f t="shared" si="126"/>
        <v>33</v>
      </c>
      <c r="AB660" s="8">
        <v>220887</v>
      </c>
      <c r="AC660" s="8">
        <v>220971</v>
      </c>
      <c r="AD660" s="13">
        <f t="shared" si="127"/>
        <v>84</v>
      </c>
      <c r="AE660" s="135"/>
      <c r="AF660" s="135"/>
      <c r="AG660" s="135"/>
      <c r="AH660" s="136"/>
      <c r="AI660" s="50">
        <f t="shared" si="124"/>
        <v>697</v>
      </c>
    </row>
    <row r="661" spans="1:35">
      <c r="A661" s="12">
        <v>45036</v>
      </c>
      <c r="B661" s="8">
        <v>1818256</v>
      </c>
      <c r="C661" s="8">
        <v>1818471</v>
      </c>
      <c r="D661" s="13">
        <f t="shared" si="128"/>
        <v>215</v>
      </c>
      <c r="E661" s="69">
        <v>158406</v>
      </c>
      <c r="F661" s="69">
        <v>159205</v>
      </c>
      <c r="G661" s="133">
        <f t="shared" si="125"/>
        <v>799</v>
      </c>
      <c r="H661" s="8">
        <v>262743</v>
      </c>
      <c r="I661" s="8">
        <v>262743</v>
      </c>
      <c r="J661" s="13">
        <f t="shared" si="122"/>
        <v>0</v>
      </c>
      <c r="K661" s="138"/>
      <c r="L661" s="8">
        <v>667624</v>
      </c>
      <c r="M661" s="8">
        <v>669048</v>
      </c>
      <c r="N661" s="13">
        <f t="shared" si="123"/>
        <v>1424</v>
      </c>
      <c r="O661" s="136"/>
      <c r="P661" s="8">
        <v>388356</v>
      </c>
      <c r="Q661" s="8">
        <v>388790</v>
      </c>
      <c r="R661" s="133">
        <f t="shared" si="130"/>
        <v>434</v>
      </c>
      <c r="S661" s="8">
        <v>17820</v>
      </c>
      <c r="T661" s="8">
        <v>17862</v>
      </c>
      <c r="U661" s="133">
        <f t="shared" si="129"/>
        <v>42</v>
      </c>
      <c r="V661" s="8">
        <v>344716</v>
      </c>
      <c r="W661" s="8">
        <v>344908</v>
      </c>
      <c r="X661" s="13">
        <f t="shared" si="120"/>
        <v>192</v>
      </c>
      <c r="Y661" s="8">
        <v>27398</v>
      </c>
      <c r="Z661" s="8">
        <v>27420</v>
      </c>
      <c r="AA661" s="13">
        <f t="shared" si="126"/>
        <v>22</v>
      </c>
      <c r="AB661" s="8">
        <v>220971</v>
      </c>
      <c r="AC661" s="8">
        <v>221033</v>
      </c>
      <c r="AD661" s="13">
        <f t="shared" si="127"/>
        <v>62</v>
      </c>
      <c r="AE661" s="135"/>
      <c r="AF661" s="135"/>
      <c r="AG661" s="135"/>
      <c r="AH661" s="136"/>
      <c r="AI661" s="50">
        <f t="shared" si="124"/>
        <v>690</v>
      </c>
    </row>
    <row r="662" spans="1:35">
      <c r="A662" s="12">
        <v>45037</v>
      </c>
      <c r="B662" s="8">
        <v>1818471</v>
      </c>
      <c r="C662" s="8">
        <v>1819266</v>
      </c>
      <c r="D662" s="13">
        <f t="shared" si="128"/>
        <v>795</v>
      </c>
      <c r="E662" s="69">
        <v>159205</v>
      </c>
      <c r="F662" s="69">
        <v>160019</v>
      </c>
      <c r="G662" s="133">
        <f t="shared" si="125"/>
        <v>814</v>
      </c>
      <c r="H662" s="8">
        <v>262743</v>
      </c>
      <c r="I662" s="8">
        <v>262743</v>
      </c>
      <c r="J662" s="13">
        <f t="shared" si="122"/>
        <v>0</v>
      </c>
      <c r="K662" s="138"/>
      <c r="L662" s="8">
        <v>669048</v>
      </c>
      <c r="M662" s="8">
        <v>670314</v>
      </c>
      <c r="N662" s="13">
        <f t="shared" si="123"/>
        <v>1266</v>
      </c>
      <c r="O662" s="136"/>
      <c r="P662" s="8">
        <v>388790</v>
      </c>
      <c r="Q662" s="8">
        <v>389341</v>
      </c>
      <c r="R662" s="133">
        <f t="shared" si="130"/>
        <v>551</v>
      </c>
      <c r="S662" s="8">
        <v>17862</v>
      </c>
      <c r="T662" s="8">
        <v>17902</v>
      </c>
      <c r="U662" s="133">
        <f t="shared" si="129"/>
        <v>40</v>
      </c>
      <c r="V662" s="8">
        <v>344908</v>
      </c>
      <c r="W662" s="8">
        <v>345021</v>
      </c>
      <c r="X662" s="13">
        <f t="shared" si="120"/>
        <v>113</v>
      </c>
      <c r="Y662" s="8">
        <v>27420</v>
      </c>
      <c r="Z662" s="8">
        <v>27443</v>
      </c>
      <c r="AA662" s="13">
        <f t="shared" si="126"/>
        <v>23</v>
      </c>
      <c r="AB662" s="8">
        <v>221033</v>
      </c>
      <c r="AC662" s="8">
        <v>221125</v>
      </c>
      <c r="AD662" s="13">
        <f t="shared" si="127"/>
        <v>92</v>
      </c>
      <c r="AE662" s="135"/>
      <c r="AF662" s="135"/>
      <c r="AG662" s="135"/>
      <c r="AH662" s="136"/>
      <c r="AI662" s="50">
        <f t="shared" si="124"/>
        <v>727</v>
      </c>
    </row>
    <row r="663" spans="1:35">
      <c r="A663" s="12">
        <v>45038</v>
      </c>
      <c r="B663" s="8">
        <v>1819266</v>
      </c>
      <c r="C663" s="8">
        <v>1819581</v>
      </c>
      <c r="D663" s="13">
        <f t="shared" si="128"/>
        <v>315</v>
      </c>
      <c r="E663" s="69">
        <v>160019</v>
      </c>
      <c r="F663" s="69">
        <v>160662</v>
      </c>
      <c r="G663" s="133">
        <f t="shared" si="125"/>
        <v>643</v>
      </c>
      <c r="H663" s="8">
        <v>262743</v>
      </c>
      <c r="I663" s="8">
        <v>262743</v>
      </c>
      <c r="J663" s="13">
        <f t="shared" si="122"/>
        <v>0</v>
      </c>
      <c r="K663" s="138"/>
      <c r="L663" s="8">
        <v>670314</v>
      </c>
      <c r="M663" s="8">
        <v>671342</v>
      </c>
      <c r="N663" s="13">
        <f t="shared" si="123"/>
        <v>1028</v>
      </c>
      <c r="O663" s="136"/>
      <c r="P663" s="8">
        <v>389341</v>
      </c>
      <c r="Q663" s="8">
        <v>389775</v>
      </c>
      <c r="R663" s="133">
        <f t="shared" si="130"/>
        <v>434</v>
      </c>
      <c r="S663" s="8">
        <v>17902</v>
      </c>
      <c r="T663" s="8">
        <v>17952</v>
      </c>
      <c r="U663" s="133">
        <f t="shared" si="129"/>
        <v>50</v>
      </c>
      <c r="V663" s="8">
        <v>345021</v>
      </c>
      <c r="W663" s="8">
        <v>345211</v>
      </c>
      <c r="X663" s="13">
        <f t="shared" si="120"/>
        <v>190</v>
      </c>
      <c r="Y663" s="8">
        <v>27443</v>
      </c>
      <c r="Z663" s="8">
        <v>27461</v>
      </c>
      <c r="AA663" s="13">
        <f t="shared" si="126"/>
        <v>18</v>
      </c>
      <c r="AB663" s="8">
        <v>221125</v>
      </c>
      <c r="AC663" s="8">
        <v>221206</v>
      </c>
      <c r="AD663" s="13">
        <f t="shared" si="127"/>
        <v>81</v>
      </c>
      <c r="AE663" s="135"/>
      <c r="AF663" s="135"/>
      <c r="AG663" s="135"/>
      <c r="AH663" s="136"/>
      <c r="AI663" s="50">
        <f t="shared" si="124"/>
        <v>692</v>
      </c>
    </row>
    <row r="664" spans="1:35">
      <c r="A664" s="12">
        <v>45039</v>
      </c>
      <c r="B664" s="8">
        <v>1819581</v>
      </c>
      <c r="C664" s="8">
        <v>1820165</v>
      </c>
      <c r="D664" s="13">
        <f t="shared" si="128"/>
        <v>584</v>
      </c>
      <c r="E664" s="69">
        <v>160662</v>
      </c>
      <c r="F664" s="69">
        <v>161476</v>
      </c>
      <c r="G664" s="133">
        <f t="shared" si="125"/>
        <v>814</v>
      </c>
      <c r="H664" s="8">
        <v>262743</v>
      </c>
      <c r="I664" s="8">
        <v>262743</v>
      </c>
      <c r="J664" s="13">
        <f t="shared" si="122"/>
        <v>0</v>
      </c>
      <c r="K664" s="138"/>
      <c r="L664" s="8">
        <v>671342</v>
      </c>
      <c r="M664" s="8">
        <v>672242</v>
      </c>
      <c r="N664" s="13">
        <f t="shared" si="123"/>
        <v>900</v>
      </c>
      <c r="O664" s="136"/>
      <c r="P664" s="8">
        <v>389775</v>
      </c>
      <c r="Q664" s="8">
        <v>390142</v>
      </c>
      <c r="R664" s="133">
        <f t="shared" si="130"/>
        <v>367</v>
      </c>
      <c r="S664" s="8">
        <v>17952</v>
      </c>
      <c r="T664" s="8">
        <v>17984</v>
      </c>
      <c r="U664" s="133">
        <f t="shared" si="129"/>
        <v>32</v>
      </c>
      <c r="V664" s="8">
        <v>345211</v>
      </c>
      <c r="W664" s="8">
        <v>345382</v>
      </c>
      <c r="X664" s="13">
        <f t="shared" si="120"/>
        <v>171</v>
      </c>
      <c r="Y664" s="8">
        <v>27461</v>
      </c>
      <c r="Z664" s="8">
        <v>27487</v>
      </c>
      <c r="AA664" s="13">
        <f t="shared" si="126"/>
        <v>26</v>
      </c>
      <c r="AB664" s="8">
        <v>221206</v>
      </c>
      <c r="AC664" s="8">
        <v>221277</v>
      </c>
      <c r="AD664" s="13">
        <f t="shared" si="127"/>
        <v>71</v>
      </c>
      <c r="AE664" s="135"/>
      <c r="AF664" s="135"/>
      <c r="AG664" s="135"/>
      <c r="AH664" s="136"/>
      <c r="AI664" s="50">
        <f t="shared" si="124"/>
        <v>596</v>
      </c>
    </row>
    <row r="665" spans="1:35">
      <c r="A665" s="12">
        <v>45040</v>
      </c>
      <c r="B665" s="8">
        <v>1820165</v>
      </c>
      <c r="C665" s="8">
        <v>1820792</v>
      </c>
      <c r="D665" s="13">
        <f t="shared" si="128"/>
        <v>627</v>
      </c>
      <c r="E665" s="69">
        <v>161476</v>
      </c>
      <c r="F665" s="69">
        <v>161891</v>
      </c>
      <c r="G665" s="133">
        <f t="shared" si="125"/>
        <v>415</v>
      </c>
      <c r="H665" s="8">
        <v>262743</v>
      </c>
      <c r="I665" s="8">
        <v>262874</v>
      </c>
      <c r="J665" s="13">
        <f t="shared" si="122"/>
        <v>131</v>
      </c>
      <c r="K665" s="138"/>
      <c r="L665" s="8">
        <v>672242</v>
      </c>
      <c r="M665" s="8">
        <v>672574</v>
      </c>
      <c r="N665" s="13">
        <f t="shared" si="123"/>
        <v>332</v>
      </c>
      <c r="O665" s="136"/>
      <c r="P665" s="8">
        <v>390142</v>
      </c>
      <c r="Q665" s="8">
        <v>390351</v>
      </c>
      <c r="R665" s="133">
        <f t="shared" si="130"/>
        <v>209</v>
      </c>
      <c r="S665" s="8">
        <v>17984</v>
      </c>
      <c r="T665" s="8">
        <v>18032</v>
      </c>
      <c r="U665" s="133">
        <f t="shared" si="129"/>
        <v>48</v>
      </c>
      <c r="V665" s="8">
        <v>345382</v>
      </c>
      <c r="W665" s="8">
        <v>345503</v>
      </c>
      <c r="X665" s="13">
        <f t="shared" si="120"/>
        <v>121</v>
      </c>
      <c r="Y665" s="8">
        <v>27487</v>
      </c>
      <c r="Z665" s="8">
        <v>27503</v>
      </c>
      <c r="AA665" s="13">
        <f t="shared" si="126"/>
        <v>16</v>
      </c>
      <c r="AB665" s="8">
        <v>221277</v>
      </c>
      <c r="AC665" s="8">
        <v>221358</v>
      </c>
      <c r="AD665" s="13">
        <f t="shared" si="127"/>
        <v>81</v>
      </c>
      <c r="AE665" s="135"/>
      <c r="AF665" s="135"/>
      <c r="AG665" s="135"/>
      <c r="AH665" s="136"/>
      <c r="AI665" s="50">
        <f t="shared" si="124"/>
        <v>394</v>
      </c>
    </row>
    <row r="666" spans="1:35">
      <c r="A666" s="12">
        <v>45041</v>
      </c>
      <c r="B666" s="8">
        <v>1820792</v>
      </c>
      <c r="C666" s="8">
        <v>1821597</v>
      </c>
      <c r="D666" s="13">
        <f t="shared" si="128"/>
        <v>805</v>
      </c>
      <c r="E666" s="69">
        <v>161891</v>
      </c>
      <c r="F666" s="69">
        <v>162622</v>
      </c>
      <c r="G666" s="133">
        <f t="shared" si="125"/>
        <v>731</v>
      </c>
      <c r="H666" s="8">
        <v>262874</v>
      </c>
      <c r="I666" s="8">
        <v>263003</v>
      </c>
      <c r="J666" s="13">
        <f t="shared" si="122"/>
        <v>129</v>
      </c>
      <c r="K666" s="138"/>
      <c r="L666" s="8">
        <v>672574</v>
      </c>
      <c r="M666" s="8">
        <v>673636</v>
      </c>
      <c r="N666" s="13">
        <f t="shared" si="123"/>
        <v>1062</v>
      </c>
      <c r="O666" s="136"/>
      <c r="P666" s="8">
        <v>390351</v>
      </c>
      <c r="Q666" s="8">
        <v>390846</v>
      </c>
      <c r="R666" s="133">
        <f t="shared" si="130"/>
        <v>495</v>
      </c>
      <c r="S666" s="8">
        <v>18032</v>
      </c>
      <c r="T666" s="8">
        <v>18072</v>
      </c>
      <c r="U666" s="133">
        <f t="shared" si="129"/>
        <v>40</v>
      </c>
      <c r="V666" s="8">
        <v>345503</v>
      </c>
      <c r="W666" s="8">
        <v>345670</v>
      </c>
      <c r="X666" s="13">
        <f t="shared" si="120"/>
        <v>167</v>
      </c>
      <c r="Y666" s="8">
        <v>27503</v>
      </c>
      <c r="Z666" s="8">
        <v>27515</v>
      </c>
      <c r="AA666" s="13">
        <f t="shared" si="126"/>
        <v>12</v>
      </c>
      <c r="AB666" s="8">
        <v>221358</v>
      </c>
      <c r="AC666" s="8">
        <v>221407</v>
      </c>
      <c r="AD666" s="13">
        <f t="shared" si="127"/>
        <v>49</v>
      </c>
      <c r="AE666" s="135"/>
      <c r="AF666" s="135"/>
      <c r="AG666" s="135"/>
      <c r="AH666" s="136"/>
      <c r="AI666" s="50">
        <f t="shared" si="124"/>
        <v>714</v>
      </c>
    </row>
    <row r="667" spans="1:35">
      <c r="A667" s="12">
        <v>45042</v>
      </c>
      <c r="B667" s="8">
        <v>1821597</v>
      </c>
      <c r="C667" s="8">
        <v>1822217</v>
      </c>
      <c r="D667" s="13">
        <f t="shared" si="128"/>
        <v>620</v>
      </c>
      <c r="E667" s="69">
        <v>162622</v>
      </c>
      <c r="F667" s="69">
        <v>163275</v>
      </c>
      <c r="G667" s="133">
        <f t="shared" si="125"/>
        <v>653</v>
      </c>
      <c r="H667" s="8">
        <v>263003</v>
      </c>
      <c r="I667" s="8">
        <v>263003</v>
      </c>
      <c r="J667" s="13">
        <f t="shared" si="122"/>
        <v>0</v>
      </c>
      <c r="K667" s="138"/>
      <c r="L667" s="8">
        <v>673636</v>
      </c>
      <c r="M667" s="8">
        <v>674784</v>
      </c>
      <c r="N667" s="13">
        <f t="shared" si="123"/>
        <v>1148</v>
      </c>
      <c r="O667" s="136"/>
      <c r="P667" s="8">
        <v>390846</v>
      </c>
      <c r="Q667" s="8">
        <v>391296</v>
      </c>
      <c r="R667" s="133">
        <f t="shared" si="130"/>
        <v>450</v>
      </c>
      <c r="S667" s="8">
        <v>18072</v>
      </c>
      <c r="T667" s="8">
        <v>18106</v>
      </c>
      <c r="U667" s="133">
        <f t="shared" si="129"/>
        <v>34</v>
      </c>
      <c r="V667" s="8">
        <v>345670</v>
      </c>
      <c r="W667" s="8">
        <v>345875</v>
      </c>
      <c r="X667" s="13">
        <f t="shared" si="120"/>
        <v>205</v>
      </c>
      <c r="Y667" s="8">
        <v>27515</v>
      </c>
      <c r="Z667" s="8">
        <v>27531</v>
      </c>
      <c r="AA667" s="13">
        <f t="shared" si="126"/>
        <v>16</v>
      </c>
      <c r="AB667" s="8">
        <v>221407</v>
      </c>
      <c r="AC667" s="8">
        <v>221448</v>
      </c>
      <c r="AD667" s="13">
        <f t="shared" si="127"/>
        <v>41</v>
      </c>
      <c r="AE667" s="135"/>
      <c r="AF667" s="135"/>
      <c r="AG667" s="135"/>
      <c r="AH667" s="136"/>
      <c r="AI667" s="50">
        <f t="shared" si="124"/>
        <v>705</v>
      </c>
    </row>
    <row r="668" spans="1:35">
      <c r="A668" s="12">
        <v>45043</v>
      </c>
      <c r="B668" s="8">
        <v>1822217</v>
      </c>
      <c r="C668" s="8">
        <v>1822889</v>
      </c>
      <c r="D668" s="13">
        <f t="shared" si="128"/>
        <v>672</v>
      </c>
      <c r="E668" s="69">
        <v>163275</v>
      </c>
      <c r="F668" s="69">
        <v>163865</v>
      </c>
      <c r="G668" s="133">
        <f t="shared" si="125"/>
        <v>590</v>
      </c>
      <c r="H668" s="8">
        <v>263003</v>
      </c>
      <c r="I668" s="8">
        <v>263003</v>
      </c>
      <c r="J668" s="13">
        <f t="shared" si="122"/>
        <v>0</v>
      </c>
      <c r="K668" s="138"/>
      <c r="L668" s="8">
        <v>674784</v>
      </c>
      <c r="M668" s="8">
        <v>675889</v>
      </c>
      <c r="N668" s="13">
        <f t="shared" si="123"/>
        <v>1105</v>
      </c>
      <c r="O668" s="136"/>
      <c r="P668" s="8">
        <v>391296</v>
      </c>
      <c r="Q668" s="8">
        <v>391753</v>
      </c>
      <c r="R668" s="133">
        <f t="shared" si="130"/>
        <v>457</v>
      </c>
      <c r="S668" s="8">
        <v>18106</v>
      </c>
      <c r="T668" s="8">
        <v>18146</v>
      </c>
      <c r="U668" s="133">
        <f t="shared" si="129"/>
        <v>40</v>
      </c>
      <c r="V668" s="8">
        <v>345875</v>
      </c>
      <c r="W668" s="8">
        <v>346023</v>
      </c>
      <c r="X668" s="13">
        <f t="shared" si="120"/>
        <v>148</v>
      </c>
      <c r="Y668" s="8">
        <v>27531</v>
      </c>
      <c r="Z668" s="8">
        <v>27546</v>
      </c>
      <c r="AA668" s="13">
        <f t="shared" si="126"/>
        <v>15</v>
      </c>
      <c r="AB668" s="8">
        <v>221448</v>
      </c>
      <c r="AC668" s="8">
        <v>221549</v>
      </c>
      <c r="AD668" s="13">
        <f t="shared" si="127"/>
        <v>101</v>
      </c>
      <c r="AE668" s="135"/>
      <c r="AF668" s="135"/>
      <c r="AG668" s="135"/>
      <c r="AH668" s="136"/>
      <c r="AI668" s="50">
        <f t="shared" si="124"/>
        <v>660</v>
      </c>
    </row>
    <row r="669" spans="1:35">
      <c r="A669" s="12">
        <v>45044</v>
      </c>
      <c r="B669" s="8">
        <v>1822889</v>
      </c>
      <c r="C669" s="8">
        <v>1823413</v>
      </c>
      <c r="D669" s="13">
        <f t="shared" si="128"/>
        <v>524</v>
      </c>
      <c r="E669" s="69">
        <v>163865</v>
      </c>
      <c r="F669" s="69">
        <v>164498</v>
      </c>
      <c r="G669" s="133">
        <f t="shared" si="125"/>
        <v>633</v>
      </c>
      <c r="H669" s="8">
        <v>263003</v>
      </c>
      <c r="I669" s="8">
        <v>263003</v>
      </c>
      <c r="J669" s="13">
        <f t="shared" si="122"/>
        <v>0</v>
      </c>
      <c r="K669" s="138"/>
      <c r="L669" s="8">
        <v>675889</v>
      </c>
      <c r="M669" s="8">
        <v>677094</v>
      </c>
      <c r="N669" s="13">
        <f t="shared" si="123"/>
        <v>1205</v>
      </c>
      <c r="O669" s="136"/>
      <c r="P669" s="8">
        <v>391753</v>
      </c>
      <c r="Q669" s="8">
        <v>392285</v>
      </c>
      <c r="R669" s="133">
        <f t="shared" si="130"/>
        <v>532</v>
      </c>
      <c r="S669" s="8">
        <v>18146</v>
      </c>
      <c r="T669" s="8">
        <v>18189</v>
      </c>
      <c r="U669" s="133">
        <f t="shared" si="129"/>
        <v>43</v>
      </c>
      <c r="V669" s="8">
        <v>346023</v>
      </c>
      <c r="W669" s="8">
        <v>346267</v>
      </c>
      <c r="X669" s="13">
        <f t="shared" si="120"/>
        <v>244</v>
      </c>
      <c r="Y669" s="8">
        <v>27546</v>
      </c>
      <c r="Z669" s="8">
        <v>27568</v>
      </c>
      <c r="AA669" s="13">
        <f t="shared" si="126"/>
        <v>22</v>
      </c>
      <c r="AB669" s="8">
        <v>221549</v>
      </c>
      <c r="AC669" s="8">
        <v>221627</v>
      </c>
      <c r="AD669" s="13">
        <f t="shared" si="127"/>
        <v>78</v>
      </c>
      <c r="AE669" s="135"/>
      <c r="AF669" s="135"/>
      <c r="AG669" s="135"/>
      <c r="AH669" s="136"/>
      <c r="AI669" s="50">
        <f t="shared" si="124"/>
        <v>841</v>
      </c>
    </row>
    <row r="670" spans="1:35">
      <c r="A670" s="12">
        <v>45045</v>
      </c>
      <c r="B670" s="8">
        <v>1823413</v>
      </c>
      <c r="C670" s="8">
        <v>1823813</v>
      </c>
      <c r="D670" s="13">
        <f t="shared" si="128"/>
        <v>400</v>
      </c>
      <c r="E670" s="69">
        <v>164498</v>
      </c>
      <c r="F670" s="69">
        <v>165268</v>
      </c>
      <c r="G670" s="133">
        <f t="shared" si="125"/>
        <v>770</v>
      </c>
      <c r="H670" s="8">
        <v>263003</v>
      </c>
      <c r="I670" s="8">
        <v>263003</v>
      </c>
      <c r="J670" s="13">
        <f t="shared" si="122"/>
        <v>0</v>
      </c>
      <c r="K670" s="138"/>
      <c r="L670" s="8">
        <v>677094</v>
      </c>
      <c r="M670" s="8">
        <v>678415</v>
      </c>
      <c r="N670" s="13">
        <f t="shared" si="123"/>
        <v>1321</v>
      </c>
      <c r="O670" s="136"/>
      <c r="P670" s="8">
        <v>392285</v>
      </c>
      <c r="Q670" s="8">
        <v>392823</v>
      </c>
      <c r="R670" s="133">
        <f t="shared" si="130"/>
        <v>538</v>
      </c>
      <c r="S670" s="8">
        <v>18189</v>
      </c>
      <c r="T670" s="8">
        <v>18222</v>
      </c>
      <c r="U670" s="133">
        <f t="shared" si="129"/>
        <v>33</v>
      </c>
      <c r="V670" s="8">
        <v>346267</v>
      </c>
      <c r="W670" s="8">
        <v>346391</v>
      </c>
      <c r="X670" s="13">
        <f t="shared" si="120"/>
        <v>124</v>
      </c>
      <c r="Y670" s="8">
        <v>27568</v>
      </c>
      <c r="Z670" s="8">
        <v>27578</v>
      </c>
      <c r="AA670" s="13">
        <f t="shared" si="126"/>
        <v>10</v>
      </c>
      <c r="AB670" s="8">
        <v>221627</v>
      </c>
      <c r="AC670" s="8">
        <v>221679</v>
      </c>
      <c r="AD670" s="13">
        <f t="shared" si="127"/>
        <v>52</v>
      </c>
      <c r="AE670" s="135"/>
      <c r="AF670" s="135"/>
      <c r="AG670" s="135"/>
      <c r="AH670" s="136"/>
      <c r="AI670" s="50">
        <f t="shared" si="124"/>
        <v>705</v>
      </c>
    </row>
    <row r="671" spans="1:35">
      <c r="A671" s="12">
        <v>45046</v>
      </c>
      <c r="B671" s="8">
        <v>1823813</v>
      </c>
      <c r="C671" s="8">
        <v>1824402</v>
      </c>
      <c r="D671" s="13">
        <f t="shared" si="128"/>
        <v>589</v>
      </c>
      <c r="E671" s="69">
        <v>165268</v>
      </c>
      <c r="F671" s="69">
        <v>166053</v>
      </c>
      <c r="G671" s="133">
        <f t="shared" si="125"/>
        <v>785</v>
      </c>
      <c r="H671" s="8">
        <v>263003</v>
      </c>
      <c r="I671" s="8">
        <v>263003</v>
      </c>
      <c r="J671" s="13">
        <f t="shared" si="122"/>
        <v>0</v>
      </c>
      <c r="K671" s="138"/>
      <c r="L671" s="8">
        <v>678415</v>
      </c>
      <c r="M671" s="8">
        <v>679403</v>
      </c>
      <c r="N671" s="13">
        <f t="shared" si="123"/>
        <v>988</v>
      </c>
      <c r="O671" s="136"/>
      <c r="P671" s="8">
        <v>392823</v>
      </c>
      <c r="Q671" s="8">
        <v>393265</v>
      </c>
      <c r="R671" s="133">
        <f t="shared" si="130"/>
        <v>442</v>
      </c>
      <c r="S671" s="8">
        <v>18222</v>
      </c>
      <c r="T671" s="8">
        <v>18256</v>
      </c>
      <c r="U671" s="133">
        <f t="shared" si="129"/>
        <v>34</v>
      </c>
      <c r="V671" s="8">
        <v>346391</v>
      </c>
      <c r="W671" s="8">
        <v>346501</v>
      </c>
      <c r="X671" s="13">
        <f t="shared" si="120"/>
        <v>110</v>
      </c>
      <c r="Y671" s="8">
        <v>27578</v>
      </c>
      <c r="Z671" s="8">
        <v>27589</v>
      </c>
      <c r="AA671" s="13">
        <f t="shared" si="126"/>
        <v>11</v>
      </c>
      <c r="AB671" s="8">
        <v>221679</v>
      </c>
      <c r="AC671" s="8">
        <v>221726</v>
      </c>
      <c r="AD671" s="13">
        <f t="shared" si="127"/>
        <v>47</v>
      </c>
      <c r="AE671" s="135"/>
      <c r="AF671" s="135"/>
      <c r="AG671" s="135"/>
      <c r="AH671" s="136"/>
      <c r="AI671" s="50">
        <f t="shared" si="124"/>
        <v>597</v>
      </c>
    </row>
    <row r="672" spans="1:35">
      <c r="A672" s="12">
        <v>45047</v>
      </c>
      <c r="B672" s="8">
        <v>1824402</v>
      </c>
      <c r="C672" s="8">
        <v>1824684</v>
      </c>
      <c r="D672" s="13">
        <f t="shared" si="128"/>
        <v>282</v>
      </c>
      <c r="E672" s="69">
        <v>166053</v>
      </c>
      <c r="F672" s="69">
        <v>166839</v>
      </c>
      <c r="G672" s="133">
        <f t="shared" si="125"/>
        <v>786</v>
      </c>
      <c r="H672" s="8">
        <v>263003</v>
      </c>
      <c r="I672" s="8">
        <v>263003</v>
      </c>
      <c r="J672" s="13">
        <f t="shared" si="122"/>
        <v>0</v>
      </c>
      <c r="K672" s="138"/>
      <c r="L672" s="8">
        <v>679403</v>
      </c>
      <c r="M672" s="8">
        <v>680296</v>
      </c>
      <c r="N672" s="13">
        <f t="shared" si="123"/>
        <v>893</v>
      </c>
      <c r="O672" s="136"/>
      <c r="P672" s="8">
        <v>393265</v>
      </c>
      <c r="Q672" s="8">
        <v>393623</v>
      </c>
      <c r="R672" s="133">
        <f t="shared" si="130"/>
        <v>358</v>
      </c>
      <c r="S672" s="8">
        <v>18256</v>
      </c>
      <c r="T672" s="8">
        <v>18298</v>
      </c>
      <c r="U672" s="133">
        <f t="shared" si="129"/>
        <v>42</v>
      </c>
      <c r="V672" s="8">
        <v>346501</v>
      </c>
      <c r="W672" s="8">
        <v>346557</v>
      </c>
      <c r="X672" s="13">
        <f t="shared" si="120"/>
        <v>56</v>
      </c>
      <c r="Y672" s="8">
        <v>27589</v>
      </c>
      <c r="Z672" s="8">
        <v>27601</v>
      </c>
      <c r="AA672" s="13">
        <f t="shared" si="126"/>
        <v>12</v>
      </c>
      <c r="AB672" s="8">
        <v>221726</v>
      </c>
      <c r="AC672" s="8">
        <v>221793</v>
      </c>
      <c r="AD672" s="13">
        <f t="shared" si="127"/>
        <v>67</v>
      </c>
      <c r="AE672" s="135"/>
      <c r="AF672" s="135"/>
      <c r="AG672" s="135"/>
      <c r="AH672" s="136"/>
      <c r="AI672" s="50">
        <f t="shared" si="124"/>
        <v>468</v>
      </c>
    </row>
    <row r="673" spans="1:35">
      <c r="A673" s="12">
        <v>45048</v>
      </c>
      <c r="B673" s="8">
        <v>1824684</v>
      </c>
      <c r="C673" s="8">
        <v>1825103</v>
      </c>
      <c r="D673" s="13">
        <f t="shared" si="128"/>
        <v>419</v>
      </c>
      <c r="E673" s="69">
        <v>166839</v>
      </c>
      <c r="F673" s="69">
        <v>167597</v>
      </c>
      <c r="G673" s="133">
        <f t="shared" si="125"/>
        <v>758</v>
      </c>
      <c r="H673" s="8">
        <v>263003</v>
      </c>
      <c r="I673" s="8">
        <v>263003</v>
      </c>
      <c r="J673" s="13">
        <f t="shared" si="122"/>
        <v>0</v>
      </c>
      <c r="K673" s="138"/>
      <c r="L673" s="8">
        <v>680296</v>
      </c>
      <c r="M673" s="8">
        <v>681168</v>
      </c>
      <c r="N673" s="13">
        <f t="shared" si="123"/>
        <v>872</v>
      </c>
      <c r="O673" s="136"/>
      <c r="P673" s="8">
        <v>393623</v>
      </c>
      <c r="Q673" s="8">
        <v>393959</v>
      </c>
      <c r="R673" s="133">
        <f t="shared" si="130"/>
        <v>336</v>
      </c>
      <c r="S673" s="8">
        <v>18298</v>
      </c>
      <c r="T673" s="8">
        <v>18336</v>
      </c>
      <c r="U673" s="133">
        <f t="shared" si="129"/>
        <v>38</v>
      </c>
      <c r="V673" s="8">
        <v>346557</v>
      </c>
      <c r="W673" s="8">
        <v>346671</v>
      </c>
      <c r="X673" s="13">
        <f t="shared" si="120"/>
        <v>114</v>
      </c>
      <c r="Y673" s="8">
        <v>27601</v>
      </c>
      <c r="Z673" s="8">
        <v>27615</v>
      </c>
      <c r="AA673" s="13">
        <f t="shared" si="126"/>
        <v>14</v>
      </c>
      <c r="AB673" s="8">
        <v>221793</v>
      </c>
      <c r="AC673" s="8">
        <v>221852</v>
      </c>
      <c r="AD673" s="13">
        <f t="shared" si="127"/>
        <v>59</v>
      </c>
      <c r="AE673" s="135"/>
      <c r="AF673" s="135"/>
      <c r="AG673" s="135"/>
      <c r="AH673" s="136"/>
      <c r="AI673" s="50">
        <f t="shared" si="124"/>
        <v>502</v>
      </c>
    </row>
    <row r="674" spans="1:35">
      <c r="A674" s="12">
        <v>45049</v>
      </c>
      <c r="B674" s="8">
        <v>1825103</v>
      </c>
      <c r="C674" s="8">
        <v>1825486</v>
      </c>
      <c r="D674" s="13">
        <f t="shared" si="128"/>
        <v>383</v>
      </c>
      <c r="E674" s="69">
        <v>167597</v>
      </c>
      <c r="F674" s="69">
        <v>168385</v>
      </c>
      <c r="G674" s="133">
        <f t="shared" si="125"/>
        <v>788</v>
      </c>
      <c r="H674" s="8">
        <v>263003</v>
      </c>
      <c r="I674" s="8">
        <v>263003</v>
      </c>
      <c r="J674" s="13">
        <f t="shared" si="122"/>
        <v>0</v>
      </c>
      <c r="K674" s="138"/>
      <c r="L674" s="8">
        <v>681168</v>
      </c>
      <c r="M674" s="8">
        <v>682114</v>
      </c>
      <c r="N674" s="13">
        <f t="shared" si="123"/>
        <v>946</v>
      </c>
      <c r="O674" s="136"/>
      <c r="P674" s="8">
        <v>393959</v>
      </c>
      <c r="Q674" s="8">
        <v>394302</v>
      </c>
      <c r="R674" s="133">
        <f t="shared" si="130"/>
        <v>343</v>
      </c>
      <c r="S674" s="8">
        <v>18336</v>
      </c>
      <c r="T674" s="8">
        <v>18376</v>
      </c>
      <c r="U674" s="133">
        <f t="shared" si="129"/>
        <v>40</v>
      </c>
      <c r="V674" s="8">
        <v>346671</v>
      </c>
      <c r="W674" s="8">
        <v>347098</v>
      </c>
      <c r="X674" s="13">
        <f t="shared" si="120"/>
        <v>427</v>
      </c>
      <c r="Y674" s="8">
        <v>27615</v>
      </c>
      <c r="Z674" s="8">
        <v>27630</v>
      </c>
      <c r="AA674" s="13">
        <f t="shared" si="126"/>
        <v>15</v>
      </c>
      <c r="AB674" s="8">
        <v>221852</v>
      </c>
      <c r="AC674" s="8">
        <v>221931</v>
      </c>
      <c r="AD674" s="13">
        <f t="shared" si="127"/>
        <v>79</v>
      </c>
      <c r="AE674" s="135"/>
      <c r="AF674" s="135"/>
      <c r="AG674" s="135"/>
      <c r="AH674" s="136"/>
      <c r="AI674" s="50">
        <f t="shared" si="124"/>
        <v>825</v>
      </c>
    </row>
    <row r="675" spans="1:35">
      <c r="A675" s="12">
        <v>45050</v>
      </c>
      <c r="B675" s="8">
        <v>1825486</v>
      </c>
      <c r="C675" s="8">
        <v>1825884</v>
      </c>
      <c r="D675" s="13">
        <f t="shared" si="128"/>
        <v>398</v>
      </c>
      <c r="E675" s="69">
        <v>168385</v>
      </c>
      <c r="F675" s="69">
        <v>168938</v>
      </c>
      <c r="G675" s="133">
        <f t="shared" si="125"/>
        <v>553</v>
      </c>
      <c r="H675" s="8">
        <v>263003</v>
      </c>
      <c r="I675" s="8">
        <v>263003</v>
      </c>
      <c r="J675" s="13">
        <f t="shared" si="122"/>
        <v>0</v>
      </c>
      <c r="K675" s="138"/>
      <c r="L675" s="8">
        <v>682114</v>
      </c>
      <c r="M675" s="8">
        <v>683144</v>
      </c>
      <c r="N675" s="13">
        <f t="shared" si="123"/>
        <v>1030</v>
      </c>
      <c r="O675" s="136"/>
      <c r="P675" s="8">
        <v>394302</v>
      </c>
      <c r="Q675" s="8">
        <v>394740</v>
      </c>
      <c r="R675" s="133">
        <f t="shared" si="130"/>
        <v>438</v>
      </c>
      <c r="S675" s="8">
        <v>18376</v>
      </c>
      <c r="T675" s="8">
        <v>18408</v>
      </c>
      <c r="U675" s="133">
        <f t="shared" si="129"/>
        <v>32</v>
      </c>
      <c r="V675" s="8">
        <v>347098</v>
      </c>
      <c r="W675" s="8">
        <v>347247</v>
      </c>
      <c r="X675" s="13">
        <f t="shared" si="120"/>
        <v>149</v>
      </c>
      <c r="Y675" s="8">
        <v>27630</v>
      </c>
      <c r="Z675" s="8">
        <v>27645</v>
      </c>
      <c r="AA675" s="13">
        <f t="shared" si="126"/>
        <v>15</v>
      </c>
      <c r="AB675" s="8">
        <v>221931</v>
      </c>
      <c r="AC675" s="8">
        <v>222003</v>
      </c>
      <c r="AD675" s="13">
        <f t="shared" si="127"/>
        <v>72</v>
      </c>
      <c r="AE675" s="135"/>
      <c r="AF675" s="135"/>
      <c r="AG675" s="135"/>
      <c r="AH675" s="136"/>
      <c r="AI675" s="50">
        <f t="shared" si="124"/>
        <v>634</v>
      </c>
    </row>
    <row r="676" spans="1:35">
      <c r="A676" s="12">
        <v>45051</v>
      </c>
      <c r="B676" s="8">
        <v>1825884</v>
      </c>
      <c r="C676" s="8">
        <v>1826218</v>
      </c>
      <c r="D676" s="13">
        <f t="shared" si="128"/>
        <v>334</v>
      </c>
      <c r="E676" s="69">
        <v>168938</v>
      </c>
      <c r="F676" s="69">
        <v>169541</v>
      </c>
      <c r="G676" s="133">
        <f t="shared" si="125"/>
        <v>603</v>
      </c>
      <c r="H676" s="8">
        <v>263003</v>
      </c>
      <c r="I676" s="8">
        <v>263003</v>
      </c>
      <c r="J676" s="13">
        <f t="shared" si="122"/>
        <v>0</v>
      </c>
      <c r="K676" s="138"/>
      <c r="L676" s="8">
        <v>683144</v>
      </c>
      <c r="M676" s="8">
        <v>683994</v>
      </c>
      <c r="N676" s="13">
        <f t="shared" si="123"/>
        <v>850</v>
      </c>
      <c r="O676" s="136"/>
      <c r="P676" s="8">
        <v>394740</v>
      </c>
      <c r="Q676" s="8">
        <v>394981</v>
      </c>
      <c r="R676" s="133">
        <f t="shared" si="130"/>
        <v>241</v>
      </c>
      <c r="S676" s="8">
        <v>18408</v>
      </c>
      <c r="T676" s="8">
        <v>18460</v>
      </c>
      <c r="U676" s="133">
        <f t="shared" si="129"/>
        <v>52</v>
      </c>
      <c r="V676" s="8">
        <v>347247</v>
      </c>
      <c r="W676" s="8">
        <v>347401</v>
      </c>
      <c r="X676" s="13">
        <f t="shared" si="120"/>
        <v>154</v>
      </c>
      <c r="Y676" s="8">
        <v>27645</v>
      </c>
      <c r="Z676" s="8">
        <v>27666</v>
      </c>
      <c r="AA676" s="13">
        <f t="shared" si="126"/>
        <v>21</v>
      </c>
      <c r="AB676" s="8">
        <v>222003</v>
      </c>
      <c r="AC676" s="8">
        <v>222029</v>
      </c>
      <c r="AD676" s="13">
        <f t="shared" si="127"/>
        <v>26</v>
      </c>
      <c r="AE676" s="135"/>
      <c r="AF676" s="135"/>
      <c r="AG676" s="135"/>
      <c r="AH676" s="136"/>
      <c r="AI676" s="50">
        <f t="shared" si="124"/>
        <v>468</v>
      </c>
    </row>
    <row r="677" spans="1:35">
      <c r="A677" s="12">
        <v>45052</v>
      </c>
      <c r="B677" s="8">
        <v>1826218</v>
      </c>
      <c r="C677" s="8">
        <v>1826537</v>
      </c>
      <c r="D677" s="13">
        <f t="shared" si="128"/>
        <v>319</v>
      </c>
      <c r="E677" s="69">
        <v>169541</v>
      </c>
      <c r="F677" s="69">
        <v>170321</v>
      </c>
      <c r="G677" s="133">
        <f t="shared" si="125"/>
        <v>780</v>
      </c>
      <c r="H677" s="8">
        <v>263003</v>
      </c>
      <c r="I677" s="8">
        <v>263362</v>
      </c>
      <c r="J677" s="13">
        <f t="shared" si="122"/>
        <v>359</v>
      </c>
      <c r="K677" s="138"/>
      <c r="L677" s="8">
        <v>683994</v>
      </c>
      <c r="M677" s="8">
        <v>684144</v>
      </c>
      <c r="N677" s="13">
        <f t="shared" si="123"/>
        <v>150</v>
      </c>
      <c r="O677" s="136"/>
      <c r="P677" s="8">
        <v>394981</v>
      </c>
      <c r="Q677" s="8">
        <v>395329</v>
      </c>
      <c r="R677" s="133">
        <f t="shared" si="130"/>
        <v>348</v>
      </c>
      <c r="S677" s="8">
        <v>18460</v>
      </c>
      <c r="T677" s="8">
        <v>18538</v>
      </c>
      <c r="U677" s="133">
        <f t="shared" si="129"/>
        <v>78</v>
      </c>
      <c r="V677" s="8">
        <v>347401</v>
      </c>
      <c r="W677" s="8">
        <v>347604</v>
      </c>
      <c r="X677" s="13">
        <f t="shared" si="120"/>
        <v>203</v>
      </c>
      <c r="Y677" s="8">
        <v>27666</v>
      </c>
      <c r="Z677" s="8">
        <v>27681</v>
      </c>
      <c r="AA677" s="13">
        <f t="shared" si="126"/>
        <v>15</v>
      </c>
      <c r="AB677" s="8">
        <v>222029</v>
      </c>
      <c r="AC677" s="8">
        <v>222094</v>
      </c>
      <c r="AD677" s="13">
        <f t="shared" si="127"/>
        <v>65</v>
      </c>
      <c r="AE677" s="135"/>
      <c r="AF677" s="135"/>
      <c r="AG677" s="135"/>
      <c r="AH677" s="136"/>
      <c r="AI677" s="50">
        <f t="shared" si="124"/>
        <v>644</v>
      </c>
    </row>
    <row r="678" spans="1:35">
      <c r="A678" s="12">
        <v>45053</v>
      </c>
      <c r="B678" s="8">
        <v>1826537</v>
      </c>
      <c r="C678" s="8">
        <v>1827084</v>
      </c>
      <c r="D678" s="13">
        <f t="shared" si="128"/>
        <v>547</v>
      </c>
      <c r="E678" s="69">
        <v>170321</v>
      </c>
      <c r="F678" s="69">
        <v>171112</v>
      </c>
      <c r="G678" s="133">
        <f t="shared" si="125"/>
        <v>791</v>
      </c>
      <c r="H678" s="8">
        <v>263362</v>
      </c>
      <c r="I678" s="8">
        <v>263362</v>
      </c>
      <c r="J678" s="13">
        <f t="shared" si="122"/>
        <v>0</v>
      </c>
      <c r="K678" s="138"/>
      <c r="L678" s="8">
        <v>684144</v>
      </c>
      <c r="M678" s="8">
        <v>685216</v>
      </c>
      <c r="N678" s="13">
        <f t="shared" si="123"/>
        <v>1072</v>
      </c>
      <c r="O678" s="136"/>
      <c r="P678" s="8">
        <v>395329</v>
      </c>
      <c r="Q678" s="8">
        <v>395687</v>
      </c>
      <c r="R678" s="133">
        <f t="shared" si="130"/>
        <v>358</v>
      </c>
      <c r="S678" s="8">
        <v>18538</v>
      </c>
      <c r="T678" s="8">
        <v>18590</v>
      </c>
      <c r="U678" s="133">
        <f t="shared" si="129"/>
        <v>52</v>
      </c>
      <c r="V678" s="8">
        <v>347604</v>
      </c>
      <c r="W678" s="8">
        <v>347791</v>
      </c>
      <c r="X678" s="13">
        <f t="shared" si="120"/>
        <v>187</v>
      </c>
      <c r="Y678" s="8">
        <v>27681</v>
      </c>
      <c r="Z678" s="8">
        <v>27697</v>
      </c>
      <c r="AA678" s="13">
        <f t="shared" si="126"/>
        <v>16</v>
      </c>
      <c r="AB678" s="8">
        <v>222094</v>
      </c>
      <c r="AC678" s="8">
        <v>222186</v>
      </c>
      <c r="AD678" s="13">
        <f t="shared" si="127"/>
        <v>92</v>
      </c>
      <c r="AE678" s="135"/>
      <c r="AF678" s="135"/>
      <c r="AG678" s="135"/>
      <c r="AH678" s="136"/>
      <c r="AI678" s="50">
        <f t="shared" si="124"/>
        <v>613</v>
      </c>
    </row>
    <row r="679" spans="1:35">
      <c r="A679" s="12">
        <v>45054</v>
      </c>
      <c r="B679" s="8">
        <v>1827084</v>
      </c>
      <c r="C679" s="8">
        <v>1827516</v>
      </c>
      <c r="D679" s="13">
        <f t="shared" si="128"/>
        <v>432</v>
      </c>
      <c r="E679" s="69">
        <v>171112</v>
      </c>
      <c r="F679" s="69">
        <v>171639</v>
      </c>
      <c r="G679" s="133">
        <f t="shared" si="125"/>
        <v>527</v>
      </c>
      <c r="H679" s="8">
        <v>263362</v>
      </c>
      <c r="I679" s="8">
        <v>263362</v>
      </c>
      <c r="J679" s="13">
        <f t="shared" si="122"/>
        <v>0</v>
      </c>
      <c r="K679" s="138"/>
      <c r="L679" s="8">
        <v>685216</v>
      </c>
      <c r="M679" s="8">
        <v>686345</v>
      </c>
      <c r="N679" s="13">
        <f t="shared" si="123"/>
        <v>1129</v>
      </c>
      <c r="O679" s="136"/>
      <c r="P679" s="8">
        <v>395687</v>
      </c>
      <c r="Q679" s="8">
        <v>396123</v>
      </c>
      <c r="R679" s="133">
        <f t="shared" si="130"/>
        <v>436</v>
      </c>
      <c r="S679" s="8">
        <v>18590</v>
      </c>
      <c r="T679" s="8">
        <v>18596</v>
      </c>
      <c r="U679" s="133">
        <f t="shared" si="129"/>
        <v>6</v>
      </c>
      <c r="V679" s="8">
        <v>347791</v>
      </c>
      <c r="W679" s="8">
        <v>347925</v>
      </c>
      <c r="X679" s="13">
        <f t="shared" si="120"/>
        <v>134</v>
      </c>
      <c r="Y679" s="8">
        <v>27697</v>
      </c>
      <c r="Z679" s="8">
        <v>27720</v>
      </c>
      <c r="AA679" s="13">
        <f t="shared" si="126"/>
        <v>23</v>
      </c>
      <c r="AB679" s="8">
        <v>222186</v>
      </c>
      <c r="AC679" s="8">
        <v>222271</v>
      </c>
      <c r="AD679" s="13">
        <f t="shared" si="127"/>
        <v>85</v>
      </c>
      <c r="AE679" s="135"/>
      <c r="AF679" s="135"/>
      <c r="AG679" s="135"/>
      <c r="AH679" s="136"/>
      <c r="AI679" s="50">
        <f t="shared" si="124"/>
        <v>599</v>
      </c>
    </row>
    <row r="680" spans="1:35">
      <c r="A680" s="12">
        <v>45055</v>
      </c>
      <c r="B680" s="8">
        <v>1827516</v>
      </c>
      <c r="C680" s="8">
        <v>1827833</v>
      </c>
      <c r="D680" s="13">
        <f t="shared" si="128"/>
        <v>317</v>
      </c>
      <c r="E680" s="69">
        <v>171639</v>
      </c>
      <c r="F680" s="69">
        <v>172341</v>
      </c>
      <c r="G680" s="133">
        <f t="shared" si="125"/>
        <v>702</v>
      </c>
      <c r="H680" s="8">
        <v>263362</v>
      </c>
      <c r="I680" s="8">
        <v>263362</v>
      </c>
      <c r="J680" s="13">
        <f t="shared" si="122"/>
        <v>0</v>
      </c>
      <c r="K680" s="138"/>
      <c r="L680" s="8">
        <v>686345</v>
      </c>
      <c r="M680" s="8">
        <v>687631</v>
      </c>
      <c r="N680" s="13">
        <f t="shared" si="123"/>
        <v>1286</v>
      </c>
      <c r="O680" s="136"/>
      <c r="P680" s="8">
        <v>396123</v>
      </c>
      <c r="Q680" s="8">
        <v>396620</v>
      </c>
      <c r="R680" s="133">
        <f t="shared" si="130"/>
        <v>497</v>
      </c>
      <c r="S680" s="8">
        <v>18596</v>
      </c>
      <c r="T680" s="8">
        <v>18616</v>
      </c>
      <c r="U680" s="133">
        <f t="shared" si="129"/>
        <v>20</v>
      </c>
      <c r="V680" s="8">
        <v>347925</v>
      </c>
      <c r="W680" s="8">
        <v>347997</v>
      </c>
      <c r="X680" s="13">
        <f t="shared" si="120"/>
        <v>72</v>
      </c>
      <c r="Y680" s="8">
        <v>27720</v>
      </c>
      <c r="Z680" s="8">
        <v>27726</v>
      </c>
      <c r="AA680" s="13">
        <f t="shared" si="126"/>
        <v>6</v>
      </c>
      <c r="AB680" s="8">
        <v>222271</v>
      </c>
      <c r="AC680" s="8">
        <v>222353</v>
      </c>
      <c r="AD680" s="13">
        <f t="shared" si="127"/>
        <v>82</v>
      </c>
      <c r="AE680" s="135"/>
      <c r="AF680" s="135"/>
      <c r="AG680" s="135"/>
      <c r="AH680" s="136"/>
      <c r="AI680" s="50">
        <f t="shared" si="124"/>
        <v>595</v>
      </c>
    </row>
    <row r="681" spans="1:35">
      <c r="A681" s="12">
        <v>45056</v>
      </c>
      <c r="B681" s="8">
        <v>1827833</v>
      </c>
      <c r="C681" s="8">
        <v>1828037</v>
      </c>
      <c r="D681" s="13">
        <f t="shared" si="128"/>
        <v>204</v>
      </c>
      <c r="E681" s="69">
        <v>172341</v>
      </c>
      <c r="F681" s="69">
        <v>173112</v>
      </c>
      <c r="G681" s="133">
        <f t="shared" si="125"/>
        <v>771</v>
      </c>
      <c r="H681" s="8">
        <v>263362</v>
      </c>
      <c r="I681" s="8">
        <v>263362</v>
      </c>
      <c r="J681" s="13">
        <f t="shared" si="122"/>
        <v>0</v>
      </c>
      <c r="K681" s="138"/>
      <c r="L681" s="8">
        <v>687631</v>
      </c>
      <c r="M681" s="8">
        <v>688428</v>
      </c>
      <c r="N681" s="13">
        <f t="shared" si="123"/>
        <v>797</v>
      </c>
      <c r="O681" s="136"/>
      <c r="P681" s="8">
        <v>396620</v>
      </c>
      <c r="Q681" s="8">
        <v>397035</v>
      </c>
      <c r="R681" s="133">
        <f t="shared" si="130"/>
        <v>415</v>
      </c>
      <c r="S681" s="8">
        <v>18616</v>
      </c>
      <c r="T681" s="8">
        <v>18644</v>
      </c>
      <c r="U681" s="133">
        <f t="shared" si="129"/>
        <v>28</v>
      </c>
      <c r="V681" s="8">
        <v>347997</v>
      </c>
      <c r="W681" s="8">
        <v>348090</v>
      </c>
      <c r="X681" s="13">
        <f t="shared" ref="X681:X745" si="131">W681-V681</f>
        <v>93</v>
      </c>
      <c r="Y681" s="8">
        <v>27726</v>
      </c>
      <c r="Z681" s="8">
        <v>27739</v>
      </c>
      <c r="AA681" s="13">
        <f t="shared" si="126"/>
        <v>13</v>
      </c>
      <c r="AB681" s="8">
        <v>222353</v>
      </c>
      <c r="AC681" s="8">
        <v>222438</v>
      </c>
      <c r="AD681" s="13">
        <f t="shared" si="127"/>
        <v>85</v>
      </c>
      <c r="AE681" s="135"/>
      <c r="AF681" s="135"/>
      <c r="AG681" s="135"/>
      <c r="AH681" s="136"/>
      <c r="AI681" s="50">
        <f t="shared" si="124"/>
        <v>549</v>
      </c>
    </row>
    <row r="682" spans="1:35">
      <c r="A682" s="12">
        <v>45057</v>
      </c>
      <c r="B682" s="8">
        <v>1828037</v>
      </c>
      <c r="C682" s="8">
        <v>1828617</v>
      </c>
      <c r="D682" s="13">
        <f t="shared" si="128"/>
        <v>580</v>
      </c>
      <c r="E682" s="69">
        <v>173112</v>
      </c>
      <c r="F682" s="69">
        <v>173921</v>
      </c>
      <c r="G682" s="133">
        <f t="shared" si="125"/>
        <v>809</v>
      </c>
      <c r="H682" s="8">
        <v>263362</v>
      </c>
      <c r="I682" s="8">
        <v>263362</v>
      </c>
      <c r="J682" s="13">
        <f t="shared" si="122"/>
        <v>0</v>
      </c>
      <c r="K682" s="138"/>
      <c r="L682" s="8">
        <v>688428</v>
      </c>
      <c r="M682" s="8">
        <v>689426</v>
      </c>
      <c r="N682" s="13">
        <f t="shared" si="123"/>
        <v>998</v>
      </c>
      <c r="O682" s="136"/>
      <c r="P682" s="8">
        <v>397035</v>
      </c>
      <c r="Q682" s="8">
        <v>397462</v>
      </c>
      <c r="R682" s="133">
        <f t="shared" si="130"/>
        <v>427</v>
      </c>
      <c r="S682" s="8">
        <v>18644</v>
      </c>
      <c r="T682" s="8">
        <v>18677</v>
      </c>
      <c r="U682" s="133">
        <f t="shared" si="129"/>
        <v>33</v>
      </c>
      <c r="V682" s="8">
        <v>348090</v>
      </c>
      <c r="W682" s="8">
        <v>348212</v>
      </c>
      <c r="X682" s="13">
        <f t="shared" si="131"/>
        <v>122</v>
      </c>
      <c r="Y682" s="8">
        <v>27739</v>
      </c>
      <c r="Z682" s="8">
        <v>27761</v>
      </c>
      <c r="AA682" s="13">
        <f t="shared" si="126"/>
        <v>22</v>
      </c>
      <c r="AB682" s="8">
        <v>222438</v>
      </c>
      <c r="AC682" s="8">
        <v>222508</v>
      </c>
      <c r="AD682" s="13">
        <f t="shared" si="127"/>
        <v>70</v>
      </c>
      <c r="AE682" s="135"/>
      <c r="AF682" s="135"/>
      <c r="AG682" s="135"/>
      <c r="AH682" s="136"/>
      <c r="AI682" s="50">
        <f t="shared" si="124"/>
        <v>604</v>
      </c>
    </row>
    <row r="683" spans="1:35">
      <c r="A683" s="12">
        <v>45058</v>
      </c>
      <c r="B683" s="8">
        <v>1828617</v>
      </c>
      <c r="C683" s="8">
        <v>1828926</v>
      </c>
      <c r="D683" s="13">
        <f t="shared" si="128"/>
        <v>309</v>
      </c>
      <c r="E683" s="69">
        <v>173921</v>
      </c>
      <c r="F683" s="69">
        <v>174684</v>
      </c>
      <c r="G683" s="133">
        <f t="shared" si="125"/>
        <v>763</v>
      </c>
      <c r="H683" s="8">
        <v>263362</v>
      </c>
      <c r="I683" s="8">
        <v>263362</v>
      </c>
      <c r="J683" s="13">
        <f t="shared" si="122"/>
        <v>0</v>
      </c>
      <c r="K683" s="138"/>
      <c r="L683" s="8">
        <v>689426</v>
      </c>
      <c r="M683" s="8">
        <v>689632</v>
      </c>
      <c r="N683" s="13">
        <f t="shared" si="123"/>
        <v>206</v>
      </c>
      <c r="O683" s="136"/>
      <c r="P683" s="8">
        <v>397462</v>
      </c>
      <c r="Q683" s="8">
        <v>397724</v>
      </c>
      <c r="R683" s="133">
        <f t="shared" si="130"/>
        <v>262</v>
      </c>
      <c r="S683" s="8">
        <v>18677</v>
      </c>
      <c r="T683" s="8">
        <v>18702</v>
      </c>
      <c r="U683" s="133">
        <f t="shared" si="129"/>
        <v>25</v>
      </c>
      <c r="V683" s="8">
        <v>348212</v>
      </c>
      <c r="W683" s="8">
        <v>348322</v>
      </c>
      <c r="X683" s="13">
        <f t="shared" si="131"/>
        <v>110</v>
      </c>
      <c r="Y683" s="8">
        <v>27761</v>
      </c>
      <c r="Z683" s="8">
        <v>27779</v>
      </c>
      <c r="AA683" s="13">
        <f t="shared" si="126"/>
        <v>18</v>
      </c>
      <c r="AB683" s="8">
        <v>222508</v>
      </c>
      <c r="AC683" s="8">
        <v>222578</v>
      </c>
      <c r="AD683" s="13">
        <f t="shared" si="127"/>
        <v>70</v>
      </c>
      <c r="AE683" s="135"/>
      <c r="AF683" s="135"/>
      <c r="AG683" s="135"/>
      <c r="AH683" s="136"/>
      <c r="AI683" s="50">
        <f t="shared" si="124"/>
        <v>415</v>
      </c>
    </row>
    <row r="684" spans="1:35">
      <c r="A684" s="12">
        <v>45059</v>
      </c>
      <c r="B684" s="8">
        <v>1828926</v>
      </c>
      <c r="C684" s="8">
        <v>1829318</v>
      </c>
      <c r="D684" s="13">
        <f t="shared" si="128"/>
        <v>392</v>
      </c>
      <c r="E684" s="69">
        <v>174684</v>
      </c>
      <c r="F684" s="69">
        <v>175428</v>
      </c>
      <c r="G684" s="133">
        <f t="shared" si="125"/>
        <v>744</v>
      </c>
      <c r="H684" s="8">
        <v>263362</v>
      </c>
      <c r="I684" s="8">
        <v>263362</v>
      </c>
      <c r="J684" s="13">
        <f t="shared" si="122"/>
        <v>0</v>
      </c>
      <c r="K684" s="138"/>
      <c r="L684" s="8">
        <v>689632</v>
      </c>
      <c r="M684" s="8">
        <v>690892</v>
      </c>
      <c r="N684" s="13">
        <f t="shared" si="123"/>
        <v>1260</v>
      </c>
      <c r="O684" s="136"/>
      <c r="P684" s="8">
        <v>397724</v>
      </c>
      <c r="Q684" s="8">
        <v>398329</v>
      </c>
      <c r="R684" s="133">
        <f t="shared" si="130"/>
        <v>605</v>
      </c>
      <c r="S684" s="8">
        <v>18702</v>
      </c>
      <c r="T684" s="8">
        <v>18754</v>
      </c>
      <c r="U684" s="133">
        <f t="shared" si="129"/>
        <v>52</v>
      </c>
      <c r="V684" s="8">
        <v>348322</v>
      </c>
      <c r="W684" s="8">
        <v>348511</v>
      </c>
      <c r="X684" s="13">
        <f t="shared" si="131"/>
        <v>189</v>
      </c>
      <c r="Y684" s="8">
        <v>27779</v>
      </c>
      <c r="Z684" s="8">
        <v>27800</v>
      </c>
      <c r="AA684" s="13">
        <f t="shared" si="126"/>
        <v>21</v>
      </c>
      <c r="AB684" s="8">
        <v>222578</v>
      </c>
      <c r="AC684" s="8">
        <v>222668</v>
      </c>
      <c r="AD684" s="13">
        <f t="shared" si="127"/>
        <v>90</v>
      </c>
      <c r="AE684" s="135"/>
      <c r="AF684" s="135"/>
      <c r="AG684" s="135"/>
      <c r="AH684" s="136"/>
      <c r="AI684" s="50">
        <f t="shared" si="124"/>
        <v>867</v>
      </c>
    </row>
    <row r="685" spans="1:35">
      <c r="A685" s="12">
        <v>45060</v>
      </c>
      <c r="B685" s="8">
        <v>1829318</v>
      </c>
      <c r="C685" s="8">
        <v>1829773</v>
      </c>
      <c r="D685" s="13">
        <f t="shared" si="128"/>
        <v>455</v>
      </c>
      <c r="E685" s="69">
        <v>175428</v>
      </c>
      <c r="F685" s="69">
        <v>176191</v>
      </c>
      <c r="G685" s="133">
        <f t="shared" si="125"/>
        <v>763</v>
      </c>
      <c r="H685" s="8">
        <v>263362</v>
      </c>
      <c r="I685" s="8">
        <v>263362</v>
      </c>
      <c r="J685" s="13">
        <f t="shared" si="122"/>
        <v>0</v>
      </c>
      <c r="K685" s="138"/>
      <c r="L685" s="8">
        <v>690892</v>
      </c>
      <c r="M685" s="8">
        <v>692068</v>
      </c>
      <c r="N685" s="13">
        <f t="shared" si="123"/>
        <v>1176</v>
      </c>
      <c r="O685" s="136"/>
      <c r="P685" s="8">
        <v>398329</v>
      </c>
      <c r="Q685" s="8">
        <v>398857</v>
      </c>
      <c r="R685" s="133">
        <f t="shared" si="130"/>
        <v>528</v>
      </c>
      <c r="S685" s="8">
        <v>18754</v>
      </c>
      <c r="T685" s="8">
        <v>18797</v>
      </c>
      <c r="U685" s="133">
        <f t="shared" si="129"/>
        <v>43</v>
      </c>
      <c r="V685" s="8">
        <v>348511</v>
      </c>
      <c r="W685" s="8">
        <v>348685</v>
      </c>
      <c r="X685" s="13">
        <f t="shared" si="131"/>
        <v>174</v>
      </c>
      <c r="Y685" s="8">
        <v>27800</v>
      </c>
      <c r="Z685" s="8">
        <v>27824</v>
      </c>
      <c r="AA685" s="13">
        <f t="shared" si="126"/>
        <v>24</v>
      </c>
      <c r="AB685" s="8">
        <v>222668</v>
      </c>
      <c r="AC685" s="8">
        <v>222741</v>
      </c>
      <c r="AD685" s="13">
        <f t="shared" si="127"/>
        <v>73</v>
      </c>
      <c r="AE685" s="135"/>
      <c r="AF685" s="135"/>
      <c r="AG685" s="135"/>
      <c r="AH685" s="136"/>
      <c r="AI685" s="50">
        <f t="shared" si="124"/>
        <v>769</v>
      </c>
    </row>
    <row r="686" spans="1:35">
      <c r="A686" s="12">
        <v>45061</v>
      </c>
      <c r="B686" s="8">
        <v>1829773</v>
      </c>
      <c r="C686" s="8">
        <v>1830256</v>
      </c>
      <c r="D686" s="13">
        <f t="shared" si="128"/>
        <v>483</v>
      </c>
      <c r="E686" s="69">
        <v>176191</v>
      </c>
      <c r="F686" s="69">
        <v>176991</v>
      </c>
      <c r="G686" s="133">
        <f t="shared" si="125"/>
        <v>800</v>
      </c>
      <c r="H686" s="8">
        <v>263940</v>
      </c>
      <c r="I686" s="8">
        <v>264458</v>
      </c>
      <c r="J686" s="13">
        <f t="shared" si="122"/>
        <v>518</v>
      </c>
      <c r="K686" s="138"/>
      <c r="L686" s="8">
        <v>692068</v>
      </c>
      <c r="M686" s="8">
        <v>692624</v>
      </c>
      <c r="N686" s="13">
        <f t="shared" si="123"/>
        <v>556</v>
      </c>
      <c r="O686" s="136"/>
      <c r="P686" s="8">
        <v>398857</v>
      </c>
      <c r="Q686" s="8">
        <v>399250</v>
      </c>
      <c r="R686" s="133">
        <f t="shared" si="130"/>
        <v>393</v>
      </c>
      <c r="S686" s="8">
        <v>18797</v>
      </c>
      <c r="T686" s="8">
        <v>18837</v>
      </c>
      <c r="U686" s="133">
        <f t="shared" si="129"/>
        <v>40</v>
      </c>
      <c r="V686" s="8">
        <v>348685</v>
      </c>
      <c r="W686" s="8">
        <v>348933</v>
      </c>
      <c r="X686" s="13">
        <f t="shared" si="131"/>
        <v>248</v>
      </c>
      <c r="Y686" s="8">
        <v>27824</v>
      </c>
      <c r="Z686" s="8">
        <v>27843</v>
      </c>
      <c r="AA686" s="13">
        <f t="shared" si="126"/>
        <v>19</v>
      </c>
      <c r="AB686" s="8">
        <v>222741</v>
      </c>
      <c r="AC686" s="8">
        <v>222853</v>
      </c>
      <c r="AD686" s="13">
        <f t="shared" si="127"/>
        <v>112</v>
      </c>
      <c r="AE686" s="135"/>
      <c r="AF686" s="135"/>
      <c r="AG686" s="135"/>
      <c r="AH686" s="136"/>
      <c r="AI686" s="50">
        <f t="shared" si="124"/>
        <v>700</v>
      </c>
    </row>
    <row r="687" spans="1:35">
      <c r="A687" s="12">
        <v>45062</v>
      </c>
      <c r="B687" s="8">
        <v>1830256</v>
      </c>
      <c r="C687" s="8">
        <v>1830618</v>
      </c>
      <c r="D687" s="13">
        <f t="shared" si="128"/>
        <v>362</v>
      </c>
      <c r="E687" s="69">
        <v>176991</v>
      </c>
      <c r="F687" s="69">
        <v>177744</v>
      </c>
      <c r="G687" s="133">
        <f t="shared" si="125"/>
        <v>753</v>
      </c>
      <c r="H687" s="8">
        <v>264458</v>
      </c>
      <c r="I687" s="8">
        <v>264983</v>
      </c>
      <c r="J687" s="13">
        <f t="shared" si="122"/>
        <v>525</v>
      </c>
      <c r="K687" s="138"/>
      <c r="L687" s="8">
        <v>692624</v>
      </c>
      <c r="M687" s="8">
        <v>693226</v>
      </c>
      <c r="N687" s="13">
        <f t="shared" si="123"/>
        <v>602</v>
      </c>
      <c r="O687" s="136"/>
      <c r="P687" s="8">
        <v>399250</v>
      </c>
      <c r="Q687" s="8">
        <v>399647</v>
      </c>
      <c r="R687" s="133">
        <f t="shared" si="130"/>
        <v>397</v>
      </c>
      <c r="S687" s="8">
        <v>18837</v>
      </c>
      <c r="T687" s="8">
        <v>18878</v>
      </c>
      <c r="U687" s="133">
        <f t="shared" si="129"/>
        <v>41</v>
      </c>
      <c r="V687" s="8">
        <v>348933</v>
      </c>
      <c r="W687" s="8">
        <v>349114</v>
      </c>
      <c r="X687" s="13">
        <f t="shared" si="131"/>
        <v>181</v>
      </c>
      <c r="Y687" s="8">
        <v>27843</v>
      </c>
      <c r="Z687" s="8">
        <v>27862</v>
      </c>
      <c r="AA687" s="13">
        <f t="shared" si="126"/>
        <v>19</v>
      </c>
      <c r="AB687" s="8">
        <v>222853</v>
      </c>
      <c r="AC687" s="8">
        <v>222928</v>
      </c>
      <c r="AD687" s="13">
        <f t="shared" si="127"/>
        <v>75</v>
      </c>
      <c r="AE687" s="135"/>
      <c r="AF687" s="135"/>
      <c r="AG687" s="135"/>
      <c r="AH687" s="136"/>
      <c r="AI687" s="50">
        <f t="shared" si="124"/>
        <v>638</v>
      </c>
    </row>
    <row r="688" spans="1:35">
      <c r="A688" s="12">
        <v>45063</v>
      </c>
      <c r="B688" s="8">
        <v>1830618</v>
      </c>
      <c r="C688" s="8">
        <v>1831016</v>
      </c>
      <c r="D688" s="13">
        <f t="shared" si="128"/>
        <v>398</v>
      </c>
      <c r="E688" s="69">
        <v>177744</v>
      </c>
      <c r="F688" s="69">
        <v>178448</v>
      </c>
      <c r="G688" s="133">
        <f t="shared" si="125"/>
        <v>704</v>
      </c>
      <c r="H688" s="8">
        <v>264983</v>
      </c>
      <c r="I688" s="8">
        <v>264983</v>
      </c>
      <c r="J688" s="13">
        <f t="shared" si="122"/>
        <v>0</v>
      </c>
      <c r="K688" s="138"/>
      <c r="L688" s="8">
        <v>693226</v>
      </c>
      <c r="M688" s="8">
        <v>694386</v>
      </c>
      <c r="N688" s="13">
        <f t="shared" si="123"/>
        <v>1160</v>
      </c>
      <c r="O688" s="136"/>
      <c r="P688" s="8">
        <v>399647</v>
      </c>
      <c r="Q688" s="8">
        <v>400218</v>
      </c>
      <c r="R688" s="133">
        <f t="shared" si="130"/>
        <v>571</v>
      </c>
      <c r="S688" s="8">
        <v>18878</v>
      </c>
      <c r="T688" s="8">
        <v>18932</v>
      </c>
      <c r="U688" s="133">
        <f t="shared" si="129"/>
        <v>54</v>
      </c>
      <c r="V688" s="8">
        <v>349114</v>
      </c>
      <c r="W688" s="8">
        <v>349325</v>
      </c>
      <c r="X688" s="13">
        <f t="shared" si="131"/>
        <v>211</v>
      </c>
      <c r="Y688" s="8">
        <v>27862</v>
      </c>
      <c r="Z688" s="8">
        <v>27882</v>
      </c>
      <c r="AA688" s="13">
        <f t="shared" si="126"/>
        <v>20</v>
      </c>
      <c r="AB688" s="8">
        <v>222928</v>
      </c>
      <c r="AC688" s="8">
        <v>223002</v>
      </c>
      <c r="AD688" s="13">
        <f t="shared" si="127"/>
        <v>74</v>
      </c>
      <c r="AE688" s="135"/>
      <c r="AF688" s="135"/>
      <c r="AG688" s="135"/>
      <c r="AH688" s="136"/>
      <c r="AI688" s="50">
        <f t="shared" si="124"/>
        <v>856</v>
      </c>
    </row>
    <row r="689" spans="1:35">
      <c r="A689" s="12">
        <v>45064</v>
      </c>
      <c r="B689" s="8">
        <v>1831016</v>
      </c>
      <c r="C689" s="8">
        <v>1831657</v>
      </c>
      <c r="D689" s="13">
        <f t="shared" si="128"/>
        <v>641</v>
      </c>
      <c r="E689" s="69">
        <v>178448</v>
      </c>
      <c r="F689" s="69">
        <v>179086</v>
      </c>
      <c r="G689" s="133">
        <f>F689-E689</f>
        <v>638</v>
      </c>
      <c r="H689" s="8">
        <v>264983</v>
      </c>
      <c r="I689" s="8">
        <v>264983</v>
      </c>
      <c r="J689" s="13">
        <f t="shared" si="122"/>
        <v>0</v>
      </c>
      <c r="K689" s="138"/>
      <c r="L689" s="8">
        <v>694386</v>
      </c>
      <c r="M689" s="8">
        <v>695632</v>
      </c>
      <c r="N689" s="13">
        <f t="shared" si="123"/>
        <v>1246</v>
      </c>
      <c r="O689" s="136"/>
      <c r="P689" s="8">
        <v>400218</v>
      </c>
      <c r="Q689" s="8">
        <v>400663</v>
      </c>
      <c r="R689" s="133">
        <f t="shared" si="130"/>
        <v>445</v>
      </c>
      <c r="S689" s="8">
        <v>18932</v>
      </c>
      <c r="T689" s="8">
        <v>18974</v>
      </c>
      <c r="U689" s="133">
        <f t="shared" si="129"/>
        <v>42</v>
      </c>
      <c r="V689" s="8">
        <v>349325</v>
      </c>
      <c r="W689" s="8">
        <v>349393</v>
      </c>
      <c r="X689" s="13">
        <f t="shared" si="131"/>
        <v>68</v>
      </c>
      <c r="Y689" s="8">
        <v>27882</v>
      </c>
      <c r="Z689" s="8">
        <v>27899</v>
      </c>
      <c r="AA689" s="13">
        <f t="shared" si="126"/>
        <v>17</v>
      </c>
      <c r="AB689" s="8">
        <v>223002</v>
      </c>
      <c r="AC689" s="8">
        <v>223108</v>
      </c>
      <c r="AD689" s="13">
        <f t="shared" si="127"/>
        <v>106</v>
      </c>
      <c r="AE689" s="135"/>
      <c r="AF689" s="135"/>
      <c r="AG689" s="135"/>
      <c r="AH689" s="136"/>
      <c r="AI689" s="50">
        <f t="shared" si="124"/>
        <v>572</v>
      </c>
    </row>
    <row r="690" spans="1:35">
      <c r="A690" s="12">
        <v>45065</v>
      </c>
      <c r="B690" s="8">
        <v>1831657</v>
      </c>
      <c r="C690" s="8">
        <v>1832096</v>
      </c>
      <c r="D690" s="13">
        <f t="shared" si="128"/>
        <v>439</v>
      </c>
      <c r="E690" s="69">
        <v>179086</v>
      </c>
      <c r="F690" s="77">
        <v>179857</v>
      </c>
      <c r="G690" s="133">
        <f t="shared" si="125"/>
        <v>771</v>
      </c>
      <c r="H690" s="8">
        <v>264983</v>
      </c>
      <c r="I690" s="8">
        <v>264983</v>
      </c>
      <c r="J690" s="13">
        <f t="shared" si="122"/>
        <v>0</v>
      </c>
      <c r="K690" s="138"/>
      <c r="L690" s="8">
        <v>695632</v>
      </c>
      <c r="M690" s="8">
        <v>696773</v>
      </c>
      <c r="N690" s="13">
        <f t="shared" si="123"/>
        <v>1141</v>
      </c>
      <c r="O690" s="136"/>
      <c r="P690" s="8">
        <v>400663</v>
      </c>
      <c r="Q690" s="8">
        <v>401090</v>
      </c>
      <c r="R690" s="133">
        <f t="shared" si="130"/>
        <v>427</v>
      </c>
      <c r="S690" s="8">
        <v>18974</v>
      </c>
      <c r="T690" s="8">
        <v>19010</v>
      </c>
      <c r="U690" s="133">
        <f t="shared" si="129"/>
        <v>36</v>
      </c>
      <c r="V690" s="8">
        <v>349393</v>
      </c>
      <c r="W690" s="8">
        <v>349540</v>
      </c>
      <c r="X690" s="13">
        <f t="shared" si="131"/>
        <v>147</v>
      </c>
      <c r="Y690" s="8">
        <v>27899</v>
      </c>
      <c r="Z690" s="8">
        <v>27918</v>
      </c>
      <c r="AA690" s="13">
        <f t="shared" si="126"/>
        <v>19</v>
      </c>
      <c r="AB690" s="8">
        <v>223108</v>
      </c>
      <c r="AC690" s="8">
        <v>223181</v>
      </c>
      <c r="AD690" s="13">
        <f t="shared" si="127"/>
        <v>73</v>
      </c>
      <c r="AE690" s="135"/>
      <c r="AF690" s="135"/>
      <c r="AG690" s="135"/>
      <c r="AH690" s="136"/>
      <c r="AI690" s="50">
        <f t="shared" si="124"/>
        <v>629</v>
      </c>
    </row>
    <row r="691" spans="1:35">
      <c r="A691" s="12">
        <v>45066</v>
      </c>
      <c r="B691" s="8">
        <v>1832096</v>
      </c>
      <c r="C691" s="8">
        <v>1832382</v>
      </c>
      <c r="D691" s="13">
        <f t="shared" si="128"/>
        <v>286</v>
      </c>
      <c r="E691" s="77">
        <v>179857</v>
      </c>
      <c r="F691" s="77">
        <v>180656</v>
      </c>
      <c r="G691" s="133">
        <f t="shared" si="125"/>
        <v>799</v>
      </c>
      <c r="H691" s="8">
        <v>264983</v>
      </c>
      <c r="I691" s="8">
        <v>264983</v>
      </c>
      <c r="J691" s="13">
        <f t="shared" si="122"/>
        <v>0</v>
      </c>
      <c r="K691" s="138"/>
      <c r="L691" s="8">
        <v>696773</v>
      </c>
      <c r="M691" s="8">
        <v>697614</v>
      </c>
      <c r="N691" s="13">
        <f t="shared" si="123"/>
        <v>841</v>
      </c>
      <c r="O691" s="136"/>
      <c r="P691" s="8">
        <v>401090</v>
      </c>
      <c r="Q691" s="8">
        <v>401520</v>
      </c>
      <c r="R691" s="133">
        <f t="shared" si="130"/>
        <v>430</v>
      </c>
      <c r="S691" s="8">
        <v>19010</v>
      </c>
      <c r="T691" s="8">
        <v>19056</v>
      </c>
      <c r="U691" s="133">
        <f t="shared" si="129"/>
        <v>46</v>
      </c>
      <c r="V691" s="8">
        <v>349540</v>
      </c>
      <c r="W691" s="8">
        <v>349730</v>
      </c>
      <c r="X691" s="13">
        <f t="shared" si="131"/>
        <v>190</v>
      </c>
      <c r="Y691" s="8">
        <v>27918</v>
      </c>
      <c r="Z691" s="8">
        <v>27941</v>
      </c>
      <c r="AA691" s="13">
        <f t="shared" si="126"/>
        <v>23</v>
      </c>
      <c r="AB691" s="8">
        <v>223181</v>
      </c>
      <c r="AC691" s="8">
        <v>223284</v>
      </c>
      <c r="AD691" s="13">
        <f t="shared" si="127"/>
        <v>103</v>
      </c>
      <c r="AE691" s="135"/>
      <c r="AF691" s="135"/>
      <c r="AG691" s="135"/>
      <c r="AH691" s="136"/>
      <c r="AI691" s="50">
        <f t="shared" si="124"/>
        <v>689</v>
      </c>
    </row>
    <row r="692" spans="1:35">
      <c r="A692" s="12">
        <v>45067</v>
      </c>
      <c r="B692" s="8">
        <v>1832382</v>
      </c>
      <c r="C692" s="8">
        <v>1832972</v>
      </c>
      <c r="D692" s="13">
        <f t="shared" si="128"/>
        <v>590</v>
      </c>
      <c r="E692" s="77">
        <v>180656</v>
      </c>
      <c r="F692" s="69">
        <v>181388</v>
      </c>
      <c r="G692" s="133">
        <f t="shared" si="125"/>
        <v>732</v>
      </c>
      <c r="H692" s="8">
        <v>264983</v>
      </c>
      <c r="I692" s="8">
        <v>264983</v>
      </c>
      <c r="J692" s="13">
        <f t="shared" si="122"/>
        <v>0</v>
      </c>
      <c r="K692" s="138"/>
      <c r="L692" s="8">
        <v>697614</v>
      </c>
      <c r="M692" s="8">
        <v>698728</v>
      </c>
      <c r="N692" s="13">
        <f t="shared" si="123"/>
        <v>1114</v>
      </c>
      <c r="O692" s="136"/>
      <c r="P692" s="8">
        <v>401520</v>
      </c>
      <c r="Q692" s="8">
        <v>402042</v>
      </c>
      <c r="R692" s="133">
        <f t="shared" si="130"/>
        <v>522</v>
      </c>
      <c r="S692" s="8">
        <v>19056</v>
      </c>
      <c r="T692" s="8">
        <v>19110</v>
      </c>
      <c r="U692" s="133">
        <f t="shared" si="129"/>
        <v>54</v>
      </c>
      <c r="V692" s="8">
        <v>349730</v>
      </c>
      <c r="W692" s="8">
        <v>349952</v>
      </c>
      <c r="X692" s="13">
        <f t="shared" si="131"/>
        <v>222</v>
      </c>
      <c r="Y692" s="8">
        <v>27941</v>
      </c>
      <c r="Z692" s="8">
        <v>27962</v>
      </c>
      <c r="AA692" s="13">
        <f t="shared" si="126"/>
        <v>21</v>
      </c>
      <c r="AB692" s="8">
        <v>223284</v>
      </c>
      <c r="AC692" s="8">
        <v>223346</v>
      </c>
      <c r="AD692" s="13">
        <f t="shared" si="127"/>
        <v>62</v>
      </c>
      <c r="AE692" s="135"/>
      <c r="AF692" s="135"/>
      <c r="AG692" s="135"/>
      <c r="AH692" s="136"/>
      <c r="AI692" s="50">
        <f t="shared" si="124"/>
        <v>819</v>
      </c>
    </row>
    <row r="693" spans="1:35">
      <c r="A693" s="12">
        <v>45068</v>
      </c>
      <c r="B693" s="8">
        <v>1832972</v>
      </c>
      <c r="C693" s="8">
        <v>1833364</v>
      </c>
      <c r="D693" s="13">
        <f t="shared" si="128"/>
        <v>392</v>
      </c>
      <c r="E693" s="69">
        <v>181388</v>
      </c>
      <c r="F693" s="69">
        <v>182223</v>
      </c>
      <c r="G693" s="133">
        <f t="shared" si="125"/>
        <v>835</v>
      </c>
      <c r="H693" s="8">
        <v>264983</v>
      </c>
      <c r="I693" s="8">
        <v>265511</v>
      </c>
      <c r="J693" s="13">
        <f t="shared" si="122"/>
        <v>528</v>
      </c>
      <c r="K693" s="138"/>
      <c r="L693" s="8">
        <v>698728</v>
      </c>
      <c r="M693" s="8">
        <v>699262</v>
      </c>
      <c r="N693" s="13">
        <f t="shared" si="123"/>
        <v>534</v>
      </c>
      <c r="O693" s="136"/>
      <c r="P693" s="8">
        <v>402042</v>
      </c>
      <c r="Q693" s="8">
        <v>402482</v>
      </c>
      <c r="R693" s="133">
        <f t="shared" si="130"/>
        <v>440</v>
      </c>
      <c r="S693" s="8">
        <v>19110</v>
      </c>
      <c r="T693" s="8">
        <v>19173</v>
      </c>
      <c r="U693" s="133">
        <f t="shared" si="129"/>
        <v>63</v>
      </c>
      <c r="V693" s="8">
        <v>349952</v>
      </c>
      <c r="W693" s="8">
        <v>350135</v>
      </c>
      <c r="X693" s="13">
        <f t="shared" si="131"/>
        <v>183</v>
      </c>
      <c r="Y693" s="8">
        <v>27962</v>
      </c>
      <c r="Z693" s="8">
        <v>27985</v>
      </c>
      <c r="AA693" s="13">
        <f t="shared" si="126"/>
        <v>23</v>
      </c>
      <c r="AB693" s="8">
        <v>223346</v>
      </c>
      <c r="AC693" s="8">
        <v>223448</v>
      </c>
      <c r="AD693" s="13">
        <f t="shared" si="127"/>
        <v>102</v>
      </c>
      <c r="AE693" s="135"/>
      <c r="AF693" s="135"/>
      <c r="AG693" s="135"/>
      <c r="AH693" s="136"/>
      <c r="AI693" s="50">
        <f t="shared" si="124"/>
        <v>709</v>
      </c>
    </row>
    <row r="694" spans="1:35">
      <c r="A694" s="12">
        <v>45069</v>
      </c>
      <c r="B694" s="8">
        <v>1833364</v>
      </c>
      <c r="C694" s="8">
        <v>1833674</v>
      </c>
      <c r="D694" s="13">
        <f t="shared" si="128"/>
        <v>310</v>
      </c>
      <c r="E694" s="69">
        <v>182223</v>
      </c>
      <c r="F694" s="69">
        <v>182727</v>
      </c>
      <c r="G694" s="133">
        <f t="shared" si="125"/>
        <v>504</v>
      </c>
      <c r="H694" s="8">
        <v>265511</v>
      </c>
      <c r="I694" s="8">
        <v>266087</v>
      </c>
      <c r="J694" s="13">
        <f t="shared" si="122"/>
        <v>576</v>
      </c>
      <c r="K694" s="138"/>
      <c r="L694" s="8">
        <v>699262</v>
      </c>
      <c r="M694" s="8">
        <v>699393</v>
      </c>
      <c r="N694" s="13">
        <f t="shared" si="123"/>
        <v>131</v>
      </c>
      <c r="O694" s="136"/>
      <c r="P694" s="8">
        <v>402482</v>
      </c>
      <c r="Q694" s="8">
        <v>402778</v>
      </c>
      <c r="R694" s="133">
        <f t="shared" si="130"/>
        <v>296</v>
      </c>
      <c r="S694" s="8">
        <v>19173</v>
      </c>
      <c r="T694" s="8">
        <v>19215</v>
      </c>
      <c r="U694" s="133">
        <f t="shared" si="129"/>
        <v>42</v>
      </c>
      <c r="V694" s="8">
        <v>350135</v>
      </c>
      <c r="W694" s="8">
        <v>350328</v>
      </c>
      <c r="X694" s="13">
        <f t="shared" si="131"/>
        <v>193</v>
      </c>
      <c r="Y694" s="8">
        <v>27985</v>
      </c>
      <c r="Z694" s="8">
        <v>28004</v>
      </c>
      <c r="AA694" s="13">
        <f t="shared" si="126"/>
        <v>19</v>
      </c>
      <c r="AB694" s="8">
        <v>223448</v>
      </c>
      <c r="AC694" s="8">
        <v>223536</v>
      </c>
      <c r="AD694" s="13">
        <f t="shared" si="127"/>
        <v>88</v>
      </c>
      <c r="AE694" s="135"/>
      <c r="AF694" s="135"/>
      <c r="AG694" s="135"/>
      <c r="AH694" s="136"/>
      <c r="AI694" s="50">
        <f t="shared" si="124"/>
        <v>550</v>
      </c>
    </row>
    <row r="695" spans="1:35">
      <c r="A695" s="12">
        <v>45070</v>
      </c>
      <c r="B695" s="8">
        <v>1833674</v>
      </c>
      <c r="C695" s="8">
        <v>1834393</v>
      </c>
      <c r="D695" s="13">
        <f t="shared" si="128"/>
        <v>719</v>
      </c>
      <c r="E695" s="77">
        <v>182727</v>
      </c>
      <c r="F695" s="69">
        <v>183498</v>
      </c>
      <c r="G695" s="133">
        <f t="shared" si="125"/>
        <v>771</v>
      </c>
      <c r="H695" s="8">
        <v>266087</v>
      </c>
      <c r="I695" s="8">
        <v>266087</v>
      </c>
      <c r="J695" s="13">
        <f t="shared" si="122"/>
        <v>0</v>
      </c>
      <c r="K695" s="138"/>
      <c r="L695" s="8">
        <v>699393</v>
      </c>
      <c r="M695" s="8">
        <v>700718</v>
      </c>
      <c r="N695" s="13">
        <f t="shared" si="123"/>
        <v>1325</v>
      </c>
      <c r="O695" s="136"/>
      <c r="P695" s="8">
        <v>402778</v>
      </c>
      <c r="Q695" s="8">
        <v>403417</v>
      </c>
      <c r="R695" s="133">
        <f t="shared" si="130"/>
        <v>639</v>
      </c>
      <c r="S695" s="8">
        <v>19215</v>
      </c>
      <c r="T695" s="8">
        <v>19256</v>
      </c>
      <c r="U695" s="133">
        <f t="shared" si="129"/>
        <v>41</v>
      </c>
      <c r="V695" s="8">
        <v>350328</v>
      </c>
      <c r="W695" s="8">
        <v>350528</v>
      </c>
      <c r="X695" s="13">
        <f t="shared" si="131"/>
        <v>200</v>
      </c>
      <c r="Y695" s="8">
        <v>28004</v>
      </c>
      <c r="Z695" s="8">
        <v>28024</v>
      </c>
      <c r="AA695" s="13">
        <f t="shared" si="126"/>
        <v>20</v>
      </c>
      <c r="AB695" s="8">
        <v>223536</v>
      </c>
      <c r="AC695" s="8">
        <v>223675</v>
      </c>
      <c r="AD695" s="13">
        <f t="shared" si="127"/>
        <v>139</v>
      </c>
      <c r="AE695" s="135"/>
      <c r="AF695" s="135"/>
      <c r="AG695" s="135"/>
      <c r="AH695" s="136"/>
      <c r="AI695" s="50">
        <f t="shared" si="124"/>
        <v>900</v>
      </c>
    </row>
    <row r="696" spans="1:35">
      <c r="A696" s="12">
        <v>45071</v>
      </c>
      <c r="B696" s="8">
        <v>1834393</v>
      </c>
      <c r="C696" s="8">
        <v>1835102</v>
      </c>
      <c r="D696" s="13">
        <f t="shared" si="128"/>
        <v>709</v>
      </c>
      <c r="E696" s="69">
        <v>183498</v>
      </c>
      <c r="F696" s="69">
        <v>184170</v>
      </c>
      <c r="G696" s="133">
        <f t="shared" si="125"/>
        <v>672</v>
      </c>
      <c r="H696" s="8">
        <v>266087</v>
      </c>
      <c r="I696" s="8">
        <v>266087</v>
      </c>
      <c r="J696" s="13">
        <f t="shared" si="122"/>
        <v>0</v>
      </c>
      <c r="K696" s="138"/>
      <c r="L696" s="8">
        <v>700718</v>
      </c>
      <c r="M696" s="8">
        <v>701849</v>
      </c>
      <c r="N696" s="13">
        <f t="shared" si="123"/>
        <v>1131</v>
      </c>
      <c r="O696" s="136"/>
      <c r="P696" s="8">
        <v>403417</v>
      </c>
      <c r="Q696" s="8">
        <v>403837</v>
      </c>
      <c r="R696" s="133">
        <f t="shared" si="130"/>
        <v>420</v>
      </c>
      <c r="S696" s="8">
        <v>19256</v>
      </c>
      <c r="T696" s="8">
        <v>19294</v>
      </c>
      <c r="U696" s="133">
        <f t="shared" si="129"/>
        <v>38</v>
      </c>
      <c r="V696" s="8">
        <v>350528</v>
      </c>
      <c r="W696" s="8">
        <v>350703</v>
      </c>
      <c r="X696" s="13">
        <f t="shared" si="131"/>
        <v>175</v>
      </c>
      <c r="Y696" s="8">
        <v>28024</v>
      </c>
      <c r="Z696" s="8">
        <v>28044</v>
      </c>
      <c r="AA696" s="13">
        <f t="shared" si="126"/>
        <v>20</v>
      </c>
      <c r="AB696" s="8">
        <v>223675</v>
      </c>
      <c r="AC696" s="8">
        <v>223689</v>
      </c>
      <c r="AD696" s="13">
        <f t="shared" si="127"/>
        <v>14</v>
      </c>
      <c r="AE696" s="135"/>
      <c r="AF696" s="135"/>
      <c r="AG696" s="135"/>
      <c r="AH696" s="136"/>
      <c r="AI696" s="50">
        <f t="shared" si="124"/>
        <v>653</v>
      </c>
    </row>
    <row r="697" spans="1:35">
      <c r="A697" s="12">
        <v>45072</v>
      </c>
      <c r="B697" s="8">
        <v>1835102</v>
      </c>
      <c r="C697" s="8">
        <v>1835709</v>
      </c>
      <c r="D697" s="13">
        <f t="shared" si="128"/>
        <v>607</v>
      </c>
      <c r="E697" s="69">
        <v>184170</v>
      </c>
      <c r="F697" s="69">
        <v>184761</v>
      </c>
      <c r="G697" s="133">
        <f t="shared" si="125"/>
        <v>591</v>
      </c>
      <c r="H697" s="8">
        <v>266087</v>
      </c>
      <c r="I697" s="8">
        <v>266087</v>
      </c>
      <c r="J697" s="13">
        <f t="shared" si="122"/>
        <v>0</v>
      </c>
      <c r="K697" s="138"/>
      <c r="L697" s="8">
        <v>701849</v>
      </c>
      <c r="M697" s="8">
        <v>702928</v>
      </c>
      <c r="N697" s="13">
        <f t="shared" si="123"/>
        <v>1079</v>
      </c>
      <c r="O697" s="136"/>
      <c r="P697" s="8">
        <v>403837</v>
      </c>
      <c r="Q697" s="8">
        <v>404325</v>
      </c>
      <c r="R697" s="133">
        <f t="shared" si="130"/>
        <v>488</v>
      </c>
      <c r="S697" s="8">
        <v>19294</v>
      </c>
      <c r="T697" s="8">
        <v>19336</v>
      </c>
      <c r="U697" s="133">
        <f t="shared" si="129"/>
        <v>42</v>
      </c>
      <c r="V697" s="8">
        <v>350703</v>
      </c>
      <c r="W697" s="8">
        <v>350820</v>
      </c>
      <c r="X697" s="13">
        <f t="shared" si="131"/>
        <v>117</v>
      </c>
      <c r="Y697" s="8">
        <v>28044</v>
      </c>
      <c r="Z697" s="8">
        <v>28066</v>
      </c>
      <c r="AA697" s="13">
        <f t="shared" si="126"/>
        <v>22</v>
      </c>
      <c r="AB697" s="8">
        <v>223689</v>
      </c>
      <c r="AC697" s="8">
        <v>223774</v>
      </c>
      <c r="AD697" s="13">
        <f t="shared" si="127"/>
        <v>85</v>
      </c>
      <c r="AE697" s="135"/>
      <c r="AF697" s="135"/>
      <c r="AG697" s="135"/>
      <c r="AH697" s="136"/>
      <c r="AI697" s="50">
        <f t="shared" si="124"/>
        <v>669</v>
      </c>
    </row>
    <row r="698" spans="1:35">
      <c r="A698" s="12">
        <v>45073</v>
      </c>
      <c r="B698" s="8">
        <v>1835709</v>
      </c>
      <c r="C698" s="8">
        <v>1836028</v>
      </c>
      <c r="D698" s="13">
        <f t="shared" si="128"/>
        <v>319</v>
      </c>
      <c r="E698" s="69">
        <v>184761</v>
      </c>
      <c r="F698" s="77">
        <v>185452</v>
      </c>
      <c r="G698" s="133">
        <f t="shared" si="125"/>
        <v>691</v>
      </c>
      <c r="H698" s="8">
        <v>266087</v>
      </c>
      <c r="I698" s="8">
        <v>266087</v>
      </c>
      <c r="J698" s="13">
        <f t="shared" si="122"/>
        <v>0</v>
      </c>
      <c r="K698" s="138"/>
      <c r="L698" s="8">
        <v>702928</v>
      </c>
      <c r="M698" s="8">
        <v>704233</v>
      </c>
      <c r="N698" s="13">
        <f t="shared" si="123"/>
        <v>1305</v>
      </c>
      <c r="O698" s="136"/>
      <c r="P698" s="8">
        <v>404325</v>
      </c>
      <c r="Q698" s="8">
        <v>404925</v>
      </c>
      <c r="R698" s="133">
        <f t="shared" si="130"/>
        <v>600</v>
      </c>
      <c r="S698" s="8">
        <v>19336</v>
      </c>
      <c r="T698" s="8">
        <v>19378</v>
      </c>
      <c r="U698" s="133">
        <f t="shared" si="129"/>
        <v>42</v>
      </c>
      <c r="V698" s="8">
        <v>350820</v>
      </c>
      <c r="W698" s="8">
        <v>350935</v>
      </c>
      <c r="X698" s="13">
        <f t="shared" si="131"/>
        <v>115</v>
      </c>
      <c r="Y698" s="8">
        <v>28066</v>
      </c>
      <c r="Z698" s="8">
        <v>28089</v>
      </c>
      <c r="AA698" s="13">
        <f t="shared" si="126"/>
        <v>23</v>
      </c>
      <c r="AB698" s="8">
        <v>223774</v>
      </c>
      <c r="AC698" s="8">
        <v>223859</v>
      </c>
      <c r="AD698" s="13">
        <f t="shared" si="127"/>
        <v>85</v>
      </c>
      <c r="AE698" s="135"/>
      <c r="AF698" s="135"/>
      <c r="AG698" s="135"/>
      <c r="AH698" s="136"/>
      <c r="AI698" s="50">
        <f t="shared" si="124"/>
        <v>780</v>
      </c>
    </row>
    <row r="699" spans="1:35">
      <c r="A699" s="12">
        <v>45074</v>
      </c>
      <c r="B699" s="8">
        <v>1836028</v>
      </c>
      <c r="C699" s="8">
        <v>1836425</v>
      </c>
      <c r="D699" s="13">
        <f t="shared" si="128"/>
        <v>397</v>
      </c>
      <c r="E699" s="77">
        <v>185452</v>
      </c>
      <c r="F699" s="69">
        <v>186227</v>
      </c>
      <c r="G699" s="133">
        <f t="shared" si="125"/>
        <v>775</v>
      </c>
      <c r="H699" s="8">
        <v>266087</v>
      </c>
      <c r="I699" s="8">
        <v>266387</v>
      </c>
      <c r="J699" s="13">
        <f t="shared" ref="J699:J758" si="132">I699-H699</f>
        <v>300</v>
      </c>
      <c r="K699" s="138"/>
      <c r="L699" s="8">
        <v>704233</v>
      </c>
      <c r="M699" s="8">
        <v>705056</v>
      </c>
      <c r="N699" s="13">
        <f t="shared" si="123"/>
        <v>823</v>
      </c>
      <c r="O699" s="136"/>
      <c r="P699" s="8">
        <v>404925</v>
      </c>
      <c r="Q699" s="8">
        <v>405226</v>
      </c>
      <c r="R699" s="133">
        <f t="shared" si="130"/>
        <v>301</v>
      </c>
      <c r="S699" s="8">
        <v>19378</v>
      </c>
      <c r="T699" s="8">
        <v>19429</v>
      </c>
      <c r="U699" s="133">
        <f t="shared" si="129"/>
        <v>51</v>
      </c>
      <c r="V699" s="8">
        <v>350935</v>
      </c>
      <c r="W699" s="8">
        <v>351135</v>
      </c>
      <c r="X699" s="13">
        <f t="shared" si="131"/>
        <v>200</v>
      </c>
      <c r="Y699" s="8">
        <v>28089</v>
      </c>
      <c r="Z699" s="8">
        <v>28108</v>
      </c>
      <c r="AA699" s="13">
        <f t="shared" si="126"/>
        <v>19</v>
      </c>
      <c r="AB699" s="8">
        <v>223859</v>
      </c>
      <c r="AC699" s="8">
        <v>223938</v>
      </c>
      <c r="AD699" s="13">
        <f t="shared" si="127"/>
        <v>79</v>
      </c>
      <c r="AE699" s="135"/>
      <c r="AF699" s="135"/>
      <c r="AG699" s="135"/>
      <c r="AH699" s="136"/>
      <c r="AI699" s="50">
        <f t="shared" si="124"/>
        <v>571</v>
      </c>
    </row>
    <row r="700" spans="1:35">
      <c r="A700" s="12">
        <v>45075</v>
      </c>
      <c r="B700" s="8">
        <v>1836425</v>
      </c>
      <c r="C700" s="8">
        <v>1837023</v>
      </c>
      <c r="D700" s="13">
        <f t="shared" si="128"/>
        <v>598</v>
      </c>
      <c r="E700" s="69">
        <v>186227</v>
      </c>
      <c r="F700" s="69">
        <v>187024</v>
      </c>
      <c r="G700" s="133">
        <f t="shared" si="125"/>
        <v>797</v>
      </c>
      <c r="H700" s="8">
        <v>266387</v>
      </c>
      <c r="I700" s="8">
        <v>266387</v>
      </c>
      <c r="J700" s="13">
        <f t="shared" si="132"/>
        <v>0</v>
      </c>
      <c r="K700" s="138"/>
      <c r="L700" s="8">
        <v>705056</v>
      </c>
      <c r="M700" s="8">
        <v>706238</v>
      </c>
      <c r="N700" s="13">
        <f t="shared" si="123"/>
        <v>1182</v>
      </c>
      <c r="O700" s="136"/>
      <c r="P700" s="8">
        <v>405226</v>
      </c>
      <c r="Q700" s="8">
        <v>405716</v>
      </c>
      <c r="R700" s="133">
        <f t="shared" si="130"/>
        <v>490</v>
      </c>
      <c r="S700" s="8">
        <v>19429</v>
      </c>
      <c r="T700" s="8">
        <v>19462</v>
      </c>
      <c r="U700" s="133">
        <f t="shared" si="129"/>
        <v>33</v>
      </c>
      <c r="V700" s="8">
        <v>351135</v>
      </c>
      <c r="W700" s="8">
        <v>351276</v>
      </c>
      <c r="X700" s="13">
        <f t="shared" si="131"/>
        <v>141</v>
      </c>
      <c r="Y700" s="8">
        <v>28108</v>
      </c>
      <c r="Z700" s="8">
        <v>28129</v>
      </c>
      <c r="AA700" s="13">
        <f t="shared" si="126"/>
        <v>21</v>
      </c>
      <c r="AB700" s="8">
        <v>223938</v>
      </c>
      <c r="AC700" s="8">
        <v>224039</v>
      </c>
      <c r="AD700" s="13">
        <f t="shared" si="127"/>
        <v>101</v>
      </c>
      <c r="AE700" s="135"/>
      <c r="AF700" s="135"/>
      <c r="AG700" s="135"/>
      <c r="AH700" s="136"/>
      <c r="AI700" s="50">
        <f t="shared" si="124"/>
        <v>685</v>
      </c>
    </row>
    <row r="701" spans="1:35">
      <c r="A701" s="12">
        <v>45076</v>
      </c>
      <c r="B701" s="8">
        <v>1837023</v>
      </c>
      <c r="C701" s="8">
        <v>1837573</v>
      </c>
      <c r="D701" s="13">
        <f t="shared" si="128"/>
        <v>550</v>
      </c>
      <c r="E701" s="69">
        <v>187024</v>
      </c>
      <c r="F701" s="69">
        <v>187804</v>
      </c>
      <c r="G701" s="133">
        <f t="shared" si="125"/>
        <v>780</v>
      </c>
      <c r="H701" s="8">
        <v>266387</v>
      </c>
      <c r="I701" s="8">
        <v>266387</v>
      </c>
      <c r="J701" s="13">
        <f t="shared" si="132"/>
        <v>0</v>
      </c>
      <c r="K701" s="138"/>
      <c r="L701" s="8">
        <v>706238</v>
      </c>
      <c r="M701" s="8">
        <v>706557</v>
      </c>
      <c r="N701" s="13">
        <f t="shared" si="123"/>
        <v>319</v>
      </c>
      <c r="O701" s="136"/>
      <c r="P701" s="8">
        <v>405716</v>
      </c>
      <c r="Q701" s="8">
        <v>405993</v>
      </c>
      <c r="R701" s="133">
        <f t="shared" si="130"/>
        <v>277</v>
      </c>
      <c r="S701" s="8">
        <v>19462</v>
      </c>
      <c r="T701" s="8">
        <v>19514</v>
      </c>
      <c r="U701" s="133">
        <f t="shared" si="129"/>
        <v>52</v>
      </c>
      <c r="V701" s="8">
        <v>351276</v>
      </c>
      <c r="W701" s="8">
        <v>351428</v>
      </c>
      <c r="X701" s="13">
        <f t="shared" si="131"/>
        <v>152</v>
      </c>
      <c r="Y701" s="8">
        <v>28129</v>
      </c>
      <c r="Z701" s="8">
        <v>28151</v>
      </c>
      <c r="AA701" s="13">
        <f t="shared" si="126"/>
        <v>22</v>
      </c>
      <c r="AB701" s="8">
        <v>224039</v>
      </c>
      <c r="AC701" s="8">
        <v>224118</v>
      </c>
      <c r="AD701" s="13">
        <f t="shared" si="127"/>
        <v>79</v>
      </c>
      <c r="AE701" s="135"/>
      <c r="AF701" s="135"/>
      <c r="AG701" s="135"/>
      <c r="AH701" s="136"/>
      <c r="AI701" s="50">
        <f t="shared" si="124"/>
        <v>503</v>
      </c>
    </row>
    <row r="702" spans="1:35">
      <c r="A702" s="12">
        <v>45077</v>
      </c>
      <c r="B702" s="8">
        <v>1837573</v>
      </c>
      <c r="C702" s="8">
        <v>1837894</v>
      </c>
      <c r="D702" s="13">
        <f t="shared" si="128"/>
        <v>321</v>
      </c>
      <c r="E702" s="69">
        <v>187804</v>
      </c>
      <c r="F702" s="69">
        <v>188076</v>
      </c>
      <c r="G702" s="133">
        <f t="shared" si="125"/>
        <v>272</v>
      </c>
      <c r="H702" s="8">
        <v>266387</v>
      </c>
      <c r="I702" s="8">
        <v>266609</v>
      </c>
      <c r="J702" s="13">
        <f t="shared" si="132"/>
        <v>222</v>
      </c>
      <c r="K702" s="138"/>
      <c r="L702" s="8">
        <v>706557</v>
      </c>
      <c r="M702" s="8">
        <v>706769</v>
      </c>
      <c r="N702" s="13">
        <f t="shared" si="123"/>
        <v>212</v>
      </c>
      <c r="O702" s="136"/>
      <c r="P702" s="8">
        <v>405993</v>
      </c>
      <c r="Q702" s="8">
        <v>406190</v>
      </c>
      <c r="R702" s="133">
        <f t="shared" si="130"/>
        <v>197</v>
      </c>
      <c r="S702" s="8">
        <v>19514</v>
      </c>
      <c r="T702" s="8">
        <v>19556</v>
      </c>
      <c r="U702" s="133">
        <f t="shared" si="129"/>
        <v>42</v>
      </c>
      <c r="V702" s="8">
        <v>351428</v>
      </c>
      <c r="W702" s="8">
        <v>351630</v>
      </c>
      <c r="X702" s="13">
        <f t="shared" si="131"/>
        <v>202</v>
      </c>
      <c r="Y702" s="8">
        <v>28151</v>
      </c>
      <c r="Z702" s="8">
        <v>28172</v>
      </c>
      <c r="AA702" s="13">
        <f t="shared" si="126"/>
        <v>21</v>
      </c>
      <c r="AB702" s="8">
        <v>224118</v>
      </c>
      <c r="AC702" s="8">
        <v>224194</v>
      </c>
      <c r="AD702" s="13">
        <f t="shared" si="127"/>
        <v>76</v>
      </c>
      <c r="AE702" s="135"/>
      <c r="AF702" s="135"/>
      <c r="AG702" s="135"/>
      <c r="AH702" s="136"/>
      <c r="AI702" s="50">
        <f t="shared" si="124"/>
        <v>462</v>
      </c>
    </row>
    <row r="703" spans="1:35">
      <c r="A703" s="12">
        <v>45078</v>
      </c>
      <c r="B703" s="8">
        <v>1837894</v>
      </c>
      <c r="C703" s="8">
        <v>1838094</v>
      </c>
      <c r="D703" s="13">
        <f t="shared" si="128"/>
        <v>200</v>
      </c>
      <c r="E703" s="69">
        <v>188076</v>
      </c>
      <c r="F703" s="69">
        <v>188242</v>
      </c>
      <c r="G703" s="133">
        <f t="shared" si="125"/>
        <v>166</v>
      </c>
      <c r="H703" s="8">
        <v>266609</v>
      </c>
      <c r="I703" s="8">
        <v>267349</v>
      </c>
      <c r="J703" s="13">
        <f t="shared" si="132"/>
        <v>740</v>
      </c>
      <c r="K703" s="138"/>
      <c r="L703" s="8">
        <v>706769</v>
      </c>
      <c r="M703" s="8">
        <v>707846</v>
      </c>
      <c r="N703" s="13">
        <f t="shared" si="123"/>
        <v>1077</v>
      </c>
      <c r="O703" s="136"/>
      <c r="P703" s="8">
        <v>406190</v>
      </c>
      <c r="Q703" s="8">
        <v>406515</v>
      </c>
      <c r="R703" s="133">
        <f t="shared" si="130"/>
        <v>325</v>
      </c>
      <c r="S703" s="8">
        <v>19556</v>
      </c>
      <c r="T703" s="8">
        <v>19610</v>
      </c>
      <c r="U703" s="133">
        <f t="shared" si="129"/>
        <v>54</v>
      </c>
      <c r="V703" s="8">
        <v>351630</v>
      </c>
      <c r="W703" s="8">
        <v>351858</v>
      </c>
      <c r="X703" s="13">
        <f t="shared" si="131"/>
        <v>228</v>
      </c>
      <c r="Y703" s="8">
        <v>28172</v>
      </c>
      <c r="Z703" s="8">
        <v>28189</v>
      </c>
      <c r="AA703" s="13">
        <f t="shared" si="126"/>
        <v>17</v>
      </c>
      <c r="AB703" s="8">
        <v>224194</v>
      </c>
      <c r="AC703" s="8">
        <v>224260</v>
      </c>
      <c r="AD703" s="13">
        <f t="shared" si="127"/>
        <v>66</v>
      </c>
      <c r="AE703" s="135"/>
      <c r="AF703" s="135"/>
      <c r="AG703" s="135"/>
      <c r="AH703" s="136"/>
      <c r="AI703" s="50">
        <f t="shared" si="124"/>
        <v>624</v>
      </c>
    </row>
    <row r="704" spans="1:35">
      <c r="A704" s="12">
        <v>45079</v>
      </c>
      <c r="B704" s="8">
        <v>1838094</v>
      </c>
      <c r="C704" s="8">
        <v>1838496</v>
      </c>
      <c r="D704" s="13">
        <f t="shared" si="128"/>
        <v>402</v>
      </c>
      <c r="E704" s="69">
        <v>188242</v>
      </c>
      <c r="F704" s="69">
        <v>188875</v>
      </c>
      <c r="G704" s="133">
        <f t="shared" si="125"/>
        <v>633</v>
      </c>
      <c r="H704" s="8">
        <v>267349</v>
      </c>
      <c r="I704" s="8">
        <v>268027</v>
      </c>
      <c r="J704" s="13">
        <f t="shared" si="132"/>
        <v>678</v>
      </c>
      <c r="K704" s="138"/>
      <c r="L704" s="8">
        <v>707846</v>
      </c>
      <c r="M704" s="8">
        <v>708078</v>
      </c>
      <c r="N704" s="13">
        <f t="shared" si="123"/>
        <v>232</v>
      </c>
      <c r="O704" s="136"/>
      <c r="P704" s="8">
        <v>406515</v>
      </c>
      <c r="Q704" s="8">
        <v>406816</v>
      </c>
      <c r="R704" s="133">
        <f t="shared" si="130"/>
        <v>301</v>
      </c>
      <c r="S704" s="8">
        <v>19610</v>
      </c>
      <c r="T704" s="8">
        <v>19657</v>
      </c>
      <c r="U704" s="133">
        <f t="shared" si="129"/>
        <v>47</v>
      </c>
      <c r="V704" s="8">
        <v>351858</v>
      </c>
      <c r="W704" s="8">
        <v>352102</v>
      </c>
      <c r="X704" s="13">
        <f t="shared" si="131"/>
        <v>244</v>
      </c>
      <c r="Y704" s="8">
        <v>28189</v>
      </c>
      <c r="Z704" s="8">
        <v>28189</v>
      </c>
      <c r="AA704" s="13">
        <f t="shared" si="126"/>
        <v>0</v>
      </c>
      <c r="AB704" s="8">
        <v>224260</v>
      </c>
      <c r="AC704" s="8">
        <v>224357</v>
      </c>
      <c r="AD704" s="13">
        <f t="shared" si="127"/>
        <v>97</v>
      </c>
      <c r="AE704" s="135"/>
      <c r="AF704" s="135"/>
      <c r="AG704" s="135"/>
      <c r="AH704" s="136"/>
      <c r="AI704" s="50">
        <f t="shared" si="124"/>
        <v>592</v>
      </c>
    </row>
    <row r="705" spans="1:35">
      <c r="A705" s="12">
        <v>45080</v>
      </c>
      <c r="B705" s="8">
        <v>1838496</v>
      </c>
      <c r="C705" s="8">
        <v>1838676</v>
      </c>
      <c r="D705" s="13">
        <f t="shared" si="128"/>
        <v>180</v>
      </c>
      <c r="E705" s="69">
        <v>188875</v>
      </c>
      <c r="F705" s="69">
        <v>189575</v>
      </c>
      <c r="G705" s="133">
        <f t="shared" si="125"/>
        <v>700</v>
      </c>
      <c r="H705" s="8">
        <v>268027</v>
      </c>
      <c r="I705" s="8">
        <v>268027</v>
      </c>
      <c r="J705" s="13">
        <f t="shared" si="132"/>
        <v>0</v>
      </c>
      <c r="K705" s="138"/>
      <c r="L705" s="8">
        <v>708078</v>
      </c>
      <c r="M705" s="8">
        <v>708534</v>
      </c>
      <c r="N705" s="13">
        <f t="shared" si="123"/>
        <v>456</v>
      </c>
      <c r="O705" s="136"/>
      <c r="P705" s="8">
        <v>406816</v>
      </c>
      <c r="Q705" s="8">
        <v>406816</v>
      </c>
      <c r="R705" s="133">
        <f t="shared" si="130"/>
        <v>0</v>
      </c>
      <c r="S705" s="8">
        <v>19610</v>
      </c>
      <c r="T705" s="8">
        <v>19657</v>
      </c>
      <c r="U705" s="133">
        <f t="shared" si="129"/>
        <v>47</v>
      </c>
      <c r="V705" s="8">
        <v>352102</v>
      </c>
      <c r="W705" s="8">
        <v>352300</v>
      </c>
      <c r="X705" s="13">
        <f t="shared" si="131"/>
        <v>198</v>
      </c>
      <c r="Y705" s="8">
        <v>28189</v>
      </c>
      <c r="Z705" s="8">
        <v>28202</v>
      </c>
      <c r="AA705" s="13">
        <f t="shared" si="126"/>
        <v>13</v>
      </c>
      <c r="AB705" s="8">
        <v>224357</v>
      </c>
      <c r="AC705" s="8">
        <v>224414</v>
      </c>
      <c r="AD705" s="13">
        <f t="shared" si="127"/>
        <v>57</v>
      </c>
      <c r="AE705" s="135"/>
      <c r="AF705" s="135"/>
      <c r="AG705" s="135"/>
      <c r="AH705" s="136"/>
      <c r="AI705" s="50">
        <f t="shared" ref="AI705:AI768" si="133">AA705+U705+R705+O705+X705</f>
        <v>258</v>
      </c>
    </row>
    <row r="706" spans="1:35">
      <c r="A706" s="12">
        <v>45081</v>
      </c>
      <c r="B706" s="8">
        <v>1838676</v>
      </c>
      <c r="C706" s="8">
        <v>1839214</v>
      </c>
      <c r="D706" s="13">
        <f t="shared" si="128"/>
        <v>538</v>
      </c>
      <c r="E706" s="69">
        <v>188875</v>
      </c>
      <c r="F706" s="69">
        <v>189479</v>
      </c>
      <c r="G706" s="133">
        <f t="shared" si="125"/>
        <v>604</v>
      </c>
      <c r="H706" s="8">
        <v>268027</v>
      </c>
      <c r="I706" s="8">
        <v>268027</v>
      </c>
      <c r="J706" s="13">
        <f t="shared" si="132"/>
        <v>0</v>
      </c>
      <c r="K706" s="138"/>
      <c r="L706" s="8">
        <v>708534</v>
      </c>
      <c r="M706" s="8">
        <v>709334</v>
      </c>
      <c r="N706" s="13">
        <f t="shared" ref="N706:N769" si="134">M706-L706</f>
        <v>800</v>
      </c>
      <c r="O706" s="136"/>
      <c r="P706" s="8">
        <v>406816</v>
      </c>
      <c r="Q706" s="8">
        <v>406816</v>
      </c>
      <c r="R706" s="133">
        <f t="shared" si="130"/>
        <v>0</v>
      </c>
      <c r="S706" s="8">
        <v>19657</v>
      </c>
      <c r="T706" s="8">
        <v>19697</v>
      </c>
      <c r="U706" s="133">
        <f t="shared" si="129"/>
        <v>40</v>
      </c>
      <c r="V706" s="8">
        <v>352300</v>
      </c>
      <c r="W706" s="8">
        <v>352401</v>
      </c>
      <c r="X706" s="13">
        <f t="shared" si="131"/>
        <v>101</v>
      </c>
      <c r="Y706" s="8">
        <v>28202</v>
      </c>
      <c r="Z706" s="8">
        <v>28204</v>
      </c>
      <c r="AA706" s="13">
        <f t="shared" si="126"/>
        <v>2</v>
      </c>
      <c r="AB706" s="8">
        <v>224414</v>
      </c>
      <c r="AC706" s="8">
        <v>224492</v>
      </c>
      <c r="AD706" s="13">
        <f t="shared" si="127"/>
        <v>78</v>
      </c>
      <c r="AE706" s="135"/>
      <c r="AF706" s="135"/>
      <c r="AG706" s="135"/>
      <c r="AH706" s="136"/>
      <c r="AI706" s="50">
        <f t="shared" si="133"/>
        <v>143</v>
      </c>
    </row>
    <row r="707" spans="1:35">
      <c r="A707" s="12">
        <v>45082</v>
      </c>
      <c r="B707" s="8">
        <v>1839214</v>
      </c>
      <c r="C707" s="8">
        <v>1839523</v>
      </c>
      <c r="D707" s="13">
        <f t="shared" si="128"/>
        <v>309</v>
      </c>
      <c r="E707" s="69">
        <v>189479</v>
      </c>
      <c r="F707" s="69">
        <v>190091</v>
      </c>
      <c r="G707" s="133">
        <f t="shared" ref="G707:G770" si="135">F707-E707</f>
        <v>612</v>
      </c>
      <c r="H707" s="8">
        <v>268027</v>
      </c>
      <c r="I707" s="8">
        <v>268027</v>
      </c>
      <c r="J707" s="13">
        <f t="shared" si="132"/>
        <v>0</v>
      </c>
      <c r="K707" s="138"/>
      <c r="L707" s="8">
        <v>709334</v>
      </c>
      <c r="M707" s="8">
        <v>710409</v>
      </c>
      <c r="N707" s="13">
        <f t="shared" si="134"/>
        <v>1075</v>
      </c>
      <c r="O707" s="136"/>
      <c r="P707" s="8">
        <v>406816</v>
      </c>
      <c r="Q707" s="8">
        <v>407329</v>
      </c>
      <c r="R707" s="133">
        <f t="shared" si="130"/>
        <v>513</v>
      </c>
      <c r="S707" s="8">
        <v>19697</v>
      </c>
      <c r="T707" s="8">
        <v>19721</v>
      </c>
      <c r="U707" s="133">
        <f t="shared" si="129"/>
        <v>24</v>
      </c>
      <c r="V707" s="8">
        <v>352401</v>
      </c>
      <c r="W707" s="8">
        <v>352449</v>
      </c>
      <c r="X707" s="13">
        <f t="shared" si="131"/>
        <v>48</v>
      </c>
      <c r="Y707" s="8">
        <v>28204</v>
      </c>
      <c r="Z707" s="8">
        <v>28225</v>
      </c>
      <c r="AA707" s="13">
        <f>Z707-Y707</f>
        <v>21</v>
      </c>
      <c r="AB707" s="8">
        <v>224492</v>
      </c>
      <c r="AC707" s="8">
        <v>224573</v>
      </c>
      <c r="AD707" s="13">
        <f t="shared" si="127"/>
        <v>81</v>
      </c>
      <c r="AE707" s="135"/>
      <c r="AF707" s="135"/>
      <c r="AG707" s="135"/>
      <c r="AH707" s="136"/>
      <c r="AI707" s="50">
        <f t="shared" si="133"/>
        <v>606</v>
      </c>
    </row>
    <row r="708" spans="1:35">
      <c r="A708" s="12">
        <v>45083</v>
      </c>
      <c r="B708" s="8">
        <v>1839523</v>
      </c>
      <c r="C708" s="8">
        <v>1840126</v>
      </c>
      <c r="D708" s="13">
        <f t="shared" si="128"/>
        <v>603</v>
      </c>
      <c r="E708" s="69">
        <v>190091</v>
      </c>
      <c r="F708" s="69">
        <v>190859</v>
      </c>
      <c r="G708" s="133">
        <f t="shared" si="135"/>
        <v>768</v>
      </c>
      <c r="H708" s="8">
        <v>268027</v>
      </c>
      <c r="I708" s="8">
        <v>268027</v>
      </c>
      <c r="J708" s="13">
        <f t="shared" si="132"/>
        <v>0</v>
      </c>
      <c r="K708" s="138"/>
      <c r="L708" s="8">
        <v>710409</v>
      </c>
      <c r="M708" s="8">
        <v>711524</v>
      </c>
      <c r="N708" s="13">
        <f t="shared" si="134"/>
        <v>1115</v>
      </c>
      <c r="O708" s="136"/>
      <c r="P708" s="8">
        <v>407329</v>
      </c>
      <c r="Q708" s="8">
        <v>407329</v>
      </c>
      <c r="R708" s="133">
        <f t="shared" si="130"/>
        <v>0</v>
      </c>
      <c r="S708" s="8">
        <v>19721</v>
      </c>
      <c r="T708" s="8">
        <v>19757</v>
      </c>
      <c r="U708" s="133">
        <f t="shared" si="129"/>
        <v>36</v>
      </c>
      <c r="V708" s="8">
        <v>352449</v>
      </c>
      <c r="W708" s="8">
        <v>352710</v>
      </c>
      <c r="X708" s="13">
        <f t="shared" si="131"/>
        <v>261</v>
      </c>
      <c r="Y708" s="8">
        <v>28225</v>
      </c>
      <c r="Z708" s="8">
        <v>28247</v>
      </c>
      <c r="AA708" s="13">
        <f t="shared" ref="AA708:AA772" si="136">Z708-Y708</f>
        <v>22</v>
      </c>
      <c r="AB708" s="8">
        <v>224573</v>
      </c>
      <c r="AC708" s="8">
        <v>224696</v>
      </c>
      <c r="AD708" s="13">
        <f t="shared" si="127"/>
        <v>123</v>
      </c>
      <c r="AE708" s="135"/>
      <c r="AF708" s="135"/>
      <c r="AG708" s="135"/>
      <c r="AH708" s="136"/>
      <c r="AI708" s="50">
        <f t="shared" si="133"/>
        <v>319</v>
      </c>
    </row>
    <row r="709" spans="1:35">
      <c r="A709" s="12">
        <v>45084</v>
      </c>
      <c r="B709" s="8">
        <v>1840126</v>
      </c>
      <c r="C709" s="8">
        <v>1840946</v>
      </c>
      <c r="D709" s="13">
        <f t="shared" si="128"/>
        <v>820</v>
      </c>
      <c r="E709" s="69">
        <v>190859</v>
      </c>
      <c r="F709" s="69">
        <v>191657</v>
      </c>
      <c r="G709" s="133">
        <f t="shared" si="135"/>
        <v>798</v>
      </c>
      <c r="H709" s="8">
        <v>268027</v>
      </c>
      <c r="I709" s="8">
        <v>268027</v>
      </c>
      <c r="J709" s="13">
        <f t="shared" si="132"/>
        <v>0</v>
      </c>
      <c r="K709" s="138"/>
      <c r="L709" s="8">
        <v>711524</v>
      </c>
      <c r="M709" s="8">
        <v>712546</v>
      </c>
      <c r="N709" s="13">
        <f t="shared" si="134"/>
        <v>1022</v>
      </c>
      <c r="O709" s="136"/>
      <c r="P709" s="8">
        <v>407329</v>
      </c>
      <c r="Q709" s="8">
        <v>407766</v>
      </c>
      <c r="R709" s="133">
        <f t="shared" si="130"/>
        <v>437</v>
      </c>
      <c r="S709" s="8">
        <v>19757</v>
      </c>
      <c r="T709" s="8">
        <v>19803</v>
      </c>
      <c r="U709" s="133">
        <f t="shared" si="129"/>
        <v>46</v>
      </c>
      <c r="V709" s="8">
        <v>352710</v>
      </c>
      <c r="W709" s="8">
        <v>352963</v>
      </c>
      <c r="X709" s="13">
        <f t="shared" si="131"/>
        <v>253</v>
      </c>
      <c r="Y709" s="8">
        <v>28247</v>
      </c>
      <c r="Z709" s="8">
        <v>28308</v>
      </c>
      <c r="AA709" s="13">
        <f t="shared" si="136"/>
        <v>61</v>
      </c>
      <c r="AB709" s="8">
        <v>224696</v>
      </c>
      <c r="AC709" s="8">
        <v>224778</v>
      </c>
      <c r="AD709" s="13">
        <f t="shared" si="127"/>
        <v>82</v>
      </c>
      <c r="AE709" s="135"/>
      <c r="AF709" s="135"/>
      <c r="AG709" s="135"/>
      <c r="AH709" s="136"/>
      <c r="AI709" s="50">
        <f t="shared" si="133"/>
        <v>797</v>
      </c>
    </row>
    <row r="710" spans="1:35">
      <c r="A710" s="12">
        <v>45085</v>
      </c>
      <c r="B710" s="8">
        <v>1840946</v>
      </c>
      <c r="C710" s="8">
        <v>1840952</v>
      </c>
      <c r="D710" s="13">
        <f t="shared" si="128"/>
        <v>6</v>
      </c>
      <c r="E710" s="69">
        <v>191657</v>
      </c>
      <c r="F710" s="69">
        <v>192342</v>
      </c>
      <c r="G710" s="133">
        <f t="shared" si="135"/>
        <v>685</v>
      </c>
      <c r="H710" s="8">
        <v>268027</v>
      </c>
      <c r="I710" s="8">
        <v>268027</v>
      </c>
      <c r="J710" s="13">
        <f t="shared" si="132"/>
        <v>0</v>
      </c>
      <c r="K710" s="138"/>
      <c r="L710" s="8">
        <v>712546</v>
      </c>
      <c r="M710" s="8">
        <v>713339</v>
      </c>
      <c r="N710" s="13">
        <f t="shared" si="134"/>
        <v>793</v>
      </c>
      <c r="O710" s="136"/>
      <c r="P710" s="8">
        <v>407766</v>
      </c>
      <c r="Q710" s="8">
        <v>408140</v>
      </c>
      <c r="R710" s="133">
        <f t="shared" si="130"/>
        <v>374</v>
      </c>
      <c r="S710" s="8">
        <v>19803</v>
      </c>
      <c r="T710" s="8">
        <v>19849</v>
      </c>
      <c r="U710" s="133">
        <f t="shared" si="129"/>
        <v>46</v>
      </c>
      <c r="V710" s="8">
        <v>352963</v>
      </c>
      <c r="W710" s="8">
        <v>353089</v>
      </c>
      <c r="X710" s="13">
        <f t="shared" si="131"/>
        <v>126</v>
      </c>
      <c r="Y710" s="8">
        <v>28308</v>
      </c>
      <c r="Z710" s="8">
        <v>28328</v>
      </c>
      <c r="AA710" s="13">
        <f t="shared" si="136"/>
        <v>20</v>
      </c>
      <c r="AB710" s="8">
        <v>224778</v>
      </c>
      <c r="AC710" s="8">
        <v>224871</v>
      </c>
      <c r="AD710" s="13">
        <f t="shared" si="127"/>
        <v>93</v>
      </c>
      <c r="AE710" s="135"/>
      <c r="AF710" s="135"/>
      <c r="AG710" s="135"/>
      <c r="AH710" s="136"/>
      <c r="AI710" s="50">
        <f t="shared" si="133"/>
        <v>566</v>
      </c>
    </row>
    <row r="711" spans="1:35">
      <c r="A711" s="12">
        <v>45086</v>
      </c>
      <c r="B711" s="8">
        <v>1840952</v>
      </c>
      <c r="C711" s="8">
        <v>1841056</v>
      </c>
      <c r="D711" s="13">
        <f t="shared" si="128"/>
        <v>104</v>
      </c>
      <c r="E711" s="69">
        <v>192342</v>
      </c>
      <c r="F711" s="69">
        <v>193292</v>
      </c>
      <c r="G711" s="133">
        <f t="shared" si="135"/>
        <v>950</v>
      </c>
      <c r="H711" s="8">
        <v>268027</v>
      </c>
      <c r="I711" s="8">
        <v>268027</v>
      </c>
      <c r="J711" s="13">
        <f t="shared" si="132"/>
        <v>0</v>
      </c>
      <c r="K711" s="138"/>
      <c r="L711" s="8">
        <v>713339</v>
      </c>
      <c r="M711" s="8">
        <v>713788</v>
      </c>
      <c r="N711" s="13">
        <f t="shared" si="134"/>
        <v>449</v>
      </c>
      <c r="O711" s="136"/>
      <c r="P711" s="8">
        <v>408140</v>
      </c>
      <c r="Q711" s="8">
        <v>408345</v>
      </c>
      <c r="R711" s="133">
        <f t="shared" si="130"/>
        <v>205</v>
      </c>
      <c r="S711" s="8">
        <v>19849</v>
      </c>
      <c r="T711" s="8">
        <v>19894</v>
      </c>
      <c r="U711" s="133">
        <f t="shared" si="129"/>
        <v>45</v>
      </c>
      <c r="V711" s="8">
        <v>353089</v>
      </c>
      <c r="W711" s="8">
        <v>353180</v>
      </c>
      <c r="X711" s="13">
        <f t="shared" si="131"/>
        <v>91</v>
      </c>
      <c r="Y711" s="8">
        <v>28328</v>
      </c>
      <c r="Z711" s="8">
        <v>28359</v>
      </c>
      <c r="AA711" s="13">
        <f t="shared" si="136"/>
        <v>31</v>
      </c>
      <c r="AB711" s="8">
        <v>224871</v>
      </c>
      <c r="AC711" s="8">
        <v>224981</v>
      </c>
      <c r="AD711" s="13">
        <f t="shared" si="127"/>
        <v>110</v>
      </c>
      <c r="AE711" s="135"/>
      <c r="AF711" s="135"/>
      <c r="AG711" s="135"/>
      <c r="AH711" s="136"/>
      <c r="AI711" s="50">
        <f t="shared" si="133"/>
        <v>372</v>
      </c>
    </row>
    <row r="712" spans="1:35">
      <c r="A712" s="12">
        <v>45087</v>
      </c>
      <c r="B712" s="8">
        <v>1841056</v>
      </c>
      <c r="C712" s="8">
        <v>1841156</v>
      </c>
      <c r="D712" s="13">
        <f t="shared" si="128"/>
        <v>100</v>
      </c>
      <c r="E712" s="69">
        <v>193292</v>
      </c>
      <c r="F712" s="69">
        <v>194125</v>
      </c>
      <c r="G712" s="133">
        <f t="shared" si="135"/>
        <v>833</v>
      </c>
      <c r="H712" s="8">
        <v>268027</v>
      </c>
      <c r="I712" s="8">
        <v>268027</v>
      </c>
      <c r="J712" s="13">
        <f t="shared" si="132"/>
        <v>0</v>
      </c>
      <c r="K712" s="138"/>
      <c r="L712" s="8">
        <v>713788</v>
      </c>
      <c r="M712" s="8">
        <v>714442</v>
      </c>
      <c r="N712" s="13">
        <f t="shared" si="134"/>
        <v>654</v>
      </c>
      <c r="O712" s="136"/>
      <c r="P712" s="8">
        <v>408345</v>
      </c>
      <c r="Q712" s="8">
        <v>408745</v>
      </c>
      <c r="R712" s="133">
        <f t="shared" si="130"/>
        <v>400</v>
      </c>
      <c r="S712" s="8">
        <v>19894</v>
      </c>
      <c r="T712" s="8">
        <v>19970</v>
      </c>
      <c r="U712" s="133">
        <f t="shared" si="129"/>
        <v>76</v>
      </c>
      <c r="V712" s="8">
        <v>353180</v>
      </c>
      <c r="W712" s="8">
        <v>353340</v>
      </c>
      <c r="X712" s="13">
        <f t="shared" si="131"/>
        <v>160</v>
      </c>
      <c r="Y712" s="8">
        <v>28359</v>
      </c>
      <c r="Z712" s="8">
        <v>28384</v>
      </c>
      <c r="AA712" s="13">
        <f t="shared" si="136"/>
        <v>25</v>
      </c>
      <c r="AB712" s="8">
        <v>224981</v>
      </c>
      <c r="AC712" s="8">
        <v>225091</v>
      </c>
      <c r="AD712" s="13">
        <f t="shared" ref="AD712:AD775" si="137">AC712-AB712</f>
        <v>110</v>
      </c>
      <c r="AE712" s="135"/>
      <c r="AF712" s="135"/>
      <c r="AG712" s="135"/>
      <c r="AH712" s="136"/>
      <c r="AI712" s="50">
        <f t="shared" si="133"/>
        <v>661</v>
      </c>
    </row>
    <row r="713" spans="1:35">
      <c r="A713" s="12">
        <v>45088</v>
      </c>
      <c r="B713" s="8">
        <v>1841156</v>
      </c>
      <c r="C713" s="8">
        <v>1842042</v>
      </c>
      <c r="D713" s="13">
        <f t="shared" si="128"/>
        <v>886</v>
      </c>
      <c r="E713" s="69">
        <v>194125</v>
      </c>
      <c r="F713" s="69">
        <v>194895</v>
      </c>
      <c r="G713" s="133">
        <f t="shared" si="135"/>
        <v>770</v>
      </c>
      <c r="H713" s="8">
        <v>268027</v>
      </c>
      <c r="I713" s="8">
        <v>268027</v>
      </c>
      <c r="J713" s="13">
        <f t="shared" si="132"/>
        <v>0</v>
      </c>
      <c r="K713" s="138"/>
      <c r="L713" s="8">
        <v>714442</v>
      </c>
      <c r="M713" s="8">
        <v>715435</v>
      </c>
      <c r="N713" s="13">
        <f t="shared" si="134"/>
        <v>993</v>
      </c>
      <c r="O713" s="136"/>
      <c r="P713" s="8">
        <v>408745</v>
      </c>
      <c r="Q713" s="8">
        <v>409127</v>
      </c>
      <c r="R713" s="133">
        <f t="shared" si="130"/>
        <v>382</v>
      </c>
      <c r="S713" s="8">
        <v>19970</v>
      </c>
      <c r="T713" s="8">
        <v>20052</v>
      </c>
      <c r="U713" s="133">
        <f t="shared" si="129"/>
        <v>82</v>
      </c>
      <c r="V713" s="8">
        <v>353340</v>
      </c>
      <c r="W713" s="8">
        <v>353589</v>
      </c>
      <c r="X713" s="13">
        <f t="shared" si="131"/>
        <v>249</v>
      </c>
      <c r="Y713" s="8">
        <v>28384</v>
      </c>
      <c r="Z713" s="8">
        <v>28410</v>
      </c>
      <c r="AA713" s="13">
        <f t="shared" si="136"/>
        <v>26</v>
      </c>
      <c r="AB713" s="8">
        <v>225091</v>
      </c>
      <c r="AC713" s="8">
        <v>225186</v>
      </c>
      <c r="AD713" s="13">
        <f t="shared" si="137"/>
        <v>95</v>
      </c>
      <c r="AE713" s="135"/>
      <c r="AF713" s="135"/>
      <c r="AG713" s="135"/>
      <c r="AH713" s="136"/>
      <c r="AI713" s="50">
        <f t="shared" si="133"/>
        <v>739</v>
      </c>
    </row>
    <row r="714" spans="1:35">
      <c r="A714" s="12">
        <v>45089</v>
      </c>
      <c r="B714" s="8">
        <v>1842042</v>
      </c>
      <c r="C714" s="8">
        <v>1842049</v>
      </c>
      <c r="D714" s="13">
        <f t="shared" si="128"/>
        <v>7</v>
      </c>
      <c r="E714" s="69">
        <v>194895</v>
      </c>
      <c r="F714" s="69">
        <v>195391</v>
      </c>
      <c r="G714" s="133">
        <f t="shared" si="135"/>
        <v>496</v>
      </c>
      <c r="H714" s="8">
        <v>268027</v>
      </c>
      <c r="I714" s="8">
        <v>268929</v>
      </c>
      <c r="J714" s="13">
        <f t="shared" si="132"/>
        <v>902</v>
      </c>
      <c r="K714" s="138"/>
      <c r="L714" s="8">
        <v>715435</v>
      </c>
      <c r="M714" s="8">
        <v>716326</v>
      </c>
      <c r="N714" s="13">
        <f t="shared" si="134"/>
        <v>891</v>
      </c>
      <c r="O714" s="136"/>
      <c r="P714" s="8">
        <v>409127</v>
      </c>
      <c r="Q714" s="8">
        <v>409498</v>
      </c>
      <c r="R714" s="133">
        <f t="shared" si="130"/>
        <v>371</v>
      </c>
      <c r="S714" s="8">
        <v>20052</v>
      </c>
      <c r="T714" s="8">
        <v>20139</v>
      </c>
      <c r="U714" s="133">
        <f t="shared" si="129"/>
        <v>87</v>
      </c>
      <c r="V714" s="8">
        <v>353589</v>
      </c>
      <c r="W714" s="8">
        <v>353700</v>
      </c>
      <c r="X714" s="13">
        <f t="shared" si="131"/>
        <v>111</v>
      </c>
      <c r="Y714" s="8">
        <v>28410</v>
      </c>
      <c r="Z714" s="8">
        <v>28432</v>
      </c>
      <c r="AA714" s="13">
        <f t="shared" si="136"/>
        <v>22</v>
      </c>
      <c r="AB714" s="8">
        <v>225186</v>
      </c>
      <c r="AC714" s="8">
        <v>225223</v>
      </c>
      <c r="AD714" s="13">
        <f t="shared" si="137"/>
        <v>37</v>
      </c>
      <c r="AE714" s="135"/>
      <c r="AF714" s="135"/>
      <c r="AG714" s="135"/>
      <c r="AH714" s="136"/>
      <c r="AI714" s="50">
        <f t="shared" si="133"/>
        <v>591</v>
      </c>
    </row>
    <row r="715" spans="1:35">
      <c r="A715" s="12">
        <v>45090</v>
      </c>
      <c r="B715" s="8">
        <v>1842049</v>
      </c>
      <c r="C715" s="8">
        <v>1842276</v>
      </c>
      <c r="D715" s="13">
        <f t="shared" si="128"/>
        <v>227</v>
      </c>
      <c r="E715" s="69">
        <v>195391</v>
      </c>
      <c r="F715" s="69">
        <v>196109</v>
      </c>
      <c r="G715" s="133">
        <f t="shared" si="135"/>
        <v>718</v>
      </c>
      <c r="H715" s="8">
        <v>268929</v>
      </c>
      <c r="I715" s="8">
        <v>269582</v>
      </c>
      <c r="J715" s="13">
        <f t="shared" si="132"/>
        <v>653</v>
      </c>
      <c r="K715" s="138"/>
      <c r="L715" s="8">
        <v>716326</v>
      </c>
      <c r="M715" s="8">
        <v>716525</v>
      </c>
      <c r="N715" s="13">
        <f t="shared" si="134"/>
        <v>199</v>
      </c>
      <c r="O715" s="136"/>
      <c r="P715" s="8">
        <v>409498</v>
      </c>
      <c r="Q715" s="8">
        <v>409772</v>
      </c>
      <c r="R715" s="133">
        <f t="shared" si="130"/>
        <v>274</v>
      </c>
      <c r="S715" s="8">
        <v>20139</v>
      </c>
      <c r="T715" s="8">
        <v>20184</v>
      </c>
      <c r="U715" s="133">
        <f t="shared" si="129"/>
        <v>45</v>
      </c>
      <c r="V715" s="8">
        <v>353700</v>
      </c>
      <c r="W715" s="8">
        <v>353775</v>
      </c>
      <c r="X715" s="13">
        <f t="shared" si="131"/>
        <v>75</v>
      </c>
      <c r="Y715" s="8">
        <v>28432</v>
      </c>
      <c r="Z715" s="8">
        <v>28450</v>
      </c>
      <c r="AA715" s="13">
        <f t="shared" si="136"/>
        <v>18</v>
      </c>
      <c r="AB715" s="8">
        <v>225223</v>
      </c>
      <c r="AC715" s="8">
        <v>225279</v>
      </c>
      <c r="AD715" s="13">
        <f t="shared" si="137"/>
        <v>56</v>
      </c>
      <c r="AE715" s="135"/>
      <c r="AF715" s="135"/>
      <c r="AG715" s="135"/>
      <c r="AH715" s="136"/>
      <c r="AI715" s="50">
        <f t="shared" si="133"/>
        <v>412</v>
      </c>
    </row>
    <row r="716" spans="1:35">
      <c r="A716" s="12">
        <v>45091</v>
      </c>
      <c r="B716" s="8">
        <v>1842276</v>
      </c>
      <c r="C716" s="8">
        <v>1842678</v>
      </c>
      <c r="D716" s="13">
        <f t="shared" si="128"/>
        <v>402</v>
      </c>
      <c r="E716" s="69">
        <v>196109</v>
      </c>
      <c r="F716" s="69">
        <v>196856</v>
      </c>
      <c r="G716" s="133">
        <f t="shared" si="135"/>
        <v>747</v>
      </c>
      <c r="H716" s="8">
        <v>269582</v>
      </c>
      <c r="I716" s="8">
        <v>270109</v>
      </c>
      <c r="J716" s="13">
        <f t="shared" si="132"/>
        <v>527</v>
      </c>
      <c r="K716" s="138"/>
      <c r="L716" s="8">
        <v>716525</v>
      </c>
      <c r="M716" s="8">
        <v>717074</v>
      </c>
      <c r="N716" s="13">
        <f t="shared" si="134"/>
        <v>549</v>
      </c>
      <c r="O716" s="136"/>
      <c r="P716" s="8">
        <v>409772</v>
      </c>
      <c r="Q716" s="8">
        <v>410226</v>
      </c>
      <c r="R716" s="133">
        <f t="shared" si="130"/>
        <v>454</v>
      </c>
      <c r="S716" s="8">
        <v>20184</v>
      </c>
      <c r="T716" s="8">
        <v>20234</v>
      </c>
      <c r="U716" s="133">
        <f t="shared" si="129"/>
        <v>50</v>
      </c>
      <c r="V716" s="8">
        <v>353775</v>
      </c>
      <c r="W716" s="8">
        <v>353978</v>
      </c>
      <c r="X716" s="13">
        <f t="shared" si="131"/>
        <v>203</v>
      </c>
      <c r="Y716" s="8">
        <v>28450</v>
      </c>
      <c r="Z716" s="8">
        <v>28463</v>
      </c>
      <c r="AA716" s="13">
        <f t="shared" si="136"/>
        <v>13</v>
      </c>
      <c r="AB716" s="8">
        <v>225279</v>
      </c>
      <c r="AC716" s="8">
        <v>225345</v>
      </c>
      <c r="AD716" s="13">
        <f t="shared" si="137"/>
        <v>66</v>
      </c>
      <c r="AE716" s="135"/>
      <c r="AF716" s="135"/>
      <c r="AG716" s="135"/>
      <c r="AH716" s="136"/>
      <c r="AI716" s="50">
        <f t="shared" si="133"/>
        <v>720</v>
      </c>
    </row>
    <row r="717" spans="1:35">
      <c r="A717" s="12">
        <v>45092</v>
      </c>
      <c r="B717" s="8">
        <v>1842678</v>
      </c>
      <c r="C717" s="8">
        <v>1843451</v>
      </c>
      <c r="D717" s="13">
        <f t="shared" si="128"/>
        <v>773</v>
      </c>
      <c r="E717" s="69">
        <v>196856</v>
      </c>
      <c r="F717" s="69">
        <v>197371</v>
      </c>
      <c r="G717" s="133">
        <f t="shared" si="135"/>
        <v>515</v>
      </c>
      <c r="H717" s="8">
        <v>270109</v>
      </c>
      <c r="I717" s="8">
        <v>270109</v>
      </c>
      <c r="J717" s="13">
        <f t="shared" si="132"/>
        <v>0</v>
      </c>
      <c r="K717" s="138"/>
      <c r="L717" s="8">
        <v>717074</v>
      </c>
      <c r="M717" s="8">
        <v>717993</v>
      </c>
      <c r="N717" s="13">
        <f t="shared" si="134"/>
        <v>919</v>
      </c>
      <c r="O717" s="136"/>
      <c r="P717" s="8">
        <v>410226</v>
      </c>
      <c r="Q717" s="8">
        <v>410610</v>
      </c>
      <c r="R717" s="133">
        <f t="shared" si="130"/>
        <v>384</v>
      </c>
      <c r="S717" s="8">
        <v>20184</v>
      </c>
      <c r="T717" s="8">
        <v>20220</v>
      </c>
      <c r="U717" s="133">
        <f t="shared" si="129"/>
        <v>36</v>
      </c>
      <c r="V717" s="8">
        <v>353978</v>
      </c>
      <c r="W717" s="8">
        <v>353986</v>
      </c>
      <c r="X717" s="13">
        <f t="shared" si="131"/>
        <v>8</v>
      </c>
      <c r="Y717" s="8">
        <v>28463</v>
      </c>
      <c r="Z717" s="8">
        <v>28482</v>
      </c>
      <c r="AA717" s="13">
        <f t="shared" si="136"/>
        <v>19</v>
      </c>
      <c r="AB717" s="8">
        <v>225345</v>
      </c>
      <c r="AC717" s="8">
        <v>225416</v>
      </c>
      <c r="AD717" s="13">
        <f t="shared" si="137"/>
        <v>71</v>
      </c>
      <c r="AE717" s="135"/>
      <c r="AF717" s="135"/>
      <c r="AG717" s="135"/>
      <c r="AH717" s="136"/>
      <c r="AI717" s="50">
        <f t="shared" si="133"/>
        <v>447</v>
      </c>
    </row>
    <row r="718" spans="1:35">
      <c r="A718" s="12">
        <v>45093</v>
      </c>
      <c r="B718" s="8">
        <v>1843451</v>
      </c>
      <c r="C718" s="8">
        <v>1844394</v>
      </c>
      <c r="D718" s="13">
        <f t="shared" si="128"/>
        <v>943</v>
      </c>
      <c r="E718" s="69">
        <v>197371</v>
      </c>
      <c r="F718" s="69">
        <v>197875</v>
      </c>
      <c r="G718" s="133">
        <f t="shared" si="135"/>
        <v>504</v>
      </c>
      <c r="H718" s="8">
        <v>270109</v>
      </c>
      <c r="I718" s="8">
        <v>270109</v>
      </c>
      <c r="J718" s="13">
        <f t="shared" si="132"/>
        <v>0</v>
      </c>
      <c r="K718" s="138"/>
      <c r="L718" s="8">
        <v>717993</v>
      </c>
      <c r="M718" s="8">
        <v>718953</v>
      </c>
      <c r="N718" s="13">
        <f t="shared" si="134"/>
        <v>960</v>
      </c>
      <c r="O718" s="136"/>
      <c r="P718" s="8">
        <v>410610</v>
      </c>
      <c r="Q718" s="8">
        <v>411004</v>
      </c>
      <c r="R718" s="133">
        <f t="shared" si="130"/>
        <v>394</v>
      </c>
      <c r="S718" s="8">
        <v>20220</v>
      </c>
      <c r="T718" s="8">
        <v>20263</v>
      </c>
      <c r="U718" s="133">
        <f t="shared" ref="U718:U778" si="138">T718-S718</f>
        <v>43</v>
      </c>
      <c r="V718" s="8">
        <v>353986</v>
      </c>
      <c r="W718" s="8">
        <v>353986</v>
      </c>
      <c r="X718" s="13">
        <f t="shared" si="131"/>
        <v>0</v>
      </c>
      <c r="Y718" s="8">
        <v>28482</v>
      </c>
      <c r="Z718" s="8">
        <v>28482</v>
      </c>
      <c r="AA718" s="13">
        <f t="shared" si="136"/>
        <v>0</v>
      </c>
      <c r="AB718" s="8">
        <v>225416</v>
      </c>
      <c r="AC718" s="8">
        <v>225489</v>
      </c>
      <c r="AD718" s="13">
        <f t="shared" si="137"/>
        <v>73</v>
      </c>
      <c r="AE718" s="135"/>
      <c r="AF718" s="135"/>
      <c r="AG718" s="135"/>
      <c r="AH718" s="136"/>
      <c r="AI718" s="50">
        <f t="shared" si="133"/>
        <v>437</v>
      </c>
    </row>
    <row r="719" spans="1:35">
      <c r="A719" s="12">
        <v>45094</v>
      </c>
      <c r="B719" s="8">
        <v>1844394</v>
      </c>
      <c r="C719" s="8">
        <v>1845074</v>
      </c>
      <c r="D719" s="13">
        <f t="shared" si="128"/>
        <v>680</v>
      </c>
      <c r="E719" s="69">
        <v>197875</v>
      </c>
      <c r="F719" s="69">
        <v>198618</v>
      </c>
      <c r="G719" s="133">
        <f t="shared" si="135"/>
        <v>743</v>
      </c>
      <c r="H719" s="8">
        <v>270109</v>
      </c>
      <c r="I719" s="8">
        <v>270109</v>
      </c>
      <c r="J719" s="13">
        <f t="shared" si="132"/>
        <v>0</v>
      </c>
      <c r="K719" s="138"/>
      <c r="L719" s="8">
        <v>718953</v>
      </c>
      <c r="M719" s="8">
        <v>720173</v>
      </c>
      <c r="N719" s="13">
        <f t="shared" si="134"/>
        <v>1220</v>
      </c>
      <c r="O719" s="136"/>
      <c r="P719" s="8">
        <v>411004</v>
      </c>
      <c r="Q719" s="8">
        <v>411454</v>
      </c>
      <c r="R719" s="133">
        <f t="shared" si="130"/>
        <v>450</v>
      </c>
      <c r="S719" s="8">
        <v>20263</v>
      </c>
      <c r="T719" s="8">
        <v>20315</v>
      </c>
      <c r="U719" s="133">
        <f t="shared" si="138"/>
        <v>52</v>
      </c>
      <c r="V719" s="8">
        <v>353986</v>
      </c>
      <c r="W719" s="8">
        <v>353986</v>
      </c>
      <c r="X719" s="13">
        <f t="shared" si="131"/>
        <v>0</v>
      </c>
      <c r="Y719" s="8">
        <v>28482</v>
      </c>
      <c r="Z719" s="8">
        <v>28482</v>
      </c>
      <c r="AA719" s="13">
        <f t="shared" si="136"/>
        <v>0</v>
      </c>
      <c r="AB719" s="8">
        <v>225489</v>
      </c>
      <c r="AC719" s="8">
        <v>225577</v>
      </c>
      <c r="AD719" s="13">
        <f t="shared" si="137"/>
        <v>88</v>
      </c>
      <c r="AE719" s="135"/>
      <c r="AF719" s="135"/>
      <c r="AG719" s="135"/>
      <c r="AH719" s="136"/>
      <c r="AI719" s="50">
        <f t="shared" si="133"/>
        <v>502</v>
      </c>
    </row>
    <row r="720" spans="1:35">
      <c r="A720" s="12">
        <v>45095</v>
      </c>
      <c r="B720" s="8">
        <v>1845074</v>
      </c>
      <c r="C720" s="8">
        <v>1845843</v>
      </c>
      <c r="D720" s="13">
        <f t="shared" si="128"/>
        <v>769</v>
      </c>
      <c r="E720" s="69">
        <v>198618</v>
      </c>
      <c r="F720" s="69">
        <v>199137</v>
      </c>
      <c r="G720" s="133">
        <f t="shared" si="135"/>
        <v>519</v>
      </c>
      <c r="H720" s="8">
        <v>270109</v>
      </c>
      <c r="I720" s="8">
        <v>270109</v>
      </c>
      <c r="J720" s="13">
        <f t="shared" si="132"/>
        <v>0</v>
      </c>
      <c r="K720" s="138"/>
      <c r="L720" s="8">
        <v>720173</v>
      </c>
      <c r="M720" s="8">
        <v>721374</v>
      </c>
      <c r="N720" s="13">
        <f t="shared" si="134"/>
        <v>1201</v>
      </c>
      <c r="O720" s="136"/>
      <c r="P720" s="8">
        <v>411454</v>
      </c>
      <c r="Q720" s="8">
        <v>412246</v>
      </c>
      <c r="R720" s="133">
        <f t="shared" si="130"/>
        <v>792</v>
      </c>
      <c r="S720" s="8">
        <v>20315</v>
      </c>
      <c r="T720" s="8">
        <v>20365</v>
      </c>
      <c r="U720" s="133">
        <f t="shared" si="138"/>
        <v>50</v>
      </c>
      <c r="V720" s="8">
        <v>353986</v>
      </c>
      <c r="W720" s="8">
        <v>353986</v>
      </c>
      <c r="X720" s="13">
        <f t="shared" si="131"/>
        <v>0</v>
      </c>
      <c r="Y720" s="8">
        <v>28482</v>
      </c>
      <c r="Z720" s="8">
        <v>28550</v>
      </c>
      <c r="AA720" s="13">
        <f t="shared" si="136"/>
        <v>68</v>
      </c>
      <c r="AB720" s="8">
        <v>225577</v>
      </c>
      <c r="AC720" s="8">
        <v>225651</v>
      </c>
      <c r="AD720" s="13">
        <f t="shared" si="137"/>
        <v>74</v>
      </c>
      <c r="AE720" s="135"/>
      <c r="AF720" s="135"/>
      <c r="AG720" s="135"/>
      <c r="AH720" s="136"/>
      <c r="AI720" s="50">
        <f t="shared" si="133"/>
        <v>910</v>
      </c>
    </row>
    <row r="721" spans="1:35">
      <c r="A721" s="12">
        <v>45096</v>
      </c>
      <c r="B721" s="8">
        <v>1845843</v>
      </c>
      <c r="C721" s="8">
        <v>1846434</v>
      </c>
      <c r="D721" s="13">
        <f t="shared" si="128"/>
        <v>591</v>
      </c>
      <c r="E721" s="69">
        <v>199137</v>
      </c>
      <c r="F721" s="69">
        <v>199778</v>
      </c>
      <c r="G721" s="133">
        <f t="shared" si="135"/>
        <v>641</v>
      </c>
      <c r="H721" s="8">
        <v>270109</v>
      </c>
      <c r="I721" s="8">
        <v>270109</v>
      </c>
      <c r="J721" s="13">
        <f t="shared" si="132"/>
        <v>0</v>
      </c>
      <c r="K721" s="138"/>
      <c r="L721" s="8">
        <v>721374</v>
      </c>
      <c r="M721" s="8">
        <v>722403</v>
      </c>
      <c r="N721" s="13">
        <f t="shared" si="134"/>
        <v>1029</v>
      </c>
      <c r="O721" s="136"/>
      <c r="P721" s="8">
        <v>412246</v>
      </c>
      <c r="Q721" s="8">
        <v>412761</v>
      </c>
      <c r="R721" s="133">
        <f t="shared" si="130"/>
        <v>515</v>
      </c>
      <c r="S721" s="8">
        <v>20365</v>
      </c>
      <c r="T721" s="8">
        <v>20404</v>
      </c>
      <c r="U721" s="133">
        <f t="shared" si="138"/>
        <v>39</v>
      </c>
      <c r="V721" s="8">
        <v>353986</v>
      </c>
      <c r="W721" s="8">
        <v>353986</v>
      </c>
      <c r="X721" s="13">
        <f t="shared" si="131"/>
        <v>0</v>
      </c>
      <c r="Y721" s="8">
        <v>28550</v>
      </c>
      <c r="Z721" s="8">
        <v>28569</v>
      </c>
      <c r="AA721" s="13">
        <f t="shared" si="136"/>
        <v>19</v>
      </c>
      <c r="AB721" s="8">
        <v>225651</v>
      </c>
      <c r="AC721" s="8">
        <v>225720</v>
      </c>
      <c r="AD721" s="13">
        <f t="shared" si="137"/>
        <v>69</v>
      </c>
      <c r="AE721" s="135"/>
      <c r="AF721" s="135"/>
      <c r="AG721" s="135"/>
      <c r="AH721" s="136"/>
      <c r="AI721" s="50">
        <f t="shared" si="133"/>
        <v>573</v>
      </c>
    </row>
    <row r="722" spans="1:35">
      <c r="A722" s="12">
        <v>45097</v>
      </c>
      <c r="B722" s="8">
        <v>1846434</v>
      </c>
      <c r="C722" s="8">
        <v>1846752</v>
      </c>
      <c r="D722" s="13">
        <f t="shared" si="128"/>
        <v>318</v>
      </c>
      <c r="E722" s="69">
        <v>199778</v>
      </c>
      <c r="F722" s="69">
        <v>200523</v>
      </c>
      <c r="G722" s="133">
        <f t="shared" si="135"/>
        <v>745</v>
      </c>
      <c r="H722" s="8">
        <v>270109</v>
      </c>
      <c r="I722" s="8">
        <v>270109</v>
      </c>
      <c r="J722" s="13">
        <f t="shared" si="132"/>
        <v>0</v>
      </c>
      <c r="K722" s="138"/>
      <c r="L722" s="8">
        <v>722403</v>
      </c>
      <c r="M722" s="8">
        <v>723313</v>
      </c>
      <c r="N722" s="13">
        <f t="shared" si="134"/>
        <v>910</v>
      </c>
      <c r="O722" s="136"/>
      <c r="P722" s="8">
        <v>412761</v>
      </c>
      <c r="Q722" s="8">
        <v>413203</v>
      </c>
      <c r="R722" s="133">
        <f t="shared" si="130"/>
        <v>442</v>
      </c>
      <c r="S722" s="8">
        <v>20404</v>
      </c>
      <c r="T722" s="8">
        <v>20425</v>
      </c>
      <c r="U722" s="133">
        <f t="shared" si="138"/>
        <v>21</v>
      </c>
      <c r="V722" s="8">
        <v>353986</v>
      </c>
      <c r="W722" s="8">
        <v>353986</v>
      </c>
      <c r="X722" s="13">
        <f t="shared" si="131"/>
        <v>0</v>
      </c>
      <c r="Y722" s="8">
        <v>28569</v>
      </c>
      <c r="Z722" s="8">
        <v>28590</v>
      </c>
      <c r="AA722" s="13">
        <f t="shared" si="136"/>
        <v>21</v>
      </c>
      <c r="AB722" s="8">
        <v>225720</v>
      </c>
      <c r="AC722" s="8">
        <v>225797</v>
      </c>
      <c r="AD722" s="13">
        <f t="shared" si="137"/>
        <v>77</v>
      </c>
      <c r="AE722" s="135"/>
      <c r="AF722" s="135"/>
      <c r="AG722" s="135"/>
      <c r="AH722" s="136"/>
      <c r="AI722" s="50">
        <f t="shared" si="133"/>
        <v>484</v>
      </c>
    </row>
    <row r="723" spans="1:35">
      <c r="A723" s="12">
        <v>45098</v>
      </c>
      <c r="B723" s="8">
        <v>1846752</v>
      </c>
      <c r="C723" s="8">
        <v>1847697</v>
      </c>
      <c r="D723" s="13">
        <f t="shared" si="128"/>
        <v>945</v>
      </c>
      <c r="E723" s="69">
        <v>200523</v>
      </c>
      <c r="F723" s="69">
        <v>201285</v>
      </c>
      <c r="G723" s="133">
        <f t="shared" si="135"/>
        <v>762</v>
      </c>
      <c r="H723" s="8">
        <v>270109</v>
      </c>
      <c r="I723" s="8">
        <v>270109</v>
      </c>
      <c r="J723" s="13">
        <f t="shared" si="132"/>
        <v>0</v>
      </c>
      <c r="K723" s="138"/>
      <c r="L723" s="8">
        <v>723313</v>
      </c>
      <c r="M723" s="8">
        <v>724492</v>
      </c>
      <c r="N723" s="13">
        <f t="shared" si="134"/>
        <v>1179</v>
      </c>
      <c r="O723" s="136"/>
      <c r="P723" s="8">
        <v>413203</v>
      </c>
      <c r="Q723" s="8">
        <v>413685</v>
      </c>
      <c r="R723" s="133">
        <f t="shared" si="130"/>
        <v>482</v>
      </c>
      <c r="S723" s="8">
        <v>20425</v>
      </c>
      <c r="T723" s="8">
        <v>20477</v>
      </c>
      <c r="U723" s="133">
        <f t="shared" si="138"/>
        <v>52</v>
      </c>
      <c r="V723" s="8">
        <v>353986</v>
      </c>
      <c r="W723" s="8">
        <v>353986</v>
      </c>
      <c r="X723" s="13">
        <f t="shared" si="131"/>
        <v>0</v>
      </c>
      <c r="Y723" s="8">
        <v>28590</v>
      </c>
      <c r="Z723" s="8">
        <v>28612</v>
      </c>
      <c r="AA723" s="13">
        <f t="shared" si="136"/>
        <v>22</v>
      </c>
      <c r="AB723" s="8">
        <v>225797</v>
      </c>
      <c r="AC723" s="8">
        <v>225886</v>
      </c>
      <c r="AD723" s="13">
        <f t="shared" si="137"/>
        <v>89</v>
      </c>
      <c r="AE723" s="135"/>
      <c r="AF723" s="135"/>
      <c r="AG723" s="135"/>
      <c r="AH723" s="136"/>
      <c r="AI723" s="50">
        <f t="shared" si="133"/>
        <v>556</v>
      </c>
    </row>
    <row r="724" spans="1:35">
      <c r="A724" s="12">
        <v>45099</v>
      </c>
      <c r="B724" s="8">
        <v>1847697</v>
      </c>
      <c r="C724" s="8">
        <v>1848572</v>
      </c>
      <c r="D724" s="13">
        <f t="shared" ref="D724:D794" si="139">C724-B724</f>
        <v>875</v>
      </c>
      <c r="E724" s="69">
        <v>201285</v>
      </c>
      <c r="F724" s="69">
        <v>201909</v>
      </c>
      <c r="G724" s="133">
        <f t="shared" si="135"/>
        <v>624</v>
      </c>
      <c r="H724" s="8">
        <v>270109</v>
      </c>
      <c r="I724" s="8">
        <v>270109</v>
      </c>
      <c r="J724" s="13">
        <f t="shared" si="132"/>
        <v>0</v>
      </c>
      <c r="K724" s="138"/>
      <c r="L724" s="8">
        <v>724492</v>
      </c>
      <c r="M724" s="8">
        <v>725552</v>
      </c>
      <c r="N724" s="13">
        <f t="shared" si="134"/>
        <v>1060</v>
      </c>
      <c r="O724" s="136"/>
      <c r="P724" s="8">
        <v>413685</v>
      </c>
      <c r="Q724" s="8">
        <v>414218</v>
      </c>
      <c r="R724" s="133">
        <f t="shared" si="130"/>
        <v>533</v>
      </c>
      <c r="S724" s="8">
        <v>20477</v>
      </c>
      <c r="T724" s="8">
        <v>20520</v>
      </c>
      <c r="U724" s="133">
        <f t="shared" si="138"/>
        <v>43</v>
      </c>
      <c r="V724" s="8">
        <v>353986</v>
      </c>
      <c r="W724" s="8">
        <v>353986</v>
      </c>
      <c r="X724" s="13">
        <f t="shared" si="131"/>
        <v>0</v>
      </c>
      <c r="Y724" s="8">
        <v>28612</v>
      </c>
      <c r="Z724" s="8">
        <v>28634</v>
      </c>
      <c r="AA724" s="13">
        <f t="shared" si="136"/>
        <v>22</v>
      </c>
      <c r="AB724" s="8">
        <v>225886</v>
      </c>
      <c r="AC724" s="8">
        <v>225966</v>
      </c>
      <c r="AD724" s="13">
        <f t="shared" si="137"/>
        <v>80</v>
      </c>
      <c r="AE724" s="135"/>
      <c r="AF724" s="135"/>
      <c r="AG724" s="135"/>
      <c r="AH724" s="136"/>
      <c r="AI724" s="50">
        <f t="shared" si="133"/>
        <v>598</v>
      </c>
    </row>
    <row r="725" spans="1:35">
      <c r="A725" s="12">
        <v>45100</v>
      </c>
      <c r="B725" s="8">
        <v>1848572</v>
      </c>
      <c r="C725" s="8">
        <v>1849142</v>
      </c>
      <c r="D725" s="13">
        <f t="shared" si="139"/>
        <v>570</v>
      </c>
      <c r="E725" s="69">
        <v>201909</v>
      </c>
      <c r="F725" s="69">
        <v>202465</v>
      </c>
      <c r="G725" s="133">
        <f t="shared" si="135"/>
        <v>556</v>
      </c>
      <c r="H725" s="8">
        <v>270109</v>
      </c>
      <c r="I725" s="8">
        <v>270109</v>
      </c>
      <c r="J725" s="13">
        <f t="shared" si="132"/>
        <v>0</v>
      </c>
      <c r="K725" s="138"/>
      <c r="L725" s="8">
        <v>725552</v>
      </c>
      <c r="M725" s="8">
        <v>726773</v>
      </c>
      <c r="N725" s="13">
        <f t="shared" si="134"/>
        <v>1221</v>
      </c>
      <c r="O725" s="136"/>
      <c r="P725" s="8">
        <v>414218</v>
      </c>
      <c r="Q725" s="8">
        <v>414778</v>
      </c>
      <c r="R725" s="133">
        <f t="shared" ref="R725:R788" si="140">Q725-P725</f>
        <v>560</v>
      </c>
      <c r="S725" s="8">
        <v>20520</v>
      </c>
      <c r="T725" s="8">
        <v>20561</v>
      </c>
      <c r="U725" s="133">
        <f t="shared" si="138"/>
        <v>41</v>
      </c>
      <c r="V725" s="8">
        <v>353986</v>
      </c>
      <c r="W725" s="8">
        <v>353986</v>
      </c>
      <c r="X725" s="13">
        <f t="shared" si="131"/>
        <v>0</v>
      </c>
      <c r="Y725" s="8">
        <v>28634</v>
      </c>
      <c r="Z725" s="8">
        <v>28658</v>
      </c>
      <c r="AA725" s="13">
        <f t="shared" si="136"/>
        <v>24</v>
      </c>
      <c r="AB725" s="8">
        <v>225966</v>
      </c>
      <c r="AC725" s="8">
        <v>226113</v>
      </c>
      <c r="AD725" s="13">
        <f t="shared" si="137"/>
        <v>147</v>
      </c>
      <c r="AE725" s="135"/>
      <c r="AF725" s="135"/>
      <c r="AG725" s="135"/>
      <c r="AH725" s="136"/>
      <c r="AI725" s="50">
        <f t="shared" si="133"/>
        <v>625</v>
      </c>
    </row>
    <row r="726" spans="1:35">
      <c r="A726" s="12">
        <v>45101</v>
      </c>
      <c r="B726" s="8">
        <v>1849142</v>
      </c>
      <c r="C726" s="8">
        <v>1849625</v>
      </c>
      <c r="D726" s="13">
        <f t="shared" si="139"/>
        <v>483</v>
      </c>
      <c r="E726" s="69">
        <v>202465</v>
      </c>
      <c r="F726" s="69">
        <v>202957</v>
      </c>
      <c r="G726" s="133">
        <f t="shared" si="135"/>
        <v>492</v>
      </c>
      <c r="H726" s="8">
        <v>270109</v>
      </c>
      <c r="I726" s="8">
        <v>270109</v>
      </c>
      <c r="J726" s="13">
        <f t="shared" si="132"/>
        <v>0</v>
      </c>
      <c r="K726" s="138"/>
      <c r="L726" s="8">
        <v>726773</v>
      </c>
      <c r="M726" s="8">
        <v>727948</v>
      </c>
      <c r="N726" s="13">
        <f t="shared" si="134"/>
        <v>1175</v>
      </c>
      <c r="O726" s="136"/>
      <c r="P726" s="8">
        <v>414778</v>
      </c>
      <c r="Q726" s="8">
        <v>415384</v>
      </c>
      <c r="R726" s="133">
        <f t="shared" si="140"/>
        <v>606</v>
      </c>
      <c r="S726" s="8">
        <v>20561</v>
      </c>
      <c r="T726" s="8">
        <v>20612</v>
      </c>
      <c r="U726" s="133">
        <f t="shared" si="138"/>
        <v>51</v>
      </c>
      <c r="V726" s="8">
        <v>353986</v>
      </c>
      <c r="W726" s="8">
        <v>353986</v>
      </c>
      <c r="X726" s="13">
        <f t="shared" si="131"/>
        <v>0</v>
      </c>
      <c r="Y726" s="8">
        <v>28658</v>
      </c>
      <c r="Z726" s="8">
        <v>28681</v>
      </c>
      <c r="AA726" s="13">
        <f t="shared" si="136"/>
        <v>23</v>
      </c>
      <c r="AB726" s="8">
        <v>226113</v>
      </c>
      <c r="AC726" s="8">
        <v>226241</v>
      </c>
      <c r="AD726" s="13">
        <f t="shared" si="137"/>
        <v>128</v>
      </c>
      <c r="AE726" s="135"/>
      <c r="AF726" s="135"/>
      <c r="AG726" s="135"/>
      <c r="AH726" s="136"/>
      <c r="AI726" s="50">
        <f t="shared" si="133"/>
        <v>680</v>
      </c>
    </row>
    <row r="727" spans="1:35">
      <c r="A727" s="12">
        <v>45102</v>
      </c>
      <c r="B727" s="8">
        <v>1849625</v>
      </c>
      <c r="C727" s="8">
        <v>1849894</v>
      </c>
      <c r="D727" s="13">
        <f t="shared" si="139"/>
        <v>269</v>
      </c>
      <c r="E727" s="69">
        <v>202957</v>
      </c>
      <c r="F727" s="69">
        <v>203426</v>
      </c>
      <c r="G727" s="133">
        <f t="shared" si="135"/>
        <v>469</v>
      </c>
      <c r="H727" s="8">
        <v>270109</v>
      </c>
      <c r="I727" s="8">
        <v>270109</v>
      </c>
      <c r="J727" s="13">
        <f t="shared" si="132"/>
        <v>0</v>
      </c>
      <c r="K727" s="138"/>
      <c r="L727" s="8">
        <v>727948</v>
      </c>
      <c r="M727" s="8">
        <v>728629</v>
      </c>
      <c r="N727" s="13">
        <f t="shared" si="134"/>
        <v>681</v>
      </c>
      <c r="O727" s="136"/>
      <c r="P727" s="8">
        <v>415384</v>
      </c>
      <c r="Q727" s="8">
        <v>415762</v>
      </c>
      <c r="R727" s="133">
        <f t="shared" si="140"/>
        <v>378</v>
      </c>
      <c r="S727" s="8">
        <v>20612</v>
      </c>
      <c r="T727" s="8">
        <v>20653</v>
      </c>
      <c r="U727" s="133">
        <f t="shared" si="138"/>
        <v>41</v>
      </c>
      <c r="V727" s="8">
        <v>353986</v>
      </c>
      <c r="W727" s="8">
        <v>353986</v>
      </c>
      <c r="X727" s="13">
        <f t="shared" si="131"/>
        <v>0</v>
      </c>
      <c r="Y727" s="8">
        <v>28681</v>
      </c>
      <c r="Z727" s="8">
        <v>28714</v>
      </c>
      <c r="AA727" s="13">
        <f t="shared" si="136"/>
        <v>33</v>
      </c>
      <c r="AB727" s="8">
        <v>226241</v>
      </c>
      <c r="AC727" s="8">
        <v>226327</v>
      </c>
      <c r="AD727" s="13">
        <f t="shared" si="137"/>
        <v>86</v>
      </c>
      <c r="AE727" s="135"/>
      <c r="AF727" s="135"/>
      <c r="AG727" s="135"/>
      <c r="AH727" s="136"/>
      <c r="AI727" s="50">
        <f t="shared" si="133"/>
        <v>452</v>
      </c>
    </row>
    <row r="728" spans="1:35">
      <c r="A728" s="12">
        <v>45103</v>
      </c>
      <c r="B728" s="8">
        <v>1849894</v>
      </c>
      <c r="C728" s="8">
        <v>1850094</v>
      </c>
      <c r="D728" s="13">
        <f t="shared" si="139"/>
        <v>200</v>
      </c>
      <c r="E728" s="69">
        <v>203426</v>
      </c>
      <c r="F728" s="69">
        <v>203964</v>
      </c>
      <c r="G728" s="133">
        <f t="shared" si="135"/>
        <v>538</v>
      </c>
      <c r="H728" s="8">
        <v>270109</v>
      </c>
      <c r="I728" s="8">
        <v>270444</v>
      </c>
      <c r="J728" s="13">
        <f t="shared" si="132"/>
        <v>335</v>
      </c>
      <c r="K728" s="138"/>
      <c r="L728" s="8">
        <v>728629</v>
      </c>
      <c r="M728" s="8">
        <v>728989</v>
      </c>
      <c r="N728" s="13">
        <f t="shared" si="134"/>
        <v>360</v>
      </c>
      <c r="O728" s="136"/>
      <c r="P728" s="8">
        <v>415762</v>
      </c>
      <c r="Q728" s="8">
        <v>415821</v>
      </c>
      <c r="R728" s="133">
        <f t="shared" si="140"/>
        <v>59</v>
      </c>
      <c r="S728" s="8">
        <v>20653</v>
      </c>
      <c r="T728" s="8">
        <v>20697</v>
      </c>
      <c r="U728" s="133">
        <f t="shared" si="138"/>
        <v>44</v>
      </c>
      <c r="V728" s="8">
        <v>353986</v>
      </c>
      <c r="W728" s="8">
        <v>353986</v>
      </c>
      <c r="X728" s="13">
        <f t="shared" si="131"/>
        <v>0</v>
      </c>
      <c r="Y728" s="8">
        <v>28714</v>
      </c>
      <c r="Z728" s="8">
        <v>28738</v>
      </c>
      <c r="AA728" s="13">
        <f t="shared" si="136"/>
        <v>24</v>
      </c>
      <c r="AB728" s="8">
        <v>226327</v>
      </c>
      <c r="AC728" s="8">
        <v>226416</v>
      </c>
      <c r="AD728" s="13">
        <f t="shared" si="137"/>
        <v>89</v>
      </c>
      <c r="AE728" s="135"/>
      <c r="AF728" s="135"/>
      <c r="AG728" s="135"/>
      <c r="AH728" s="136"/>
      <c r="AI728" s="50">
        <f t="shared" si="133"/>
        <v>127</v>
      </c>
    </row>
    <row r="729" spans="1:35">
      <c r="A729" s="12">
        <v>45104</v>
      </c>
      <c r="B729" s="8">
        <v>1850094</v>
      </c>
      <c r="C729" s="8">
        <v>1850352</v>
      </c>
      <c r="D729" s="13">
        <f t="shared" si="139"/>
        <v>258</v>
      </c>
      <c r="E729" s="69">
        <v>203964</v>
      </c>
      <c r="F729" s="69">
        <v>204631</v>
      </c>
      <c r="G729" s="133">
        <f t="shared" si="135"/>
        <v>667</v>
      </c>
      <c r="H729" s="8">
        <v>270444</v>
      </c>
      <c r="I729" s="8">
        <v>271232</v>
      </c>
      <c r="J729" s="13">
        <f t="shared" si="132"/>
        <v>788</v>
      </c>
      <c r="K729" s="138"/>
      <c r="L729" s="8">
        <v>728989</v>
      </c>
      <c r="M729" s="8">
        <v>729383</v>
      </c>
      <c r="N729" s="13">
        <f t="shared" si="134"/>
        <v>394</v>
      </c>
      <c r="O729" s="136"/>
      <c r="P729" s="8">
        <v>415821</v>
      </c>
      <c r="Q729" s="8">
        <v>415821</v>
      </c>
      <c r="R729" s="133">
        <f t="shared" si="140"/>
        <v>0</v>
      </c>
      <c r="S729" s="8">
        <v>20697</v>
      </c>
      <c r="T729" s="8">
        <v>20740</v>
      </c>
      <c r="U729" s="133">
        <f t="shared" si="138"/>
        <v>43</v>
      </c>
      <c r="V729" s="8">
        <v>353986</v>
      </c>
      <c r="W729" s="8">
        <v>353986</v>
      </c>
      <c r="X729" s="13">
        <f t="shared" si="131"/>
        <v>0</v>
      </c>
      <c r="Y729" s="8">
        <v>28738</v>
      </c>
      <c r="Z729" s="8">
        <v>28758</v>
      </c>
      <c r="AA729" s="13">
        <f t="shared" si="136"/>
        <v>20</v>
      </c>
      <c r="AB729" s="8">
        <v>226416</v>
      </c>
      <c r="AC729" s="8">
        <v>226491</v>
      </c>
      <c r="AD729" s="13">
        <f t="shared" si="137"/>
        <v>75</v>
      </c>
      <c r="AE729" s="135"/>
      <c r="AF729" s="135"/>
      <c r="AG729" s="135"/>
      <c r="AH729" s="136"/>
      <c r="AI729" s="50">
        <f t="shared" si="133"/>
        <v>63</v>
      </c>
    </row>
    <row r="730" spans="1:35">
      <c r="A730" s="12">
        <v>45105</v>
      </c>
      <c r="B730" s="8">
        <v>1850352</v>
      </c>
      <c r="C730" s="8">
        <v>1850545</v>
      </c>
      <c r="D730" s="13">
        <f t="shared" si="139"/>
        <v>193</v>
      </c>
      <c r="E730" s="69">
        <v>204631</v>
      </c>
      <c r="F730" s="69">
        <v>205189</v>
      </c>
      <c r="G730" s="133">
        <f t="shared" si="135"/>
        <v>558</v>
      </c>
      <c r="H730" s="8">
        <v>271232</v>
      </c>
      <c r="I730" s="8">
        <v>271352</v>
      </c>
      <c r="J730" s="13">
        <f t="shared" si="132"/>
        <v>120</v>
      </c>
      <c r="K730" s="138"/>
      <c r="L730" s="8">
        <v>729383</v>
      </c>
      <c r="M730" s="8">
        <v>730329</v>
      </c>
      <c r="N730" s="13">
        <f t="shared" si="134"/>
        <v>946</v>
      </c>
      <c r="O730" s="136"/>
      <c r="P730" s="8">
        <v>415821</v>
      </c>
      <c r="Q730" s="8">
        <v>415821</v>
      </c>
      <c r="R730" s="133">
        <f t="shared" si="140"/>
        <v>0</v>
      </c>
      <c r="S730" s="8">
        <v>20740</v>
      </c>
      <c r="T730" s="8">
        <v>20791</v>
      </c>
      <c r="U730" s="133">
        <f t="shared" si="138"/>
        <v>51</v>
      </c>
      <c r="V730" s="8">
        <v>353986</v>
      </c>
      <c r="W730" s="8">
        <v>353986</v>
      </c>
      <c r="X730" s="13">
        <f t="shared" si="131"/>
        <v>0</v>
      </c>
      <c r="Y730" s="8">
        <v>28758</v>
      </c>
      <c r="Z730" s="8">
        <v>28781</v>
      </c>
      <c r="AA730" s="13">
        <f t="shared" si="136"/>
        <v>23</v>
      </c>
      <c r="AB730" s="8">
        <v>226491</v>
      </c>
      <c r="AC730" s="8">
        <v>226578</v>
      </c>
      <c r="AD730" s="13">
        <f t="shared" si="137"/>
        <v>87</v>
      </c>
      <c r="AE730" s="135"/>
      <c r="AF730" s="135"/>
      <c r="AG730" s="135"/>
      <c r="AH730" s="136"/>
      <c r="AI730" s="50">
        <f t="shared" si="133"/>
        <v>74</v>
      </c>
    </row>
    <row r="731" spans="1:35">
      <c r="A731" s="12">
        <v>45106</v>
      </c>
      <c r="B731" s="8">
        <v>1850545</v>
      </c>
      <c r="C731" s="8">
        <v>1851224</v>
      </c>
      <c r="D731" s="13">
        <f t="shared" si="139"/>
        <v>679</v>
      </c>
      <c r="E731" s="69">
        <v>205189</v>
      </c>
      <c r="F731" s="69">
        <v>205981</v>
      </c>
      <c r="G731" s="133">
        <f t="shared" si="135"/>
        <v>792</v>
      </c>
      <c r="H731" s="8">
        <v>271352</v>
      </c>
      <c r="I731" s="8">
        <v>271352</v>
      </c>
      <c r="J731" s="13">
        <f t="shared" si="132"/>
        <v>0</v>
      </c>
      <c r="K731" s="138"/>
      <c r="L731" s="8">
        <v>730329</v>
      </c>
      <c r="M731" s="8">
        <v>731039</v>
      </c>
      <c r="N731" s="13">
        <f t="shared" si="134"/>
        <v>710</v>
      </c>
      <c r="O731" s="136"/>
      <c r="P731" s="8">
        <v>415821</v>
      </c>
      <c r="Q731" s="8">
        <v>416211</v>
      </c>
      <c r="R731" s="133">
        <f t="shared" si="140"/>
        <v>390</v>
      </c>
      <c r="S731" s="8">
        <v>20791</v>
      </c>
      <c r="T731" s="8">
        <v>20835</v>
      </c>
      <c r="U731" s="133">
        <f t="shared" si="138"/>
        <v>44</v>
      </c>
      <c r="V731" s="8">
        <v>353986</v>
      </c>
      <c r="W731" s="8">
        <v>353986</v>
      </c>
      <c r="X731" s="13">
        <f t="shared" si="131"/>
        <v>0</v>
      </c>
      <c r="Y731" s="8">
        <v>28781</v>
      </c>
      <c r="Z731" s="8">
        <v>28801</v>
      </c>
      <c r="AA731" s="13">
        <f t="shared" si="136"/>
        <v>20</v>
      </c>
      <c r="AB731" s="8">
        <v>226578</v>
      </c>
      <c r="AC731" s="8">
        <v>226675</v>
      </c>
      <c r="AD731" s="13">
        <f t="shared" si="137"/>
        <v>97</v>
      </c>
      <c r="AE731" s="135"/>
      <c r="AF731" s="135"/>
      <c r="AG731" s="135"/>
      <c r="AH731" s="136"/>
      <c r="AI731" s="50">
        <f t="shared" si="133"/>
        <v>454</v>
      </c>
    </row>
    <row r="732" spans="1:35">
      <c r="A732" s="12">
        <v>45107</v>
      </c>
      <c r="B732" s="8">
        <v>1851224</v>
      </c>
      <c r="C732" s="8">
        <v>1852057</v>
      </c>
      <c r="D732" s="13">
        <f t="shared" si="139"/>
        <v>833</v>
      </c>
      <c r="E732" s="69">
        <v>205981</v>
      </c>
      <c r="F732" s="69">
        <v>206426</v>
      </c>
      <c r="G732" s="133">
        <f t="shared" si="135"/>
        <v>445</v>
      </c>
      <c r="H732" s="8">
        <v>271352</v>
      </c>
      <c r="I732" s="8">
        <v>271352</v>
      </c>
      <c r="J732" s="13">
        <f t="shared" si="132"/>
        <v>0</v>
      </c>
      <c r="K732" s="138"/>
      <c r="L732" s="8">
        <v>731039</v>
      </c>
      <c r="M732" s="8">
        <v>732008</v>
      </c>
      <c r="N732" s="13">
        <f t="shared" si="134"/>
        <v>969</v>
      </c>
      <c r="O732" s="136"/>
      <c r="P732" s="8">
        <v>416211</v>
      </c>
      <c r="Q732" s="8">
        <v>416290</v>
      </c>
      <c r="R732" s="133">
        <f t="shared" si="140"/>
        <v>79</v>
      </c>
      <c r="S732" s="8">
        <v>20835</v>
      </c>
      <c r="T732" s="8">
        <v>20875</v>
      </c>
      <c r="U732" s="133">
        <f t="shared" si="138"/>
        <v>40</v>
      </c>
      <c r="V732" s="8">
        <v>353986</v>
      </c>
      <c r="W732" s="8">
        <v>353986</v>
      </c>
      <c r="X732" s="13">
        <f t="shared" si="131"/>
        <v>0</v>
      </c>
      <c r="Y732" s="8">
        <v>28801</v>
      </c>
      <c r="Z732" s="8">
        <v>28813</v>
      </c>
      <c r="AA732" s="13">
        <f t="shared" si="136"/>
        <v>12</v>
      </c>
      <c r="AB732" s="8">
        <v>226675</v>
      </c>
      <c r="AC732" s="8">
        <v>226770</v>
      </c>
      <c r="AD732" s="13">
        <f t="shared" si="137"/>
        <v>95</v>
      </c>
      <c r="AE732" s="135"/>
      <c r="AF732" s="135"/>
      <c r="AG732" s="135"/>
      <c r="AH732" s="136"/>
      <c r="AI732" s="50">
        <f t="shared" si="133"/>
        <v>131</v>
      </c>
    </row>
    <row r="733" spans="1:35">
      <c r="A733" s="12">
        <v>45108</v>
      </c>
      <c r="B733" s="8">
        <v>1852057</v>
      </c>
      <c r="C733" s="8">
        <v>1852705</v>
      </c>
      <c r="D733" s="13">
        <f t="shared" si="139"/>
        <v>648</v>
      </c>
      <c r="E733" s="69">
        <v>206426</v>
      </c>
      <c r="F733" s="69">
        <v>207001</v>
      </c>
      <c r="G733" s="133">
        <f t="shared" si="135"/>
        <v>575</v>
      </c>
      <c r="H733" s="8">
        <v>271352</v>
      </c>
      <c r="I733" s="8">
        <v>271553</v>
      </c>
      <c r="J733" s="13">
        <f t="shared" si="132"/>
        <v>201</v>
      </c>
      <c r="K733" s="138"/>
      <c r="L733" s="8">
        <v>732008</v>
      </c>
      <c r="M733" s="8">
        <v>732562</v>
      </c>
      <c r="N733" s="13">
        <f t="shared" si="134"/>
        <v>554</v>
      </c>
      <c r="O733" s="136"/>
      <c r="P733" s="8">
        <v>416290</v>
      </c>
      <c r="Q733" s="8">
        <v>416290</v>
      </c>
      <c r="R733" s="133">
        <f t="shared" si="140"/>
        <v>0</v>
      </c>
      <c r="S733" s="8">
        <v>20875</v>
      </c>
      <c r="T733" s="8">
        <v>20925</v>
      </c>
      <c r="U733" s="133">
        <f t="shared" si="138"/>
        <v>50</v>
      </c>
      <c r="V733" s="8">
        <v>353986</v>
      </c>
      <c r="W733" s="8">
        <v>353986</v>
      </c>
      <c r="X733" s="13">
        <f t="shared" si="131"/>
        <v>0</v>
      </c>
      <c r="Y733" s="8">
        <v>28813</v>
      </c>
      <c r="Z733" s="8">
        <v>28852</v>
      </c>
      <c r="AA733" s="13">
        <f t="shared" si="136"/>
        <v>39</v>
      </c>
      <c r="AB733" s="8">
        <v>226770</v>
      </c>
      <c r="AC733" s="8">
        <v>226867</v>
      </c>
      <c r="AD733" s="13">
        <f t="shared" si="137"/>
        <v>97</v>
      </c>
      <c r="AE733" s="135"/>
      <c r="AF733" s="135"/>
      <c r="AG733" s="135"/>
      <c r="AH733" s="136"/>
      <c r="AI733" s="50">
        <f t="shared" si="133"/>
        <v>89</v>
      </c>
    </row>
    <row r="734" spans="1:35">
      <c r="A734" s="12">
        <v>45109</v>
      </c>
      <c r="B734" s="8">
        <v>1852705</v>
      </c>
      <c r="C734" s="8">
        <v>1852705</v>
      </c>
      <c r="D734" s="13">
        <f t="shared" si="139"/>
        <v>0</v>
      </c>
      <c r="E734" s="69">
        <v>207001</v>
      </c>
      <c r="F734" s="69">
        <v>207152</v>
      </c>
      <c r="G734" s="133">
        <f t="shared" si="135"/>
        <v>151</v>
      </c>
      <c r="H734" s="8">
        <v>271553</v>
      </c>
      <c r="I734" s="8">
        <v>272992</v>
      </c>
      <c r="J734" s="13">
        <f t="shared" si="132"/>
        <v>1439</v>
      </c>
      <c r="K734" s="138"/>
      <c r="L734" s="8">
        <v>732562</v>
      </c>
      <c r="M734" s="8">
        <v>732967</v>
      </c>
      <c r="N734" s="13">
        <f t="shared" si="134"/>
        <v>405</v>
      </c>
      <c r="O734" s="136"/>
      <c r="P734" s="8">
        <v>416290</v>
      </c>
      <c r="Q734" s="8">
        <v>416290</v>
      </c>
      <c r="R734" s="133">
        <f t="shared" si="140"/>
        <v>0</v>
      </c>
      <c r="S734" s="8">
        <v>20925</v>
      </c>
      <c r="T734" s="8">
        <v>20976</v>
      </c>
      <c r="U734" s="133">
        <f t="shared" si="138"/>
        <v>51</v>
      </c>
      <c r="V734" s="8">
        <v>353986</v>
      </c>
      <c r="W734" s="8">
        <v>353986</v>
      </c>
      <c r="X734" s="13">
        <f t="shared" si="131"/>
        <v>0</v>
      </c>
      <c r="Y734" s="8">
        <v>28852</v>
      </c>
      <c r="Z734" s="8">
        <v>28873</v>
      </c>
      <c r="AA734" s="13">
        <f t="shared" si="136"/>
        <v>21</v>
      </c>
      <c r="AB734" s="8">
        <v>226867</v>
      </c>
      <c r="AC734" s="8">
        <v>226964</v>
      </c>
      <c r="AD734" s="13">
        <f t="shared" si="137"/>
        <v>97</v>
      </c>
      <c r="AE734" s="135"/>
      <c r="AF734" s="135"/>
      <c r="AG734" s="135"/>
      <c r="AH734" s="136"/>
      <c r="AI734" s="50">
        <f t="shared" si="133"/>
        <v>72</v>
      </c>
    </row>
    <row r="735" spans="1:35">
      <c r="A735" s="12">
        <v>45110</v>
      </c>
      <c r="B735" s="8">
        <v>1852705</v>
      </c>
      <c r="C735" s="8">
        <v>1852794</v>
      </c>
      <c r="D735" s="13">
        <f t="shared" si="139"/>
        <v>89</v>
      </c>
      <c r="E735" s="69">
        <v>207152</v>
      </c>
      <c r="F735" s="69">
        <v>207823</v>
      </c>
      <c r="G735" s="133">
        <f t="shared" si="135"/>
        <v>671</v>
      </c>
      <c r="H735" s="8">
        <v>272992</v>
      </c>
      <c r="I735" s="8">
        <v>273072</v>
      </c>
      <c r="J735" s="13">
        <f t="shared" si="132"/>
        <v>80</v>
      </c>
      <c r="K735" s="138"/>
      <c r="L735" s="8">
        <v>732967</v>
      </c>
      <c r="M735" s="8">
        <v>733935</v>
      </c>
      <c r="N735" s="13">
        <f t="shared" si="134"/>
        <v>968</v>
      </c>
      <c r="O735" s="136"/>
      <c r="P735" s="8">
        <v>416290</v>
      </c>
      <c r="Q735" s="8">
        <v>416356</v>
      </c>
      <c r="R735" s="133">
        <f t="shared" si="140"/>
        <v>66</v>
      </c>
      <c r="S735" s="8">
        <v>20976</v>
      </c>
      <c r="T735" s="8">
        <v>21045</v>
      </c>
      <c r="U735" s="133">
        <f t="shared" si="138"/>
        <v>69</v>
      </c>
      <c r="V735" s="8">
        <v>353986</v>
      </c>
      <c r="W735" s="8">
        <v>353986</v>
      </c>
      <c r="X735" s="13">
        <f t="shared" si="131"/>
        <v>0</v>
      </c>
      <c r="Y735" s="8">
        <v>28873</v>
      </c>
      <c r="Z735" s="8">
        <v>28895</v>
      </c>
      <c r="AA735" s="13">
        <f t="shared" si="136"/>
        <v>22</v>
      </c>
      <c r="AB735" s="8">
        <v>226964</v>
      </c>
      <c r="AC735" s="8">
        <v>227041</v>
      </c>
      <c r="AD735" s="13">
        <f t="shared" si="137"/>
        <v>77</v>
      </c>
      <c r="AE735" s="135"/>
      <c r="AF735" s="135"/>
      <c r="AG735" s="135"/>
      <c r="AH735" s="136"/>
      <c r="AI735" s="50">
        <f t="shared" si="133"/>
        <v>157</v>
      </c>
    </row>
    <row r="736" spans="1:35">
      <c r="A736" s="12">
        <v>45111</v>
      </c>
      <c r="B736" s="8">
        <v>1852794</v>
      </c>
      <c r="C736" s="8">
        <v>1853624</v>
      </c>
      <c r="D736" s="13">
        <f t="shared" si="139"/>
        <v>830</v>
      </c>
      <c r="E736" s="69">
        <v>207823</v>
      </c>
      <c r="F736" s="69">
        <v>208589</v>
      </c>
      <c r="G736" s="133">
        <f t="shared" si="135"/>
        <v>766</v>
      </c>
      <c r="H736" s="8">
        <v>273072</v>
      </c>
      <c r="I736" s="8">
        <v>273072</v>
      </c>
      <c r="J736" s="13">
        <f t="shared" si="132"/>
        <v>0</v>
      </c>
      <c r="K736" s="138"/>
      <c r="L736" s="8">
        <v>733935</v>
      </c>
      <c r="M736" s="8">
        <v>735072</v>
      </c>
      <c r="N736" s="13">
        <f t="shared" si="134"/>
        <v>1137</v>
      </c>
      <c r="O736" s="136"/>
      <c r="P736" s="8">
        <v>416356</v>
      </c>
      <c r="Q736" s="8">
        <v>416855</v>
      </c>
      <c r="R736" s="133">
        <f t="shared" si="140"/>
        <v>499</v>
      </c>
      <c r="S736" s="8">
        <v>21045</v>
      </c>
      <c r="T736" s="8">
        <v>21068</v>
      </c>
      <c r="U736" s="133">
        <f t="shared" si="138"/>
        <v>23</v>
      </c>
      <c r="V736" s="8">
        <v>353986</v>
      </c>
      <c r="W736" s="8">
        <v>353986</v>
      </c>
      <c r="X736" s="13">
        <f t="shared" si="131"/>
        <v>0</v>
      </c>
      <c r="Y736" s="8">
        <v>28895</v>
      </c>
      <c r="Z736" s="8">
        <v>28918</v>
      </c>
      <c r="AA736" s="13">
        <f t="shared" si="136"/>
        <v>23</v>
      </c>
      <c r="AB736" s="8">
        <v>227041</v>
      </c>
      <c r="AC736" s="8">
        <v>227137</v>
      </c>
      <c r="AD736" s="13">
        <f t="shared" si="137"/>
        <v>96</v>
      </c>
      <c r="AE736" s="135"/>
      <c r="AF736" s="135"/>
      <c r="AG736" s="135"/>
      <c r="AH736" s="136"/>
      <c r="AI736" s="50">
        <f t="shared" si="133"/>
        <v>545</v>
      </c>
    </row>
    <row r="737" spans="1:35">
      <c r="A737" s="12">
        <v>45112</v>
      </c>
      <c r="B737" s="8">
        <v>1853624</v>
      </c>
      <c r="C737" s="8">
        <v>1854392</v>
      </c>
      <c r="D737" s="13">
        <f t="shared" si="139"/>
        <v>768</v>
      </c>
      <c r="E737" s="69">
        <v>208589</v>
      </c>
      <c r="F737" s="69">
        <v>209108</v>
      </c>
      <c r="G737" s="133">
        <f t="shared" si="135"/>
        <v>519</v>
      </c>
      <c r="H737" s="8">
        <v>273072</v>
      </c>
      <c r="I737" s="8">
        <v>273072</v>
      </c>
      <c r="J737" s="13">
        <f t="shared" si="132"/>
        <v>0</v>
      </c>
      <c r="K737" s="138"/>
      <c r="L737" s="8">
        <v>735072</v>
      </c>
      <c r="M737" s="8">
        <v>736225</v>
      </c>
      <c r="N737" s="13">
        <f t="shared" si="134"/>
        <v>1153</v>
      </c>
      <c r="O737" s="136"/>
      <c r="P737" s="8">
        <v>416855</v>
      </c>
      <c r="Q737" s="8">
        <v>417475</v>
      </c>
      <c r="R737" s="133">
        <f t="shared" si="140"/>
        <v>620</v>
      </c>
      <c r="S737" s="8">
        <v>21068</v>
      </c>
      <c r="T737" s="8">
        <v>21135</v>
      </c>
      <c r="U737" s="133">
        <f t="shared" si="138"/>
        <v>67</v>
      </c>
      <c r="V737" s="8">
        <v>353986</v>
      </c>
      <c r="W737" s="8">
        <v>353986</v>
      </c>
      <c r="X737" s="13">
        <f t="shared" si="131"/>
        <v>0</v>
      </c>
      <c r="Y737" s="8">
        <v>28918</v>
      </c>
      <c r="Z737" s="8">
        <v>28940</v>
      </c>
      <c r="AA737" s="13">
        <f t="shared" si="136"/>
        <v>22</v>
      </c>
      <c r="AB737" s="8">
        <v>227137</v>
      </c>
      <c r="AC737" s="8">
        <v>227152</v>
      </c>
      <c r="AD737" s="13">
        <f t="shared" si="137"/>
        <v>15</v>
      </c>
      <c r="AE737" s="135"/>
      <c r="AF737" s="135"/>
      <c r="AG737" s="135"/>
      <c r="AH737" s="136"/>
      <c r="AI737" s="50">
        <f t="shared" si="133"/>
        <v>709</v>
      </c>
    </row>
    <row r="738" spans="1:35">
      <c r="A738" s="12">
        <v>45113</v>
      </c>
      <c r="B738" s="8">
        <v>1854392</v>
      </c>
      <c r="C738" s="8">
        <v>1855286</v>
      </c>
      <c r="D738" s="13">
        <f t="shared" si="139"/>
        <v>894</v>
      </c>
      <c r="E738" s="69">
        <v>209108</v>
      </c>
      <c r="F738" s="69">
        <v>209579</v>
      </c>
      <c r="G738" s="133">
        <f t="shared" si="135"/>
        <v>471</v>
      </c>
      <c r="H738" s="8">
        <v>273072</v>
      </c>
      <c r="I738" s="8">
        <v>273072</v>
      </c>
      <c r="J738" s="13">
        <f t="shared" si="132"/>
        <v>0</v>
      </c>
      <c r="K738" s="138"/>
      <c r="L738" s="8">
        <v>736225</v>
      </c>
      <c r="M738" s="8">
        <v>737332</v>
      </c>
      <c r="N738" s="13">
        <f t="shared" si="134"/>
        <v>1107</v>
      </c>
      <c r="O738" s="136"/>
      <c r="P738" s="8">
        <v>417475</v>
      </c>
      <c r="Q738" s="8">
        <v>417996</v>
      </c>
      <c r="R738" s="133">
        <f t="shared" si="140"/>
        <v>521</v>
      </c>
      <c r="S738" s="8">
        <v>21135</v>
      </c>
      <c r="T738" s="8">
        <v>21183</v>
      </c>
      <c r="U738" s="133">
        <f t="shared" si="138"/>
        <v>48</v>
      </c>
      <c r="V738" s="8">
        <v>353986</v>
      </c>
      <c r="W738" s="8">
        <v>353986</v>
      </c>
      <c r="X738" s="13">
        <f t="shared" si="131"/>
        <v>0</v>
      </c>
      <c r="Y738" s="8">
        <v>28940</v>
      </c>
      <c r="Z738" s="8">
        <v>28963</v>
      </c>
      <c r="AA738" s="13">
        <f t="shared" si="136"/>
        <v>23</v>
      </c>
      <c r="AB738" s="8">
        <v>227152</v>
      </c>
      <c r="AC738" s="8">
        <v>227247</v>
      </c>
      <c r="AD738" s="13">
        <f t="shared" si="137"/>
        <v>95</v>
      </c>
      <c r="AE738" s="135"/>
      <c r="AF738" s="135"/>
      <c r="AG738" s="135"/>
      <c r="AH738" s="136"/>
      <c r="AI738" s="50">
        <f t="shared" si="133"/>
        <v>592</v>
      </c>
    </row>
    <row r="739" spans="1:35">
      <c r="A739" s="12">
        <v>45114</v>
      </c>
      <c r="B739" s="8">
        <v>1855286</v>
      </c>
      <c r="C739" s="8">
        <v>1856164</v>
      </c>
      <c r="D739" s="13">
        <f t="shared" si="139"/>
        <v>878</v>
      </c>
      <c r="E739" s="69">
        <v>209579</v>
      </c>
      <c r="F739" s="69">
        <v>209889</v>
      </c>
      <c r="G739" s="133">
        <f t="shared" si="135"/>
        <v>310</v>
      </c>
      <c r="H739" s="8">
        <v>273072</v>
      </c>
      <c r="I739" s="8">
        <v>273072</v>
      </c>
      <c r="J739" s="13">
        <f t="shared" si="132"/>
        <v>0</v>
      </c>
      <c r="K739" s="138"/>
      <c r="L739" s="8">
        <v>737332</v>
      </c>
      <c r="M739" s="8">
        <v>738456</v>
      </c>
      <c r="N739" s="13">
        <f t="shared" si="134"/>
        <v>1124</v>
      </c>
      <c r="O739" s="136"/>
      <c r="P739" s="8">
        <v>417996</v>
      </c>
      <c r="Q739" s="8">
        <v>418476</v>
      </c>
      <c r="R739" s="133">
        <f t="shared" si="140"/>
        <v>480</v>
      </c>
      <c r="S739" s="8">
        <v>21183</v>
      </c>
      <c r="T739" s="8">
        <v>21225</v>
      </c>
      <c r="U739" s="133">
        <f t="shared" si="138"/>
        <v>42</v>
      </c>
      <c r="V739" s="8">
        <v>353986</v>
      </c>
      <c r="W739" s="8">
        <v>353986</v>
      </c>
      <c r="X739" s="13">
        <f t="shared" si="131"/>
        <v>0</v>
      </c>
      <c r="Y739" s="8">
        <v>28963</v>
      </c>
      <c r="Z739" s="8">
        <v>29141</v>
      </c>
      <c r="AA739" s="13">
        <f t="shared" si="136"/>
        <v>178</v>
      </c>
      <c r="AB739" s="8">
        <v>227247</v>
      </c>
      <c r="AC739" s="8">
        <v>227298</v>
      </c>
      <c r="AD739" s="13">
        <f t="shared" si="137"/>
        <v>51</v>
      </c>
      <c r="AE739" s="135"/>
      <c r="AF739" s="135"/>
      <c r="AG739" s="135"/>
      <c r="AH739" s="136"/>
      <c r="AI739" s="50">
        <f t="shared" si="133"/>
        <v>700</v>
      </c>
    </row>
    <row r="740" spans="1:35">
      <c r="A740" s="12">
        <v>45115</v>
      </c>
      <c r="B740" s="8">
        <v>1856164</v>
      </c>
      <c r="C740" s="8">
        <v>1856791</v>
      </c>
      <c r="D740" s="13">
        <f t="shared" si="139"/>
        <v>627</v>
      </c>
      <c r="E740" s="69">
        <v>209889</v>
      </c>
      <c r="F740" s="69">
        <v>210109</v>
      </c>
      <c r="G740" s="133">
        <f t="shared" si="135"/>
        <v>220</v>
      </c>
      <c r="H740" s="8">
        <v>273072</v>
      </c>
      <c r="I740" s="8">
        <v>273072</v>
      </c>
      <c r="J740" s="13">
        <f t="shared" si="132"/>
        <v>0</v>
      </c>
      <c r="K740" s="138"/>
      <c r="L740" s="8">
        <v>738456</v>
      </c>
      <c r="M740" s="8">
        <v>739836</v>
      </c>
      <c r="N740" s="13">
        <f t="shared" si="134"/>
        <v>1380</v>
      </c>
      <c r="O740" s="136"/>
      <c r="P740" s="8">
        <v>418476</v>
      </c>
      <c r="Q740" s="8">
        <v>419087</v>
      </c>
      <c r="R740" s="133">
        <f t="shared" si="140"/>
        <v>611</v>
      </c>
      <c r="S740" s="8">
        <v>21225</v>
      </c>
      <c r="T740" s="8">
        <v>21268</v>
      </c>
      <c r="U740" s="133">
        <f t="shared" si="138"/>
        <v>43</v>
      </c>
      <c r="V740" s="8">
        <v>353986</v>
      </c>
      <c r="W740" s="8">
        <v>353986</v>
      </c>
      <c r="X740" s="13">
        <f t="shared" si="131"/>
        <v>0</v>
      </c>
      <c r="Y740" s="8">
        <v>29141</v>
      </c>
      <c r="Z740" s="8">
        <v>29182</v>
      </c>
      <c r="AA740" s="13">
        <f t="shared" si="136"/>
        <v>41</v>
      </c>
      <c r="AB740" s="8">
        <v>227298</v>
      </c>
      <c r="AC740" s="8">
        <v>227342</v>
      </c>
      <c r="AD740" s="13">
        <f t="shared" si="137"/>
        <v>44</v>
      </c>
      <c r="AE740" s="135"/>
      <c r="AF740" s="135"/>
      <c r="AG740" s="135"/>
      <c r="AH740" s="136"/>
      <c r="AI740" s="50">
        <f t="shared" si="133"/>
        <v>695</v>
      </c>
    </row>
    <row r="741" spans="1:35">
      <c r="A741" s="12">
        <v>45116</v>
      </c>
      <c r="B741" s="8">
        <v>1856791</v>
      </c>
      <c r="C741" s="8">
        <v>1857681</v>
      </c>
      <c r="D741" s="13">
        <f t="shared" si="139"/>
        <v>890</v>
      </c>
      <c r="E741" s="69">
        <v>210109</v>
      </c>
      <c r="F741" s="69">
        <v>210316</v>
      </c>
      <c r="G741" s="133">
        <f t="shared" si="135"/>
        <v>207</v>
      </c>
      <c r="H741" s="8">
        <v>273072</v>
      </c>
      <c r="I741" s="8">
        <v>273072</v>
      </c>
      <c r="J741" s="13">
        <f t="shared" si="132"/>
        <v>0</v>
      </c>
      <c r="K741" s="138"/>
      <c r="L741" s="8">
        <v>739836</v>
      </c>
      <c r="M741" s="8">
        <v>741169</v>
      </c>
      <c r="N741" s="13">
        <f t="shared" si="134"/>
        <v>1333</v>
      </c>
      <c r="O741" s="136"/>
      <c r="P741" s="8">
        <v>419087</v>
      </c>
      <c r="Q741" s="8">
        <v>419660</v>
      </c>
      <c r="R741" s="133">
        <f t="shared" si="140"/>
        <v>573</v>
      </c>
      <c r="S741" s="8">
        <v>21268</v>
      </c>
      <c r="T741" s="8">
        <v>21322</v>
      </c>
      <c r="U741" s="133">
        <f t="shared" si="138"/>
        <v>54</v>
      </c>
      <c r="V741" s="8">
        <v>353986</v>
      </c>
      <c r="W741" s="8">
        <v>353986</v>
      </c>
      <c r="X741" s="13">
        <f t="shared" si="131"/>
        <v>0</v>
      </c>
      <c r="Y741" s="8">
        <v>29182</v>
      </c>
      <c r="Z741" s="8">
        <v>29212</v>
      </c>
      <c r="AA741" s="13">
        <f t="shared" si="136"/>
        <v>30</v>
      </c>
      <c r="AB741" s="8">
        <v>227342</v>
      </c>
      <c r="AC741" s="8">
        <v>227472</v>
      </c>
      <c r="AD741" s="13">
        <f t="shared" si="137"/>
        <v>130</v>
      </c>
      <c r="AE741" s="135"/>
      <c r="AF741" s="135"/>
      <c r="AG741" s="135"/>
      <c r="AH741" s="136"/>
      <c r="AI741" s="50">
        <f t="shared" si="133"/>
        <v>657</v>
      </c>
    </row>
    <row r="742" spans="1:35">
      <c r="A742" s="12">
        <v>45117</v>
      </c>
      <c r="B742" s="8">
        <v>1857681</v>
      </c>
      <c r="C742" s="8">
        <v>1858416</v>
      </c>
      <c r="D742" s="13">
        <f t="shared" si="139"/>
        <v>735</v>
      </c>
      <c r="E742" s="69">
        <v>210316</v>
      </c>
      <c r="F742" s="69">
        <v>210669</v>
      </c>
      <c r="G742" s="133">
        <f t="shared" si="135"/>
        <v>353</v>
      </c>
      <c r="H742" s="8">
        <v>273072</v>
      </c>
      <c r="I742" s="8">
        <v>273224</v>
      </c>
      <c r="J742" s="13">
        <f t="shared" si="132"/>
        <v>152</v>
      </c>
      <c r="K742" s="138"/>
      <c r="L742" s="8">
        <v>741169</v>
      </c>
      <c r="M742" s="8">
        <v>742024</v>
      </c>
      <c r="N742" s="13">
        <f t="shared" si="134"/>
        <v>855</v>
      </c>
      <c r="O742" s="136"/>
      <c r="P742" s="8">
        <v>419660</v>
      </c>
      <c r="Q742" s="8">
        <v>419994</v>
      </c>
      <c r="R742" s="133">
        <f t="shared" si="140"/>
        <v>334</v>
      </c>
      <c r="S742" s="8">
        <v>21322</v>
      </c>
      <c r="T742" s="8">
        <v>21386</v>
      </c>
      <c r="U742" s="133">
        <f t="shared" si="138"/>
        <v>64</v>
      </c>
      <c r="V742" s="8">
        <v>353986</v>
      </c>
      <c r="W742" s="8">
        <v>353986</v>
      </c>
      <c r="X742" s="13">
        <f t="shared" si="131"/>
        <v>0</v>
      </c>
      <c r="Y742" s="8">
        <v>29212</v>
      </c>
      <c r="Z742" s="8">
        <v>29246</v>
      </c>
      <c r="AA742" s="13">
        <f t="shared" si="136"/>
        <v>34</v>
      </c>
      <c r="AB742" s="8">
        <v>227472</v>
      </c>
      <c r="AC742" s="8">
        <v>227565</v>
      </c>
      <c r="AD742" s="13">
        <f t="shared" si="137"/>
        <v>93</v>
      </c>
      <c r="AE742" s="135"/>
      <c r="AF742" s="135"/>
      <c r="AG742" s="135"/>
      <c r="AH742" s="136"/>
      <c r="AI742" s="50">
        <f t="shared" si="133"/>
        <v>432</v>
      </c>
    </row>
    <row r="743" spans="1:35">
      <c r="A743" s="12">
        <v>45118</v>
      </c>
      <c r="B743" s="8">
        <v>1858416</v>
      </c>
      <c r="C743" s="8">
        <v>1859072</v>
      </c>
      <c r="D743" s="13">
        <f t="shared" si="139"/>
        <v>656</v>
      </c>
      <c r="E743" s="69">
        <v>210669</v>
      </c>
      <c r="F743" s="69">
        <v>210669</v>
      </c>
      <c r="G743" s="133">
        <f t="shared" si="135"/>
        <v>0</v>
      </c>
      <c r="H743" s="8">
        <v>273224</v>
      </c>
      <c r="I743" s="8">
        <v>273936</v>
      </c>
      <c r="J743" s="13">
        <f t="shared" si="132"/>
        <v>712</v>
      </c>
      <c r="K743" s="138"/>
      <c r="L743" s="8">
        <v>742024</v>
      </c>
      <c r="M743" s="8">
        <v>742024</v>
      </c>
      <c r="N743" s="13">
        <f t="shared" si="134"/>
        <v>0</v>
      </c>
      <c r="O743" s="136"/>
      <c r="P743" s="8">
        <v>419994</v>
      </c>
      <c r="Q743" s="8">
        <v>420413</v>
      </c>
      <c r="R743" s="133">
        <f t="shared" si="140"/>
        <v>419</v>
      </c>
      <c r="S743" s="8">
        <v>21386</v>
      </c>
      <c r="T743" s="8">
        <v>21433</v>
      </c>
      <c r="U743" s="133">
        <f t="shared" si="138"/>
        <v>47</v>
      </c>
      <c r="V743" s="8">
        <v>353986</v>
      </c>
      <c r="W743" s="8">
        <v>353986</v>
      </c>
      <c r="X743" s="13">
        <f t="shared" si="131"/>
        <v>0</v>
      </c>
      <c r="Y743" s="8">
        <v>29246</v>
      </c>
      <c r="Z743" s="8">
        <v>29286</v>
      </c>
      <c r="AA743" s="13">
        <f t="shared" si="136"/>
        <v>40</v>
      </c>
      <c r="AB743" s="8">
        <v>227565</v>
      </c>
      <c r="AC743" s="8">
        <v>227712</v>
      </c>
      <c r="AD743" s="13">
        <f t="shared" si="137"/>
        <v>147</v>
      </c>
      <c r="AE743" s="135"/>
      <c r="AF743" s="135"/>
      <c r="AG743" s="135"/>
      <c r="AH743" s="136"/>
      <c r="AI743" s="50">
        <f t="shared" si="133"/>
        <v>506</v>
      </c>
    </row>
    <row r="744" spans="1:35">
      <c r="A744" s="12">
        <v>45119</v>
      </c>
      <c r="B744" s="8">
        <v>1859072</v>
      </c>
      <c r="C744" s="8">
        <v>1859113</v>
      </c>
      <c r="D744" s="13">
        <f t="shared" si="139"/>
        <v>41</v>
      </c>
      <c r="E744" s="69">
        <v>210669</v>
      </c>
      <c r="F744" s="69">
        <v>210669</v>
      </c>
      <c r="G744" s="133">
        <f t="shared" si="135"/>
        <v>0</v>
      </c>
      <c r="H744" s="8">
        <v>273936</v>
      </c>
      <c r="I744" s="8">
        <v>274354</v>
      </c>
      <c r="J744" s="13">
        <f t="shared" si="132"/>
        <v>418</v>
      </c>
      <c r="K744" s="138"/>
      <c r="L744" s="8">
        <v>742024</v>
      </c>
      <c r="M744" s="8">
        <v>742995</v>
      </c>
      <c r="N744" s="13">
        <f t="shared" si="134"/>
        <v>971</v>
      </c>
      <c r="O744" s="136"/>
      <c r="P744" s="8">
        <v>420413</v>
      </c>
      <c r="Q744" s="8">
        <v>420979</v>
      </c>
      <c r="R744" s="133">
        <f t="shared" si="140"/>
        <v>566</v>
      </c>
      <c r="S744" s="8">
        <v>21433</v>
      </c>
      <c r="T744" s="8">
        <v>21492</v>
      </c>
      <c r="U744" s="133">
        <f t="shared" si="138"/>
        <v>59</v>
      </c>
      <c r="V744" s="8">
        <v>353986</v>
      </c>
      <c r="W744" s="8">
        <v>353986</v>
      </c>
      <c r="X744" s="13">
        <f t="shared" si="131"/>
        <v>0</v>
      </c>
      <c r="Y744" s="8">
        <v>29286</v>
      </c>
      <c r="Z744" s="8">
        <v>29319</v>
      </c>
      <c r="AA744" s="13">
        <f t="shared" si="136"/>
        <v>33</v>
      </c>
      <c r="AB744" s="8">
        <v>227712</v>
      </c>
      <c r="AC744" s="8">
        <v>227809</v>
      </c>
      <c r="AD744" s="13">
        <f t="shared" si="137"/>
        <v>97</v>
      </c>
      <c r="AE744" s="135"/>
      <c r="AF744" s="135"/>
      <c r="AG744" s="135"/>
      <c r="AH744" s="136"/>
      <c r="AI744" s="50">
        <f t="shared" si="133"/>
        <v>658</v>
      </c>
    </row>
    <row r="745" spans="1:35">
      <c r="A745" s="12">
        <v>45120</v>
      </c>
      <c r="B745" s="8">
        <v>1859113</v>
      </c>
      <c r="C745" s="8">
        <v>1859182</v>
      </c>
      <c r="D745" s="13">
        <f t="shared" si="139"/>
        <v>69</v>
      </c>
      <c r="E745" s="69">
        <v>210669</v>
      </c>
      <c r="F745" s="69">
        <v>210669</v>
      </c>
      <c r="G745" s="133">
        <f t="shared" si="135"/>
        <v>0</v>
      </c>
      <c r="H745" s="8">
        <v>274354</v>
      </c>
      <c r="I745" s="8">
        <v>274354</v>
      </c>
      <c r="J745" s="13">
        <f t="shared" si="132"/>
        <v>0</v>
      </c>
      <c r="K745" s="138"/>
      <c r="L745" s="8">
        <v>742995</v>
      </c>
      <c r="M745" s="8">
        <v>743465</v>
      </c>
      <c r="N745" s="13">
        <f t="shared" si="134"/>
        <v>470</v>
      </c>
      <c r="O745" s="136"/>
      <c r="P745" s="8">
        <v>420979</v>
      </c>
      <c r="Q745" s="8">
        <v>421165</v>
      </c>
      <c r="R745" s="133">
        <f t="shared" si="140"/>
        <v>186</v>
      </c>
      <c r="S745" s="8">
        <v>21492</v>
      </c>
      <c r="T745" s="8">
        <v>21552</v>
      </c>
      <c r="U745" s="133">
        <f t="shared" si="138"/>
        <v>60</v>
      </c>
      <c r="V745" s="8">
        <v>353986</v>
      </c>
      <c r="W745" s="8">
        <v>353986</v>
      </c>
      <c r="X745" s="13">
        <f t="shared" si="131"/>
        <v>0</v>
      </c>
      <c r="Y745" s="8">
        <v>29319</v>
      </c>
      <c r="Z745" s="8">
        <v>29343</v>
      </c>
      <c r="AA745" s="13">
        <f t="shared" si="136"/>
        <v>24</v>
      </c>
      <c r="AB745" s="8">
        <v>227809</v>
      </c>
      <c r="AC745" s="8">
        <v>227985</v>
      </c>
      <c r="AD745" s="13">
        <f t="shared" si="137"/>
        <v>176</v>
      </c>
      <c r="AE745" s="135"/>
      <c r="AF745" s="135"/>
      <c r="AG745" s="135"/>
      <c r="AH745" s="136"/>
      <c r="AI745" s="50">
        <f t="shared" si="133"/>
        <v>270</v>
      </c>
    </row>
    <row r="746" spans="1:35">
      <c r="A746" s="12">
        <v>45121</v>
      </c>
      <c r="B746" s="8">
        <v>1859182</v>
      </c>
      <c r="C746" s="8">
        <v>1859842</v>
      </c>
      <c r="D746" s="13">
        <f t="shared" si="139"/>
        <v>660</v>
      </c>
      <c r="E746" s="69">
        <v>210669</v>
      </c>
      <c r="F746" s="69">
        <v>210669</v>
      </c>
      <c r="G746" s="133">
        <f t="shared" si="135"/>
        <v>0</v>
      </c>
      <c r="H746" s="8">
        <v>274354</v>
      </c>
      <c r="I746" s="8">
        <v>274354</v>
      </c>
      <c r="J746" s="13">
        <f t="shared" si="132"/>
        <v>0</v>
      </c>
      <c r="K746" s="138"/>
      <c r="L746" s="8">
        <v>743465</v>
      </c>
      <c r="M746" s="8">
        <v>744523</v>
      </c>
      <c r="N746" s="13">
        <f t="shared" si="134"/>
        <v>1058</v>
      </c>
      <c r="O746" s="136"/>
      <c r="P746" s="8">
        <v>421165</v>
      </c>
      <c r="Q746" s="8">
        <v>421318</v>
      </c>
      <c r="R746" s="133">
        <f t="shared" si="140"/>
        <v>153</v>
      </c>
      <c r="S746" s="8">
        <v>21552</v>
      </c>
      <c r="T746" s="8">
        <v>21581</v>
      </c>
      <c r="U746" s="133">
        <f t="shared" si="138"/>
        <v>29</v>
      </c>
      <c r="V746" s="8">
        <v>353986</v>
      </c>
      <c r="W746" s="8">
        <v>353986</v>
      </c>
      <c r="X746" s="13">
        <f t="shared" ref="X746:X809" si="141">W746-V746</f>
        <v>0</v>
      </c>
      <c r="Y746" s="8">
        <v>29343</v>
      </c>
      <c r="Z746" s="8">
        <v>29381</v>
      </c>
      <c r="AA746" s="13">
        <f t="shared" si="136"/>
        <v>38</v>
      </c>
      <c r="AB746" s="8">
        <v>227985</v>
      </c>
      <c r="AC746" s="8">
        <v>228079</v>
      </c>
      <c r="AD746" s="13">
        <f t="shared" si="137"/>
        <v>94</v>
      </c>
      <c r="AE746" s="135"/>
      <c r="AF746" s="135"/>
      <c r="AG746" s="135"/>
      <c r="AH746" s="136"/>
      <c r="AI746" s="50">
        <f t="shared" si="133"/>
        <v>220</v>
      </c>
    </row>
    <row r="747" spans="1:35">
      <c r="A747" s="12">
        <v>45122</v>
      </c>
      <c r="B747" s="8">
        <v>1859842</v>
      </c>
      <c r="C747" s="8">
        <v>1859935</v>
      </c>
      <c r="D747" s="13">
        <f t="shared" si="139"/>
        <v>93</v>
      </c>
      <c r="E747" s="69">
        <v>210669</v>
      </c>
      <c r="F747" s="69">
        <v>210669</v>
      </c>
      <c r="G747" s="133">
        <f t="shared" si="135"/>
        <v>0</v>
      </c>
      <c r="H747" s="8">
        <v>274354</v>
      </c>
      <c r="I747" s="8">
        <v>274618</v>
      </c>
      <c r="J747" s="13">
        <f t="shared" si="132"/>
        <v>264</v>
      </c>
      <c r="K747" s="138"/>
      <c r="L747" s="8">
        <v>744523</v>
      </c>
      <c r="M747" s="8">
        <v>744523</v>
      </c>
      <c r="N747" s="13">
        <f t="shared" si="134"/>
        <v>0</v>
      </c>
      <c r="O747" s="136"/>
      <c r="P747" s="8">
        <v>421318</v>
      </c>
      <c r="Q747" s="8">
        <v>421494</v>
      </c>
      <c r="R747" s="133">
        <f t="shared" si="140"/>
        <v>176</v>
      </c>
      <c r="S747" s="8">
        <v>21581</v>
      </c>
      <c r="T747" s="8">
        <v>21601</v>
      </c>
      <c r="U747" s="133">
        <f t="shared" si="138"/>
        <v>20</v>
      </c>
      <c r="V747" s="8">
        <v>353986</v>
      </c>
      <c r="W747" s="8">
        <v>353986</v>
      </c>
      <c r="X747" s="13">
        <f t="shared" si="141"/>
        <v>0</v>
      </c>
      <c r="Y747" s="8">
        <v>29381</v>
      </c>
      <c r="Z747" s="8">
        <v>29406</v>
      </c>
      <c r="AA747" s="13">
        <f t="shared" si="136"/>
        <v>25</v>
      </c>
      <c r="AB747" s="8">
        <v>228079</v>
      </c>
      <c r="AC747" s="8">
        <v>228143</v>
      </c>
      <c r="AD747" s="13">
        <f t="shared" si="137"/>
        <v>64</v>
      </c>
      <c r="AE747" s="135"/>
      <c r="AF747" s="135"/>
      <c r="AG747" s="135"/>
      <c r="AH747" s="136"/>
      <c r="AI747" s="50">
        <f t="shared" si="133"/>
        <v>221</v>
      </c>
    </row>
    <row r="748" spans="1:35">
      <c r="A748" s="12">
        <v>45123</v>
      </c>
      <c r="B748" s="8">
        <v>1859935</v>
      </c>
      <c r="C748" s="8">
        <v>1860009</v>
      </c>
      <c r="D748" s="13">
        <f t="shared" si="139"/>
        <v>74</v>
      </c>
      <c r="E748" s="69">
        <v>210669</v>
      </c>
      <c r="F748" s="69">
        <v>210669</v>
      </c>
      <c r="G748" s="133">
        <f t="shared" si="135"/>
        <v>0</v>
      </c>
      <c r="H748" s="8">
        <v>274618</v>
      </c>
      <c r="I748" s="8">
        <v>274776</v>
      </c>
      <c r="J748" s="13">
        <f t="shared" si="132"/>
        <v>158</v>
      </c>
      <c r="K748" s="138"/>
      <c r="L748" s="8">
        <v>744523</v>
      </c>
      <c r="M748" s="8">
        <v>745094</v>
      </c>
      <c r="N748" s="13">
        <f t="shared" si="134"/>
        <v>571</v>
      </c>
      <c r="O748" s="136"/>
      <c r="P748" s="8">
        <v>421494</v>
      </c>
      <c r="Q748" s="8">
        <v>421650</v>
      </c>
      <c r="R748" s="133">
        <f t="shared" si="140"/>
        <v>156</v>
      </c>
      <c r="S748" s="8">
        <v>21601</v>
      </c>
      <c r="T748" s="8">
        <v>21641</v>
      </c>
      <c r="U748" s="133">
        <f t="shared" si="138"/>
        <v>40</v>
      </c>
      <c r="V748" s="8">
        <v>353986</v>
      </c>
      <c r="W748" s="8">
        <v>353986</v>
      </c>
      <c r="X748" s="13">
        <f t="shared" si="141"/>
        <v>0</v>
      </c>
      <c r="Y748" s="8">
        <v>29406</v>
      </c>
      <c r="Z748" s="8">
        <v>29441</v>
      </c>
      <c r="AA748" s="13">
        <f t="shared" si="136"/>
        <v>35</v>
      </c>
      <c r="AB748" s="8">
        <v>228143</v>
      </c>
      <c r="AC748" s="8">
        <v>228156</v>
      </c>
      <c r="AD748" s="13">
        <f t="shared" si="137"/>
        <v>13</v>
      </c>
      <c r="AE748" s="135"/>
      <c r="AF748" s="135"/>
      <c r="AG748" s="135"/>
      <c r="AH748" s="136"/>
      <c r="AI748" s="50">
        <f t="shared" si="133"/>
        <v>231</v>
      </c>
    </row>
    <row r="749" spans="1:35">
      <c r="A749" s="12">
        <v>45124</v>
      </c>
      <c r="B749" s="8">
        <v>1860009</v>
      </c>
      <c r="C749" s="8">
        <v>1860753</v>
      </c>
      <c r="D749" s="13">
        <f t="shared" si="139"/>
        <v>744</v>
      </c>
      <c r="E749" s="69">
        <v>210669</v>
      </c>
      <c r="F749" s="69">
        <v>210669</v>
      </c>
      <c r="G749" s="133">
        <f t="shared" si="135"/>
        <v>0</v>
      </c>
      <c r="H749" s="8">
        <v>274776</v>
      </c>
      <c r="I749" s="8">
        <v>275611</v>
      </c>
      <c r="J749" s="13">
        <f t="shared" si="132"/>
        <v>835</v>
      </c>
      <c r="K749" s="138"/>
      <c r="L749" s="8">
        <v>745094</v>
      </c>
      <c r="M749" s="8">
        <v>745688</v>
      </c>
      <c r="N749" s="13">
        <f t="shared" si="134"/>
        <v>594</v>
      </c>
      <c r="O749" s="136"/>
      <c r="P749" s="8">
        <v>421650</v>
      </c>
      <c r="Q749" s="8">
        <v>422327</v>
      </c>
      <c r="R749" s="133">
        <f t="shared" si="140"/>
        <v>677</v>
      </c>
      <c r="S749" s="8">
        <v>21641</v>
      </c>
      <c r="T749" s="8">
        <v>21691</v>
      </c>
      <c r="U749" s="133">
        <f t="shared" si="138"/>
        <v>50</v>
      </c>
      <c r="V749" s="8">
        <v>353986</v>
      </c>
      <c r="W749" s="8">
        <v>353986</v>
      </c>
      <c r="X749" s="13">
        <f t="shared" si="141"/>
        <v>0</v>
      </c>
      <c r="Y749" s="8">
        <v>29441</v>
      </c>
      <c r="Z749" s="8">
        <v>29473</v>
      </c>
      <c r="AA749" s="13">
        <f t="shared" si="136"/>
        <v>32</v>
      </c>
      <c r="AB749" s="8">
        <v>228156</v>
      </c>
      <c r="AC749" s="8">
        <v>228291</v>
      </c>
      <c r="AD749" s="13">
        <f t="shared" si="137"/>
        <v>135</v>
      </c>
      <c r="AE749" s="135"/>
      <c r="AF749" s="135"/>
      <c r="AG749" s="135"/>
      <c r="AH749" s="136"/>
      <c r="AI749" s="50">
        <f t="shared" si="133"/>
        <v>759</v>
      </c>
    </row>
    <row r="750" spans="1:35">
      <c r="A750" s="12">
        <v>45125</v>
      </c>
      <c r="B750" s="8">
        <v>1860753</v>
      </c>
      <c r="C750" s="8">
        <v>1861493</v>
      </c>
      <c r="D750" s="13">
        <f t="shared" si="139"/>
        <v>740</v>
      </c>
      <c r="E750" s="69">
        <v>210669</v>
      </c>
      <c r="F750" s="69">
        <v>210669</v>
      </c>
      <c r="G750" s="133">
        <f t="shared" si="135"/>
        <v>0</v>
      </c>
      <c r="H750" s="8">
        <v>275611</v>
      </c>
      <c r="I750" s="8">
        <v>275798</v>
      </c>
      <c r="J750" s="13">
        <f t="shared" si="132"/>
        <v>187</v>
      </c>
      <c r="K750" s="138"/>
      <c r="L750" s="8">
        <v>745688</v>
      </c>
      <c r="M750" s="8">
        <v>746667</v>
      </c>
      <c r="N750" s="13">
        <f t="shared" si="134"/>
        <v>979</v>
      </c>
      <c r="O750" s="136"/>
      <c r="P750" s="8">
        <v>422327</v>
      </c>
      <c r="Q750" s="8">
        <v>422981</v>
      </c>
      <c r="R750" s="133">
        <f t="shared" si="140"/>
        <v>654</v>
      </c>
      <c r="S750" s="8">
        <v>21691</v>
      </c>
      <c r="T750" s="8">
        <v>21825</v>
      </c>
      <c r="U750" s="133">
        <f t="shared" si="138"/>
        <v>134</v>
      </c>
      <c r="V750" s="8">
        <v>353986</v>
      </c>
      <c r="W750" s="8">
        <v>353986</v>
      </c>
      <c r="X750" s="13">
        <f t="shared" si="141"/>
        <v>0</v>
      </c>
      <c r="Y750" s="8">
        <v>29473</v>
      </c>
      <c r="Z750" s="8">
        <v>29504</v>
      </c>
      <c r="AA750" s="13">
        <f t="shared" si="136"/>
        <v>31</v>
      </c>
      <c r="AB750" s="8">
        <v>228291</v>
      </c>
      <c r="AC750" s="8">
        <v>228363</v>
      </c>
      <c r="AD750" s="13">
        <f t="shared" si="137"/>
        <v>72</v>
      </c>
      <c r="AE750" s="135"/>
      <c r="AF750" s="135"/>
      <c r="AG750" s="135"/>
      <c r="AH750" s="136"/>
      <c r="AI750" s="50">
        <f t="shared" si="133"/>
        <v>819</v>
      </c>
    </row>
    <row r="751" spans="1:35">
      <c r="A751" s="12">
        <v>45126</v>
      </c>
      <c r="B751" s="8">
        <v>1861493</v>
      </c>
      <c r="C751" s="8">
        <v>1862045</v>
      </c>
      <c r="D751" s="13">
        <f t="shared" si="139"/>
        <v>552</v>
      </c>
      <c r="E751" s="69">
        <v>210669</v>
      </c>
      <c r="F751" s="69">
        <v>210669</v>
      </c>
      <c r="G751" s="133">
        <f t="shared" si="135"/>
        <v>0</v>
      </c>
      <c r="H751" s="8">
        <v>275798</v>
      </c>
      <c r="I751" s="8">
        <v>275875</v>
      </c>
      <c r="J751" s="13">
        <f t="shared" si="132"/>
        <v>77</v>
      </c>
      <c r="K751" s="138"/>
      <c r="L751" s="8">
        <v>746667</v>
      </c>
      <c r="M751" s="8">
        <v>747236</v>
      </c>
      <c r="N751" s="13">
        <f t="shared" si="134"/>
        <v>569</v>
      </c>
      <c r="O751" s="136"/>
      <c r="P751" s="8">
        <v>422981</v>
      </c>
      <c r="Q751" s="8">
        <v>423124</v>
      </c>
      <c r="R751" s="133">
        <f t="shared" si="140"/>
        <v>143</v>
      </c>
      <c r="S751" s="8">
        <v>21825</v>
      </c>
      <c r="T751" s="8">
        <v>21883</v>
      </c>
      <c r="U751" s="133">
        <f t="shared" si="138"/>
        <v>58</v>
      </c>
      <c r="V751" s="8">
        <v>353986</v>
      </c>
      <c r="W751" s="8">
        <v>353986</v>
      </c>
      <c r="X751" s="13">
        <f t="shared" si="141"/>
        <v>0</v>
      </c>
      <c r="Y751" s="8">
        <v>29504</v>
      </c>
      <c r="Z751" s="8">
        <v>29542</v>
      </c>
      <c r="AA751" s="13">
        <f t="shared" si="136"/>
        <v>38</v>
      </c>
      <c r="AB751" s="8">
        <v>228363</v>
      </c>
      <c r="AC751" s="8">
        <v>228484</v>
      </c>
      <c r="AD751" s="13">
        <f t="shared" si="137"/>
        <v>121</v>
      </c>
      <c r="AE751" s="135"/>
      <c r="AF751" s="135"/>
      <c r="AG751" s="135"/>
      <c r="AH751" s="136"/>
      <c r="AI751" s="50">
        <f t="shared" si="133"/>
        <v>239</v>
      </c>
    </row>
    <row r="752" spans="1:35">
      <c r="A752" s="12">
        <v>45127</v>
      </c>
      <c r="B752" s="8">
        <v>1862045</v>
      </c>
      <c r="C752" s="8">
        <v>1862754</v>
      </c>
      <c r="D752" s="13">
        <f t="shared" si="139"/>
        <v>709</v>
      </c>
      <c r="E752" s="69">
        <v>210669</v>
      </c>
      <c r="F752" s="69">
        <v>210669</v>
      </c>
      <c r="G752" s="133">
        <f t="shared" si="135"/>
        <v>0</v>
      </c>
      <c r="H752" s="8">
        <v>275875</v>
      </c>
      <c r="I752" s="8">
        <v>276162</v>
      </c>
      <c r="J752" s="13">
        <f t="shared" si="132"/>
        <v>287</v>
      </c>
      <c r="K752" s="138"/>
      <c r="L752" s="8">
        <v>747236</v>
      </c>
      <c r="M752" s="8">
        <v>748396</v>
      </c>
      <c r="N752" s="13">
        <f t="shared" si="134"/>
        <v>1160</v>
      </c>
      <c r="O752" s="136"/>
      <c r="P752" s="8">
        <v>423124</v>
      </c>
      <c r="Q752" s="8">
        <v>423334</v>
      </c>
      <c r="R752" s="133">
        <f t="shared" si="140"/>
        <v>210</v>
      </c>
      <c r="S752" s="8">
        <v>21883</v>
      </c>
      <c r="T752" s="8">
        <v>21940</v>
      </c>
      <c r="U752" s="133">
        <f t="shared" si="138"/>
        <v>57</v>
      </c>
      <c r="V752" s="8">
        <v>353986</v>
      </c>
      <c r="W752" s="8">
        <v>353986</v>
      </c>
      <c r="X752" s="13">
        <f t="shared" si="141"/>
        <v>0</v>
      </c>
      <c r="Y752" s="8">
        <v>29542</v>
      </c>
      <c r="Z752" s="8">
        <v>29585</v>
      </c>
      <c r="AA752" s="13">
        <f t="shared" si="136"/>
        <v>43</v>
      </c>
      <c r="AB752" s="8">
        <v>228484</v>
      </c>
      <c r="AC752" s="8">
        <v>228563</v>
      </c>
      <c r="AD752" s="13">
        <f t="shared" si="137"/>
        <v>79</v>
      </c>
      <c r="AE752" s="135"/>
      <c r="AF752" s="135"/>
      <c r="AG752" s="135"/>
      <c r="AH752" s="136"/>
      <c r="AI752" s="50">
        <f t="shared" si="133"/>
        <v>310</v>
      </c>
    </row>
    <row r="753" spans="1:35">
      <c r="A753" s="12">
        <v>45128</v>
      </c>
      <c r="B753" s="8">
        <v>1862754</v>
      </c>
      <c r="C753" s="8">
        <v>1863518</v>
      </c>
      <c r="D753" s="13">
        <f t="shared" si="139"/>
        <v>764</v>
      </c>
      <c r="E753" s="69">
        <v>210669</v>
      </c>
      <c r="F753" s="69">
        <v>210669</v>
      </c>
      <c r="G753" s="133">
        <f t="shared" si="135"/>
        <v>0</v>
      </c>
      <c r="H753" s="8">
        <v>276162</v>
      </c>
      <c r="I753" s="8">
        <v>276162</v>
      </c>
      <c r="J753" s="13">
        <f t="shared" si="132"/>
        <v>0</v>
      </c>
      <c r="K753" s="138"/>
      <c r="L753" s="8">
        <v>748396</v>
      </c>
      <c r="M753" s="8">
        <v>749636</v>
      </c>
      <c r="N753" s="13">
        <f t="shared" si="134"/>
        <v>1240</v>
      </c>
      <c r="O753" s="136"/>
      <c r="P753" s="8">
        <v>423334</v>
      </c>
      <c r="Q753" s="8">
        <v>423334</v>
      </c>
      <c r="R753" s="133">
        <f t="shared" si="140"/>
        <v>0</v>
      </c>
      <c r="S753" s="8">
        <v>21940</v>
      </c>
      <c r="T753" s="8">
        <v>21992</v>
      </c>
      <c r="U753" s="133">
        <f t="shared" si="138"/>
        <v>52</v>
      </c>
      <c r="V753" s="8">
        <v>353986</v>
      </c>
      <c r="W753" s="8">
        <v>353986</v>
      </c>
      <c r="X753" s="13">
        <f t="shared" si="141"/>
        <v>0</v>
      </c>
      <c r="Y753" s="8">
        <v>29585</v>
      </c>
      <c r="Z753" s="8">
        <v>29615</v>
      </c>
      <c r="AA753" s="13">
        <f t="shared" si="136"/>
        <v>30</v>
      </c>
      <c r="AB753" s="8">
        <v>228563</v>
      </c>
      <c r="AC753" s="8">
        <v>228654</v>
      </c>
      <c r="AD753" s="13">
        <f t="shared" si="137"/>
        <v>91</v>
      </c>
      <c r="AE753" s="135"/>
      <c r="AF753" s="135"/>
      <c r="AG753" s="135"/>
      <c r="AH753" s="136"/>
      <c r="AI753" s="50">
        <f t="shared" si="133"/>
        <v>82</v>
      </c>
    </row>
    <row r="754" spans="1:35">
      <c r="A754" s="12">
        <v>45129</v>
      </c>
      <c r="B754" s="8">
        <v>1863518</v>
      </c>
      <c r="C754" s="8">
        <v>1864024</v>
      </c>
      <c r="D754" s="13">
        <f t="shared" si="139"/>
        <v>506</v>
      </c>
      <c r="E754" s="69">
        <v>210669</v>
      </c>
      <c r="F754" s="69">
        <v>210669</v>
      </c>
      <c r="G754" s="133">
        <f t="shared" si="135"/>
        <v>0</v>
      </c>
      <c r="H754" s="8">
        <v>276162</v>
      </c>
      <c r="I754" s="8">
        <v>276162</v>
      </c>
      <c r="J754" s="13">
        <f t="shared" si="132"/>
        <v>0</v>
      </c>
      <c r="K754" s="138"/>
      <c r="L754" s="8">
        <v>749636</v>
      </c>
      <c r="M754" s="8">
        <v>750488</v>
      </c>
      <c r="N754" s="13">
        <f t="shared" si="134"/>
        <v>852</v>
      </c>
      <c r="O754" s="136"/>
      <c r="P754" s="8">
        <v>423334</v>
      </c>
      <c r="Q754" s="8">
        <v>423334</v>
      </c>
      <c r="R754" s="133">
        <f t="shared" si="140"/>
        <v>0</v>
      </c>
      <c r="S754" s="8">
        <v>21992</v>
      </c>
      <c r="T754" s="8">
        <v>22034</v>
      </c>
      <c r="U754" s="133">
        <f t="shared" si="138"/>
        <v>42</v>
      </c>
      <c r="V754" s="8">
        <v>353986</v>
      </c>
      <c r="W754" s="8">
        <v>353986</v>
      </c>
      <c r="X754" s="13">
        <f t="shared" si="141"/>
        <v>0</v>
      </c>
      <c r="Y754" s="8">
        <v>29615</v>
      </c>
      <c r="Z754" s="8">
        <v>29655</v>
      </c>
      <c r="AA754" s="13">
        <f t="shared" si="136"/>
        <v>40</v>
      </c>
      <c r="AB754" s="8">
        <v>228654</v>
      </c>
      <c r="AC754" s="8">
        <v>228745</v>
      </c>
      <c r="AD754" s="13">
        <f t="shared" si="137"/>
        <v>91</v>
      </c>
      <c r="AE754" s="135"/>
      <c r="AF754" s="135"/>
      <c r="AG754" s="135"/>
      <c r="AH754" s="136"/>
      <c r="AI754" s="50">
        <f t="shared" si="133"/>
        <v>82</v>
      </c>
    </row>
    <row r="755" spans="1:35">
      <c r="A755" s="12">
        <v>45130</v>
      </c>
      <c r="B755" s="8">
        <v>1864024</v>
      </c>
      <c r="C755" s="8">
        <v>1864603</v>
      </c>
      <c r="D755" s="13">
        <f t="shared" si="139"/>
        <v>579</v>
      </c>
      <c r="E755" s="69">
        <v>210669</v>
      </c>
      <c r="F755" s="69">
        <v>210669</v>
      </c>
      <c r="G755" s="133">
        <f t="shared" si="135"/>
        <v>0</v>
      </c>
      <c r="H755" s="8">
        <v>276162</v>
      </c>
      <c r="I755" s="8">
        <v>276344</v>
      </c>
      <c r="J755" s="13">
        <f t="shared" si="132"/>
        <v>182</v>
      </c>
      <c r="K755" s="138"/>
      <c r="L755" s="8">
        <v>750488</v>
      </c>
      <c r="M755" s="8">
        <v>751196</v>
      </c>
      <c r="N755" s="13">
        <f t="shared" si="134"/>
        <v>708</v>
      </c>
      <c r="O755" s="136"/>
      <c r="P755" s="8">
        <v>423334</v>
      </c>
      <c r="Q755" s="8">
        <v>423334</v>
      </c>
      <c r="R755" s="133">
        <f t="shared" si="140"/>
        <v>0</v>
      </c>
      <c r="S755" s="8">
        <v>22034</v>
      </c>
      <c r="T755" s="8">
        <v>22070</v>
      </c>
      <c r="U755" s="133">
        <f t="shared" si="138"/>
        <v>36</v>
      </c>
      <c r="V755" s="8">
        <v>353986</v>
      </c>
      <c r="W755" s="8">
        <v>353986</v>
      </c>
      <c r="X755" s="13">
        <f t="shared" si="141"/>
        <v>0</v>
      </c>
      <c r="Y755" s="8">
        <v>29655</v>
      </c>
      <c r="Z755" s="8">
        <v>29699</v>
      </c>
      <c r="AA755" s="13">
        <f t="shared" si="136"/>
        <v>44</v>
      </c>
      <c r="AB755" s="8">
        <v>228745</v>
      </c>
      <c r="AC755" s="8">
        <v>228810</v>
      </c>
      <c r="AD755" s="13">
        <f t="shared" si="137"/>
        <v>65</v>
      </c>
      <c r="AE755" s="135"/>
      <c r="AF755" s="135"/>
      <c r="AG755" s="135"/>
      <c r="AH755" s="136"/>
      <c r="AI755" s="50">
        <f t="shared" si="133"/>
        <v>80</v>
      </c>
    </row>
    <row r="756" spans="1:35">
      <c r="A756" s="12">
        <v>45131</v>
      </c>
      <c r="B756" s="8">
        <v>1864603</v>
      </c>
      <c r="C756" s="8">
        <v>1865474</v>
      </c>
      <c r="D756" s="13">
        <f t="shared" si="139"/>
        <v>871</v>
      </c>
      <c r="E756" s="69">
        <v>210669</v>
      </c>
      <c r="F756" s="69">
        <v>210669</v>
      </c>
      <c r="G756" s="133">
        <f t="shared" si="135"/>
        <v>0</v>
      </c>
      <c r="H756" s="8">
        <v>276344</v>
      </c>
      <c r="I756" s="8">
        <v>276344</v>
      </c>
      <c r="J756" s="13">
        <f t="shared" si="132"/>
        <v>0</v>
      </c>
      <c r="K756" s="138"/>
      <c r="L756" s="8">
        <v>751196</v>
      </c>
      <c r="M756" s="8">
        <v>752189</v>
      </c>
      <c r="N756" s="13">
        <f t="shared" si="134"/>
        <v>993</v>
      </c>
      <c r="O756" s="136"/>
      <c r="P756" s="8">
        <v>423334</v>
      </c>
      <c r="Q756" s="8">
        <v>423499</v>
      </c>
      <c r="R756" s="133">
        <f t="shared" si="140"/>
        <v>165</v>
      </c>
      <c r="S756" s="8">
        <v>22070</v>
      </c>
      <c r="T756" s="8">
        <v>22112</v>
      </c>
      <c r="U756" s="133">
        <f t="shared" si="138"/>
        <v>42</v>
      </c>
      <c r="V756" s="8">
        <v>353986</v>
      </c>
      <c r="W756" s="8">
        <v>353986</v>
      </c>
      <c r="X756" s="13">
        <f t="shared" si="141"/>
        <v>0</v>
      </c>
      <c r="Y756" s="8">
        <v>29699</v>
      </c>
      <c r="Z756" s="8">
        <v>29732</v>
      </c>
      <c r="AA756" s="13">
        <f t="shared" si="136"/>
        <v>33</v>
      </c>
      <c r="AB756" s="8">
        <v>228810</v>
      </c>
      <c r="AC756" s="8">
        <v>228887</v>
      </c>
      <c r="AD756" s="13">
        <f t="shared" si="137"/>
        <v>77</v>
      </c>
      <c r="AE756" s="135"/>
      <c r="AF756" s="135"/>
      <c r="AG756" s="135"/>
      <c r="AH756" s="136"/>
      <c r="AI756" s="50">
        <f t="shared" si="133"/>
        <v>240</v>
      </c>
    </row>
    <row r="757" spans="1:35">
      <c r="A757" s="12">
        <v>45132</v>
      </c>
      <c r="B757" s="8">
        <v>1865474</v>
      </c>
      <c r="C757" s="8">
        <v>1865803</v>
      </c>
      <c r="D757" s="13">
        <f t="shared" si="139"/>
        <v>329</v>
      </c>
      <c r="E757" s="69">
        <v>210669</v>
      </c>
      <c r="F757" s="69">
        <v>210669</v>
      </c>
      <c r="G757" s="133">
        <f t="shared" si="135"/>
        <v>0</v>
      </c>
      <c r="H757" s="8">
        <v>276344</v>
      </c>
      <c r="I757" s="8">
        <v>276981</v>
      </c>
      <c r="J757" s="13">
        <f t="shared" si="132"/>
        <v>637</v>
      </c>
      <c r="K757" s="138"/>
      <c r="L757" s="8">
        <v>752189</v>
      </c>
      <c r="M757" s="8">
        <v>752362</v>
      </c>
      <c r="N757" s="13">
        <f t="shared" si="134"/>
        <v>173</v>
      </c>
      <c r="O757" s="136"/>
      <c r="P757" s="8">
        <v>423499</v>
      </c>
      <c r="Q757" s="8">
        <v>424153</v>
      </c>
      <c r="R757" s="133">
        <f t="shared" si="140"/>
        <v>654</v>
      </c>
      <c r="S757" s="8">
        <v>22112</v>
      </c>
      <c r="T757" s="8">
        <v>22185</v>
      </c>
      <c r="U757" s="133">
        <f t="shared" si="138"/>
        <v>73</v>
      </c>
      <c r="V757" s="8">
        <v>353986</v>
      </c>
      <c r="W757" s="8">
        <v>353986</v>
      </c>
      <c r="X757" s="13">
        <f t="shared" si="141"/>
        <v>0</v>
      </c>
      <c r="Y757" s="8">
        <v>29732</v>
      </c>
      <c r="Z757" s="8">
        <v>29769</v>
      </c>
      <c r="AA757" s="13">
        <f t="shared" si="136"/>
        <v>37</v>
      </c>
      <c r="AB757" s="8">
        <v>228887</v>
      </c>
      <c r="AC757" s="8">
        <v>229022</v>
      </c>
      <c r="AD757" s="13">
        <f t="shared" si="137"/>
        <v>135</v>
      </c>
      <c r="AE757" s="135"/>
      <c r="AF757" s="135"/>
      <c r="AG757" s="135"/>
      <c r="AH757" s="136"/>
      <c r="AI757" s="50">
        <f t="shared" si="133"/>
        <v>764</v>
      </c>
    </row>
    <row r="758" spans="1:35">
      <c r="A758" s="12">
        <v>45133</v>
      </c>
      <c r="B758" s="8">
        <v>1865803</v>
      </c>
      <c r="C758" s="8">
        <v>1865886</v>
      </c>
      <c r="D758" s="13">
        <f t="shared" si="139"/>
        <v>83</v>
      </c>
      <c r="E758" s="69">
        <v>210669</v>
      </c>
      <c r="F758" s="69">
        <v>210669</v>
      </c>
      <c r="G758" s="133">
        <f t="shared" si="135"/>
        <v>0</v>
      </c>
      <c r="H758" s="8">
        <v>276981</v>
      </c>
      <c r="I758" s="8">
        <v>277629</v>
      </c>
      <c r="J758" s="13">
        <f t="shared" si="132"/>
        <v>648</v>
      </c>
      <c r="K758" s="138"/>
      <c r="L758" s="8">
        <v>752362</v>
      </c>
      <c r="M758" s="8">
        <v>752488</v>
      </c>
      <c r="N758" s="13">
        <f t="shared" si="134"/>
        <v>126</v>
      </c>
      <c r="O758" s="136"/>
      <c r="P758" s="8">
        <v>424153</v>
      </c>
      <c r="Q758" s="8">
        <v>424656</v>
      </c>
      <c r="R758" s="133">
        <f t="shared" si="140"/>
        <v>503</v>
      </c>
      <c r="S758" s="8">
        <v>22185</v>
      </c>
      <c r="T758" s="8">
        <v>22256</v>
      </c>
      <c r="U758" s="133">
        <f t="shared" si="138"/>
        <v>71</v>
      </c>
      <c r="V758" s="8">
        <v>353986</v>
      </c>
      <c r="W758" s="8">
        <v>353986</v>
      </c>
      <c r="X758" s="13">
        <f t="shared" si="141"/>
        <v>0</v>
      </c>
      <c r="Y758" s="8">
        <v>29769</v>
      </c>
      <c r="Z758" s="8">
        <v>29801</v>
      </c>
      <c r="AA758" s="13">
        <f t="shared" si="136"/>
        <v>32</v>
      </c>
      <c r="AB758" s="8">
        <v>229022</v>
      </c>
      <c r="AC758" s="8">
        <v>229149</v>
      </c>
      <c r="AD758" s="13">
        <f t="shared" si="137"/>
        <v>127</v>
      </c>
      <c r="AE758" s="135"/>
      <c r="AF758" s="135"/>
      <c r="AG758" s="135"/>
      <c r="AH758" s="136"/>
      <c r="AI758" s="50">
        <f t="shared" si="133"/>
        <v>606</v>
      </c>
    </row>
    <row r="759" spans="1:35">
      <c r="A759" s="12">
        <v>45134</v>
      </c>
      <c r="B759" s="8">
        <v>1865886</v>
      </c>
      <c r="C759" s="8">
        <v>1865995</v>
      </c>
      <c r="D759" s="13">
        <f t="shared" si="139"/>
        <v>109</v>
      </c>
      <c r="E759" s="69">
        <v>210669</v>
      </c>
      <c r="F759" s="69">
        <v>210669</v>
      </c>
      <c r="G759" s="133">
        <f t="shared" si="135"/>
        <v>0</v>
      </c>
      <c r="H759" s="8">
        <v>277629</v>
      </c>
      <c r="I759" s="8">
        <v>277926</v>
      </c>
      <c r="J759" s="13">
        <f>I759-H759</f>
        <v>297</v>
      </c>
      <c r="K759" s="138"/>
      <c r="L759" s="8">
        <v>752488</v>
      </c>
      <c r="M759" s="8">
        <v>753874</v>
      </c>
      <c r="N759" s="13">
        <f t="shared" si="134"/>
        <v>1386</v>
      </c>
      <c r="O759" s="136"/>
      <c r="P759" s="8">
        <v>424656</v>
      </c>
      <c r="Q759" s="8">
        <v>424746</v>
      </c>
      <c r="R759" s="133">
        <f t="shared" si="140"/>
        <v>90</v>
      </c>
      <c r="S759" s="8">
        <v>22256</v>
      </c>
      <c r="T759" s="8">
        <v>22302</v>
      </c>
      <c r="U759" s="133">
        <f t="shared" si="138"/>
        <v>46</v>
      </c>
      <c r="V759" s="8">
        <v>353986</v>
      </c>
      <c r="W759" s="8">
        <v>353986</v>
      </c>
      <c r="X759" s="13">
        <f t="shared" si="141"/>
        <v>0</v>
      </c>
      <c r="Y759" s="8">
        <v>29801</v>
      </c>
      <c r="Z759" s="8">
        <v>29840</v>
      </c>
      <c r="AA759" s="13">
        <f t="shared" si="136"/>
        <v>39</v>
      </c>
      <c r="AB759" s="8">
        <v>229149</v>
      </c>
      <c r="AC759" s="8">
        <v>229314</v>
      </c>
      <c r="AD759" s="13">
        <f t="shared" si="137"/>
        <v>165</v>
      </c>
      <c r="AE759" s="135"/>
      <c r="AF759" s="135"/>
      <c r="AG759" s="135"/>
      <c r="AH759" s="136"/>
      <c r="AI759" s="50">
        <f t="shared" si="133"/>
        <v>175</v>
      </c>
    </row>
    <row r="760" spans="1:35">
      <c r="A760" s="12">
        <v>45135</v>
      </c>
      <c r="B760" s="8">
        <v>1865995</v>
      </c>
      <c r="C760" s="8">
        <v>1866790</v>
      </c>
      <c r="D760" s="13">
        <f t="shared" si="139"/>
        <v>795</v>
      </c>
      <c r="E760" s="69">
        <v>210669</v>
      </c>
      <c r="F760" s="69">
        <v>210669</v>
      </c>
      <c r="G760" s="133">
        <f t="shared" si="135"/>
        <v>0</v>
      </c>
      <c r="H760" s="8">
        <v>277926</v>
      </c>
      <c r="I760" s="8">
        <v>277926</v>
      </c>
      <c r="J760" s="13">
        <f>I760-H760</f>
        <v>0</v>
      </c>
      <c r="K760" s="138"/>
      <c r="L760" s="8">
        <v>753874</v>
      </c>
      <c r="M760" s="8">
        <v>754506</v>
      </c>
      <c r="N760" s="13">
        <f t="shared" si="134"/>
        <v>632</v>
      </c>
      <c r="O760" s="136"/>
      <c r="P760" s="8">
        <v>424746</v>
      </c>
      <c r="Q760" s="8">
        <v>424763</v>
      </c>
      <c r="R760" s="133">
        <f t="shared" si="140"/>
        <v>17</v>
      </c>
      <c r="S760" s="8">
        <v>22302</v>
      </c>
      <c r="T760" s="8">
        <v>22350</v>
      </c>
      <c r="U760" s="133">
        <f t="shared" si="138"/>
        <v>48</v>
      </c>
      <c r="V760" s="8">
        <v>353986</v>
      </c>
      <c r="W760" s="8">
        <v>353986</v>
      </c>
      <c r="X760" s="13">
        <f t="shared" si="141"/>
        <v>0</v>
      </c>
      <c r="Y760" s="8">
        <v>29840</v>
      </c>
      <c r="Z760" s="8">
        <v>29880</v>
      </c>
      <c r="AA760" s="13">
        <f t="shared" si="136"/>
        <v>40</v>
      </c>
      <c r="AB760" s="8">
        <v>229314</v>
      </c>
      <c r="AC760" s="8">
        <v>229421</v>
      </c>
      <c r="AD760" s="13">
        <f t="shared" si="137"/>
        <v>107</v>
      </c>
      <c r="AE760" s="135"/>
      <c r="AF760" s="135"/>
      <c r="AG760" s="135"/>
      <c r="AH760" s="136"/>
      <c r="AI760" s="50">
        <f t="shared" si="133"/>
        <v>105</v>
      </c>
    </row>
    <row r="761" spans="1:35">
      <c r="A761" s="12">
        <v>45136</v>
      </c>
      <c r="B761" s="8">
        <v>1866790</v>
      </c>
      <c r="C761" s="8">
        <v>1866899</v>
      </c>
      <c r="D761" s="13">
        <f t="shared" si="139"/>
        <v>109</v>
      </c>
      <c r="E761" s="69">
        <v>210669</v>
      </c>
      <c r="F761" s="69">
        <v>210669</v>
      </c>
      <c r="G761" s="133">
        <f t="shared" si="135"/>
        <v>0</v>
      </c>
      <c r="H761" s="8">
        <v>277926</v>
      </c>
      <c r="I761" s="8">
        <v>277926</v>
      </c>
      <c r="J761" s="13">
        <f>I761-H761</f>
        <v>0</v>
      </c>
      <c r="K761" s="138"/>
      <c r="L761" s="8">
        <v>754506</v>
      </c>
      <c r="M761" s="8">
        <v>755468</v>
      </c>
      <c r="N761" s="13">
        <f t="shared" si="134"/>
        <v>962</v>
      </c>
      <c r="O761" s="136"/>
      <c r="P761" s="8">
        <v>424763</v>
      </c>
      <c r="Q761" s="8">
        <v>424764</v>
      </c>
      <c r="R761" s="133">
        <f t="shared" si="140"/>
        <v>1</v>
      </c>
      <c r="S761" s="8">
        <v>22350</v>
      </c>
      <c r="T761" s="8">
        <v>22400</v>
      </c>
      <c r="U761" s="133">
        <f t="shared" si="138"/>
        <v>50</v>
      </c>
      <c r="V761" s="8">
        <v>353986</v>
      </c>
      <c r="W761" s="8">
        <v>353986</v>
      </c>
      <c r="X761" s="13">
        <f t="shared" si="141"/>
        <v>0</v>
      </c>
      <c r="Y761" s="8">
        <v>29880</v>
      </c>
      <c r="Z761" s="8">
        <v>29912</v>
      </c>
      <c r="AA761" s="13">
        <f t="shared" si="136"/>
        <v>32</v>
      </c>
      <c r="AB761" s="8">
        <v>229421</v>
      </c>
      <c r="AC761" s="8">
        <v>229548</v>
      </c>
      <c r="AD761" s="13">
        <f t="shared" si="137"/>
        <v>127</v>
      </c>
      <c r="AE761" s="135"/>
      <c r="AF761" s="135"/>
      <c r="AG761" s="135"/>
      <c r="AH761" s="136"/>
      <c r="AI761" s="50">
        <f t="shared" si="133"/>
        <v>83</v>
      </c>
    </row>
    <row r="762" spans="1:35">
      <c r="A762" s="12">
        <v>45137</v>
      </c>
      <c r="B762" s="8">
        <v>1866899</v>
      </c>
      <c r="C762" s="8">
        <v>1867873</v>
      </c>
      <c r="D762" s="13">
        <f t="shared" si="139"/>
        <v>974</v>
      </c>
      <c r="E762" s="69">
        <v>210669</v>
      </c>
      <c r="F762" s="69">
        <v>210669</v>
      </c>
      <c r="G762" s="133">
        <f t="shared" si="135"/>
        <v>0</v>
      </c>
      <c r="H762" s="8">
        <v>277926</v>
      </c>
      <c r="I762" s="8">
        <v>277926</v>
      </c>
      <c r="J762" s="13">
        <f>I762-H762</f>
        <v>0</v>
      </c>
      <c r="K762" s="138"/>
      <c r="L762" s="8">
        <v>755468</v>
      </c>
      <c r="M762" s="8">
        <v>755598</v>
      </c>
      <c r="N762" s="13">
        <f t="shared" si="134"/>
        <v>130</v>
      </c>
      <c r="O762" s="136"/>
      <c r="P762" s="8">
        <v>424764</v>
      </c>
      <c r="Q762" s="8">
        <v>424764</v>
      </c>
      <c r="R762" s="133">
        <f t="shared" si="140"/>
        <v>0</v>
      </c>
      <c r="S762" s="8">
        <v>22400</v>
      </c>
      <c r="T762" s="8">
        <v>22456</v>
      </c>
      <c r="U762" s="133">
        <f t="shared" si="138"/>
        <v>56</v>
      </c>
      <c r="V762" s="8">
        <v>353986</v>
      </c>
      <c r="W762" s="8">
        <v>353986</v>
      </c>
      <c r="X762" s="13">
        <f t="shared" si="141"/>
        <v>0</v>
      </c>
      <c r="Y762" s="8">
        <v>29912</v>
      </c>
      <c r="Z762" s="8">
        <v>29949</v>
      </c>
      <c r="AA762" s="13">
        <f t="shared" si="136"/>
        <v>37</v>
      </c>
      <c r="AB762" s="8">
        <v>229548</v>
      </c>
      <c r="AC762" s="8">
        <v>229625</v>
      </c>
      <c r="AD762" s="13">
        <f t="shared" si="137"/>
        <v>77</v>
      </c>
      <c r="AE762" s="135"/>
      <c r="AF762" s="135"/>
      <c r="AG762" s="135"/>
      <c r="AH762" s="136"/>
      <c r="AI762" s="50">
        <f t="shared" si="133"/>
        <v>93</v>
      </c>
    </row>
    <row r="763" spans="1:35">
      <c r="A763" s="12">
        <v>45138</v>
      </c>
      <c r="B763" s="8">
        <v>1867873</v>
      </c>
      <c r="C763" s="8">
        <v>1868404</v>
      </c>
      <c r="D763" s="13">
        <f t="shared" si="139"/>
        <v>531</v>
      </c>
      <c r="E763" s="69">
        <v>210669</v>
      </c>
      <c r="F763" s="69">
        <v>210669</v>
      </c>
      <c r="G763" s="133">
        <f t="shared" si="135"/>
        <v>0</v>
      </c>
      <c r="H763" s="8">
        <v>277926</v>
      </c>
      <c r="I763" s="8">
        <v>278669</v>
      </c>
      <c r="J763" s="13">
        <f>I763-H763</f>
        <v>743</v>
      </c>
      <c r="K763" s="138"/>
      <c r="L763" s="8">
        <v>755598</v>
      </c>
      <c r="M763" s="8">
        <v>755847</v>
      </c>
      <c r="N763" s="13">
        <f t="shared" si="134"/>
        <v>249</v>
      </c>
      <c r="O763" s="136"/>
      <c r="P763" s="8">
        <v>424764</v>
      </c>
      <c r="Q763" s="8">
        <v>424764</v>
      </c>
      <c r="R763" s="133">
        <f t="shared" si="140"/>
        <v>0</v>
      </c>
      <c r="S763" s="8">
        <v>22456</v>
      </c>
      <c r="T763" s="8">
        <v>22541</v>
      </c>
      <c r="U763" s="133">
        <f t="shared" si="138"/>
        <v>85</v>
      </c>
      <c r="V763" s="8">
        <v>353986</v>
      </c>
      <c r="W763" s="8">
        <v>353986</v>
      </c>
      <c r="X763" s="13">
        <f t="shared" si="141"/>
        <v>0</v>
      </c>
      <c r="Y763" s="8">
        <v>29949</v>
      </c>
      <c r="Z763" s="8">
        <v>29999</v>
      </c>
      <c r="AA763" s="13">
        <f t="shared" si="136"/>
        <v>50</v>
      </c>
      <c r="AB763" s="8">
        <v>229625</v>
      </c>
      <c r="AC763" s="8">
        <v>229768</v>
      </c>
      <c r="AD763" s="13">
        <f t="shared" si="137"/>
        <v>143</v>
      </c>
      <c r="AE763" s="135"/>
      <c r="AF763" s="135"/>
      <c r="AG763" s="135"/>
      <c r="AH763" s="136"/>
      <c r="AI763" s="50">
        <f t="shared" si="133"/>
        <v>135</v>
      </c>
    </row>
    <row r="764" spans="1:35">
      <c r="A764" s="12">
        <v>45139</v>
      </c>
      <c r="B764" s="8">
        <v>1868404</v>
      </c>
      <c r="C764" s="8">
        <v>1868473</v>
      </c>
      <c r="D764" s="13">
        <f t="shared" si="139"/>
        <v>69</v>
      </c>
      <c r="E764" s="69">
        <v>210669</v>
      </c>
      <c r="F764" s="69">
        <v>210669</v>
      </c>
      <c r="G764" s="133">
        <f t="shared" si="135"/>
        <v>0</v>
      </c>
      <c r="H764" s="8">
        <v>278669</v>
      </c>
      <c r="I764" s="8">
        <v>279423</v>
      </c>
      <c r="J764" s="13">
        <f t="shared" ref="J764:J827" si="142">I764-H764</f>
        <v>754</v>
      </c>
      <c r="K764" s="138"/>
      <c r="L764" s="8">
        <v>755847</v>
      </c>
      <c r="M764" s="8">
        <v>756047</v>
      </c>
      <c r="N764" s="13">
        <f t="shared" si="134"/>
        <v>200</v>
      </c>
      <c r="O764" s="136"/>
      <c r="P764" s="8">
        <v>424764</v>
      </c>
      <c r="Q764" s="8">
        <v>425332</v>
      </c>
      <c r="R764" s="133">
        <f t="shared" si="140"/>
        <v>568</v>
      </c>
      <c r="S764" s="8">
        <v>22541</v>
      </c>
      <c r="T764" s="8">
        <v>22587</v>
      </c>
      <c r="U764" s="133">
        <f t="shared" si="138"/>
        <v>46</v>
      </c>
      <c r="V764" s="8">
        <v>353986</v>
      </c>
      <c r="W764" s="8">
        <v>353986</v>
      </c>
      <c r="X764" s="13">
        <f t="shared" si="141"/>
        <v>0</v>
      </c>
      <c r="Y764" s="8">
        <v>29999</v>
      </c>
      <c r="Z764" s="8">
        <v>30039</v>
      </c>
      <c r="AA764" s="13">
        <f t="shared" si="136"/>
        <v>40</v>
      </c>
      <c r="AB764" s="8">
        <v>229768</v>
      </c>
      <c r="AC764" s="8">
        <v>229939</v>
      </c>
      <c r="AD764" s="13">
        <f t="shared" si="137"/>
        <v>171</v>
      </c>
      <c r="AE764" s="135"/>
      <c r="AF764" s="135"/>
      <c r="AG764" s="135"/>
      <c r="AH764" s="136"/>
      <c r="AI764" s="50">
        <f t="shared" si="133"/>
        <v>654</v>
      </c>
    </row>
    <row r="765" spans="1:35">
      <c r="A765" s="12">
        <v>45140</v>
      </c>
      <c r="B765" s="8">
        <v>1868473</v>
      </c>
      <c r="C765" s="8">
        <v>1868481</v>
      </c>
      <c r="D765" s="13">
        <f t="shared" si="139"/>
        <v>8</v>
      </c>
      <c r="E765" s="69">
        <v>210669</v>
      </c>
      <c r="F765" s="69">
        <v>210669</v>
      </c>
      <c r="G765" s="133">
        <f t="shared" si="135"/>
        <v>0</v>
      </c>
      <c r="H765" s="8">
        <v>279423</v>
      </c>
      <c r="I765" s="8">
        <v>280218</v>
      </c>
      <c r="J765" s="13">
        <f t="shared" si="142"/>
        <v>795</v>
      </c>
      <c r="K765" s="138"/>
      <c r="L765" s="8">
        <v>756047</v>
      </c>
      <c r="M765" s="8">
        <v>756196</v>
      </c>
      <c r="N765" s="13">
        <f t="shared" si="134"/>
        <v>149</v>
      </c>
      <c r="O765" s="136"/>
      <c r="P765" s="8">
        <v>425332</v>
      </c>
      <c r="Q765" s="8">
        <v>425981</v>
      </c>
      <c r="R765" s="133">
        <f t="shared" si="140"/>
        <v>649</v>
      </c>
      <c r="S765" s="8">
        <v>22587</v>
      </c>
      <c r="T765" s="8">
        <v>22640</v>
      </c>
      <c r="U765" s="133">
        <f t="shared" si="138"/>
        <v>53</v>
      </c>
      <c r="V765" s="8">
        <v>353986</v>
      </c>
      <c r="W765" s="8">
        <v>353986</v>
      </c>
      <c r="X765" s="13">
        <f t="shared" si="141"/>
        <v>0</v>
      </c>
      <c r="Y765" s="8">
        <v>30039</v>
      </c>
      <c r="Z765" s="8">
        <v>30079</v>
      </c>
      <c r="AA765" s="13">
        <f t="shared" si="136"/>
        <v>40</v>
      </c>
      <c r="AB765" s="8">
        <v>229939</v>
      </c>
      <c r="AC765" s="8">
        <v>230083</v>
      </c>
      <c r="AD765" s="13">
        <f t="shared" si="137"/>
        <v>144</v>
      </c>
      <c r="AE765" s="135"/>
      <c r="AF765" s="135"/>
      <c r="AG765" s="135"/>
      <c r="AH765" s="136"/>
      <c r="AI765" s="50">
        <f t="shared" si="133"/>
        <v>742</v>
      </c>
    </row>
    <row r="766" spans="1:35">
      <c r="A766" s="12">
        <v>45141</v>
      </c>
      <c r="B766" s="8">
        <v>1868481</v>
      </c>
      <c r="C766" s="8">
        <v>1868486</v>
      </c>
      <c r="D766" s="13">
        <f t="shared" si="139"/>
        <v>5</v>
      </c>
      <c r="E766" s="69">
        <v>210669</v>
      </c>
      <c r="F766" s="69">
        <v>210669</v>
      </c>
      <c r="G766" s="133">
        <f t="shared" si="135"/>
        <v>0</v>
      </c>
      <c r="H766" s="8">
        <v>280218</v>
      </c>
      <c r="I766" s="8">
        <v>280362</v>
      </c>
      <c r="J766" s="13">
        <f t="shared" si="142"/>
        <v>144</v>
      </c>
      <c r="K766" s="138"/>
      <c r="L766" s="8">
        <v>756196</v>
      </c>
      <c r="M766" s="8">
        <v>757346</v>
      </c>
      <c r="N766" s="13">
        <f t="shared" si="134"/>
        <v>1150</v>
      </c>
      <c r="O766" s="136"/>
      <c r="P766" s="8">
        <v>425981</v>
      </c>
      <c r="Q766" s="8">
        <v>426107</v>
      </c>
      <c r="R766" s="133">
        <f t="shared" si="140"/>
        <v>126</v>
      </c>
      <c r="S766" s="8">
        <v>22640</v>
      </c>
      <c r="T766" s="8">
        <v>22692</v>
      </c>
      <c r="U766" s="133">
        <f t="shared" si="138"/>
        <v>52</v>
      </c>
      <c r="V766" s="8">
        <v>353986</v>
      </c>
      <c r="W766" s="8">
        <v>353986</v>
      </c>
      <c r="X766" s="13">
        <f t="shared" si="141"/>
        <v>0</v>
      </c>
      <c r="Y766" s="8">
        <v>30079</v>
      </c>
      <c r="Z766" s="8">
        <v>30114</v>
      </c>
      <c r="AA766" s="13">
        <f t="shared" si="136"/>
        <v>35</v>
      </c>
      <c r="AB766" s="8">
        <v>230083</v>
      </c>
      <c r="AC766" s="8">
        <v>230272</v>
      </c>
      <c r="AD766" s="13">
        <f t="shared" si="137"/>
        <v>189</v>
      </c>
      <c r="AE766" s="135"/>
      <c r="AF766" s="135"/>
      <c r="AG766" s="135"/>
      <c r="AH766" s="136"/>
      <c r="AI766" s="50">
        <f t="shared" si="133"/>
        <v>213</v>
      </c>
    </row>
    <row r="767" spans="1:35">
      <c r="A767" s="12">
        <v>45142</v>
      </c>
      <c r="B767" s="8">
        <v>1868486</v>
      </c>
      <c r="C767" s="8">
        <v>1868964</v>
      </c>
      <c r="D767" s="13">
        <f t="shared" si="139"/>
        <v>478</v>
      </c>
      <c r="E767" s="69">
        <v>210669</v>
      </c>
      <c r="F767" s="69">
        <v>210669</v>
      </c>
      <c r="G767" s="133">
        <f t="shared" si="135"/>
        <v>0</v>
      </c>
      <c r="H767" s="8">
        <v>280362</v>
      </c>
      <c r="I767" s="8">
        <v>280362</v>
      </c>
      <c r="J767" s="13">
        <f t="shared" si="142"/>
        <v>0</v>
      </c>
      <c r="K767" s="138"/>
      <c r="L767" s="8">
        <v>757346</v>
      </c>
      <c r="M767" s="8">
        <v>757883</v>
      </c>
      <c r="N767" s="13">
        <f t="shared" si="134"/>
        <v>537</v>
      </c>
      <c r="O767" s="136"/>
      <c r="P767" s="8">
        <v>426107</v>
      </c>
      <c r="Q767" s="8">
        <v>426107</v>
      </c>
      <c r="R767" s="133">
        <f t="shared" si="140"/>
        <v>0</v>
      </c>
      <c r="S767" s="8">
        <v>22692</v>
      </c>
      <c r="T767" s="8">
        <v>22741</v>
      </c>
      <c r="U767" s="133">
        <f t="shared" si="138"/>
        <v>49</v>
      </c>
      <c r="V767" s="8">
        <v>353986</v>
      </c>
      <c r="W767" s="8">
        <v>353986</v>
      </c>
      <c r="X767" s="13">
        <f t="shared" si="141"/>
        <v>0</v>
      </c>
      <c r="Y767" s="8">
        <v>30114</v>
      </c>
      <c r="Z767" s="8">
        <v>30143</v>
      </c>
      <c r="AA767" s="13">
        <f t="shared" si="136"/>
        <v>29</v>
      </c>
      <c r="AB767" s="8">
        <v>230272</v>
      </c>
      <c r="AC767" s="8">
        <v>230366</v>
      </c>
      <c r="AD767" s="13">
        <f t="shared" si="137"/>
        <v>94</v>
      </c>
      <c r="AE767" s="135"/>
      <c r="AF767" s="135"/>
      <c r="AG767" s="135"/>
      <c r="AH767" s="136"/>
      <c r="AI767" s="50">
        <f t="shared" si="133"/>
        <v>78</v>
      </c>
    </row>
    <row r="768" spans="1:35">
      <c r="A768" s="12">
        <v>45143</v>
      </c>
      <c r="B768" s="8">
        <v>1868964</v>
      </c>
      <c r="C768" s="8">
        <v>1869066</v>
      </c>
      <c r="D768" s="13">
        <f t="shared" si="139"/>
        <v>102</v>
      </c>
      <c r="E768" s="69">
        <v>210669</v>
      </c>
      <c r="F768" s="69">
        <v>210669</v>
      </c>
      <c r="G768" s="133">
        <f t="shared" si="135"/>
        <v>0</v>
      </c>
      <c r="H768" s="8">
        <v>280362</v>
      </c>
      <c r="I768" s="8">
        <v>281124</v>
      </c>
      <c r="J768" s="13">
        <f t="shared" si="142"/>
        <v>762</v>
      </c>
      <c r="K768" s="138"/>
      <c r="L768" s="8">
        <v>757883</v>
      </c>
      <c r="M768" s="8">
        <v>758437</v>
      </c>
      <c r="N768" s="13">
        <f t="shared" si="134"/>
        <v>554</v>
      </c>
      <c r="O768" s="136"/>
      <c r="P768" s="8">
        <v>426107</v>
      </c>
      <c r="Q768" s="8">
        <v>426107</v>
      </c>
      <c r="R768" s="133">
        <f t="shared" si="140"/>
        <v>0</v>
      </c>
      <c r="S768" s="8">
        <v>22741</v>
      </c>
      <c r="T768" s="8">
        <v>22784</v>
      </c>
      <c r="U768" s="133">
        <f t="shared" si="138"/>
        <v>43</v>
      </c>
      <c r="V768" s="8">
        <v>353986</v>
      </c>
      <c r="W768" s="8">
        <v>353986</v>
      </c>
      <c r="X768" s="13">
        <f t="shared" si="141"/>
        <v>0</v>
      </c>
      <c r="Y768" s="8">
        <v>30143</v>
      </c>
      <c r="Z768" s="8">
        <v>30176</v>
      </c>
      <c r="AA768" s="13">
        <f t="shared" si="136"/>
        <v>33</v>
      </c>
      <c r="AB768" s="8">
        <v>230366</v>
      </c>
      <c r="AC768" s="8">
        <v>230477</v>
      </c>
      <c r="AD768" s="13">
        <f t="shared" si="137"/>
        <v>111</v>
      </c>
      <c r="AE768" s="135"/>
      <c r="AF768" s="135"/>
      <c r="AG768" s="135"/>
      <c r="AH768" s="136"/>
      <c r="AI768" s="50">
        <f t="shared" si="133"/>
        <v>76</v>
      </c>
    </row>
    <row r="769" spans="1:35">
      <c r="A769" s="12">
        <v>45144</v>
      </c>
      <c r="B769" s="8">
        <v>1869066</v>
      </c>
      <c r="C769" s="8">
        <v>1869084</v>
      </c>
      <c r="D769" s="13">
        <f t="shared" si="139"/>
        <v>18</v>
      </c>
      <c r="E769" s="69">
        <v>210669</v>
      </c>
      <c r="F769" s="69">
        <v>210669</v>
      </c>
      <c r="G769" s="133">
        <f t="shared" si="135"/>
        <v>0</v>
      </c>
      <c r="H769" s="8">
        <v>281124</v>
      </c>
      <c r="I769" s="8">
        <v>281783</v>
      </c>
      <c r="J769" s="13">
        <f t="shared" si="142"/>
        <v>659</v>
      </c>
      <c r="K769" s="138"/>
      <c r="L769" s="8">
        <v>758437</v>
      </c>
      <c r="M769" s="8">
        <v>758789</v>
      </c>
      <c r="N769" s="13">
        <f t="shared" si="134"/>
        <v>352</v>
      </c>
      <c r="O769" s="136"/>
      <c r="P769" s="8">
        <v>426107</v>
      </c>
      <c r="Q769" s="8">
        <v>426107</v>
      </c>
      <c r="R769" s="133">
        <f t="shared" si="140"/>
        <v>0</v>
      </c>
      <c r="S769" s="8">
        <v>22784</v>
      </c>
      <c r="T769" s="8">
        <v>22811</v>
      </c>
      <c r="U769" s="133">
        <f t="shared" si="138"/>
        <v>27</v>
      </c>
      <c r="V769" s="8">
        <v>353986</v>
      </c>
      <c r="W769" s="8">
        <v>353986</v>
      </c>
      <c r="X769" s="13">
        <f t="shared" si="141"/>
        <v>0</v>
      </c>
      <c r="Y769" s="8">
        <v>30176</v>
      </c>
      <c r="Z769" s="8">
        <v>30202</v>
      </c>
      <c r="AA769" s="13">
        <f t="shared" si="136"/>
        <v>26</v>
      </c>
      <c r="AB769" s="8">
        <v>230477</v>
      </c>
      <c r="AC769" s="8">
        <v>230483</v>
      </c>
      <c r="AD769" s="13">
        <f t="shared" si="137"/>
        <v>6</v>
      </c>
      <c r="AE769" s="135"/>
      <c r="AF769" s="135"/>
      <c r="AG769" s="135"/>
      <c r="AH769" s="136"/>
      <c r="AI769" s="50">
        <f t="shared" ref="AI769:AI832" si="143">AA769+U769+R769+O769+X769</f>
        <v>53</v>
      </c>
    </row>
    <row r="770" spans="1:35">
      <c r="A770" s="12">
        <v>45145</v>
      </c>
      <c r="B770" s="8">
        <v>1869084</v>
      </c>
      <c r="C770" s="8">
        <v>1869215</v>
      </c>
      <c r="D770" s="13">
        <f t="shared" si="139"/>
        <v>131</v>
      </c>
      <c r="E770" s="69">
        <v>210669</v>
      </c>
      <c r="F770" s="69">
        <v>210669</v>
      </c>
      <c r="G770" s="133">
        <f t="shared" si="135"/>
        <v>0</v>
      </c>
      <c r="H770" s="8">
        <v>281783</v>
      </c>
      <c r="I770" s="8">
        <v>281870</v>
      </c>
      <c r="J770" s="13">
        <f t="shared" si="142"/>
        <v>87</v>
      </c>
      <c r="K770" s="138"/>
      <c r="L770" s="8">
        <v>758789</v>
      </c>
      <c r="M770" s="8">
        <v>759503</v>
      </c>
      <c r="N770" s="13">
        <f t="shared" ref="N770:N833" si="144">M770-L770</f>
        <v>714</v>
      </c>
      <c r="O770" s="136"/>
      <c r="P770" s="8">
        <v>426107</v>
      </c>
      <c r="Q770" s="8">
        <v>426107</v>
      </c>
      <c r="R770" s="133">
        <f t="shared" si="140"/>
        <v>0</v>
      </c>
      <c r="S770" s="8">
        <v>22811</v>
      </c>
      <c r="T770" s="8">
        <v>22834</v>
      </c>
      <c r="U770" s="133">
        <f t="shared" si="138"/>
        <v>23</v>
      </c>
      <c r="V770" s="8">
        <v>353986</v>
      </c>
      <c r="W770" s="8">
        <v>353986</v>
      </c>
      <c r="X770" s="13">
        <f t="shared" si="141"/>
        <v>0</v>
      </c>
      <c r="Y770" s="8">
        <v>30202</v>
      </c>
      <c r="Z770" s="8">
        <v>30238</v>
      </c>
      <c r="AA770" s="13">
        <f t="shared" si="136"/>
        <v>36</v>
      </c>
      <c r="AB770" s="8">
        <v>230483</v>
      </c>
      <c r="AC770" s="8">
        <v>230561</v>
      </c>
      <c r="AD770" s="13">
        <f t="shared" si="137"/>
        <v>78</v>
      </c>
      <c r="AE770" s="135"/>
      <c r="AF770" s="135"/>
      <c r="AG770" s="135"/>
      <c r="AH770" s="136"/>
      <c r="AI770" s="50">
        <f t="shared" si="143"/>
        <v>59</v>
      </c>
    </row>
    <row r="771" spans="1:35">
      <c r="A771" s="12">
        <v>45146</v>
      </c>
      <c r="B771" s="8">
        <v>1869215</v>
      </c>
      <c r="C771" s="8">
        <v>1869524</v>
      </c>
      <c r="D771" s="13">
        <f t="shared" si="139"/>
        <v>309</v>
      </c>
      <c r="E771" s="69">
        <v>210669</v>
      </c>
      <c r="F771" s="69">
        <v>210669</v>
      </c>
      <c r="G771" s="133">
        <f t="shared" ref="G771:G834" si="145">F771-E771</f>
        <v>0</v>
      </c>
      <c r="H771" s="8">
        <v>281870</v>
      </c>
      <c r="I771" s="8">
        <v>282196</v>
      </c>
      <c r="J771" s="13">
        <f t="shared" si="142"/>
        <v>326</v>
      </c>
      <c r="K771" s="138"/>
      <c r="L771" s="8">
        <v>759503</v>
      </c>
      <c r="M771" s="8">
        <v>760166</v>
      </c>
      <c r="N771" s="13">
        <f t="shared" si="144"/>
        <v>663</v>
      </c>
      <c r="O771" s="136"/>
      <c r="P771" s="8">
        <v>426107</v>
      </c>
      <c r="Q771" s="8">
        <v>426282</v>
      </c>
      <c r="R771" s="133">
        <f t="shared" si="140"/>
        <v>175</v>
      </c>
      <c r="S771" s="8">
        <v>22834</v>
      </c>
      <c r="T771" s="8">
        <v>22874</v>
      </c>
      <c r="U771" s="133">
        <f t="shared" si="138"/>
        <v>40</v>
      </c>
      <c r="V771" s="8">
        <v>353986</v>
      </c>
      <c r="W771" s="8">
        <v>353986</v>
      </c>
      <c r="X771" s="13">
        <f t="shared" si="141"/>
        <v>0</v>
      </c>
      <c r="Y771" s="8">
        <v>30238</v>
      </c>
      <c r="Z771" s="8">
        <v>30271</v>
      </c>
      <c r="AA771" s="13">
        <f t="shared" si="136"/>
        <v>33</v>
      </c>
      <c r="AB771" s="8">
        <v>230561</v>
      </c>
      <c r="AC771" s="8">
        <v>230674</v>
      </c>
      <c r="AD771" s="13">
        <f t="shared" si="137"/>
        <v>113</v>
      </c>
      <c r="AE771" s="135"/>
      <c r="AF771" s="135"/>
      <c r="AG771" s="135"/>
      <c r="AH771" s="136"/>
      <c r="AI771" s="50">
        <f t="shared" si="143"/>
        <v>248</v>
      </c>
    </row>
    <row r="772" spans="1:35">
      <c r="A772" s="12">
        <v>45147</v>
      </c>
      <c r="B772" s="8">
        <v>1869524</v>
      </c>
      <c r="C772" s="8">
        <v>1870084</v>
      </c>
      <c r="D772" s="13">
        <f t="shared" si="139"/>
        <v>560</v>
      </c>
      <c r="E772" s="69">
        <v>210669</v>
      </c>
      <c r="F772" s="69">
        <v>210669</v>
      </c>
      <c r="G772" s="133">
        <f t="shared" si="145"/>
        <v>0</v>
      </c>
      <c r="H772" s="8">
        <v>282196</v>
      </c>
      <c r="I772" s="8">
        <v>282362</v>
      </c>
      <c r="J772" s="13">
        <f t="shared" si="142"/>
        <v>166</v>
      </c>
      <c r="K772" s="138"/>
      <c r="L772" s="8">
        <v>760166</v>
      </c>
      <c r="M772" s="8">
        <v>760847</v>
      </c>
      <c r="N772" s="13">
        <f t="shared" si="144"/>
        <v>681</v>
      </c>
      <c r="O772" s="136"/>
      <c r="P772" s="8">
        <v>426282</v>
      </c>
      <c r="Q772" s="8">
        <v>426282</v>
      </c>
      <c r="R772" s="133">
        <f t="shared" si="140"/>
        <v>0</v>
      </c>
      <c r="S772" s="8">
        <v>22874</v>
      </c>
      <c r="T772" s="8">
        <v>22940</v>
      </c>
      <c r="U772" s="133">
        <f t="shared" si="138"/>
        <v>66</v>
      </c>
      <c r="V772" s="8">
        <v>353986</v>
      </c>
      <c r="W772" s="8">
        <v>353986</v>
      </c>
      <c r="X772" s="13">
        <f t="shared" si="141"/>
        <v>0</v>
      </c>
      <c r="Y772" s="8">
        <v>30271</v>
      </c>
      <c r="Z772" s="8">
        <v>30302</v>
      </c>
      <c r="AA772" s="13">
        <f t="shared" si="136"/>
        <v>31</v>
      </c>
      <c r="AB772" s="8">
        <v>230674</v>
      </c>
      <c r="AC772" s="8">
        <v>230788</v>
      </c>
      <c r="AD772" s="13">
        <f t="shared" si="137"/>
        <v>114</v>
      </c>
      <c r="AE772" s="135"/>
      <c r="AF772" s="135"/>
      <c r="AG772" s="135"/>
      <c r="AH772" s="136"/>
      <c r="AI772" s="50">
        <f t="shared" si="143"/>
        <v>97</v>
      </c>
    </row>
    <row r="773" spans="1:35">
      <c r="A773" s="12">
        <v>45148</v>
      </c>
      <c r="B773" s="8">
        <v>1870084</v>
      </c>
      <c r="C773" s="8">
        <v>1870614</v>
      </c>
      <c r="D773" s="13">
        <f t="shared" si="139"/>
        <v>530</v>
      </c>
      <c r="E773" s="69">
        <v>210669</v>
      </c>
      <c r="F773" s="69">
        <v>210669</v>
      </c>
      <c r="G773" s="133">
        <f t="shared" si="145"/>
        <v>0</v>
      </c>
      <c r="H773" s="8">
        <v>282362</v>
      </c>
      <c r="I773" s="8">
        <v>282498</v>
      </c>
      <c r="J773" s="13">
        <f t="shared" si="142"/>
        <v>136</v>
      </c>
      <c r="K773" s="138"/>
      <c r="L773" s="8">
        <v>760847</v>
      </c>
      <c r="M773" s="8">
        <v>761995</v>
      </c>
      <c r="N773" s="13">
        <f t="shared" si="144"/>
        <v>1148</v>
      </c>
      <c r="O773" s="136"/>
      <c r="P773" s="8">
        <v>426282</v>
      </c>
      <c r="Q773" s="8">
        <v>426282</v>
      </c>
      <c r="R773" s="133">
        <f t="shared" si="140"/>
        <v>0</v>
      </c>
      <c r="S773" s="8">
        <v>22940</v>
      </c>
      <c r="T773" s="8">
        <v>22999</v>
      </c>
      <c r="U773" s="133">
        <f t="shared" si="138"/>
        <v>59</v>
      </c>
      <c r="V773" s="8">
        <v>353986</v>
      </c>
      <c r="W773" s="8">
        <v>353986</v>
      </c>
      <c r="X773" s="13">
        <f t="shared" si="141"/>
        <v>0</v>
      </c>
      <c r="Y773" s="8">
        <v>30302</v>
      </c>
      <c r="Z773" s="8">
        <v>30332</v>
      </c>
      <c r="AA773" s="13">
        <f t="shared" ref="AA773:AA836" si="146">Z773-Y773</f>
        <v>30</v>
      </c>
      <c r="AB773" s="8">
        <v>230788</v>
      </c>
      <c r="AC773" s="8">
        <v>230878</v>
      </c>
      <c r="AD773" s="13">
        <f t="shared" si="137"/>
        <v>90</v>
      </c>
      <c r="AE773" s="135"/>
      <c r="AF773" s="135"/>
      <c r="AG773" s="135"/>
      <c r="AH773" s="136"/>
      <c r="AI773" s="50">
        <f t="shared" si="143"/>
        <v>89</v>
      </c>
    </row>
    <row r="774" spans="1:35">
      <c r="A774" s="12">
        <v>45149</v>
      </c>
      <c r="B774" s="8">
        <v>1870614</v>
      </c>
      <c r="C774" s="8">
        <v>1871435</v>
      </c>
      <c r="D774" s="13">
        <f t="shared" si="139"/>
        <v>821</v>
      </c>
      <c r="E774" s="69">
        <v>210669</v>
      </c>
      <c r="F774" s="69">
        <v>210669</v>
      </c>
      <c r="G774" s="133">
        <f t="shared" si="145"/>
        <v>0</v>
      </c>
      <c r="H774" s="8">
        <v>282498</v>
      </c>
      <c r="I774" s="8">
        <v>282498</v>
      </c>
      <c r="J774" s="13">
        <f t="shared" si="142"/>
        <v>0</v>
      </c>
      <c r="K774" s="138"/>
      <c r="L774" s="8">
        <v>761995</v>
      </c>
      <c r="M774" s="8">
        <v>763229</v>
      </c>
      <c r="N774" s="13">
        <f t="shared" si="144"/>
        <v>1234</v>
      </c>
      <c r="O774" s="136"/>
      <c r="P774" s="8">
        <v>426282</v>
      </c>
      <c r="Q774" s="8">
        <v>426282</v>
      </c>
      <c r="R774" s="133">
        <f t="shared" si="140"/>
        <v>0</v>
      </c>
      <c r="S774" s="8">
        <v>22999</v>
      </c>
      <c r="T774" s="8">
        <v>23052</v>
      </c>
      <c r="U774" s="133">
        <f t="shared" si="138"/>
        <v>53</v>
      </c>
      <c r="V774" s="8">
        <v>353986</v>
      </c>
      <c r="W774" s="8">
        <v>353986</v>
      </c>
      <c r="X774" s="13">
        <f t="shared" si="141"/>
        <v>0</v>
      </c>
      <c r="Y774" s="8">
        <v>30332</v>
      </c>
      <c r="Z774" s="8">
        <v>30367</v>
      </c>
      <c r="AA774" s="13">
        <f t="shared" si="146"/>
        <v>35</v>
      </c>
      <c r="AB774" s="8">
        <v>230878</v>
      </c>
      <c r="AC774" s="8">
        <v>230971</v>
      </c>
      <c r="AD774" s="13">
        <f t="shared" si="137"/>
        <v>93</v>
      </c>
      <c r="AE774" s="135"/>
      <c r="AF774" s="135"/>
      <c r="AG774" s="135"/>
      <c r="AH774" s="136"/>
      <c r="AI774" s="50">
        <f t="shared" si="143"/>
        <v>88</v>
      </c>
    </row>
    <row r="775" spans="1:35">
      <c r="A775" s="12">
        <v>45150</v>
      </c>
      <c r="B775" s="8">
        <v>1871435</v>
      </c>
      <c r="C775" s="8">
        <v>1871614</v>
      </c>
      <c r="D775" s="13">
        <f t="shared" si="139"/>
        <v>179</v>
      </c>
      <c r="E775" s="69">
        <v>210669</v>
      </c>
      <c r="F775" s="69">
        <v>210669</v>
      </c>
      <c r="G775" s="133">
        <f t="shared" si="145"/>
        <v>0</v>
      </c>
      <c r="H775" s="8">
        <v>282498</v>
      </c>
      <c r="I775" s="8">
        <v>282498</v>
      </c>
      <c r="J775" s="13">
        <f t="shared" si="142"/>
        <v>0</v>
      </c>
      <c r="K775" s="138"/>
      <c r="L775" s="8">
        <v>763229</v>
      </c>
      <c r="M775" s="8">
        <v>763527</v>
      </c>
      <c r="N775" s="13">
        <f t="shared" si="144"/>
        <v>298</v>
      </c>
      <c r="O775" s="136"/>
      <c r="P775" s="8">
        <v>426282</v>
      </c>
      <c r="Q775" s="8">
        <v>426282</v>
      </c>
      <c r="R775" s="133">
        <f t="shared" si="140"/>
        <v>0</v>
      </c>
      <c r="S775" s="8">
        <v>23052</v>
      </c>
      <c r="T775" s="8">
        <v>23112</v>
      </c>
      <c r="U775" s="133">
        <f t="shared" si="138"/>
        <v>60</v>
      </c>
      <c r="V775" s="8">
        <v>353986</v>
      </c>
      <c r="W775" s="8">
        <v>353986</v>
      </c>
      <c r="X775" s="13">
        <f t="shared" si="141"/>
        <v>0</v>
      </c>
      <c r="Y775" s="8">
        <v>30367</v>
      </c>
      <c r="Z775" s="8">
        <v>30401</v>
      </c>
      <c r="AA775" s="13">
        <f t="shared" si="146"/>
        <v>34</v>
      </c>
      <c r="AB775" s="8">
        <v>230971</v>
      </c>
      <c r="AC775" s="8">
        <v>231082</v>
      </c>
      <c r="AD775" s="13">
        <f t="shared" si="137"/>
        <v>111</v>
      </c>
      <c r="AE775" s="135"/>
      <c r="AF775" s="135"/>
      <c r="AG775" s="135"/>
      <c r="AH775" s="136"/>
      <c r="AI775" s="50">
        <f t="shared" si="143"/>
        <v>94</v>
      </c>
    </row>
    <row r="776" spans="1:35">
      <c r="A776" s="12">
        <v>45151</v>
      </c>
      <c r="B776" s="8">
        <v>1871614</v>
      </c>
      <c r="C776" s="8">
        <v>1872004</v>
      </c>
      <c r="D776" s="13">
        <f t="shared" si="139"/>
        <v>390</v>
      </c>
      <c r="E776" s="69">
        <v>210669</v>
      </c>
      <c r="F776" s="69">
        <v>210669</v>
      </c>
      <c r="G776" s="133">
        <f t="shared" si="145"/>
        <v>0</v>
      </c>
      <c r="H776" s="8">
        <v>282498</v>
      </c>
      <c r="I776" s="8">
        <v>283365</v>
      </c>
      <c r="J776" s="13">
        <f t="shared" si="142"/>
        <v>867</v>
      </c>
      <c r="K776" s="138"/>
      <c r="L776" s="8">
        <v>763527</v>
      </c>
      <c r="M776" s="8">
        <v>763586</v>
      </c>
      <c r="N776" s="13">
        <f t="shared" si="144"/>
        <v>59</v>
      </c>
      <c r="O776" s="136"/>
      <c r="P776" s="8">
        <v>426282</v>
      </c>
      <c r="Q776" s="8">
        <v>426282</v>
      </c>
      <c r="R776" s="133">
        <f t="shared" si="140"/>
        <v>0</v>
      </c>
      <c r="S776" s="8">
        <v>23112</v>
      </c>
      <c r="T776" s="8">
        <v>23292</v>
      </c>
      <c r="U776" s="133">
        <f t="shared" si="138"/>
        <v>180</v>
      </c>
      <c r="V776" s="8">
        <v>353986</v>
      </c>
      <c r="W776" s="8">
        <v>353986</v>
      </c>
      <c r="X776" s="13">
        <f t="shared" si="141"/>
        <v>0</v>
      </c>
      <c r="Y776" s="8">
        <v>30401</v>
      </c>
      <c r="Z776" s="8">
        <v>30436</v>
      </c>
      <c r="AA776" s="13">
        <f t="shared" si="146"/>
        <v>35</v>
      </c>
      <c r="AB776" s="8">
        <v>231082</v>
      </c>
      <c r="AC776" s="8">
        <v>231193</v>
      </c>
      <c r="AD776" s="13">
        <f t="shared" ref="AD776:AD839" si="147">AC776-AB776</f>
        <v>111</v>
      </c>
      <c r="AE776" s="135"/>
      <c r="AF776" s="135"/>
      <c r="AG776" s="135"/>
      <c r="AH776" s="136"/>
      <c r="AI776" s="50">
        <f t="shared" si="143"/>
        <v>215</v>
      </c>
    </row>
    <row r="777" spans="1:35">
      <c r="A777" s="12">
        <v>45152</v>
      </c>
      <c r="B777" s="8">
        <v>1872004</v>
      </c>
      <c r="C777" s="8">
        <v>1872175</v>
      </c>
      <c r="D777" s="13">
        <f t="shared" si="139"/>
        <v>171</v>
      </c>
      <c r="E777" s="69">
        <v>210669</v>
      </c>
      <c r="F777" s="69">
        <v>210669</v>
      </c>
      <c r="G777" s="133">
        <f t="shared" si="145"/>
        <v>0</v>
      </c>
      <c r="H777" s="8">
        <v>283365</v>
      </c>
      <c r="I777" s="8">
        <v>284064</v>
      </c>
      <c r="J777" s="13">
        <f t="shared" si="142"/>
        <v>699</v>
      </c>
      <c r="K777" s="138"/>
      <c r="L777" s="8">
        <v>763586</v>
      </c>
      <c r="M777" s="8">
        <v>763834</v>
      </c>
      <c r="N777" s="13">
        <f t="shared" si="144"/>
        <v>248</v>
      </c>
      <c r="O777" s="136"/>
      <c r="P777" s="8">
        <v>426282</v>
      </c>
      <c r="Q777" s="8">
        <v>426721</v>
      </c>
      <c r="R777" s="133">
        <f t="shared" si="140"/>
        <v>439</v>
      </c>
      <c r="S777" s="8">
        <v>23292</v>
      </c>
      <c r="T777" s="8">
        <v>23348</v>
      </c>
      <c r="U777" s="133">
        <f t="shared" si="138"/>
        <v>56</v>
      </c>
      <c r="V777" s="8">
        <v>353986</v>
      </c>
      <c r="W777" s="8">
        <v>353986</v>
      </c>
      <c r="X777" s="13">
        <f t="shared" si="141"/>
        <v>0</v>
      </c>
      <c r="Y777" s="8">
        <v>30436</v>
      </c>
      <c r="Z777" s="8">
        <v>30469</v>
      </c>
      <c r="AA777" s="13">
        <f t="shared" si="146"/>
        <v>33</v>
      </c>
      <c r="AB777" s="8">
        <v>231193</v>
      </c>
      <c r="AC777" s="8">
        <v>231276</v>
      </c>
      <c r="AD777" s="13">
        <f t="shared" si="147"/>
        <v>83</v>
      </c>
      <c r="AE777" s="135"/>
      <c r="AF777" s="135"/>
      <c r="AG777" s="135"/>
      <c r="AH777" s="136"/>
      <c r="AI777" s="50">
        <f t="shared" si="143"/>
        <v>528</v>
      </c>
    </row>
    <row r="778" spans="1:35">
      <c r="A778" s="12">
        <v>45153</v>
      </c>
      <c r="B778" s="8">
        <v>1872175</v>
      </c>
      <c r="C778" s="8">
        <v>1872356</v>
      </c>
      <c r="D778" s="13">
        <f t="shared" si="139"/>
        <v>181</v>
      </c>
      <c r="E778" s="69">
        <v>210669</v>
      </c>
      <c r="F778" s="69">
        <v>210669</v>
      </c>
      <c r="G778" s="133">
        <f t="shared" si="145"/>
        <v>0</v>
      </c>
      <c r="H778" s="8">
        <v>284064</v>
      </c>
      <c r="I778" s="8">
        <v>284909</v>
      </c>
      <c r="J778" s="13">
        <f t="shared" si="142"/>
        <v>845</v>
      </c>
      <c r="K778" s="138"/>
      <c r="L778" s="8">
        <v>763834</v>
      </c>
      <c r="M778" s="8">
        <v>763952</v>
      </c>
      <c r="N778" s="13">
        <f t="shared" si="144"/>
        <v>118</v>
      </c>
      <c r="O778" s="136"/>
      <c r="P778" s="8">
        <v>426721</v>
      </c>
      <c r="Q778" s="8">
        <v>427255</v>
      </c>
      <c r="R778" s="133">
        <f t="shared" si="140"/>
        <v>534</v>
      </c>
      <c r="S778" s="8">
        <v>23348</v>
      </c>
      <c r="T778" s="8">
        <v>23398</v>
      </c>
      <c r="U778" s="133">
        <f t="shared" si="138"/>
        <v>50</v>
      </c>
      <c r="V778" s="8">
        <v>353986</v>
      </c>
      <c r="W778" s="8">
        <v>353986</v>
      </c>
      <c r="X778" s="13">
        <f t="shared" si="141"/>
        <v>0</v>
      </c>
      <c r="Y778" s="8">
        <v>30469</v>
      </c>
      <c r="Z778" s="8">
        <v>30785</v>
      </c>
      <c r="AA778" s="13">
        <f t="shared" si="146"/>
        <v>316</v>
      </c>
      <c r="AB778" s="8">
        <v>231276</v>
      </c>
      <c r="AC778" s="8">
        <v>231364</v>
      </c>
      <c r="AD778" s="13">
        <f t="shared" si="147"/>
        <v>88</v>
      </c>
      <c r="AE778" s="135"/>
      <c r="AF778" s="135"/>
      <c r="AG778" s="135"/>
      <c r="AH778" s="136"/>
      <c r="AI778" s="50">
        <f t="shared" si="143"/>
        <v>900</v>
      </c>
    </row>
    <row r="779" spans="1:35">
      <c r="A779" s="12">
        <v>45154</v>
      </c>
      <c r="B779" s="8">
        <v>1872356</v>
      </c>
      <c r="C779" s="8">
        <v>1872846</v>
      </c>
      <c r="D779" s="13">
        <f t="shared" si="139"/>
        <v>490</v>
      </c>
      <c r="E779" s="69">
        <v>210669</v>
      </c>
      <c r="F779" s="69">
        <v>210669</v>
      </c>
      <c r="G779" s="133">
        <f t="shared" si="145"/>
        <v>0</v>
      </c>
      <c r="H779" s="8">
        <v>284909</v>
      </c>
      <c r="I779" s="8">
        <v>285642</v>
      </c>
      <c r="J779" s="13">
        <f t="shared" si="142"/>
        <v>733</v>
      </c>
      <c r="K779" s="138"/>
      <c r="L779" s="8">
        <v>763952</v>
      </c>
      <c r="M779" s="8">
        <v>764554</v>
      </c>
      <c r="N779" s="13">
        <f t="shared" si="144"/>
        <v>602</v>
      </c>
      <c r="O779" s="136"/>
      <c r="P779" s="8">
        <v>427255</v>
      </c>
      <c r="Q779" s="8">
        <v>427883</v>
      </c>
      <c r="R779" s="133">
        <f t="shared" si="140"/>
        <v>628</v>
      </c>
      <c r="S779" s="8">
        <v>23398</v>
      </c>
      <c r="T779" s="8">
        <v>23464</v>
      </c>
      <c r="U779" s="133">
        <f>T779-S779</f>
        <v>66</v>
      </c>
      <c r="V779" s="8">
        <v>353986</v>
      </c>
      <c r="W779" s="8">
        <v>353986</v>
      </c>
      <c r="X779" s="13">
        <f t="shared" si="141"/>
        <v>0</v>
      </c>
      <c r="Y779" s="8">
        <v>30785</v>
      </c>
      <c r="Z779" s="8">
        <v>30819</v>
      </c>
      <c r="AA779" s="13">
        <f t="shared" si="146"/>
        <v>34</v>
      </c>
      <c r="AB779" s="8">
        <v>231364</v>
      </c>
      <c r="AC779" s="8">
        <v>231466</v>
      </c>
      <c r="AD779" s="13">
        <f t="shared" si="147"/>
        <v>102</v>
      </c>
      <c r="AE779" s="135"/>
      <c r="AF779" s="135"/>
      <c r="AG779" s="135"/>
      <c r="AH779" s="136"/>
      <c r="AI779" s="50">
        <f t="shared" si="143"/>
        <v>728</v>
      </c>
    </row>
    <row r="780" spans="1:35">
      <c r="A780" s="12">
        <v>45155</v>
      </c>
      <c r="B780" s="8">
        <v>1872846</v>
      </c>
      <c r="C780" s="8">
        <v>1873394</v>
      </c>
      <c r="D780" s="13">
        <f t="shared" si="139"/>
        <v>548</v>
      </c>
      <c r="E780" s="69">
        <v>210669</v>
      </c>
      <c r="F780" s="69">
        <v>210669</v>
      </c>
      <c r="G780" s="133">
        <f t="shared" si="145"/>
        <v>0</v>
      </c>
      <c r="H780" s="8">
        <v>285642</v>
      </c>
      <c r="I780" s="8">
        <v>286130</v>
      </c>
      <c r="J780" s="13">
        <f t="shared" si="142"/>
        <v>488</v>
      </c>
      <c r="K780" s="138"/>
      <c r="L780" s="8">
        <v>764554</v>
      </c>
      <c r="M780" s="8">
        <v>765969</v>
      </c>
      <c r="N780" s="13">
        <f t="shared" si="144"/>
        <v>1415</v>
      </c>
      <c r="O780" s="136"/>
      <c r="P780" s="8">
        <v>427883</v>
      </c>
      <c r="Q780" s="8">
        <v>427883</v>
      </c>
      <c r="R780" s="133">
        <f t="shared" si="140"/>
        <v>0</v>
      </c>
      <c r="S780" s="8">
        <v>23464</v>
      </c>
      <c r="T780" s="8">
        <v>23502</v>
      </c>
      <c r="U780" s="133">
        <f t="shared" ref="U780:U843" si="148">T780-S780</f>
        <v>38</v>
      </c>
      <c r="V780" s="8">
        <v>353986</v>
      </c>
      <c r="W780" s="8">
        <v>353986</v>
      </c>
      <c r="X780" s="13">
        <f t="shared" si="141"/>
        <v>0</v>
      </c>
      <c r="Y780" s="8">
        <v>30819</v>
      </c>
      <c r="Z780" s="8">
        <v>30859</v>
      </c>
      <c r="AA780" s="13">
        <f t="shared" si="146"/>
        <v>40</v>
      </c>
      <c r="AB780" s="8">
        <v>231466</v>
      </c>
      <c r="AC780" s="8">
        <v>231556</v>
      </c>
      <c r="AD780" s="13">
        <f t="shared" si="147"/>
        <v>90</v>
      </c>
      <c r="AE780" s="135"/>
      <c r="AF780" s="135"/>
      <c r="AG780" s="135"/>
      <c r="AH780" s="136"/>
      <c r="AI780" s="50">
        <f t="shared" si="143"/>
        <v>78</v>
      </c>
    </row>
    <row r="781" spans="1:35">
      <c r="A781" s="12">
        <v>45156</v>
      </c>
      <c r="B781" s="8">
        <v>1873394</v>
      </c>
      <c r="C781" s="8">
        <v>1873934</v>
      </c>
      <c r="D781" s="13">
        <f t="shared" si="139"/>
        <v>540</v>
      </c>
      <c r="E781" s="69">
        <v>210669</v>
      </c>
      <c r="F781" s="69">
        <v>210669</v>
      </c>
      <c r="G781" s="133">
        <f t="shared" si="145"/>
        <v>0</v>
      </c>
      <c r="H781" s="8">
        <v>286130</v>
      </c>
      <c r="I781" s="8">
        <v>286130</v>
      </c>
      <c r="J781" s="13">
        <f t="shared" si="142"/>
        <v>0</v>
      </c>
      <c r="K781" s="138"/>
      <c r="L781" s="8">
        <v>765969</v>
      </c>
      <c r="M781" s="8">
        <v>767368</v>
      </c>
      <c r="N781" s="13">
        <f t="shared" si="144"/>
        <v>1399</v>
      </c>
      <c r="O781" s="136"/>
      <c r="P781" s="8">
        <v>427883</v>
      </c>
      <c r="Q781" s="8">
        <v>427889</v>
      </c>
      <c r="R781" s="133">
        <f t="shared" si="140"/>
        <v>6</v>
      </c>
      <c r="S781" s="8">
        <v>23502</v>
      </c>
      <c r="T781" s="8">
        <v>23543</v>
      </c>
      <c r="U781" s="133">
        <f t="shared" si="148"/>
        <v>41</v>
      </c>
      <c r="V781" s="8">
        <v>353986</v>
      </c>
      <c r="W781" s="8">
        <v>353986</v>
      </c>
      <c r="X781" s="13">
        <f t="shared" si="141"/>
        <v>0</v>
      </c>
      <c r="Y781" s="8">
        <v>30859</v>
      </c>
      <c r="Z781" s="8">
        <v>30896</v>
      </c>
      <c r="AA781" s="13">
        <f t="shared" si="146"/>
        <v>37</v>
      </c>
      <c r="AB781" s="8">
        <v>231556</v>
      </c>
      <c r="AC781" s="8">
        <v>231682</v>
      </c>
      <c r="AD781" s="13">
        <f t="shared" si="147"/>
        <v>126</v>
      </c>
      <c r="AE781" s="135"/>
      <c r="AF781" s="135"/>
      <c r="AG781" s="135"/>
      <c r="AH781" s="136"/>
      <c r="AI781" s="50">
        <f t="shared" si="143"/>
        <v>84</v>
      </c>
    </row>
    <row r="782" spans="1:35">
      <c r="A782" s="12">
        <v>45157</v>
      </c>
      <c r="B782" s="8">
        <v>1873934</v>
      </c>
      <c r="C782" s="8">
        <v>1874465</v>
      </c>
      <c r="D782" s="13">
        <f t="shared" si="139"/>
        <v>531</v>
      </c>
      <c r="E782" s="69">
        <v>210669</v>
      </c>
      <c r="F782" s="69">
        <v>210669</v>
      </c>
      <c r="G782" s="133">
        <f t="shared" si="145"/>
        <v>0</v>
      </c>
      <c r="H782" s="8">
        <v>286130</v>
      </c>
      <c r="I782" s="8">
        <v>286130</v>
      </c>
      <c r="J782" s="13">
        <f t="shared" si="142"/>
        <v>0</v>
      </c>
      <c r="K782" s="138"/>
      <c r="L782" s="8">
        <v>767368</v>
      </c>
      <c r="M782" s="8">
        <v>767859</v>
      </c>
      <c r="N782" s="13">
        <f t="shared" si="144"/>
        <v>491</v>
      </c>
      <c r="O782" s="136"/>
      <c r="P782" s="8">
        <v>427889</v>
      </c>
      <c r="Q782" s="8">
        <v>427889</v>
      </c>
      <c r="R782" s="133">
        <f t="shared" si="140"/>
        <v>0</v>
      </c>
      <c r="S782" s="8">
        <v>23543</v>
      </c>
      <c r="T782" s="8">
        <v>23592</v>
      </c>
      <c r="U782" s="133">
        <f t="shared" si="148"/>
        <v>49</v>
      </c>
      <c r="V782" s="8">
        <v>353986</v>
      </c>
      <c r="W782" s="8">
        <v>353986</v>
      </c>
      <c r="X782" s="13">
        <f t="shared" si="141"/>
        <v>0</v>
      </c>
      <c r="Y782" s="8">
        <v>30896</v>
      </c>
      <c r="Z782" s="8">
        <v>30929</v>
      </c>
      <c r="AA782" s="13">
        <f t="shared" si="146"/>
        <v>33</v>
      </c>
      <c r="AB782" s="8">
        <v>231682</v>
      </c>
      <c r="AC782" s="8">
        <v>231789</v>
      </c>
      <c r="AD782" s="13">
        <f t="shared" si="147"/>
        <v>107</v>
      </c>
      <c r="AE782" s="135"/>
      <c r="AF782" s="135"/>
      <c r="AG782" s="135"/>
      <c r="AH782" s="136"/>
      <c r="AI782" s="50">
        <f t="shared" si="143"/>
        <v>82</v>
      </c>
    </row>
    <row r="783" spans="1:35">
      <c r="A783" s="12">
        <v>45158</v>
      </c>
      <c r="B783" s="8">
        <v>1874465</v>
      </c>
      <c r="C783" s="8">
        <v>90085</v>
      </c>
      <c r="D783" s="13">
        <f t="shared" si="139"/>
        <v>-1784380</v>
      </c>
      <c r="E783" s="69">
        <v>210669</v>
      </c>
      <c r="F783" s="69">
        <v>210669</v>
      </c>
      <c r="G783" s="133">
        <f t="shared" si="145"/>
        <v>0</v>
      </c>
      <c r="H783" s="8">
        <v>286130</v>
      </c>
      <c r="I783" s="8">
        <v>286826</v>
      </c>
      <c r="J783" s="13">
        <f t="shared" si="142"/>
        <v>696</v>
      </c>
      <c r="K783" s="138"/>
      <c r="L783" s="8">
        <v>767859</v>
      </c>
      <c r="M783" s="8">
        <v>768069</v>
      </c>
      <c r="N783" s="13">
        <f t="shared" si="144"/>
        <v>210</v>
      </c>
      <c r="O783" s="136"/>
      <c r="P783" s="8">
        <v>427889</v>
      </c>
      <c r="Q783" s="8">
        <v>427889</v>
      </c>
      <c r="R783" s="133">
        <f t="shared" si="140"/>
        <v>0</v>
      </c>
      <c r="S783" s="8">
        <v>23592</v>
      </c>
      <c r="T783" s="8">
        <v>23643</v>
      </c>
      <c r="U783" s="133">
        <f t="shared" si="148"/>
        <v>51</v>
      </c>
      <c r="V783" s="8">
        <v>353986</v>
      </c>
      <c r="W783" s="8">
        <v>353986</v>
      </c>
      <c r="X783" s="13">
        <f t="shared" si="141"/>
        <v>0</v>
      </c>
      <c r="Y783" s="8">
        <v>30929</v>
      </c>
      <c r="Z783" s="8">
        <v>30958</v>
      </c>
      <c r="AA783" s="13">
        <f t="shared" si="146"/>
        <v>29</v>
      </c>
      <c r="AB783" s="8">
        <v>231789</v>
      </c>
      <c r="AC783" s="8">
        <v>231911</v>
      </c>
      <c r="AD783" s="13">
        <f t="shared" si="147"/>
        <v>122</v>
      </c>
      <c r="AE783" s="135"/>
      <c r="AF783" s="135"/>
      <c r="AG783" s="135"/>
      <c r="AH783" s="136"/>
      <c r="AI783" s="50">
        <f t="shared" si="143"/>
        <v>80</v>
      </c>
    </row>
    <row r="784" spans="1:35">
      <c r="A784" s="12">
        <v>45159</v>
      </c>
      <c r="B784" s="8">
        <v>1874928</v>
      </c>
      <c r="C784" s="8">
        <v>1875612</v>
      </c>
      <c r="D784" s="13">
        <f t="shared" si="139"/>
        <v>684</v>
      </c>
      <c r="E784" s="69">
        <v>210669</v>
      </c>
      <c r="F784" s="69">
        <v>210669</v>
      </c>
      <c r="G784" s="133">
        <f t="shared" si="145"/>
        <v>0</v>
      </c>
      <c r="H784" s="8">
        <v>286826</v>
      </c>
      <c r="I784" s="8">
        <v>287716</v>
      </c>
      <c r="J784" s="13">
        <f t="shared" si="142"/>
        <v>890</v>
      </c>
      <c r="K784" s="138"/>
      <c r="L784" s="8">
        <v>768069</v>
      </c>
      <c r="M784" s="8">
        <v>768282</v>
      </c>
      <c r="N784" s="13">
        <f t="shared" si="144"/>
        <v>213</v>
      </c>
      <c r="O784" s="136"/>
      <c r="P784" s="8">
        <v>427889</v>
      </c>
      <c r="Q784" s="8">
        <v>427889</v>
      </c>
      <c r="R784" s="133">
        <f t="shared" si="140"/>
        <v>0</v>
      </c>
      <c r="S784" s="8">
        <v>23643</v>
      </c>
      <c r="T784" s="8">
        <v>23699</v>
      </c>
      <c r="U784" s="133">
        <f t="shared" si="148"/>
        <v>56</v>
      </c>
      <c r="V784" s="8">
        <v>353986</v>
      </c>
      <c r="W784" s="8">
        <v>353986</v>
      </c>
      <c r="X784" s="13">
        <f t="shared" si="141"/>
        <v>0</v>
      </c>
      <c r="Y784" s="8">
        <v>30958</v>
      </c>
      <c r="Z784" s="8">
        <v>31332</v>
      </c>
      <c r="AA784" s="13">
        <f t="shared" si="146"/>
        <v>374</v>
      </c>
      <c r="AB784" s="8">
        <v>231911</v>
      </c>
      <c r="AC784" s="8">
        <v>232011</v>
      </c>
      <c r="AD784" s="13">
        <f t="shared" si="147"/>
        <v>100</v>
      </c>
      <c r="AE784" s="135"/>
      <c r="AF784" s="135"/>
      <c r="AG784" s="135"/>
      <c r="AH784" s="136"/>
      <c r="AI784" s="50">
        <f t="shared" si="143"/>
        <v>430</v>
      </c>
    </row>
    <row r="785" spans="1:35">
      <c r="A785" s="12">
        <v>45160</v>
      </c>
      <c r="B785" s="8">
        <v>1875612</v>
      </c>
      <c r="C785" s="8">
        <v>1876384</v>
      </c>
      <c r="D785" s="13">
        <f t="shared" si="139"/>
        <v>772</v>
      </c>
      <c r="E785" s="69">
        <v>210669</v>
      </c>
      <c r="F785" s="69">
        <v>210669</v>
      </c>
      <c r="G785" s="133">
        <f t="shared" si="145"/>
        <v>0</v>
      </c>
      <c r="H785" s="8">
        <v>287716</v>
      </c>
      <c r="I785" s="8">
        <v>287899</v>
      </c>
      <c r="J785" s="13">
        <f t="shared" si="142"/>
        <v>183</v>
      </c>
      <c r="K785" s="138"/>
      <c r="L785" s="8">
        <v>768282</v>
      </c>
      <c r="M785" s="8">
        <v>769025</v>
      </c>
      <c r="N785" s="13">
        <f t="shared" si="144"/>
        <v>743</v>
      </c>
      <c r="O785" s="136"/>
      <c r="P785" s="8">
        <v>427889</v>
      </c>
      <c r="Q785" s="8">
        <v>427889</v>
      </c>
      <c r="R785" s="133">
        <f t="shared" si="140"/>
        <v>0</v>
      </c>
      <c r="S785" s="8">
        <v>23699</v>
      </c>
      <c r="T785" s="8">
        <v>23752</v>
      </c>
      <c r="U785" s="133">
        <f t="shared" si="148"/>
        <v>53</v>
      </c>
      <c r="V785" s="8">
        <v>353986</v>
      </c>
      <c r="W785" s="8">
        <v>353986</v>
      </c>
      <c r="X785" s="13">
        <f t="shared" si="141"/>
        <v>0</v>
      </c>
      <c r="Y785" s="8">
        <v>31332</v>
      </c>
      <c r="Z785" s="8">
        <v>31368</v>
      </c>
      <c r="AA785" s="13">
        <f t="shared" si="146"/>
        <v>36</v>
      </c>
      <c r="AB785" s="8">
        <v>232011</v>
      </c>
      <c r="AC785" s="8">
        <v>232134</v>
      </c>
      <c r="AD785" s="13">
        <f t="shared" si="147"/>
        <v>123</v>
      </c>
      <c r="AE785" s="135"/>
      <c r="AF785" s="135"/>
      <c r="AG785" s="135"/>
      <c r="AH785" s="136"/>
      <c r="AI785" s="50">
        <f t="shared" si="143"/>
        <v>89</v>
      </c>
    </row>
    <row r="786" spans="1:35">
      <c r="A786" s="12">
        <v>45161</v>
      </c>
      <c r="B786" s="8">
        <v>1876384</v>
      </c>
      <c r="C786" s="8">
        <v>1877015</v>
      </c>
      <c r="D786" s="13">
        <f t="shared" si="139"/>
        <v>631</v>
      </c>
      <c r="E786" s="69">
        <v>210669</v>
      </c>
      <c r="F786" s="69">
        <v>210669</v>
      </c>
      <c r="G786" s="133">
        <f t="shared" si="145"/>
        <v>0</v>
      </c>
      <c r="H786" s="8">
        <v>287899</v>
      </c>
      <c r="I786" s="8">
        <v>287899</v>
      </c>
      <c r="J786" s="13">
        <f t="shared" si="142"/>
        <v>0</v>
      </c>
      <c r="K786" s="138"/>
      <c r="L786" s="8">
        <v>769025</v>
      </c>
      <c r="M786" s="8">
        <v>770558</v>
      </c>
      <c r="N786" s="13">
        <f t="shared" si="144"/>
        <v>1533</v>
      </c>
      <c r="O786" s="136"/>
      <c r="P786" s="8">
        <v>427889</v>
      </c>
      <c r="Q786" s="8">
        <v>427910</v>
      </c>
      <c r="R786" s="133">
        <f t="shared" si="140"/>
        <v>21</v>
      </c>
      <c r="S786" s="8">
        <v>23752</v>
      </c>
      <c r="T786" s="8">
        <v>23812</v>
      </c>
      <c r="U786" s="133">
        <f t="shared" si="148"/>
        <v>60</v>
      </c>
      <c r="V786" s="8">
        <v>353986</v>
      </c>
      <c r="W786" s="8">
        <v>353986</v>
      </c>
      <c r="X786" s="13">
        <f t="shared" si="141"/>
        <v>0</v>
      </c>
      <c r="Y786" s="8">
        <v>31368</v>
      </c>
      <c r="Z786" s="8">
        <v>31410</v>
      </c>
      <c r="AA786" s="13">
        <f t="shared" si="146"/>
        <v>42</v>
      </c>
      <c r="AB786" s="8">
        <v>232134</v>
      </c>
      <c r="AC786" s="8">
        <v>232226</v>
      </c>
      <c r="AD786" s="13">
        <f t="shared" si="147"/>
        <v>92</v>
      </c>
      <c r="AE786" s="135"/>
      <c r="AF786" s="135"/>
      <c r="AG786" s="135"/>
      <c r="AH786" s="136"/>
      <c r="AI786" s="50">
        <f t="shared" si="143"/>
        <v>123</v>
      </c>
    </row>
    <row r="787" spans="1:35">
      <c r="A787" s="12">
        <v>45162</v>
      </c>
      <c r="B787" s="8">
        <v>1877015</v>
      </c>
      <c r="C787" s="8">
        <v>1877726</v>
      </c>
      <c r="D787" s="13">
        <f t="shared" si="139"/>
        <v>711</v>
      </c>
      <c r="E787" s="69">
        <v>210669</v>
      </c>
      <c r="F787" s="69">
        <v>210669</v>
      </c>
      <c r="G787" s="133">
        <f t="shared" si="145"/>
        <v>0</v>
      </c>
      <c r="H787" s="8">
        <v>287899</v>
      </c>
      <c r="I787" s="8">
        <v>287899</v>
      </c>
      <c r="J787" s="13">
        <f t="shared" si="142"/>
        <v>0</v>
      </c>
      <c r="K787" s="138"/>
      <c r="L787" s="8">
        <v>770558</v>
      </c>
      <c r="M787" s="8">
        <v>771793</v>
      </c>
      <c r="N787" s="13">
        <f t="shared" si="144"/>
        <v>1235</v>
      </c>
      <c r="O787" s="136"/>
      <c r="P787" s="8">
        <v>427910</v>
      </c>
      <c r="Q787" s="8">
        <v>428443</v>
      </c>
      <c r="R787" s="133">
        <f t="shared" si="140"/>
        <v>533</v>
      </c>
      <c r="S787" s="8">
        <v>23812</v>
      </c>
      <c r="T787" s="8">
        <v>23858</v>
      </c>
      <c r="U787" s="133">
        <f t="shared" si="148"/>
        <v>46</v>
      </c>
      <c r="V787" s="8">
        <v>353986</v>
      </c>
      <c r="W787" s="8">
        <v>353986</v>
      </c>
      <c r="X787" s="13">
        <f t="shared" si="141"/>
        <v>0</v>
      </c>
      <c r="Y787" s="8">
        <v>31410</v>
      </c>
      <c r="Z787" s="8">
        <v>31458</v>
      </c>
      <c r="AA787" s="13">
        <f t="shared" si="146"/>
        <v>48</v>
      </c>
      <c r="AB787" s="8">
        <v>232226</v>
      </c>
      <c r="AC787" s="8">
        <v>232318</v>
      </c>
      <c r="AD787" s="13">
        <f t="shared" si="147"/>
        <v>92</v>
      </c>
      <c r="AE787" s="135"/>
      <c r="AF787" s="135"/>
      <c r="AG787" s="135"/>
      <c r="AH787" s="136"/>
      <c r="AI787" s="50">
        <f t="shared" si="143"/>
        <v>627</v>
      </c>
    </row>
    <row r="788" spans="1:35">
      <c r="A788" s="12">
        <v>45163</v>
      </c>
      <c r="B788" s="8">
        <v>1877726</v>
      </c>
      <c r="C788" s="8">
        <v>1878126</v>
      </c>
      <c r="D788" s="13">
        <f t="shared" si="139"/>
        <v>400</v>
      </c>
      <c r="E788" s="69">
        <v>210669</v>
      </c>
      <c r="F788" s="69">
        <v>210669</v>
      </c>
      <c r="G788" s="133">
        <f t="shared" si="145"/>
        <v>0</v>
      </c>
      <c r="H788" s="8">
        <v>287899</v>
      </c>
      <c r="I788" s="8">
        <v>287899</v>
      </c>
      <c r="J788" s="13">
        <f t="shared" si="142"/>
        <v>0</v>
      </c>
      <c r="K788" s="138"/>
      <c r="L788" s="8">
        <v>771793</v>
      </c>
      <c r="M788" s="8">
        <v>772992</v>
      </c>
      <c r="N788" s="13">
        <f t="shared" si="144"/>
        <v>1199</v>
      </c>
      <c r="O788" s="136"/>
      <c r="P788" s="8">
        <v>428443</v>
      </c>
      <c r="Q788" s="8">
        <v>428834</v>
      </c>
      <c r="R788" s="133">
        <f t="shared" si="140"/>
        <v>391</v>
      </c>
      <c r="S788" s="8">
        <v>23858</v>
      </c>
      <c r="T788" s="8">
        <v>23911</v>
      </c>
      <c r="U788" s="133">
        <f t="shared" si="148"/>
        <v>53</v>
      </c>
      <c r="V788" s="8">
        <v>353986</v>
      </c>
      <c r="W788" s="8">
        <v>353986</v>
      </c>
      <c r="X788" s="13">
        <f t="shared" si="141"/>
        <v>0</v>
      </c>
      <c r="Y788" s="8">
        <v>31458</v>
      </c>
      <c r="Z788" s="8">
        <v>31490</v>
      </c>
      <c r="AA788" s="13">
        <f t="shared" si="146"/>
        <v>32</v>
      </c>
      <c r="AB788" s="8">
        <v>232318</v>
      </c>
      <c r="AC788" s="8">
        <v>232438</v>
      </c>
      <c r="AD788" s="13">
        <f t="shared" si="147"/>
        <v>120</v>
      </c>
      <c r="AE788" s="135"/>
      <c r="AF788" s="135"/>
      <c r="AG788" s="135"/>
      <c r="AH788" s="136"/>
      <c r="AI788" s="50">
        <f t="shared" si="143"/>
        <v>476</v>
      </c>
    </row>
    <row r="789" spans="1:35">
      <c r="A789" s="12">
        <v>45164</v>
      </c>
      <c r="B789" s="8">
        <v>1878126</v>
      </c>
      <c r="C789" s="8">
        <v>1878667</v>
      </c>
      <c r="D789" s="13">
        <f t="shared" si="139"/>
        <v>541</v>
      </c>
      <c r="E789" s="69">
        <v>210669</v>
      </c>
      <c r="F789" s="69">
        <v>210669</v>
      </c>
      <c r="G789" s="133">
        <f t="shared" si="145"/>
        <v>0</v>
      </c>
      <c r="H789" s="8">
        <v>287899</v>
      </c>
      <c r="I789" s="8">
        <v>288602</v>
      </c>
      <c r="J789" s="13">
        <f t="shared" si="142"/>
        <v>703</v>
      </c>
      <c r="K789" s="138"/>
      <c r="L789" s="8">
        <v>772992</v>
      </c>
      <c r="M789" s="8">
        <v>773675</v>
      </c>
      <c r="N789" s="13">
        <f t="shared" si="144"/>
        <v>683</v>
      </c>
      <c r="O789" s="136"/>
      <c r="P789" s="8">
        <v>428834</v>
      </c>
      <c r="Q789" s="8">
        <v>429115</v>
      </c>
      <c r="R789" s="133">
        <f t="shared" ref="R789:R852" si="149">Q789-P789</f>
        <v>281</v>
      </c>
      <c r="S789" s="8">
        <v>23911</v>
      </c>
      <c r="T789" s="8">
        <v>23934</v>
      </c>
      <c r="U789" s="133">
        <f t="shared" si="148"/>
        <v>23</v>
      </c>
      <c r="V789" s="8">
        <v>353986</v>
      </c>
      <c r="W789" s="8">
        <v>353986</v>
      </c>
      <c r="X789" s="13">
        <f t="shared" si="141"/>
        <v>0</v>
      </c>
      <c r="Y789" s="8">
        <v>31490</v>
      </c>
      <c r="Z789" s="8">
        <v>31530</v>
      </c>
      <c r="AA789" s="13">
        <f t="shared" si="146"/>
        <v>40</v>
      </c>
      <c r="AB789" s="8">
        <v>232438</v>
      </c>
      <c r="AC789" s="8">
        <v>232521</v>
      </c>
      <c r="AD789" s="13">
        <f t="shared" si="147"/>
        <v>83</v>
      </c>
      <c r="AE789" s="135"/>
      <c r="AF789" s="135"/>
      <c r="AG789" s="135"/>
      <c r="AH789" s="136"/>
      <c r="AI789" s="50">
        <f t="shared" si="143"/>
        <v>344</v>
      </c>
    </row>
    <row r="790" spans="1:35">
      <c r="A790" s="12">
        <v>45165</v>
      </c>
      <c r="B790" s="8">
        <v>1878667</v>
      </c>
      <c r="C790" s="8">
        <v>1879467</v>
      </c>
      <c r="D790" s="13">
        <f t="shared" si="139"/>
        <v>800</v>
      </c>
      <c r="E790" s="69">
        <v>210669</v>
      </c>
      <c r="F790" s="69">
        <v>210669</v>
      </c>
      <c r="G790" s="133">
        <f t="shared" si="145"/>
        <v>0</v>
      </c>
      <c r="H790" s="8">
        <v>288602</v>
      </c>
      <c r="I790" s="8">
        <v>288984</v>
      </c>
      <c r="J790" s="13">
        <f t="shared" si="142"/>
        <v>382</v>
      </c>
      <c r="K790" s="138"/>
      <c r="L790" s="8">
        <v>773675</v>
      </c>
      <c r="M790" s="8">
        <v>774123</v>
      </c>
      <c r="N790" s="13">
        <f t="shared" si="144"/>
        <v>448</v>
      </c>
      <c r="O790" s="136"/>
      <c r="P790" s="8">
        <v>429115</v>
      </c>
      <c r="Q790" s="8">
        <v>429700</v>
      </c>
      <c r="R790" s="133">
        <f t="shared" si="149"/>
        <v>585</v>
      </c>
      <c r="S790" s="8">
        <v>23934</v>
      </c>
      <c r="T790" s="8">
        <v>23983</v>
      </c>
      <c r="U790" s="133">
        <f t="shared" si="148"/>
        <v>49</v>
      </c>
      <c r="V790" s="8">
        <v>353986</v>
      </c>
      <c r="W790" s="8">
        <v>353986</v>
      </c>
      <c r="X790" s="13">
        <f t="shared" si="141"/>
        <v>0</v>
      </c>
      <c r="Y790" s="8">
        <v>31530</v>
      </c>
      <c r="Z790" s="8">
        <v>31565</v>
      </c>
      <c r="AA790" s="13">
        <f t="shared" si="146"/>
        <v>35</v>
      </c>
      <c r="AB790" s="8">
        <v>232521</v>
      </c>
      <c r="AC790" s="8">
        <v>232601</v>
      </c>
      <c r="AD790" s="13">
        <f t="shared" si="147"/>
        <v>80</v>
      </c>
      <c r="AE790" s="135"/>
      <c r="AF790" s="135"/>
      <c r="AG790" s="135"/>
      <c r="AH790" s="136"/>
      <c r="AI790" s="50">
        <f t="shared" si="143"/>
        <v>669</v>
      </c>
    </row>
    <row r="791" spans="1:35">
      <c r="A791" s="12">
        <v>45166</v>
      </c>
      <c r="B791" s="8">
        <v>1879467</v>
      </c>
      <c r="C791" s="8">
        <v>1879673</v>
      </c>
      <c r="D791" s="13">
        <f t="shared" si="139"/>
        <v>206</v>
      </c>
      <c r="E791" s="69">
        <v>210669</v>
      </c>
      <c r="F791" s="69">
        <v>210669</v>
      </c>
      <c r="G791" s="133">
        <f t="shared" si="145"/>
        <v>0</v>
      </c>
      <c r="H791" s="8">
        <v>288984</v>
      </c>
      <c r="I791" s="8">
        <v>288984</v>
      </c>
      <c r="J791" s="13">
        <f t="shared" si="142"/>
        <v>0</v>
      </c>
      <c r="K791" s="138"/>
      <c r="L791" s="8">
        <v>774123</v>
      </c>
      <c r="M791" s="8">
        <v>774955</v>
      </c>
      <c r="N791" s="13">
        <f t="shared" si="144"/>
        <v>832</v>
      </c>
      <c r="O791" s="136"/>
      <c r="P791" s="8">
        <v>429700</v>
      </c>
      <c r="Q791" s="8">
        <v>430028</v>
      </c>
      <c r="R791" s="133">
        <f t="shared" si="149"/>
        <v>328</v>
      </c>
      <c r="S791" s="8">
        <v>23983</v>
      </c>
      <c r="T791" s="8">
        <v>23999</v>
      </c>
      <c r="U791" s="133">
        <f t="shared" si="148"/>
        <v>16</v>
      </c>
      <c r="V791" s="8">
        <v>353986</v>
      </c>
      <c r="W791" s="8">
        <v>353986</v>
      </c>
      <c r="X791" s="13">
        <f t="shared" si="141"/>
        <v>0</v>
      </c>
      <c r="Y791" s="8">
        <v>31565</v>
      </c>
      <c r="Z791" s="8">
        <v>31594</v>
      </c>
      <c r="AA791" s="13">
        <f t="shared" si="146"/>
        <v>29</v>
      </c>
      <c r="AB791" s="8">
        <v>232601</v>
      </c>
      <c r="AC791" s="8">
        <v>232718</v>
      </c>
      <c r="AD791" s="13">
        <f t="shared" si="147"/>
        <v>117</v>
      </c>
      <c r="AE791" s="135"/>
      <c r="AF791" s="135"/>
      <c r="AG791" s="135"/>
      <c r="AH791" s="136"/>
      <c r="AI791" s="50">
        <f t="shared" si="143"/>
        <v>373</v>
      </c>
    </row>
    <row r="792" spans="1:35">
      <c r="A792" s="12">
        <v>45167</v>
      </c>
      <c r="B792" s="8">
        <v>1879673</v>
      </c>
      <c r="C792" s="8">
        <v>1879763</v>
      </c>
      <c r="D792" s="13">
        <f t="shared" si="139"/>
        <v>90</v>
      </c>
      <c r="E792" s="69">
        <v>210669</v>
      </c>
      <c r="F792" s="69">
        <v>210669</v>
      </c>
      <c r="G792" s="133">
        <f t="shared" si="145"/>
        <v>0</v>
      </c>
      <c r="H792" s="8">
        <v>288984</v>
      </c>
      <c r="I792" s="8">
        <v>288984</v>
      </c>
      <c r="J792" s="13">
        <f t="shared" si="142"/>
        <v>0</v>
      </c>
      <c r="K792" s="138"/>
      <c r="L792" s="8">
        <v>774955</v>
      </c>
      <c r="M792" s="8">
        <v>776043</v>
      </c>
      <c r="N792" s="13">
        <f t="shared" si="144"/>
        <v>1088</v>
      </c>
      <c r="O792" s="136"/>
      <c r="P792" s="8">
        <v>430028</v>
      </c>
      <c r="Q792" s="8">
        <v>430576</v>
      </c>
      <c r="R792" s="133">
        <f t="shared" si="149"/>
        <v>548</v>
      </c>
      <c r="S792" s="8">
        <v>23999</v>
      </c>
      <c r="T792" s="8">
        <v>24071</v>
      </c>
      <c r="U792" s="133">
        <f t="shared" si="148"/>
        <v>72</v>
      </c>
      <c r="V792" s="8">
        <v>353986</v>
      </c>
      <c r="W792" s="8">
        <v>353986</v>
      </c>
      <c r="X792" s="13">
        <f t="shared" si="141"/>
        <v>0</v>
      </c>
      <c r="Y792" s="8">
        <v>31594</v>
      </c>
      <c r="Z792" s="8">
        <v>31615</v>
      </c>
      <c r="AA792" s="13">
        <f t="shared" si="146"/>
        <v>21</v>
      </c>
      <c r="AB792" s="8">
        <v>232718</v>
      </c>
      <c r="AC792" s="8">
        <v>232811</v>
      </c>
      <c r="AD792" s="13">
        <f t="shared" si="147"/>
        <v>93</v>
      </c>
      <c r="AE792" s="135"/>
      <c r="AF792" s="135"/>
      <c r="AG792" s="135"/>
      <c r="AH792" s="136"/>
      <c r="AI792" s="50">
        <f t="shared" si="143"/>
        <v>641</v>
      </c>
    </row>
    <row r="793" spans="1:35">
      <c r="A793" s="12">
        <v>45168</v>
      </c>
      <c r="B793" s="8">
        <v>1879763</v>
      </c>
      <c r="C793" s="8">
        <v>1880024</v>
      </c>
      <c r="D793" s="13">
        <f t="shared" si="139"/>
        <v>261</v>
      </c>
      <c r="E793" s="69">
        <v>210669</v>
      </c>
      <c r="F793" s="69">
        <v>210669</v>
      </c>
      <c r="G793" s="133">
        <f t="shared" si="145"/>
        <v>0</v>
      </c>
      <c r="H793" s="8">
        <v>288984</v>
      </c>
      <c r="I793" s="8">
        <v>289733</v>
      </c>
      <c r="J793" s="13">
        <f t="shared" si="142"/>
        <v>749</v>
      </c>
      <c r="K793" s="138"/>
      <c r="L793" s="8">
        <v>776043</v>
      </c>
      <c r="M793" s="8">
        <v>776324</v>
      </c>
      <c r="N793" s="13">
        <f t="shared" si="144"/>
        <v>281</v>
      </c>
      <c r="O793" s="136"/>
      <c r="P793" s="8">
        <v>430576</v>
      </c>
      <c r="Q793" s="8">
        <v>430619</v>
      </c>
      <c r="R793" s="133">
        <f t="shared" si="149"/>
        <v>43</v>
      </c>
      <c r="S793" s="8">
        <v>24071</v>
      </c>
      <c r="T793" s="8">
        <v>24313</v>
      </c>
      <c r="U793" s="133">
        <f t="shared" si="148"/>
        <v>242</v>
      </c>
      <c r="V793" s="8">
        <v>353986</v>
      </c>
      <c r="W793" s="8">
        <v>353986</v>
      </c>
      <c r="X793" s="13">
        <f t="shared" si="141"/>
        <v>0</v>
      </c>
      <c r="Y793" s="8">
        <v>31615</v>
      </c>
      <c r="Z793" s="8">
        <v>31641</v>
      </c>
      <c r="AA793" s="13">
        <f t="shared" si="146"/>
        <v>26</v>
      </c>
      <c r="AB793" s="8">
        <v>232811</v>
      </c>
      <c r="AC793" s="8">
        <v>232926</v>
      </c>
      <c r="AD793" s="13">
        <f t="shared" si="147"/>
        <v>115</v>
      </c>
      <c r="AE793" s="135"/>
      <c r="AF793" s="135"/>
      <c r="AG793" s="135"/>
      <c r="AH793" s="136"/>
      <c r="AI793" s="50">
        <f t="shared" si="143"/>
        <v>311</v>
      </c>
    </row>
    <row r="794" spans="1:35">
      <c r="A794" s="12">
        <v>45169</v>
      </c>
      <c r="B794" s="8">
        <v>1880024</v>
      </c>
      <c r="C794" s="8">
        <v>1880345</v>
      </c>
      <c r="D794" s="13">
        <f t="shared" si="139"/>
        <v>321</v>
      </c>
      <c r="E794" s="69">
        <v>210669</v>
      </c>
      <c r="F794" s="69">
        <v>210669</v>
      </c>
      <c r="G794" s="133">
        <f t="shared" si="145"/>
        <v>0</v>
      </c>
      <c r="H794" s="8">
        <v>289733</v>
      </c>
      <c r="I794" s="8">
        <v>289733</v>
      </c>
      <c r="J794" s="13">
        <f t="shared" si="142"/>
        <v>0</v>
      </c>
      <c r="K794" s="138"/>
      <c r="L794" s="8">
        <v>776324</v>
      </c>
      <c r="M794" s="8">
        <v>777585</v>
      </c>
      <c r="N794" s="13">
        <f t="shared" si="144"/>
        <v>1261</v>
      </c>
      <c r="O794" s="136"/>
      <c r="P794" s="8">
        <v>430619</v>
      </c>
      <c r="Q794" s="8">
        <v>431104</v>
      </c>
      <c r="R794" s="133">
        <f t="shared" si="149"/>
        <v>485</v>
      </c>
      <c r="S794" s="8">
        <v>24313</v>
      </c>
      <c r="T794" s="8">
        <v>24374</v>
      </c>
      <c r="U794" s="133">
        <f t="shared" si="148"/>
        <v>61</v>
      </c>
      <c r="V794" s="8">
        <v>353986</v>
      </c>
      <c r="W794" s="8">
        <v>353986</v>
      </c>
      <c r="X794" s="13">
        <f t="shared" si="141"/>
        <v>0</v>
      </c>
      <c r="Y794" s="8">
        <v>31641</v>
      </c>
      <c r="Z794" s="8">
        <v>31661</v>
      </c>
      <c r="AA794" s="13">
        <f t="shared" si="146"/>
        <v>20</v>
      </c>
      <c r="AB794" s="8">
        <v>232926</v>
      </c>
      <c r="AC794" s="8">
        <v>232998</v>
      </c>
      <c r="AD794" s="13">
        <f t="shared" si="147"/>
        <v>72</v>
      </c>
      <c r="AE794" s="135"/>
      <c r="AF794" s="135"/>
      <c r="AG794" s="135"/>
      <c r="AH794" s="136"/>
      <c r="AI794" s="50">
        <f t="shared" si="143"/>
        <v>566</v>
      </c>
    </row>
    <row r="795" spans="1:35">
      <c r="A795" s="12">
        <v>45170</v>
      </c>
      <c r="B795" s="8">
        <v>1880345</v>
      </c>
      <c r="C795" s="8">
        <v>1881184</v>
      </c>
      <c r="D795" s="13">
        <f t="shared" ref="D795:D858" si="150">C795-B795</f>
        <v>839</v>
      </c>
      <c r="E795" s="69">
        <v>210669</v>
      </c>
      <c r="F795" s="69">
        <v>210669</v>
      </c>
      <c r="G795" s="133">
        <f t="shared" si="145"/>
        <v>0</v>
      </c>
      <c r="H795" s="8">
        <v>289733</v>
      </c>
      <c r="I795" s="8">
        <v>289733</v>
      </c>
      <c r="J795" s="13">
        <f t="shared" si="142"/>
        <v>0</v>
      </c>
      <c r="K795" s="138"/>
      <c r="L795" s="8">
        <v>777585</v>
      </c>
      <c r="M795" s="8">
        <v>778120</v>
      </c>
      <c r="N795" s="13">
        <f t="shared" si="144"/>
        <v>535</v>
      </c>
      <c r="O795" s="136"/>
      <c r="P795" s="8">
        <v>430619</v>
      </c>
      <c r="Q795" s="8">
        <v>431104</v>
      </c>
      <c r="R795" s="133">
        <f t="shared" si="149"/>
        <v>485</v>
      </c>
      <c r="S795" s="8">
        <v>24374</v>
      </c>
      <c r="T795" s="8">
        <v>24442</v>
      </c>
      <c r="U795" s="133">
        <f t="shared" si="148"/>
        <v>68</v>
      </c>
      <c r="V795" s="8">
        <v>353986</v>
      </c>
      <c r="W795" s="8">
        <v>353986</v>
      </c>
      <c r="X795" s="13">
        <f t="shared" si="141"/>
        <v>0</v>
      </c>
      <c r="Y795" s="8">
        <v>31661</v>
      </c>
      <c r="Z795" s="8">
        <v>31685</v>
      </c>
      <c r="AA795" s="13">
        <f t="shared" si="146"/>
        <v>24</v>
      </c>
      <c r="AB795" s="8">
        <v>232998</v>
      </c>
      <c r="AC795" s="8">
        <v>233145</v>
      </c>
      <c r="AD795" s="13">
        <f t="shared" si="147"/>
        <v>147</v>
      </c>
      <c r="AE795" s="135"/>
      <c r="AF795" s="135"/>
      <c r="AG795" s="135"/>
      <c r="AH795" s="136"/>
      <c r="AI795" s="50">
        <f t="shared" si="143"/>
        <v>577</v>
      </c>
    </row>
    <row r="796" spans="1:35">
      <c r="A796" s="12">
        <v>45171</v>
      </c>
      <c r="B796" s="8">
        <v>1881184</v>
      </c>
      <c r="C796" s="8">
        <v>1881695</v>
      </c>
      <c r="D796" s="13">
        <f t="shared" si="150"/>
        <v>511</v>
      </c>
      <c r="E796" s="69">
        <v>210669</v>
      </c>
      <c r="F796" s="69">
        <v>210669</v>
      </c>
      <c r="G796" s="133">
        <f t="shared" si="145"/>
        <v>0</v>
      </c>
      <c r="H796" s="8">
        <v>289733</v>
      </c>
      <c r="I796" s="8">
        <v>289733</v>
      </c>
      <c r="J796" s="13">
        <f t="shared" si="142"/>
        <v>0</v>
      </c>
      <c r="K796" s="138"/>
      <c r="L796" s="8">
        <v>778120</v>
      </c>
      <c r="M796" s="8">
        <v>779638</v>
      </c>
      <c r="N796" s="13">
        <f t="shared" si="144"/>
        <v>1518</v>
      </c>
      <c r="O796" s="136"/>
      <c r="P796" s="8">
        <v>431104</v>
      </c>
      <c r="Q796" s="8">
        <v>431584</v>
      </c>
      <c r="R796" s="133">
        <f t="shared" si="149"/>
        <v>480</v>
      </c>
      <c r="S796" s="8">
        <v>24442</v>
      </c>
      <c r="T796" s="8">
        <v>24498</v>
      </c>
      <c r="U796" s="133">
        <f t="shared" si="148"/>
        <v>56</v>
      </c>
      <c r="V796" s="8">
        <v>353986</v>
      </c>
      <c r="W796" s="8">
        <v>353986</v>
      </c>
      <c r="X796" s="13">
        <f t="shared" si="141"/>
        <v>0</v>
      </c>
      <c r="Y796" s="8">
        <v>31685</v>
      </c>
      <c r="Z796" s="8">
        <v>31712</v>
      </c>
      <c r="AA796" s="13">
        <f t="shared" si="146"/>
        <v>27</v>
      </c>
      <c r="AB796" s="8">
        <v>233145</v>
      </c>
      <c r="AC796" s="8">
        <v>233205</v>
      </c>
      <c r="AD796" s="13">
        <f t="shared" si="147"/>
        <v>60</v>
      </c>
      <c r="AE796" s="135"/>
      <c r="AF796" s="135"/>
      <c r="AG796" s="135"/>
      <c r="AH796" s="136"/>
      <c r="AI796" s="50">
        <f t="shared" si="143"/>
        <v>563</v>
      </c>
    </row>
    <row r="797" spans="1:35">
      <c r="A797" s="12">
        <v>45172</v>
      </c>
      <c r="B797" s="8">
        <v>1881696</v>
      </c>
      <c r="C797" s="8">
        <v>1881876</v>
      </c>
      <c r="D797" s="13">
        <f t="shared" si="150"/>
        <v>180</v>
      </c>
      <c r="E797" s="69">
        <v>210669</v>
      </c>
      <c r="F797" s="69">
        <v>210669</v>
      </c>
      <c r="G797" s="133">
        <f t="shared" si="145"/>
        <v>0</v>
      </c>
      <c r="H797" s="8">
        <v>289733</v>
      </c>
      <c r="I797" s="8">
        <v>290334</v>
      </c>
      <c r="J797" s="13">
        <f t="shared" si="142"/>
        <v>601</v>
      </c>
      <c r="K797" s="138"/>
      <c r="L797" s="8">
        <v>779638</v>
      </c>
      <c r="M797" s="8">
        <v>780329</v>
      </c>
      <c r="N797" s="13">
        <f t="shared" si="144"/>
        <v>691</v>
      </c>
      <c r="O797" s="136"/>
      <c r="P797" s="8">
        <v>431584</v>
      </c>
      <c r="Q797" s="8">
        <v>431588</v>
      </c>
      <c r="R797" s="133">
        <f>Q797-P797</f>
        <v>4</v>
      </c>
      <c r="S797" s="8">
        <v>24498</v>
      </c>
      <c r="T797" s="8">
        <v>24571</v>
      </c>
      <c r="U797" s="133">
        <f t="shared" si="148"/>
        <v>73</v>
      </c>
      <c r="V797" s="8">
        <v>353986</v>
      </c>
      <c r="W797" s="8">
        <v>353986</v>
      </c>
      <c r="X797" s="13">
        <f t="shared" si="141"/>
        <v>0</v>
      </c>
      <c r="Y797" s="8">
        <v>31712</v>
      </c>
      <c r="Z797" s="8">
        <v>31742</v>
      </c>
      <c r="AA797" s="13">
        <f t="shared" si="146"/>
        <v>30</v>
      </c>
      <c r="AB797" s="8">
        <v>233205</v>
      </c>
      <c r="AC797" s="8">
        <v>233326</v>
      </c>
      <c r="AD797" s="13">
        <f t="shared" si="147"/>
        <v>121</v>
      </c>
      <c r="AE797" s="135"/>
      <c r="AF797" s="135"/>
      <c r="AG797" s="135"/>
      <c r="AH797" s="136"/>
      <c r="AI797" s="50">
        <f t="shared" si="143"/>
        <v>107</v>
      </c>
    </row>
    <row r="798" spans="1:35">
      <c r="A798" s="12">
        <v>45173</v>
      </c>
      <c r="B798" s="8">
        <v>1881876</v>
      </c>
      <c r="C798" s="8">
        <v>1882386</v>
      </c>
      <c r="D798" s="13">
        <f t="shared" si="150"/>
        <v>510</v>
      </c>
      <c r="E798" s="69">
        <v>210669</v>
      </c>
      <c r="F798" s="69">
        <v>210669</v>
      </c>
      <c r="G798" s="133">
        <f t="shared" si="145"/>
        <v>0</v>
      </c>
      <c r="H798" s="8">
        <v>290334</v>
      </c>
      <c r="I798" s="8">
        <v>290334</v>
      </c>
      <c r="J798" s="13">
        <f t="shared" si="142"/>
        <v>0</v>
      </c>
      <c r="K798" s="138"/>
      <c r="L798" s="8">
        <v>780329</v>
      </c>
      <c r="M798" s="8">
        <v>781345</v>
      </c>
      <c r="N798" s="13">
        <f t="shared" si="144"/>
        <v>1016</v>
      </c>
      <c r="O798" s="136"/>
      <c r="P798" s="8">
        <v>431588</v>
      </c>
      <c r="Q798" s="8">
        <v>431588</v>
      </c>
      <c r="R798" s="133">
        <f t="shared" si="149"/>
        <v>0</v>
      </c>
      <c r="S798" s="8">
        <v>24571</v>
      </c>
      <c r="T798" s="8">
        <v>24593</v>
      </c>
      <c r="U798" s="133">
        <f t="shared" si="148"/>
        <v>22</v>
      </c>
      <c r="V798" s="8">
        <v>353986</v>
      </c>
      <c r="W798" s="8">
        <v>353986</v>
      </c>
      <c r="X798" s="13">
        <f t="shared" si="141"/>
        <v>0</v>
      </c>
      <c r="Y798" s="8">
        <v>31742</v>
      </c>
      <c r="Z798" s="8">
        <v>31765</v>
      </c>
      <c r="AA798" s="13">
        <f t="shared" si="146"/>
        <v>23</v>
      </c>
      <c r="AB798" s="8">
        <v>233326</v>
      </c>
      <c r="AC798" s="8">
        <v>233413</v>
      </c>
      <c r="AD798" s="13">
        <f t="shared" si="147"/>
        <v>87</v>
      </c>
      <c r="AE798" s="135"/>
      <c r="AF798" s="135"/>
      <c r="AG798" s="135"/>
      <c r="AH798" s="136"/>
      <c r="AI798" s="50">
        <f t="shared" si="143"/>
        <v>45</v>
      </c>
    </row>
    <row r="799" spans="1:35">
      <c r="A799" s="12">
        <v>45174</v>
      </c>
      <c r="B799" s="8">
        <v>1882386</v>
      </c>
      <c r="C799" s="8">
        <v>1882592</v>
      </c>
      <c r="D799" s="13">
        <f t="shared" si="150"/>
        <v>206</v>
      </c>
      <c r="E799" s="69">
        <v>210669</v>
      </c>
      <c r="F799" s="69">
        <v>210669</v>
      </c>
      <c r="G799" s="133">
        <f t="shared" si="145"/>
        <v>0</v>
      </c>
      <c r="H799" s="8">
        <v>290334</v>
      </c>
      <c r="I799" s="8">
        <v>290945</v>
      </c>
      <c r="J799" s="13">
        <f t="shared" si="142"/>
        <v>611</v>
      </c>
      <c r="K799" s="138"/>
      <c r="L799" s="8">
        <v>781345</v>
      </c>
      <c r="M799" s="8">
        <v>781347</v>
      </c>
      <c r="N799" s="13">
        <f t="shared" si="144"/>
        <v>2</v>
      </c>
      <c r="O799" s="136"/>
      <c r="P799" s="8">
        <v>431588</v>
      </c>
      <c r="Q799" s="8">
        <v>432047</v>
      </c>
      <c r="R799" s="133">
        <f t="shared" si="149"/>
        <v>459</v>
      </c>
      <c r="S799" s="8">
        <v>24593</v>
      </c>
      <c r="T799" s="8">
        <v>24675</v>
      </c>
      <c r="U799" s="133">
        <f t="shared" si="148"/>
        <v>82</v>
      </c>
      <c r="V799" s="8">
        <v>353986</v>
      </c>
      <c r="W799" s="8">
        <v>353986</v>
      </c>
      <c r="X799" s="13">
        <f t="shared" si="141"/>
        <v>0</v>
      </c>
      <c r="Y799" s="8">
        <v>31765</v>
      </c>
      <c r="Z799" s="8">
        <v>31792</v>
      </c>
      <c r="AA799" s="13">
        <f t="shared" si="146"/>
        <v>27</v>
      </c>
      <c r="AB799" s="8">
        <v>233413</v>
      </c>
      <c r="AC799" s="8">
        <v>233495</v>
      </c>
      <c r="AD799" s="13">
        <f t="shared" si="147"/>
        <v>82</v>
      </c>
      <c r="AE799" s="135"/>
      <c r="AF799" s="135"/>
      <c r="AG799" s="135"/>
      <c r="AH799" s="136"/>
      <c r="AI799" s="50">
        <f t="shared" si="143"/>
        <v>568</v>
      </c>
    </row>
    <row r="800" spans="1:35">
      <c r="A800" s="12">
        <v>45175</v>
      </c>
      <c r="B800" s="8">
        <v>1882592</v>
      </c>
      <c r="C800" s="8">
        <v>1882592</v>
      </c>
      <c r="D800" s="13">
        <f t="shared" si="150"/>
        <v>0</v>
      </c>
      <c r="E800" s="69">
        <v>210669</v>
      </c>
      <c r="F800" s="69">
        <v>210669</v>
      </c>
      <c r="G800" s="133">
        <f t="shared" si="145"/>
        <v>0</v>
      </c>
      <c r="H800" s="8">
        <v>290945</v>
      </c>
      <c r="I800" s="8">
        <v>291664</v>
      </c>
      <c r="J800" s="13">
        <f t="shared" si="142"/>
        <v>719</v>
      </c>
      <c r="K800" s="138"/>
      <c r="L800" s="8">
        <v>781347</v>
      </c>
      <c r="M800" s="8">
        <v>781347</v>
      </c>
      <c r="N800" s="13">
        <f t="shared" si="144"/>
        <v>0</v>
      </c>
      <c r="O800" s="136"/>
      <c r="P800" s="8">
        <v>432047</v>
      </c>
      <c r="Q800" s="8">
        <v>432594</v>
      </c>
      <c r="R800" s="133">
        <f t="shared" si="149"/>
        <v>547</v>
      </c>
      <c r="S800" s="8">
        <v>24675</v>
      </c>
      <c r="T800" s="8">
        <v>24725</v>
      </c>
      <c r="U800" s="133">
        <f t="shared" si="148"/>
        <v>50</v>
      </c>
      <c r="V800" s="8">
        <v>353986</v>
      </c>
      <c r="W800" s="8">
        <v>353986</v>
      </c>
      <c r="X800" s="13">
        <f t="shared" si="141"/>
        <v>0</v>
      </c>
      <c r="Y800" s="8">
        <v>31792</v>
      </c>
      <c r="Z800" s="8">
        <v>31809</v>
      </c>
      <c r="AA800" s="13">
        <f t="shared" si="146"/>
        <v>17</v>
      </c>
      <c r="AB800" s="8">
        <v>233495</v>
      </c>
      <c r="AC800" s="8">
        <v>233578</v>
      </c>
      <c r="AD800" s="13">
        <f t="shared" si="147"/>
        <v>83</v>
      </c>
      <c r="AE800" s="135"/>
      <c r="AF800" s="135"/>
      <c r="AG800" s="135"/>
      <c r="AH800" s="136"/>
      <c r="AI800" s="50">
        <f t="shared" si="143"/>
        <v>614</v>
      </c>
    </row>
    <row r="801" spans="1:35">
      <c r="A801" s="12">
        <v>45176</v>
      </c>
      <c r="B801" s="8">
        <v>1882592</v>
      </c>
      <c r="C801" s="8">
        <v>1882854</v>
      </c>
      <c r="D801" s="13">
        <f t="shared" si="150"/>
        <v>262</v>
      </c>
      <c r="E801" s="69">
        <v>210669</v>
      </c>
      <c r="F801" s="69">
        <v>210669</v>
      </c>
      <c r="G801" s="133">
        <f t="shared" si="145"/>
        <v>0</v>
      </c>
      <c r="H801" s="8">
        <v>291664</v>
      </c>
      <c r="I801" s="8">
        <v>291914</v>
      </c>
      <c r="J801" s="13">
        <f t="shared" si="142"/>
        <v>250</v>
      </c>
      <c r="K801" s="138"/>
      <c r="L801" s="8">
        <v>781347</v>
      </c>
      <c r="M801" s="8">
        <v>781402</v>
      </c>
      <c r="N801" s="13">
        <f t="shared" si="144"/>
        <v>55</v>
      </c>
      <c r="O801" s="136"/>
      <c r="P801" s="8">
        <v>432594</v>
      </c>
      <c r="Q801" s="8">
        <v>432790</v>
      </c>
      <c r="R801" s="133">
        <f t="shared" si="149"/>
        <v>196</v>
      </c>
      <c r="S801" s="8">
        <v>24725</v>
      </c>
      <c r="T801" s="8">
        <v>24774</v>
      </c>
      <c r="U801" s="133">
        <f t="shared" si="148"/>
        <v>49</v>
      </c>
      <c r="V801" s="8">
        <v>353986</v>
      </c>
      <c r="W801" s="8">
        <v>353986</v>
      </c>
      <c r="X801" s="13">
        <f t="shared" si="141"/>
        <v>0</v>
      </c>
      <c r="Y801" s="8">
        <v>31809</v>
      </c>
      <c r="Z801" s="8">
        <v>31826</v>
      </c>
      <c r="AA801" s="13">
        <f t="shared" si="146"/>
        <v>17</v>
      </c>
      <c r="AB801" s="8">
        <v>233578</v>
      </c>
      <c r="AC801" s="8">
        <v>233667</v>
      </c>
      <c r="AD801" s="13">
        <f t="shared" si="147"/>
        <v>89</v>
      </c>
      <c r="AE801" s="135"/>
      <c r="AF801" s="135"/>
      <c r="AG801" s="135"/>
      <c r="AH801" s="136"/>
      <c r="AI801" s="50">
        <f t="shared" si="143"/>
        <v>262</v>
      </c>
    </row>
    <row r="802" spans="1:35">
      <c r="A802" s="12">
        <v>45177</v>
      </c>
      <c r="B802" s="8">
        <v>1882854</v>
      </c>
      <c r="C802" s="8">
        <v>1883164</v>
      </c>
      <c r="D802" s="13">
        <f t="shared" si="150"/>
        <v>310</v>
      </c>
      <c r="E802" s="69">
        <v>210669</v>
      </c>
      <c r="F802" s="69">
        <v>210669</v>
      </c>
      <c r="G802" s="133">
        <f t="shared" si="145"/>
        <v>0</v>
      </c>
      <c r="H802" s="8">
        <v>291914</v>
      </c>
      <c r="I802" s="8">
        <v>292887</v>
      </c>
      <c r="J802" s="13">
        <f t="shared" si="142"/>
        <v>973</v>
      </c>
      <c r="K802" s="138"/>
      <c r="L802" s="8">
        <v>781402</v>
      </c>
      <c r="M802" s="8">
        <v>781628</v>
      </c>
      <c r="N802" s="13">
        <f t="shared" si="144"/>
        <v>226</v>
      </c>
      <c r="O802" s="136"/>
      <c r="P802" s="8">
        <v>432790</v>
      </c>
      <c r="Q802" s="8">
        <v>433047</v>
      </c>
      <c r="R802" s="133">
        <f t="shared" si="149"/>
        <v>257</v>
      </c>
      <c r="S802" s="8">
        <v>24774</v>
      </c>
      <c r="T802" s="8">
        <v>24810</v>
      </c>
      <c r="U802" s="133">
        <f t="shared" si="148"/>
        <v>36</v>
      </c>
      <c r="V802" s="8">
        <v>353986</v>
      </c>
      <c r="W802" s="8">
        <v>353986</v>
      </c>
      <c r="X802" s="13">
        <f t="shared" si="141"/>
        <v>0</v>
      </c>
      <c r="Y802" s="8">
        <v>31826</v>
      </c>
      <c r="Z802" s="8">
        <v>31848</v>
      </c>
      <c r="AA802" s="13">
        <f t="shared" si="146"/>
        <v>22</v>
      </c>
      <c r="AB802" s="8">
        <v>233667</v>
      </c>
      <c r="AC802" s="8">
        <v>233801</v>
      </c>
      <c r="AD802" s="13">
        <f t="shared" si="147"/>
        <v>134</v>
      </c>
      <c r="AE802" s="135"/>
      <c r="AF802" s="135"/>
      <c r="AG802" s="135"/>
      <c r="AH802" s="136"/>
      <c r="AI802" s="50">
        <f t="shared" si="143"/>
        <v>315</v>
      </c>
    </row>
    <row r="803" spans="1:35">
      <c r="A803" s="12">
        <v>45178</v>
      </c>
      <c r="B803" s="8">
        <v>1883164</v>
      </c>
      <c r="C803" s="8">
        <v>1883762</v>
      </c>
      <c r="D803" s="13">
        <f t="shared" si="150"/>
        <v>598</v>
      </c>
      <c r="E803" s="69">
        <v>210669</v>
      </c>
      <c r="F803" s="69">
        <v>210669</v>
      </c>
      <c r="G803" s="133">
        <f t="shared" si="145"/>
        <v>0</v>
      </c>
      <c r="H803" s="8">
        <v>292887</v>
      </c>
      <c r="I803" s="8">
        <v>293474</v>
      </c>
      <c r="J803" s="13">
        <f t="shared" si="142"/>
        <v>587</v>
      </c>
      <c r="K803" s="138"/>
      <c r="L803" s="8">
        <v>781628</v>
      </c>
      <c r="M803" s="8">
        <v>782809</v>
      </c>
      <c r="N803" s="13">
        <f t="shared" si="144"/>
        <v>1181</v>
      </c>
      <c r="O803" s="136"/>
      <c r="P803" s="8">
        <v>433047</v>
      </c>
      <c r="Q803" s="8">
        <v>433348</v>
      </c>
      <c r="R803" s="133">
        <f t="shared" si="149"/>
        <v>301</v>
      </c>
      <c r="S803" s="8">
        <v>24810</v>
      </c>
      <c r="T803" s="8">
        <v>24861</v>
      </c>
      <c r="U803" s="133">
        <f t="shared" si="148"/>
        <v>51</v>
      </c>
      <c r="V803" s="8">
        <v>353986</v>
      </c>
      <c r="W803" s="8">
        <v>353986</v>
      </c>
      <c r="X803" s="13">
        <f t="shared" si="141"/>
        <v>0</v>
      </c>
      <c r="Y803" s="8">
        <v>31848</v>
      </c>
      <c r="Z803" s="8">
        <v>31869</v>
      </c>
      <c r="AA803" s="13">
        <f t="shared" si="146"/>
        <v>21</v>
      </c>
      <c r="AB803" s="8">
        <v>233801</v>
      </c>
      <c r="AC803" s="8">
        <v>233875</v>
      </c>
      <c r="AD803" s="13">
        <f t="shared" si="147"/>
        <v>74</v>
      </c>
      <c r="AE803" s="135"/>
      <c r="AF803" s="135"/>
      <c r="AG803" s="135"/>
      <c r="AH803" s="136"/>
      <c r="AI803" s="50">
        <f t="shared" si="143"/>
        <v>373</v>
      </c>
    </row>
    <row r="804" spans="1:35">
      <c r="A804" s="12">
        <v>45179</v>
      </c>
      <c r="B804" s="8">
        <v>1883762</v>
      </c>
      <c r="C804" s="8">
        <v>1884476</v>
      </c>
      <c r="D804" s="13">
        <f t="shared" si="150"/>
        <v>714</v>
      </c>
      <c r="E804" s="69">
        <v>210669</v>
      </c>
      <c r="F804" s="69">
        <v>210669</v>
      </c>
      <c r="G804" s="133">
        <f t="shared" si="145"/>
        <v>0</v>
      </c>
      <c r="H804" s="8">
        <v>293474</v>
      </c>
      <c r="I804" s="8">
        <v>293730</v>
      </c>
      <c r="J804" s="13">
        <f t="shared" si="142"/>
        <v>256</v>
      </c>
      <c r="K804" s="138"/>
      <c r="L804" s="8">
        <v>782809</v>
      </c>
      <c r="M804" s="8">
        <v>783854</v>
      </c>
      <c r="N804" s="13">
        <f t="shared" si="144"/>
        <v>1045</v>
      </c>
      <c r="O804" s="136"/>
      <c r="P804" s="8">
        <v>433348</v>
      </c>
      <c r="Q804" s="8">
        <v>433884</v>
      </c>
      <c r="R804" s="133">
        <f t="shared" si="149"/>
        <v>536</v>
      </c>
      <c r="S804" s="8">
        <v>24861</v>
      </c>
      <c r="T804" s="8">
        <v>24898</v>
      </c>
      <c r="U804" s="133">
        <f t="shared" si="148"/>
        <v>37</v>
      </c>
      <c r="V804" s="8">
        <v>353986</v>
      </c>
      <c r="W804" s="8">
        <v>353986</v>
      </c>
      <c r="X804" s="13">
        <f t="shared" si="141"/>
        <v>0</v>
      </c>
      <c r="Y804" s="8">
        <v>31869</v>
      </c>
      <c r="Z804" s="8">
        <v>31885</v>
      </c>
      <c r="AA804" s="13">
        <f t="shared" si="146"/>
        <v>16</v>
      </c>
      <c r="AB804" s="8">
        <v>233875</v>
      </c>
      <c r="AC804" s="8">
        <v>233993</v>
      </c>
      <c r="AD804" s="13">
        <f t="shared" si="147"/>
        <v>118</v>
      </c>
      <c r="AE804" s="135"/>
      <c r="AF804" s="135"/>
      <c r="AG804" s="135"/>
      <c r="AH804" s="136"/>
      <c r="AI804" s="50">
        <f t="shared" si="143"/>
        <v>589</v>
      </c>
    </row>
    <row r="805" spans="1:35">
      <c r="A805" s="12">
        <v>45180</v>
      </c>
      <c r="B805" s="8">
        <v>1884476</v>
      </c>
      <c r="C805" s="8">
        <v>1885086</v>
      </c>
      <c r="D805" s="13">
        <f t="shared" si="150"/>
        <v>610</v>
      </c>
      <c r="E805" s="69">
        <v>210669</v>
      </c>
      <c r="F805" s="69">
        <v>210669</v>
      </c>
      <c r="G805" s="133">
        <f t="shared" si="145"/>
        <v>0</v>
      </c>
      <c r="H805" s="8">
        <v>293730</v>
      </c>
      <c r="I805" s="8">
        <v>293730</v>
      </c>
      <c r="J805" s="13">
        <f t="shared" si="142"/>
        <v>0</v>
      </c>
      <c r="K805" s="138"/>
      <c r="L805" s="8">
        <v>783854</v>
      </c>
      <c r="M805" s="8">
        <v>784942</v>
      </c>
      <c r="N805" s="13">
        <f t="shared" si="144"/>
        <v>1088</v>
      </c>
      <c r="O805" s="136"/>
      <c r="P805" s="8">
        <v>433884</v>
      </c>
      <c r="Q805" s="8">
        <v>434486</v>
      </c>
      <c r="R805" s="133">
        <f t="shared" si="149"/>
        <v>602</v>
      </c>
      <c r="S805" s="8">
        <v>24898</v>
      </c>
      <c r="T805" s="8">
        <v>24940</v>
      </c>
      <c r="U805" s="133">
        <f t="shared" si="148"/>
        <v>42</v>
      </c>
      <c r="V805" s="8">
        <v>353986</v>
      </c>
      <c r="W805" s="8">
        <v>353986</v>
      </c>
      <c r="X805" s="13">
        <f t="shared" si="141"/>
        <v>0</v>
      </c>
      <c r="Y805" s="8">
        <v>31885</v>
      </c>
      <c r="Z805" s="8">
        <v>31895</v>
      </c>
      <c r="AA805" s="13">
        <f t="shared" si="146"/>
        <v>10</v>
      </c>
      <c r="AB805" s="8">
        <v>233993</v>
      </c>
      <c r="AC805" s="8">
        <v>234104</v>
      </c>
      <c r="AD805" s="13">
        <f t="shared" si="147"/>
        <v>111</v>
      </c>
      <c r="AE805" s="135"/>
      <c r="AF805" s="135"/>
      <c r="AG805" s="135"/>
      <c r="AH805" s="136"/>
      <c r="AI805" s="50">
        <f t="shared" si="143"/>
        <v>654</v>
      </c>
    </row>
    <row r="806" spans="1:35">
      <c r="A806" s="12">
        <v>45181</v>
      </c>
      <c r="B806" s="8">
        <v>1885086</v>
      </c>
      <c r="C806" s="8">
        <v>1885314</v>
      </c>
      <c r="D806" s="13">
        <f t="shared" si="150"/>
        <v>228</v>
      </c>
      <c r="E806" s="69">
        <v>210669</v>
      </c>
      <c r="F806" s="69">
        <v>210669</v>
      </c>
      <c r="G806" s="133">
        <f t="shared" si="145"/>
        <v>0</v>
      </c>
      <c r="H806" s="8">
        <v>293730</v>
      </c>
      <c r="I806" s="8">
        <v>293730</v>
      </c>
      <c r="J806" s="13">
        <f t="shared" si="142"/>
        <v>0</v>
      </c>
      <c r="K806" s="138"/>
      <c r="L806" s="8">
        <v>784942</v>
      </c>
      <c r="M806" s="8">
        <v>785478</v>
      </c>
      <c r="N806" s="13">
        <f t="shared" si="144"/>
        <v>536</v>
      </c>
      <c r="O806" s="136"/>
      <c r="P806" s="8">
        <v>434486</v>
      </c>
      <c r="Q806" s="8">
        <v>434714</v>
      </c>
      <c r="R806" s="133">
        <f t="shared" si="149"/>
        <v>228</v>
      </c>
      <c r="S806" s="8">
        <v>24940</v>
      </c>
      <c r="T806" s="8">
        <v>24995</v>
      </c>
      <c r="U806" s="133">
        <f t="shared" si="148"/>
        <v>55</v>
      </c>
      <c r="V806" s="8">
        <v>353986</v>
      </c>
      <c r="W806" s="8">
        <v>353986</v>
      </c>
      <c r="X806" s="13">
        <f t="shared" si="141"/>
        <v>0</v>
      </c>
      <c r="Y806" s="8">
        <v>31895</v>
      </c>
      <c r="Z806" s="8">
        <v>31907</v>
      </c>
      <c r="AA806" s="13">
        <f t="shared" si="146"/>
        <v>12</v>
      </c>
      <c r="AB806" s="8">
        <v>234104</v>
      </c>
      <c r="AC806" s="8">
        <v>234186</v>
      </c>
      <c r="AD806" s="13">
        <f t="shared" si="147"/>
        <v>82</v>
      </c>
      <c r="AE806" s="135"/>
      <c r="AF806" s="135"/>
      <c r="AG806" s="135"/>
      <c r="AH806" s="136"/>
      <c r="AI806" s="50">
        <f t="shared" si="143"/>
        <v>295</v>
      </c>
    </row>
    <row r="807" spans="1:35">
      <c r="A807" s="12">
        <v>45182</v>
      </c>
      <c r="B807" s="8">
        <v>1885314</v>
      </c>
      <c r="C807" s="8">
        <v>1885807</v>
      </c>
      <c r="D807" s="13">
        <f t="shared" si="150"/>
        <v>493</v>
      </c>
      <c r="E807" s="69">
        <v>210669</v>
      </c>
      <c r="F807" s="69">
        <v>210669</v>
      </c>
      <c r="G807" s="133">
        <f t="shared" si="145"/>
        <v>0</v>
      </c>
      <c r="H807" s="8">
        <v>293730</v>
      </c>
      <c r="I807" s="8">
        <v>293730</v>
      </c>
      <c r="J807" s="13">
        <f t="shared" si="142"/>
        <v>0</v>
      </c>
      <c r="K807" s="138"/>
      <c r="L807" s="8">
        <v>785478</v>
      </c>
      <c r="M807" s="8">
        <v>786925</v>
      </c>
      <c r="N807" s="13">
        <f t="shared" si="144"/>
        <v>1447</v>
      </c>
      <c r="O807" s="136"/>
      <c r="P807" s="8">
        <v>434714</v>
      </c>
      <c r="Q807" s="8">
        <v>435425</v>
      </c>
      <c r="R807" s="133">
        <f t="shared" si="149"/>
        <v>711</v>
      </c>
      <c r="S807" s="8">
        <v>24995</v>
      </c>
      <c r="T807" s="8">
        <v>24995</v>
      </c>
      <c r="U807" s="133">
        <f t="shared" si="148"/>
        <v>0</v>
      </c>
      <c r="V807" s="8">
        <v>353986</v>
      </c>
      <c r="W807" s="8">
        <v>353986</v>
      </c>
      <c r="X807" s="13">
        <f t="shared" si="141"/>
        <v>0</v>
      </c>
      <c r="Y807" s="8">
        <v>31907</v>
      </c>
      <c r="Z807" s="8">
        <v>31918</v>
      </c>
      <c r="AA807" s="13">
        <f t="shared" si="146"/>
        <v>11</v>
      </c>
      <c r="AB807" s="8">
        <v>234186</v>
      </c>
      <c r="AC807" s="8">
        <v>234285</v>
      </c>
      <c r="AD807" s="13">
        <f t="shared" si="147"/>
        <v>99</v>
      </c>
      <c r="AE807" s="135"/>
      <c r="AF807" s="135"/>
      <c r="AG807" s="135"/>
      <c r="AH807" s="136"/>
      <c r="AI807" s="50">
        <f t="shared" si="143"/>
        <v>722</v>
      </c>
    </row>
    <row r="808" spans="1:35">
      <c r="A808" s="12">
        <v>45183</v>
      </c>
      <c r="B808" s="8">
        <v>1885807</v>
      </c>
      <c r="C808" s="8">
        <v>1886674</v>
      </c>
      <c r="D808" s="13">
        <f t="shared" si="150"/>
        <v>867</v>
      </c>
      <c r="E808" s="69">
        <v>210669</v>
      </c>
      <c r="F808" s="69">
        <v>210669</v>
      </c>
      <c r="G808" s="133">
        <f t="shared" si="145"/>
        <v>0</v>
      </c>
      <c r="H808" s="8">
        <v>293730</v>
      </c>
      <c r="I808" s="8">
        <v>293730</v>
      </c>
      <c r="J808" s="13">
        <f t="shared" si="142"/>
        <v>0</v>
      </c>
      <c r="K808" s="138"/>
      <c r="L808" s="8">
        <v>786925</v>
      </c>
      <c r="M808" s="8">
        <v>788157</v>
      </c>
      <c r="N808" s="13">
        <f t="shared" si="144"/>
        <v>1232</v>
      </c>
      <c r="O808" s="136"/>
      <c r="P808" s="8">
        <v>435425</v>
      </c>
      <c r="Q808" s="8">
        <v>436062</v>
      </c>
      <c r="R808" s="133">
        <f t="shared" si="149"/>
        <v>637</v>
      </c>
      <c r="S808" s="8">
        <v>24995</v>
      </c>
      <c r="T808" s="8">
        <v>25045</v>
      </c>
      <c r="U808" s="133">
        <f t="shared" si="148"/>
        <v>50</v>
      </c>
      <c r="V808" s="8">
        <v>353986</v>
      </c>
      <c r="W808" s="8">
        <v>353986</v>
      </c>
      <c r="X808" s="13">
        <f t="shared" si="141"/>
        <v>0</v>
      </c>
      <c r="Y808" s="8">
        <v>31918</v>
      </c>
      <c r="Z808" s="8">
        <v>31926</v>
      </c>
      <c r="AA808" s="13">
        <f t="shared" si="146"/>
        <v>8</v>
      </c>
      <c r="AB808" s="8">
        <v>234285</v>
      </c>
      <c r="AC808" s="8">
        <v>234379</v>
      </c>
      <c r="AD808" s="13">
        <f t="shared" si="147"/>
        <v>94</v>
      </c>
      <c r="AE808" s="135"/>
      <c r="AF808" s="135"/>
      <c r="AG808" s="135"/>
      <c r="AH808" s="136"/>
      <c r="AI808" s="50">
        <f t="shared" si="143"/>
        <v>695</v>
      </c>
    </row>
    <row r="809" spans="1:35">
      <c r="A809" s="12">
        <v>45184</v>
      </c>
      <c r="B809" s="8">
        <v>1886674</v>
      </c>
      <c r="C809" s="8">
        <v>1887398</v>
      </c>
      <c r="D809" s="13">
        <f t="shared" si="150"/>
        <v>724</v>
      </c>
      <c r="E809" s="77">
        <f>F808</f>
        <v>210669</v>
      </c>
      <c r="F809" s="69">
        <v>210669</v>
      </c>
      <c r="G809" s="133">
        <f t="shared" si="145"/>
        <v>0</v>
      </c>
      <c r="H809" s="8">
        <v>293730</v>
      </c>
      <c r="I809" s="8">
        <v>293735</v>
      </c>
      <c r="J809" s="13">
        <f t="shared" si="142"/>
        <v>5</v>
      </c>
      <c r="K809" s="138"/>
      <c r="L809" s="8">
        <v>788157</v>
      </c>
      <c r="M809" s="8">
        <v>789496</v>
      </c>
      <c r="N809" s="13">
        <f t="shared" si="144"/>
        <v>1339</v>
      </c>
      <c r="O809" s="136"/>
      <c r="P809" s="8">
        <v>436062</v>
      </c>
      <c r="Q809" s="8">
        <v>436941</v>
      </c>
      <c r="R809" s="133">
        <f t="shared" si="149"/>
        <v>879</v>
      </c>
      <c r="S809" s="8">
        <v>25045</v>
      </c>
      <c r="T809" s="8">
        <v>25113</v>
      </c>
      <c r="U809" s="133">
        <f t="shared" si="148"/>
        <v>68</v>
      </c>
      <c r="V809" s="8">
        <v>353986</v>
      </c>
      <c r="W809" s="8">
        <v>353986</v>
      </c>
      <c r="X809" s="13">
        <f t="shared" si="141"/>
        <v>0</v>
      </c>
      <c r="Y809" s="8">
        <f>Z808</f>
        <v>31926</v>
      </c>
      <c r="Z809" s="8">
        <v>31940</v>
      </c>
      <c r="AA809" s="13">
        <f t="shared" si="146"/>
        <v>14</v>
      </c>
      <c r="AB809" s="8">
        <v>234379</v>
      </c>
      <c r="AC809" s="8">
        <v>234485</v>
      </c>
      <c r="AD809" s="13">
        <f t="shared" si="147"/>
        <v>106</v>
      </c>
      <c r="AE809" s="135"/>
      <c r="AF809" s="135"/>
      <c r="AG809" s="135"/>
      <c r="AH809" s="136"/>
      <c r="AI809" s="50">
        <f t="shared" si="143"/>
        <v>961</v>
      </c>
    </row>
    <row r="810" spans="1:35">
      <c r="A810" s="12">
        <v>45185</v>
      </c>
      <c r="B810" s="8">
        <v>1887398</v>
      </c>
      <c r="C810" s="8">
        <v>1888128</v>
      </c>
      <c r="D810" s="13">
        <f t="shared" si="150"/>
        <v>730</v>
      </c>
      <c r="E810" s="77">
        <f t="shared" ref="E810:E873" si="151">F809</f>
        <v>210669</v>
      </c>
      <c r="F810" s="69">
        <v>210669</v>
      </c>
      <c r="G810" s="133">
        <f t="shared" si="145"/>
        <v>0</v>
      </c>
      <c r="H810" s="8">
        <v>293735</v>
      </c>
      <c r="I810" s="8">
        <v>294467</v>
      </c>
      <c r="J810" s="13">
        <f t="shared" si="142"/>
        <v>732</v>
      </c>
      <c r="K810" s="138"/>
      <c r="L810" s="8">
        <v>789496</v>
      </c>
      <c r="M810" s="8">
        <v>790009</v>
      </c>
      <c r="N810" s="13">
        <f t="shared" si="144"/>
        <v>513</v>
      </c>
      <c r="O810" s="136"/>
      <c r="P810" s="8">
        <v>436941</v>
      </c>
      <c r="Q810" s="8">
        <v>436992</v>
      </c>
      <c r="R810" s="133">
        <f t="shared" si="149"/>
        <v>51</v>
      </c>
      <c r="S810" s="8">
        <v>25113</v>
      </c>
      <c r="T810" s="8">
        <v>25203</v>
      </c>
      <c r="U810" s="133">
        <f t="shared" si="148"/>
        <v>90</v>
      </c>
      <c r="V810" s="8">
        <v>353986</v>
      </c>
      <c r="W810" s="8">
        <v>353986</v>
      </c>
      <c r="X810" s="13">
        <f t="shared" ref="X810:X873" si="152">W810-V810</f>
        <v>0</v>
      </c>
      <c r="Y810" s="8">
        <f t="shared" ref="Y810:Y873" si="153">Z809</f>
        <v>31940</v>
      </c>
      <c r="Z810" s="8">
        <v>31958</v>
      </c>
      <c r="AA810" s="13">
        <f t="shared" si="146"/>
        <v>18</v>
      </c>
      <c r="AB810" s="8">
        <v>234485</v>
      </c>
      <c r="AC810" s="8">
        <v>234565</v>
      </c>
      <c r="AD810" s="13">
        <f t="shared" si="147"/>
        <v>80</v>
      </c>
      <c r="AE810" s="135"/>
      <c r="AF810" s="135"/>
      <c r="AG810" s="135"/>
      <c r="AH810" s="136"/>
      <c r="AI810" s="50">
        <f t="shared" si="143"/>
        <v>159</v>
      </c>
    </row>
    <row r="811" spans="1:35">
      <c r="A811" s="12">
        <v>45186</v>
      </c>
      <c r="B811" s="8">
        <v>1888128</v>
      </c>
      <c r="C811" s="8">
        <v>1888658</v>
      </c>
      <c r="D811" s="13">
        <f t="shared" si="150"/>
        <v>530</v>
      </c>
      <c r="E811" s="77">
        <f t="shared" si="151"/>
        <v>210669</v>
      </c>
      <c r="F811" s="69">
        <v>210669</v>
      </c>
      <c r="G811" s="133">
        <f t="shared" si="145"/>
        <v>0</v>
      </c>
      <c r="H811" s="8">
        <v>294467</v>
      </c>
      <c r="I811" s="8">
        <v>294881</v>
      </c>
      <c r="J811" s="13">
        <f t="shared" si="142"/>
        <v>414</v>
      </c>
      <c r="K811" s="138"/>
      <c r="L811" s="8">
        <v>790009</v>
      </c>
      <c r="M811" s="8">
        <v>790854</v>
      </c>
      <c r="N811" s="13">
        <f t="shared" si="144"/>
        <v>845</v>
      </c>
      <c r="O811" s="136"/>
      <c r="P811" s="8">
        <v>436992</v>
      </c>
      <c r="Q811" s="8">
        <v>437530</v>
      </c>
      <c r="R811" s="133">
        <f t="shared" si="149"/>
        <v>538</v>
      </c>
      <c r="S811" s="8">
        <v>25203</v>
      </c>
      <c r="T811" s="8">
        <v>25237</v>
      </c>
      <c r="U811" s="133">
        <f t="shared" si="148"/>
        <v>34</v>
      </c>
      <c r="V811" s="8">
        <v>353986</v>
      </c>
      <c r="W811" s="8">
        <v>353986</v>
      </c>
      <c r="X811" s="13">
        <f t="shared" si="152"/>
        <v>0</v>
      </c>
      <c r="Y811" s="8">
        <f t="shared" si="153"/>
        <v>31958</v>
      </c>
      <c r="Z811" s="8">
        <v>31979</v>
      </c>
      <c r="AA811" s="13">
        <f t="shared" si="146"/>
        <v>21</v>
      </c>
      <c r="AB811" s="8">
        <v>234565</v>
      </c>
      <c r="AC811" s="8">
        <v>234688</v>
      </c>
      <c r="AD811" s="13">
        <f t="shared" si="147"/>
        <v>123</v>
      </c>
      <c r="AE811" s="135"/>
      <c r="AF811" s="135"/>
      <c r="AG811" s="135"/>
      <c r="AH811" s="136"/>
      <c r="AI811" s="50">
        <f t="shared" si="143"/>
        <v>593</v>
      </c>
    </row>
    <row r="812" spans="1:35">
      <c r="A812" s="12">
        <v>45187</v>
      </c>
      <c r="B812" s="8">
        <f>C811</f>
        <v>1888658</v>
      </c>
      <c r="C812" s="8">
        <v>1889623</v>
      </c>
      <c r="D812" s="13">
        <f t="shared" si="150"/>
        <v>965</v>
      </c>
      <c r="E812" s="77">
        <f t="shared" si="151"/>
        <v>210669</v>
      </c>
      <c r="F812" s="69">
        <v>210669</v>
      </c>
      <c r="G812" s="133">
        <f t="shared" si="145"/>
        <v>0</v>
      </c>
      <c r="H812" s="8">
        <v>294881</v>
      </c>
      <c r="I812" s="8">
        <v>294881</v>
      </c>
      <c r="J812" s="13">
        <f t="shared" si="142"/>
        <v>0</v>
      </c>
      <c r="K812" s="138"/>
      <c r="L812" s="8">
        <f>M811</f>
        <v>790854</v>
      </c>
      <c r="M812" s="8">
        <v>792118</v>
      </c>
      <c r="N812" s="13">
        <f t="shared" si="144"/>
        <v>1264</v>
      </c>
      <c r="O812" s="136"/>
      <c r="P812" s="8">
        <v>437530</v>
      </c>
      <c r="Q812" s="8">
        <v>437732</v>
      </c>
      <c r="R812" s="133">
        <f t="shared" si="149"/>
        <v>202</v>
      </c>
      <c r="S812" s="8">
        <v>25237</v>
      </c>
      <c r="T812" s="8">
        <v>25319</v>
      </c>
      <c r="U812" s="133">
        <f t="shared" si="148"/>
        <v>82</v>
      </c>
      <c r="V812" s="8">
        <v>353986</v>
      </c>
      <c r="W812" s="8">
        <v>353986</v>
      </c>
      <c r="X812" s="13">
        <f t="shared" si="152"/>
        <v>0</v>
      </c>
      <c r="Y812" s="8">
        <f t="shared" si="153"/>
        <v>31979</v>
      </c>
      <c r="Z812" s="8">
        <v>31998</v>
      </c>
      <c r="AA812" s="13">
        <f t="shared" si="146"/>
        <v>19</v>
      </c>
      <c r="AB812" s="8">
        <f>AC811</f>
        <v>234688</v>
      </c>
      <c r="AC812" s="8">
        <v>234764</v>
      </c>
      <c r="AD812" s="13">
        <f t="shared" si="147"/>
        <v>76</v>
      </c>
      <c r="AE812" s="135"/>
      <c r="AF812" s="135"/>
      <c r="AG812" s="135"/>
      <c r="AH812" s="136"/>
      <c r="AI812" s="50">
        <f t="shared" si="143"/>
        <v>303</v>
      </c>
    </row>
    <row r="813" spans="1:35">
      <c r="A813" s="12">
        <v>45188</v>
      </c>
      <c r="B813" s="8">
        <f t="shared" ref="B813:B876" si="154">C812</f>
        <v>1889623</v>
      </c>
      <c r="C813" s="8">
        <v>1890476</v>
      </c>
      <c r="D813" s="13">
        <f t="shared" si="150"/>
        <v>853</v>
      </c>
      <c r="E813" s="77">
        <f t="shared" si="151"/>
        <v>210669</v>
      </c>
      <c r="F813" s="69">
        <v>210669</v>
      </c>
      <c r="G813" s="133">
        <f t="shared" si="145"/>
        <v>0</v>
      </c>
      <c r="H813" s="8">
        <f>I812</f>
        <v>294881</v>
      </c>
      <c r="I813" s="8">
        <v>294881</v>
      </c>
      <c r="J813" s="13">
        <f t="shared" si="142"/>
        <v>0</v>
      </c>
      <c r="K813" s="138"/>
      <c r="L813" s="8">
        <f t="shared" ref="L813:L876" si="155">M812</f>
        <v>792118</v>
      </c>
      <c r="M813" s="8">
        <v>793128</v>
      </c>
      <c r="N813" s="13">
        <f t="shared" si="144"/>
        <v>1010</v>
      </c>
      <c r="O813" s="136"/>
      <c r="P813" s="8">
        <f>Q812</f>
        <v>437732</v>
      </c>
      <c r="Q813" s="8">
        <v>437732</v>
      </c>
      <c r="R813" s="133">
        <f t="shared" si="149"/>
        <v>0</v>
      </c>
      <c r="S813" s="8">
        <f>T812</f>
        <v>25319</v>
      </c>
      <c r="T813" s="8">
        <v>25355</v>
      </c>
      <c r="U813" s="133">
        <f t="shared" si="148"/>
        <v>36</v>
      </c>
      <c r="V813" s="8">
        <f>W812</f>
        <v>353986</v>
      </c>
      <c r="W813" s="8">
        <v>353986</v>
      </c>
      <c r="X813" s="13">
        <f t="shared" si="152"/>
        <v>0</v>
      </c>
      <c r="Y813" s="8">
        <f t="shared" si="153"/>
        <v>31998</v>
      </c>
      <c r="Z813" s="8">
        <v>32019</v>
      </c>
      <c r="AA813" s="13">
        <f t="shared" si="146"/>
        <v>21</v>
      </c>
      <c r="AB813" s="8">
        <f t="shared" ref="AB813:AB876" si="156">AC812</f>
        <v>234764</v>
      </c>
      <c r="AC813" s="8">
        <v>234965</v>
      </c>
      <c r="AD813" s="13">
        <f t="shared" si="147"/>
        <v>201</v>
      </c>
      <c r="AE813" s="135"/>
      <c r="AF813" s="135"/>
      <c r="AG813" s="135"/>
      <c r="AH813" s="136"/>
      <c r="AI813" s="50">
        <f t="shared" si="143"/>
        <v>57</v>
      </c>
    </row>
    <row r="814" spans="1:35">
      <c r="A814" s="12">
        <v>45189</v>
      </c>
      <c r="B814" s="8">
        <f t="shared" si="154"/>
        <v>1890476</v>
      </c>
      <c r="C814" s="8">
        <v>1891216</v>
      </c>
      <c r="D814" s="13">
        <f t="shared" si="150"/>
        <v>740</v>
      </c>
      <c r="E814" s="77">
        <f t="shared" si="151"/>
        <v>210669</v>
      </c>
      <c r="F814" s="69">
        <v>210669</v>
      </c>
      <c r="G814" s="133">
        <f t="shared" si="145"/>
        <v>0</v>
      </c>
      <c r="H814" s="8">
        <f t="shared" ref="H814:H877" si="157">I813</f>
        <v>294881</v>
      </c>
      <c r="I814" s="8">
        <v>294881</v>
      </c>
      <c r="J814" s="13">
        <f t="shared" si="142"/>
        <v>0</v>
      </c>
      <c r="K814" s="138"/>
      <c r="L814" s="8">
        <f t="shared" si="155"/>
        <v>793128</v>
      </c>
      <c r="M814" s="8">
        <v>794233</v>
      </c>
      <c r="N814" s="13">
        <f t="shared" si="144"/>
        <v>1105</v>
      </c>
      <c r="O814" s="136"/>
      <c r="P814" s="8">
        <f>Q813</f>
        <v>437732</v>
      </c>
      <c r="Q814" s="8">
        <v>438193</v>
      </c>
      <c r="R814" s="133">
        <f t="shared" si="149"/>
        <v>461</v>
      </c>
      <c r="S814" s="8">
        <f t="shared" ref="S814:S877" si="158">T813</f>
        <v>25355</v>
      </c>
      <c r="T814" s="8">
        <v>25413</v>
      </c>
      <c r="U814" s="133">
        <f t="shared" si="148"/>
        <v>58</v>
      </c>
      <c r="V814" s="8">
        <f t="shared" ref="V814:V877" si="159">W813</f>
        <v>353986</v>
      </c>
      <c r="W814" s="8">
        <v>353986</v>
      </c>
      <c r="X814" s="13">
        <f t="shared" si="152"/>
        <v>0</v>
      </c>
      <c r="Y814" s="8">
        <f t="shared" si="153"/>
        <v>32019</v>
      </c>
      <c r="Z814" s="8">
        <v>32029</v>
      </c>
      <c r="AA814" s="13">
        <f t="shared" si="146"/>
        <v>10</v>
      </c>
      <c r="AB814" s="8">
        <f t="shared" si="156"/>
        <v>234965</v>
      </c>
      <c r="AC814" s="8">
        <v>235065</v>
      </c>
      <c r="AD814" s="13">
        <f t="shared" si="147"/>
        <v>100</v>
      </c>
      <c r="AE814" s="135"/>
      <c r="AF814" s="135"/>
      <c r="AG814" s="135"/>
      <c r="AH814" s="136"/>
      <c r="AI814" s="50">
        <f t="shared" si="143"/>
        <v>529</v>
      </c>
    </row>
    <row r="815" spans="1:35">
      <c r="A815" s="12">
        <v>45190</v>
      </c>
      <c r="B815" s="8">
        <f t="shared" si="154"/>
        <v>1891216</v>
      </c>
      <c r="C815" s="8">
        <v>1892068</v>
      </c>
      <c r="D815" s="13">
        <f t="shared" si="150"/>
        <v>852</v>
      </c>
      <c r="E815" s="77">
        <f t="shared" si="151"/>
        <v>210669</v>
      </c>
      <c r="F815" s="69">
        <v>210669</v>
      </c>
      <c r="G815" s="133">
        <f t="shared" si="145"/>
        <v>0</v>
      </c>
      <c r="H815" s="8">
        <f t="shared" si="157"/>
        <v>294881</v>
      </c>
      <c r="I815" s="8">
        <v>294881</v>
      </c>
      <c r="J815" s="13">
        <f t="shared" si="142"/>
        <v>0</v>
      </c>
      <c r="K815" s="138"/>
      <c r="L815" s="8">
        <f t="shared" si="155"/>
        <v>794233</v>
      </c>
      <c r="M815" s="8">
        <v>795284</v>
      </c>
      <c r="N815" s="13">
        <f t="shared" si="144"/>
        <v>1051</v>
      </c>
      <c r="O815" s="136"/>
      <c r="P815" s="8">
        <f>Q814</f>
        <v>438193</v>
      </c>
      <c r="Q815" s="8">
        <v>438709</v>
      </c>
      <c r="R815" s="133">
        <f t="shared" si="149"/>
        <v>516</v>
      </c>
      <c r="S815" s="8">
        <f t="shared" si="158"/>
        <v>25413</v>
      </c>
      <c r="T815" s="8">
        <v>25427</v>
      </c>
      <c r="U815" s="133">
        <f t="shared" si="148"/>
        <v>14</v>
      </c>
      <c r="V815" s="8">
        <f t="shared" si="159"/>
        <v>353986</v>
      </c>
      <c r="W815" s="8">
        <v>353986</v>
      </c>
      <c r="X815" s="13">
        <f t="shared" si="152"/>
        <v>0</v>
      </c>
      <c r="Y815" s="8">
        <f t="shared" si="153"/>
        <v>32029</v>
      </c>
      <c r="Z815" s="8">
        <v>32086</v>
      </c>
      <c r="AA815" s="13">
        <f t="shared" si="146"/>
        <v>57</v>
      </c>
      <c r="AB815" s="8">
        <f t="shared" si="156"/>
        <v>235065</v>
      </c>
      <c r="AC815" s="8">
        <v>235178</v>
      </c>
      <c r="AD815" s="13">
        <f t="shared" si="147"/>
        <v>113</v>
      </c>
      <c r="AE815" s="135"/>
      <c r="AF815" s="135"/>
      <c r="AG815" s="135"/>
      <c r="AH815" s="136"/>
      <c r="AI815" s="50">
        <f t="shared" si="143"/>
        <v>587</v>
      </c>
    </row>
    <row r="816" spans="1:35">
      <c r="A816" s="12">
        <v>45191</v>
      </c>
      <c r="B816" s="8">
        <f t="shared" si="154"/>
        <v>1892068</v>
      </c>
      <c r="C816" s="8">
        <v>1892445</v>
      </c>
      <c r="D816" s="13">
        <f t="shared" si="150"/>
        <v>377</v>
      </c>
      <c r="E816" s="77">
        <f t="shared" si="151"/>
        <v>210669</v>
      </c>
      <c r="F816" s="69">
        <v>210669</v>
      </c>
      <c r="G816" s="133">
        <f t="shared" si="145"/>
        <v>0</v>
      </c>
      <c r="H816" s="8">
        <f t="shared" si="157"/>
        <v>294881</v>
      </c>
      <c r="I816" s="8">
        <v>294881</v>
      </c>
      <c r="J816" s="13">
        <f t="shared" si="142"/>
        <v>0</v>
      </c>
      <c r="K816" s="138"/>
      <c r="L816" s="8">
        <f t="shared" si="155"/>
        <v>795284</v>
      </c>
      <c r="M816" s="8">
        <v>796478</v>
      </c>
      <c r="N816" s="13">
        <f t="shared" si="144"/>
        <v>1194</v>
      </c>
      <c r="O816" s="136"/>
      <c r="P816" s="8">
        <f t="shared" ref="P816:P879" si="160">Q815</f>
        <v>438709</v>
      </c>
      <c r="Q816" s="8">
        <v>439389</v>
      </c>
      <c r="R816" s="133">
        <f t="shared" si="149"/>
        <v>680</v>
      </c>
      <c r="S816" s="8">
        <f t="shared" si="158"/>
        <v>25427</v>
      </c>
      <c r="T816" s="8">
        <v>25503</v>
      </c>
      <c r="U816" s="133">
        <f t="shared" si="148"/>
        <v>76</v>
      </c>
      <c r="V816" s="8">
        <v>353986</v>
      </c>
      <c r="W816" s="8">
        <v>353986</v>
      </c>
      <c r="X816" s="13">
        <f t="shared" si="152"/>
        <v>0</v>
      </c>
      <c r="Y816" s="8">
        <f t="shared" si="153"/>
        <v>32086</v>
      </c>
      <c r="Z816" s="8">
        <v>32098</v>
      </c>
      <c r="AA816" s="13">
        <f t="shared" si="146"/>
        <v>12</v>
      </c>
      <c r="AB816" s="8">
        <f t="shared" si="156"/>
        <v>235178</v>
      </c>
      <c r="AC816" s="8">
        <v>235275</v>
      </c>
      <c r="AD816" s="13">
        <f t="shared" si="147"/>
        <v>97</v>
      </c>
      <c r="AE816" s="135"/>
      <c r="AF816" s="135"/>
      <c r="AG816" s="135"/>
      <c r="AH816" s="136"/>
      <c r="AI816" s="50">
        <f t="shared" si="143"/>
        <v>768</v>
      </c>
    </row>
    <row r="817" spans="1:35">
      <c r="A817" s="12">
        <v>45192</v>
      </c>
      <c r="B817" s="8">
        <f t="shared" si="154"/>
        <v>1892445</v>
      </c>
      <c r="C817" s="8">
        <v>1892462</v>
      </c>
      <c r="D817" s="13">
        <f t="shared" si="150"/>
        <v>17</v>
      </c>
      <c r="E817" s="77">
        <f t="shared" si="151"/>
        <v>210669</v>
      </c>
      <c r="F817" s="69">
        <v>210669</v>
      </c>
      <c r="G817" s="133">
        <f t="shared" si="145"/>
        <v>0</v>
      </c>
      <c r="H817" s="8">
        <f t="shared" si="157"/>
        <v>294881</v>
      </c>
      <c r="I817" s="8">
        <v>294881</v>
      </c>
      <c r="J817" s="13">
        <f t="shared" si="142"/>
        <v>0</v>
      </c>
      <c r="K817" s="138"/>
      <c r="L817" s="8">
        <f t="shared" si="155"/>
        <v>796478</v>
      </c>
      <c r="M817" s="8">
        <v>797386</v>
      </c>
      <c r="N817" s="13">
        <f t="shared" si="144"/>
        <v>908</v>
      </c>
      <c r="O817" s="136"/>
      <c r="P817" s="8">
        <f t="shared" si="160"/>
        <v>439389</v>
      </c>
      <c r="Q817" s="8">
        <v>439741</v>
      </c>
      <c r="R817" s="133">
        <f t="shared" si="149"/>
        <v>352</v>
      </c>
      <c r="S817" s="8">
        <f t="shared" si="158"/>
        <v>25503</v>
      </c>
      <c r="T817" s="8">
        <v>25578</v>
      </c>
      <c r="U817" s="133">
        <f t="shared" si="148"/>
        <v>75</v>
      </c>
      <c r="V817" s="8">
        <f t="shared" si="159"/>
        <v>353986</v>
      </c>
      <c r="W817" s="8">
        <v>353986</v>
      </c>
      <c r="X817" s="13">
        <f t="shared" si="152"/>
        <v>0</v>
      </c>
      <c r="Y817" s="8">
        <f t="shared" si="153"/>
        <v>32098</v>
      </c>
      <c r="Z817" s="8">
        <v>32102</v>
      </c>
      <c r="AA817" s="13">
        <f t="shared" si="146"/>
        <v>4</v>
      </c>
      <c r="AB817" s="8">
        <v>235275</v>
      </c>
      <c r="AC817" s="8">
        <v>235365</v>
      </c>
      <c r="AD817" s="13">
        <f t="shared" si="147"/>
        <v>90</v>
      </c>
      <c r="AE817" s="135"/>
      <c r="AF817" s="135"/>
      <c r="AG817" s="135"/>
      <c r="AH817" s="136"/>
      <c r="AI817" s="50">
        <f t="shared" si="143"/>
        <v>431</v>
      </c>
    </row>
    <row r="818" spans="1:35">
      <c r="A818" s="12">
        <v>45193</v>
      </c>
      <c r="B818" s="8">
        <f>C817</f>
        <v>1892462</v>
      </c>
      <c r="C818" s="8">
        <v>1892496</v>
      </c>
      <c r="D818" s="13">
        <f t="shared" si="150"/>
        <v>34</v>
      </c>
      <c r="E818" s="77">
        <f t="shared" si="151"/>
        <v>210669</v>
      </c>
      <c r="F818" s="69">
        <v>210669</v>
      </c>
      <c r="G818" s="133">
        <f t="shared" si="145"/>
        <v>0</v>
      </c>
      <c r="H818" s="8">
        <f t="shared" si="157"/>
        <v>294881</v>
      </c>
      <c r="I818" s="8">
        <v>295300</v>
      </c>
      <c r="J818" s="13">
        <f t="shared" si="142"/>
        <v>419</v>
      </c>
      <c r="K818" s="138"/>
      <c r="L818" s="8">
        <f t="shared" si="155"/>
        <v>797386</v>
      </c>
      <c r="M818" s="8">
        <v>797988</v>
      </c>
      <c r="N818" s="13">
        <f t="shared" si="144"/>
        <v>602</v>
      </c>
      <c r="O818" s="136"/>
      <c r="P818" s="8">
        <f t="shared" si="160"/>
        <v>439741</v>
      </c>
      <c r="Q818" s="8">
        <v>440224</v>
      </c>
      <c r="R818" s="133">
        <f t="shared" si="149"/>
        <v>483</v>
      </c>
      <c r="S818" s="8">
        <f t="shared" si="158"/>
        <v>25578</v>
      </c>
      <c r="T818" s="8">
        <v>25627</v>
      </c>
      <c r="U818" s="133">
        <f t="shared" si="148"/>
        <v>49</v>
      </c>
      <c r="V818" s="8">
        <f t="shared" si="159"/>
        <v>353986</v>
      </c>
      <c r="W818" s="8">
        <v>353986</v>
      </c>
      <c r="X818" s="13">
        <f t="shared" si="152"/>
        <v>0</v>
      </c>
      <c r="Y818" s="8">
        <f t="shared" si="153"/>
        <v>32102</v>
      </c>
      <c r="Z818" s="8">
        <v>32135</v>
      </c>
      <c r="AA818" s="13">
        <f t="shared" si="146"/>
        <v>33</v>
      </c>
      <c r="AB818" s="8">
        <f t="shared" si="156"/>
        <v>235365</v>
      </c>
      <c r="AC818" s="8">
        <v>235456</v>
      </c>
      <c r="AD818" s="13">
        <f t="shared" si="147"/>
        <v>91</v>
      </c>
      <c r="AE818" s="135"/>
      <c r="AF818" s="135"/>
      <c r="AG818" s="135"/>
      <c r="AH818" s="136"/>
      <c r="AI818" s="50">
        <f t="shared" si="143"/>
        <v>565</v>
      </c>
    </row>
    <row r="819" spans="1:35">
      <c r="A819" s="12">
        <v>45194</v>
      </c>
      <c r="B819" s="8">
        <f t="shared" si="154"/>
        <v>1892496</v>
      </c>
      <c r="C819" s="8">
        <v>1892524</v>
      </c>
      <c r="D819" s="13">
        <f t="shared" si="150"/>
        <v>28</v>
      </c>
      <c r="E819" s="77">
        <f t="shared" si="151"/>
        <v>210669</v>
      </c>
      <c r="F819" s="69">
        <v>210669</v>
      </c>
      <c r="G819" s="133">
        <f t="shared" si="145"/>
        <v>0</v>
      </c>
      <c r="H819" s="8">
        <f t="shared" si="157"/>
        <v>295300</v>
      </c>
      <c r="I819" s="8">
        <v>296095</v>
      </c>
      <c r="J819" s="13">
        <f t="shared" si="142"/>
        <v>795</v>
      </c>
      <c r="K819" s="138"/>
      <c r="L819" s="8">
        <f t="shared" si="155"/>
        <v>797988</v>
      </c>
      <c r="M819" s="8">
        <v>798384</v>
      </c>
      <c r="N819" s="13">
        <f t="shared" si="144"/>
        <v>396</v>
      </c>
      <c r="O819" s="136"/>
      <c r="P819" s="8">
        <f t="shared" si="160"/>
        <v>440224</v>
      </c>
      <c r="Q819" s="8">
        <v>440835</v>
      </c>
      <c r="R819" s="133">
        <f t="shared" si="149"/>
        <v>611</v>
      </c>
      <c r="S819" s="8">
        <f t="shared" si="158"/>
        <v>25627</v>
      </c>
      <c r="T819" s="8">
        <v>25680</v>
      </c>
      <c r="U819" s="133">
        <f t="shared" si="148"/>
        <v>53</v>
      </c>
      <c r="V819" s="8">
        <f t="shared" si="159"/>
        <v>353986</v>
      </c>
      <c r="W819" s="8">
        <v>353986</v>
      </c>
      <c r="X819" s="13">
        <f t="shared" si="152"/>
        <v>0</v>
      </c>
      <c r="Y819" s="8">
        <f t="shared" si="153"/>
        <v>32135</v>
      </c>
      <c r="Z819" s="8">
        <v>32149</v>
      </c>
      <c r="AA819" s="13">
        <f t="shared" si="146"/>
        <v>14</v>
      </c>
      <c r="AB819" s="8">
        <f t="shared" si="156"/>
        <v>235456</v>
      </c>
      <c r="AC819" s="8">
        <v>235516</v>
      </c>
      <c r="AD819" s="13">
        <f t="shared" si="147"/>
        <v>60</v>
      </c>
      <c r="AE819" s="135"/>
      <c r="AF819" s="135"/>
      <c r="AG819" s="135"/>
      <c r="AH819" s="136"/>
      <c r="AI819" s="50">
        <f t="shared" si="143"/>
        <v>678</v>
      </c>
    </row>
    <row r="820" spans="1:35">
      <c r="A820" s="12">
        <v>45195</v>
      </c>
      <c r="B820" s="8">
        <f t="shared" si="154"/>
        <v>1892524</v>
      </c>
      <c r="C820" s="8">
        <v>1892901</v>
      </c>
      <c r="D820" s="13">
        <f t="shared" si="150"/>
        <v>377</v>
      </c>
      <c r="E820" s="77">
        <f t="shared" si="151"/>
        <v>210669</v>
      </c>
      <c r="F820" s="69">
        <v>210669</v>
      </c>
      <c r="G820" s="133">
        <f t="shared" si="145"/>
        <v>0</v>
      </c>
      <c r="H820" s="8">
        <f t="shared" si="157"/>
        <v>296095</v>
      </c>
      <c r="I820" s="8">
        <v>296430</v>
      </c>
      <c r="J820" s="13">
        <f t="shared" si="142"/>
        <v>335</v>
      </c>
      <c r="K820" s="138"/>
      <c r="L820" s="8">
        <f t="shared" si="155"/>
        <v>798384</v>
      </c>
      <c r="M820" s="8">
        <v>798948</v>
      </c>
      <c r="N820" s="13">
        <f t="shared" si="144"/>
        <v>564</v>
      </c>
      <c r="O820" s="136"/>
      <c r="P820" s="8">
        <f t="shared" si="160"/>
        <v>440835</v>
      </c>
      <c r="Q820" s="8">
        <v>441102</v>
      </c>
      <c r="R820" s="133">
        <f t="shared" si="149"/>
        <v>267</v>
      </c>
      <c r="S820" s="8">
        <f t="shared" si="158"/>
        <v>25680</v>
      </c>
      <c r="T820" s="8">
        <v>25724</v>
      </c>
      <c r="U820" s="133">
        <f t="shared" si="148"/>
        <v>44</v>
      </c>
      <c r="V820" s="8">
        <f t="shared" si="159"/>
        <v>353986</v>
      </c>
      <c r="W820" s="8">
        <v>353986</v>
      </c>
      <c r="X820" s="13">
        <f t="shared" si="152"/>
        <v>0</v>
      </c>
      <c r="Y820" s="8">
        <f t="shared" si="153"/>
        <v>32149</v>
      </c>
      <c r="Z820" s="8">
        <v>32165</v>
      </c>
      <c r="AA820" s="13">
        <f t="shared" si="146"/>
        <v>16</v>
      </c>
      <c r="AB820" s="8">
        <f t="shared" si="156"/>
        <v>235516</v>
      </c>
      <c r="AC820" s="8">
        <v>235597</v>
      </c>
      <c r="AD820" s="13">
        <f t="shared" si="147"/>
        <v>81</v>
      </c>
      <c r="AE820" s="135"/>
      <c r="AF820" s="135"/>
      <c r="AG820" s="135"/>
      <c r="AH820" s="136"/>
      <c r="AI820" s="50">
        <f t="shared" si="143"/>
        <v>327</v>
      </c>
    </row>
    <row r="821" spans="1:35">
      <c r="A821" s="12">
        <v>45196</v>
      </c>
      <c r="B821" s="8">
        <f t="shared" si="154"/>
        <v>1892901</v>
      </c>
      <c r="C821" s="8">
        <v>1892948</v>
      </c>
      <c r="D821" s="13">
        <f t="shared" si="150"/>
        <v>47</v>
      </c>
      <c r="E821" s="77">
        <f t="shared" si="151"/>
        <v>210669</v>
      </c>
      <c r="F821" s="69">
        <v>210669</v>
      </c>
      <c r="G821" s="133">
        <f t="shared" si="145"/>
        <v>0</v>
      </c>
      <c r="H821" s="8">
        <f t="shared" si="157"/>
        <v>296430</v>
      </c>
      <c r="I821" s="8">
        <v>296655</v>
      </c>
      <c r="J821" s="13">
        <f t="shared" si="142"/>
        <v>225</v>
      </c>
      <c r="K821" s="138"/>
      <c r="L821" s="8">
        <f t="shared" si="155"/>
        <v>798948</v>
      </c>
      <c r="M821" s="8">
        <v>799966</v>
      </c>
      <c r="N821" s="13">
        <f t="shared" si="144"/>
        <v>1018</v>
      </c>
      <c r="O821" s="136"/>
      <c r="P821" s="8">
        <f t="shared" si="160"/>
        <v>441102</v>
      </c>
      <c r="Q821" s="8">
        <v>441707</v>
      </c>
      <c r="R821" s="133">
        <f t="shared" si="149"/>
        <v>605</v>
      </c>
      <c r="S821" s="8">
        <f t="shared" si="158"/>
        <v>25724</v>
      </c>
      <c r="T821" s="8">
        <v>25783</v>
      </c>
      <c r="U821" s="133">
        <f t="shared" si="148"/>
        <v>59</v>
      </c>
      <c r="V821" s="8">
        <f t="shared" si="159"/>
        <v>353986</v>
      </c>
      <c r="W821" s="8">
        <v>353986</v>
      </c>
      <c r="X821" s="13">
        <f t="shared" si="152"/>
        <v>0</v>
      </c>
      <c r="Y821" s="8">
        <f t="shared" si="153"/>
        <v>32165</v>
      </c>
      <c r="Z821" s="8">
        <v>32179</v>
      </c>
      <c r="AA821" s="13">
        <f t="shared" si="146"/>
        <v>14</v>
      </c>
      <c r="AB821" s="8">
        <f t="shared" si="156"/>
        <v>235597</v>
      </c>
      <c r="AC821" s="8">
        <v>235671</v>
      </c>
      <c r="AD821" s="13">
        <f t="shared" si="147"/>
        <v>74</v>
      </c>
      <c r="AE821" s="135"/>
      <c r="AF821" s="135"/>
      <c r="AG821" s="135"/>
      <c r="AH821" s="136"/>
      <c r="AI821" s="50">
        <f t="shared" si="143"/>
        <v>678</v>
      </c>
    </row>
    <row r="822" spans="1:35">
      <c r="A822" s="12">
        <v>45197</v>
      </c>
      <c r="B822" s="8">
        <f t="shared" si="154"/>
        <v>1892948</v>
      </c>
      <c r="C822" s="8">
        <v>1893094</v>
      </c>
      <c r="D822" s="13">
        <f t="shared" si="150"/>
        <v>146</v>
      </c>
      <c r="E822" s="77">
        <f t="shared" si="151"/>
        <v>210669</v>
      </c>
      <c r="F822" s="69">
        <v>210669</v>
      </c>
      <c r="G822" s="133">
        <f t="shared" si="145"/>
        <v>0</v>
      </c>
      <c r="H822" s="8">
        <f t="shared" si="157"/>
        <v>296655</v>
      </c>
      <c r="I822" s="8">
        <v>296655</v>
      </c>
      <c r="J822" s="13">
        <f t="shared" si="142"/>
        <v>0</v>
      </c>
      <c r="K822" s="138"/>
      <c r="L822" s="8">
        <f t="shared" si="155"/>
        <v>799966</v>
      </c>
      <c r="M822" s="8">
        <v>801163</v>
      </c>
      <c r="N822" s="13">
        <f t="shared" si="144"/>
        <v>1197</v>
      </c>
      <c r="O822" s="136"/>
      <c r="P822" s="8">
        <f t="shared" si="160"/>
        <v>441707</v>
      </c>
      <c r="Q822" s="8">
        <v>442375</v>
      </c>
      <c r="R822" s="133">
        <f t="shared" si="149"/>
        <v>668</v>
      </c>
      <c r="S822" s="8">
        <f t="shared" si="158"/>
        <v>25783</v>
      </c>
      <c r="T822" s="8">
        <v>25785</v>
      </c>
      <c r="U822" s="133">
        <f t="shared" si="148"/>
        <v>2</v>
      </c>
      <c r="V822" s="8">
        <f t="shared" si="159"/>
        <v>353986</v>
      </c>
      <c r="W822" s="8">
        <v>353986</v>
      </c>
      <c r="X822" s="13">
        <f t="shared" si="152"/>
        <v>0</v>
      </c>
      <c r="Y822" s="8">
        <f t="shared" si="153"/>
        <v>32179</v>
      </c>
      <c r="Z822" s="8">
        <v>32193</v>
      </c>
      <c r="AA822" s="13">
        <f t="shared" si="146"/>
        <v>14</v>
      </c>
      <c r="AB822" s="8">
        <f t="shared" si="156"/>
        <v>235671</v>
      </c>
      <c r="AC822" s="8">
        <v>235749</v>
      </c>
      <c r="AD822" s="13">
        <f t="shared" si="147"/>
        <v>78</v>
      </c>
      <c r="AE822" s="135"/>
      <c r="AF822" s="135"/>
      <c r="AG822" s="135"/>
      <c r="AH822" s="136"/>
      <c r="AI822" s="50">
        <f t="shared" si="143"/>
        <v>684</v>
      </c>
    </row>
    <row r="823" spans="1:35">
      <c r="A823" s="12">
        <v>45198</v>
      </c>
      <c r="B823" s="8">
        <f t="shared" si="154"/>
        <v>1893094</v>
      </c>
      <c r="C823" s="8">
        <v>1893552</v>
      </c>
      <c r="D823" s="13">
        <f t="shared" si="150"/>
        <v>458</v>
      </c>
      <c r="E823" s="77">
        <f t="shared" si="151"/>
        <v>210669</v>
      </c>
      <c r="F823" s="69">
        <v>210669</v>
      </c>
      <c r="G823" s="133">
        <f t="shared" si="145"/>
        <v>0</v>
      </c>
      <c r="H823" s="8">
        <f t="shared" si="157"/>
        <v>296655</v>
      </c>
      <c r="I823" s="8">
        <v>297323</v>
      </c>
      <c r="J823" s="13">
        <f t="shared" si="142"/>
        <v>668</v>
      </c>
      <c r="K823" s="138"/>
      <c r="L823" s="8">
        <f t="shared" si="155"/>
        <v>801163</v>
      </c>
      <c r="M823" s="8">
        <v>801389</v>
      </c>
      <c r="N823" s="13">
        <f t="shared" si="144"/>
        <v>226</v>
      </c>
      <c r="O823" s="136"/>
      <c r="P823" s="8">
        <f t="shared" si="160"/>
        <v>442375</v>
      </c>
      <c r="Q823" s="8">
        <v>442755</v>
      </c>
      <c r="R823" s="133">
        <f t="shared" si="149"/>
        <v>380</v>
      </c>
      <c r="S823" s="8">
        <f t="shared" si="158"/>
        <v>25785</v>
      </c>
      <c r="T823" s="8">
        <v>25876</v>
      </c>
      <c r="U823" s="133">
        <f t="shared" si="148"/>
        <v>91</v>
      </c>
      <c r="V823" s="8">
        <f t="shared" si="159"/>
        <v>353986</v>
      </c>
      <c r="W823" s="8">
        <v>353986</v>
      </c>
      <c r="X823" s="13">
        <f t="shared" si="152"/>
        <v>0</v>
      </c>
      <c r="Y823" s="8">
        <f t="shared" si="153"/>
        <v>32193</v>
      </c>
      <c r="Z823" s="8">
        <v>32206</v>
      </c>
      <c r="AA823" s="13">
        <f t="shared" si="146"/>
        <v>13</v>
      </c>
      <c r="AB823" s="8">
        <f t="shared" si="156"/>
        <v>235749</v>
      </c>
      <c r="AC823" s="8">
        <v>235827</v>
      </c>
      <c r="AD823" s="13">
        <f t="shared" si="147"/>
        <v>78</v>
      </c>
      <c r="AE823" s="135"/>
      <c r="AF823" s="135"/>
      <c r="AG823" s="135"/>
      <c r="AH823" s="136"/>
      <c r="AI823" s="50">
        <f t="shared" si="143"/>
        <v>484</v>
      </c>
    </row>
    <row r="824" spans="1:35">
      <c r="A824" s="12">
        <v>45199</v>
      </c>
      <c r="B824" s="8">
        <f t="shared" si="154"/>
        <v>1893552</v>
      </c>
      <c r="C824" s="8">
        <v>1894113</v>
      </c>
      <c r="D824" s="13">
        <f t="shared" si="150"/>
        <v>561</v>
      </c>
      <c r="E824" s="77">
        <f t="shared" si="151"/>
        <v>210669</v>
      </c>
      <c r="F824" s="69">
        <v>210669</v>
      </c>
      <c r="G824" s="133">
        <f t="shared" si="145"/>
        <v>0</v>
      </c>
      <c r="H824" s="8">
        <f t="shared" si="157"/>
        <v>297323</v>
      </c>
      <c r="I824" s="8">
        <v>297980</v>
      </c>
      <c r="J824" s="13">
        <f t="shared" si="142"/>
        <v>657</v>
      </c>
      <c r="K824" s="138"/>
      <c r="L824" s="8">
        <f t="shared" si="155"/>
        <v>801389</v>
      </c>
      <c r="M824" s="8">
        <v>801935</v>
      </c>
      <c r="N824" s="13">
        <f t="shared" si="144"/>
        <v>546</v>
      </c>
      <c r="O824" s="136"/>
      <c r="P824" s="8">
        <f t="shared" si="160"/>
        <v>442755</v>
      </c>
      <c r="Q824" s="8">
        <v>442777</v>
      </c>
      <c r="R824" s="133">
        <f t="shared" si="149"/>
        <v>22</v>
      </c>
      <c r="S824" s="8">
        <f t="shared" si="158"/>
        <v>25876</v>
      </c>
      <c r="T824" s="8">
        <v>25932</v>
      </c>
      <c r="U824" s="133">
        <f t="shared" si="148"/>
        <v>56</v>
      </c>
      <c r="V824" s="8">
        <f t="shared" si="159"/>
        <v>353986</v>
      </c>
      <c r="W824" s="8">
        <v>353986</v>
      </c>
      <c r="X824" s="13">
        <f t="shared" si="152"/>
        <v>0</v>
      </c>
      <c r="Y824" s="8">
        <f t="shared" si="153"/>
        <v>32206</v>
      </c>
      <c r="Z824" s="8">
        <v>32221</v>
      </c>
      <c r="AA824" s="13">
        <f t="shared" si="146"/>
        <v>15</v>
      </c>
      <c r="AB824" s="8">
        <f t="shared" si="156"/>
        <v>235827</v>
      </c>
      <c r="AC824" s="8">
        <v>235930</v>
      </c>
      <c r="AD824" s="13">
        <f t="shared" si="147"/>
        <v>103</v>
      </c>
      <c r="AE824" s="135"/>
      <c r="AF824" s="135"/>
      <c r="AG824" s="135"/>
      <c r="AH824" s="136"/>
      <c r="AI824" s="50">
        <f t="shared" si="143"/>
        <v>93</v>
      </c>
    </row>
    <row r="825" spans="1:35">
      <c r="A825" s="12">
        <v>45200</v>
      </c>
      <c r="B825" s="8">
        <f t="shared" si="154"/>
        <v>1894113</v>
      </c>
      <c r="C825" s="8">
        <v>1894614</v>
      </c>
      <c r="D825" s="13">
        <f t="shared" si="150"/>
        <v>501</v>
      </c>
      <c r="E825" s="77">
        <f t="shared" si="151"/>
        <v>210669</v>
      </c>
      <c r="F825" s="69">
        <v>210669</v>
      </c>
      <c r="G825" s="133">
        <f t="shared" si="145"/>
        <v>0</v>
      </c>
      <c r="H825" s="8">
        <f t="shared" si="157"/>
        <v>297980</v>
      </c>
      <c r="I825" s="8">
        <v>297980</v>
      </c>
      <c r="J825" s="13">
        <f t="shared" si="142"/>
        <v>0</v>
      </c>
      <c r="K825" s="138"/>
      <c r="L825" s="8">
        <f t="shared" si="155"/>
        <v>801935</v>
      </c>
      <c r="M825" s="8">
        <v>803149</v>
      </c>
      <c r="N825" s="13">
        <f t="shared" si="144"/>
        <v>1214</v>
      </c>
      <c r="O825" s="136"/>
      <c r="P825" s="8">
        <f t="shared" si="160"/>
        <v>442777</v>
      </c>
      <c r="Q825" s="8">
        <v>442785</v>
      </c>
      <c r="R825" s="133">
        <f t="shared" si="149"/>
        <v>8</v>
      </c>
      <c r="S825" s="8">
        <f t="shared" si="158"/>
        <v>25932</v>
      </c>
      <c r="T825" s="8">
        <v>25973</v>
      </c>
      <c r="U825" s="133">
        <f t="shared" si="148"/>
        <v>41</v>
      </c>
      <c r="V825" s="8">
        <f t="shared" si="159"/>
        <v>353986</v>
      </c>
      <c r="W825" s="8">
        <v>353986</v>
      </c>
      <c r="X825" s="13">
        <f t="shared" si="152"/>
        <v>0</v>
      </c>
      <c r="Y825" s="8">
        <f t="shared" si="153"/>
        <v>32221</v>
      </c>
      <c r="Z825" s="8">
        <v>32238</v>
      </c>
      <c r="AA825" s="13">
        <f t="shared" si="146"/>
        <v>17</v>
      </c>
      <c r="AB825" s="8">
        <f t="shared" si="156"/>
        <v>235930</v>
      </c>
      <c r="AC825" s="8">
        <v>236018</v>
      </c>
      <c r="AD825" s="13">
        <f t="shared" si="147"/>
        <v>88</v>
      </c>
      <c r="AE825" s="135"/>
      <c r="AF825" s="135"/>
      <c r="AG825" s="135"/>
      <c r="AH825" s="136"/>
      <c r="AI825" s="50">
        <f t="shared" si="143"/>
        <v>66</v>
      </c>
    </row>
    <row r="826" spans="1:35">
      <c r="A826" s="12">
        <v>45201</v>
      </c>
      <c r="B826" s="8">
        <f t="shared" si="154"/>
        <v>1894614</v>
      </c>
      <c r="C826" s="8">
        <v>1894914</v>
      </c>
      <c r="D826" s="13">
        <f t="shared" si="150"/>
        <v>300</v>
      </c>
      <c r="E826" s="77">
        <f t="shared" si="151"/>
        <v>210669</v>
      </c>
      <c r="F826" s="69">
        <v>210669</v>
      </c>
      <c r="G826" s="133">
        <f t="shared" si="145"/>
        <v>0</v>
      </c>
      <c r="H826" s="8">
        <f t="shared" si="157"/>
        <v>297980</v>
      </c>
      <c r="I826" s="8">
        <v>298508</v>
      </c>
      <c r="J826" s="13">
        <f t="shared" si="142"/>
        <v>528</v>
      </c>
      <c r="K826" s="138"/>
      <c r="L826" s="8">
        <f t="shared" si="155"/>
        <v>803149</v>
      </c>
      <c r="M826" s="8">
        <v>803678</v>
      </c>
      <c r="N826" s="13">
        <f t="shared" si="144"/>
        <v>529</v>
      </c>
      <c r="O826" s="136"/>
      <c r="P826" s="8">
        <f t="shared" si="160"/>
        <v>442785</v>
      </c>
      <c r="Q826" s="8">
        <v>442785</v>
      </c>
      <c r="R826" s="133">
        <f t="shared" si="149"/>
        <v>0</v>
      </c>
      <c r="S826" s="8">
        <f t="shared" si="158"/>
        <v>25973</v>
      </c>
      <c r="T826" s="8">
        <v>25999</v>
      </c>
      <c r="U826" s="133">
        <f t="shared" si="148"/>
        <v>26</v>
      </c>
      <c r="V826" s="8">
        <f t="shared" si="159"/>
        <v>353986</v>
      </c>
      <c r="W826" s="8">
        <v>353986</v>
      </c>
      <c r="X826" s="13">
        <f t="shared" si="152"/>
        <v>0</v>
      </c>
      <c r="Y826" s="8">
        <f t="shared" si="153"/>
        <v>32238</v>
      </c>
      <c r="Z826" s="8">
        <v>32251</v>
      </c>
      <c r="AA826" s="13">
        <f t="shared" si="146"/>
        <v>13</v>
      </c>
      <c r="AB826" s="8">
        <f t="shared" si="156"/>
        <v>236018</v>
      </c>
      <c r="AC826" s="8">
        <v>236116</v>
      </c>
      <c r="AD826" s="13">
        <f t="shared" si="147"/>
        <v>98</v>
      </c>
      <c r="AE826" s="135"/>
      <c r="AF826" s="135"/>
      <c r="AG826" s="135"/>
      <c r="AH826" s="136"/>
      <c r="AI826" s="50">
        <f t="shared" si="143"/>
        <v>39</v>
      </c>
    </row>
    <row r="827" spans="1:35">
      <c r="A827" s="12">
        <v>45202</v>
      </c>
      <c r="B827" s="8">
        <f t="shared" si="154"/>
        <v>1894914</v>
      </c>
      <c r="C827" s="8">
        <v>1895783</v>
      </c>
      <c r="D827" s="13">
        <f t="shared" si="150"/>
        <v>869</v>
      </c>
      <c r="E827" s="77">
        <f t="shared" si="151"/>
        <v>210669</v>
      </c>
      <c r="F827" s="69">
        <v>210669</v>
      </c>
      <c r="G827" s="133">
        <f t="shared" si="145"/>
        <v>0</v>
      </c>
      <c r="H827" s="8">
        <f t="shared" si="157"/>
        <v>298508</v>
      </c>
      <c r="I827" s="8">
        <v>298508</v>
      </c>
      <c r="J827" s="13">
        <f t="shared" si="142"/>
        <v>0</v>
      </c>
      <c r="K827" s="138"/>
      <c r="L827" s="8">
        <f t="shared" si="155"/>
        <v>803678</v>
      </c>
      <c r="M827" s="8">
        <v>804847</v>
      </c>
      <c r="N827" s="13">
        <f t="shared" si="144"/>
        <v>1169</v>
      </c>
      <c r="O827" s="136"/>
      <c r="P827" s="8">
        <f t="shared" si="160"/>
        <v>442785</v>
      </c>
      <c r="Q827" s="8">
        <v>443371</v>
      </c>
      <c r="R827" s="133">
        <f t="shared" si="149"/>
        <v>586</v>
      </c>
      <c r="S827" s="8">
        <f t="shared" si="158"/>
        <v>25999</v>
      </c>
      <c r="T827" s="8">
        <v>26021</v>
      </c>
      <c r="U827" s="133">
        <f t="shared" si="148"/>
        <v>22</v>
      </c>
      <c r="V827" s="8">
        <f t="shared" si="159"/>
        <v>353986</v>
      </c>
      <c r="W827" s="8">
        <v>353986</v>
      </c>
      <c r="X827" s="13">
        <f t="shared" si="152"/>
        <v>0</v>
      </c>
      <c r="Y827" s="8">
        <f t="shared" si="153"/>
        <v>32251</v>
      </c>
      <c r="Z827" s="8">
        <v>32267</v>
      </c>
      <c r="AA827" s="13">
        <f t="shared" si="146"/>
        <v>16</v>
      </c>
      <c r="AB827" s="8">
        <f t="shared" si="156"/>
        <v>236116</v>
      </c>
      <c r="AC827" s="8">
        <v>236187</v>
      </c>
      <c r="AD827" s="13">
        <f t="shared" si="147"/>
        <v>71</v>
      </c>
      <c r="AE827" s="135"/>
      <c r="AF827" s="135"/>
      <c r="AG827" s="135"/>
      <c r="AH827" s="136"/>
      <c r="AI827" s="50">
        <f t="shared" si="143"/>
        <v>624</v>
      </c>
    </row>
    <row r="828" spans="1:35">
      <c r="A828" s="12">
        <v>45203</v>
      </c>
      <c r="B828" s="8">
        <f t="shared" si="154"/>
        <v>1895783</v>
      </c>
      <c r="C828" s="8">
        <v>1896164</v>
      </c>
      <c r="D828" s="13">
        <f t="shared" si="150"/>
        <v>381</v>
      </c>
      <c r="E828" s="77">
        <f t="shared" si="151"/>
        <v>210669</v>
      </c>
      <c r="F828" s="69">
        <v>210669</v>
      </c>
      <c r="G828" s="133">
        <f t="shared" si="145"/>
        <v>0</v>
      </c>
      <c r="H828" s="8">
        <f t="shared" si="157"/>
        <v>298508</v>
      </c>
      <c r="I828" s="8">
        <v>298933</v>
      </c>
      <c r="J828" s="13">
        <f t="shared" ref="J828:J891" si="161">I828-H828</f>
        <v>425</v>
      </c>
      <c r="K828" s="138"/>
      <c r="L828" s="8">
        <f t="shared" si="155"/>
        <v>804847</v>
      </c>
      <c r="M828" s="8">
        <v>805663</v>
      </c>
      <c r="N828" s="13">
        <f t="shared" si="144"/>
        <v>816</v>
      </c>
      <c r="O828" s="136"/>
      <c r="P828" s="8">
        <f>Q827</f>
        <v>443371</v>
      </c>
      <c r="Q828" s="8">
        <v>443967</v>
      </c>
      <c r="R828" s="133">
        <f t="shared" si="149"/>
        <v>596</v>
      </c>
      <c r="S828" s="8">
        <f t="shared" si="158"/>
        <v>26021</v>
      </c>
      <c r="T828" s="8">
        <v>26021</v>
      </c>
      <c r="U828" s="133">
        <f t="shared" si="148"/>
        <v>0</v>
      </c>
      <c r="V828" s="8">
        <f t="shared" si="159"/>
        <v>353986</v>
      </c>
      <c r="W828" s="8">
        <v>353986</v>
      </c>
      <c r="X828" s="13">
        <f t="shared" si="152"/>
        <v>0</v>
      </c>
      <c r="Y828" s="8">
        <f t="shared" si="153"/>
        <v>32267</v>
      </c>
      <c r="Z828" s="8">
        <v>32283</v>
      </c>
      <c r="AA828" s="13">
        <f t="shared" si="146"/>
        <v>16</v>
      </c>
      <c r="AB828" s="8">
        <f t="shared" si="156"/>
        <v>236187</v>
      </c>
      <c r="AC828" s="8">
        <v>236293</v>
      </c>
      <c r="AD828" s="13">
        <f t="shared" si="147"/>
        <v>106</v>
      </c>
      <c r="AE828" s="135"/>
      <c r="AF828" s="135"/>
      <c r="AG828" s="135"/>
      <c r="AH828" s="136"/>
      <c r="AI828" s="50">
        <f t="shared" si="143"/>
        <v>612</v>
      </c>
    </row>
    <row r="829" spans="1:35">
      <c r="A829" s="12">
        <v>45204</v>
      </c>
      <c r="B829" s="8">
        <f t="shared" si="154"/>
        <v>1896164</v>
      </c>
      <c r="C829" s="8">
        <v>1896831</v>
      </c>
      <c r="D829" s="13">
        <f t="shared" si="150"/>
        <v>667</v>
      </c>
      <c r="E829" s="77">
        <f t="shared" si="151"/>
        <v>210669</v>
      </c>
      <c r="F829" s="69">
        <v>210669</v>
      </c>
      <c r="G829" s="133">
        <f t="shared" si="145"/>
        <v>0</v>
      </c>
      <c r="H829" s="8">
        <f t="shared" si="157"/>
        <v>298933</v>
      </c>
      <c r="I829" s="8">
        <v>298933</v>
      </c>
      <c r="J829" s="13">
        <f t="shared" si="161"/>
        <v>0</v>
      </c>
      <c r="K829" s="138"/>
      <c r="L829" s="8">
        <f t="shared" si="155"/>
        <v>805663</v>
      </c>
      <c r="M829" s="8">
        <v>806887</v>
      </c>
      <c r="N829" s="13">
        <f t="shared" si="144"/>
        <v>1224</v>
      </c>
      <c r="O829" s="136"/>
      <c r="P829" s="8">
        <f>Q828</f>
        <v>443967</v>
      </c>
      <c r="Q829" s="8">
        <v>444593</v>
      </c>
      <c r="R829" s="133">
        <f t="shared" si="149"/>
        <v>626</v>
      </c>
      <c r="S829" s="8">
        <f t="shared" si="158"/>
        <v>26021</v>
      </c>
      <c r="T829" s="8">
        <v>26129</v>
      </c>
      <c r="U829" s="133">
        <f t="shared" si="148"/>
        <v>108</v>
      </c>
      <c r="V829" s="8">
        <f t="shared" si="159"/>
        <v>353986</v>
      </c>
      <c r="W829" s="8">
        <v>353986</v>
      </c>
      <c r="X829" s="13">
        <f t="shared" si="152"/>
        <v>0</v>
      </c>
      <c r="Y829" s="8">
        <f t="shared" si="153"/>
        <v>32283</v>
      </c>
      <c r="Z829" s="8">
        <v>32299</v>
      </c>
      <c r="AA829" s="13">
        <f t="shared" si="146"/>
        <v>16</v>
      </c>
      <c r="AB829" s="8">
        <f t="shared" si="156"/>
        <v>236293</v>
      </c>
      <c r="AC829" s="8">
        <v>236378</v>
      </c>
      <c r="AD829" s="13">
        <f t="shared" si="147"/>
        <v>85</v>
      </c>
      <c r="AE829" s="135"/>
      <c r="AF829" s="135"/>
      <c r="AG829" s="135"/>
      <c r="AH829" s="136"/>
      <c r="AI829" s="50">
        <f t="shared" si="143"/>
        <v>750</v>
      </c>
    </row>
    <row r="830" spans="1:35">
      <c r="A830" s="12">
        <v>45205</v>
      </c>
      <c r="B830" s="8">
        <f t="shared" si="154"/>
        <v>1896831</v>
      </c>
      <c r="C830" s="8">
        <v>1897423</v>
      </c>
      <c r="D830" s="13">
        <f t="shared" si="150"/>
        <v>592</v>
      </c>
      <c r="E830" s="77">
        <f t="shared" si="151"/>
        <v>210669</v>
      </c>
      <c r="F830" s="69">
        <v>210669</v>
      </c>
      <c r="G830" s="133">
        <f t="shared" si="145"/>
        <v>0</v>
      </c>
      <c r="H830" s="8">
        <f t="shared" si="157"/>
        <v>298933</v>
      </c>
      <c r="I830" s="8">
        <v>298933</v>
      </c>
      <c r="J830" s="13">
        <f t="shared" si="161"/>
        <v>0</v>
      </c>
      <c r="K830" s="138"/>
      <c r="L830" s="8">
        <f t="shared" si="155"/>
        <v>806887</v>
      </c>
      <c r="M830" s="8">
        <v>808117</v>
      </c>
      <c r="N830" s="13">
        <f t="shared" si="144"/>
        <v>1230</v>
      </c>
      <c r="O830" s="136"/>
      <c r="P830" s="8">
        <f t="shared" si="160"/>
        <v>444593</v>
      </c>
      <c r="Q830" s="8">
        <v>445235</v>
      </c>
      <c r="R830" s="133">
        <f t="shared" si="149"/>
        <v>642</v>
      </c>
      <c r="S830" s="8">
        <f t="shared" si="158"/>
        <v>26129</v>
      </c>
      <c r="T830" s="8">
        <v>26153</v>
      </c>
      <c r="U830" s="133">
        <f t="shared" si="148"/>
        <v>24</v>
      </c>
      <c r="V830" s="8">
        <f t="shared" si="159"/>
        <v>353986</v>
      </c>
      <c r="W830" s="8">
        <v>353986</v>
      </c>
      <c r="X830" s="13">
        <f t="shared" si="152"/>
        <v>0</v>
      </c>
      <c r="Y830" s="8">
        <f t="shared" si="153"/>
        <v>32299</v>
      </c>
      <c r="Z830" s="8">
        <v>32396</v>
      </c>
      <c r="AA830" s="13">
        <f t="shared" si="146"/>
        <v>97</v>
      </c>
      <c r="AB830" s="8">
        <f t="shared" si="156"/>
        <v>236378</v>
      </c>
      <c r="AC830" s="8">
        <v>236509</v>
      </c>
      <c r="AD830" s="13">
        <f t="shared" si="147"/>
        <v>131</v>
      </c>
      <c r="AE830" s="135"/>
      <c r="AF830" s="135"/>
      <c r="AG830" s="135"/>
      <c r="AH830" s="136"/>
      <c r="AI830" s="50">
        <f t="shared" si="143"/>
        <v>763</v>
      </c>
    </row>
    <row r="831" spans="1:35">
      <c r="A831" s="12">
        <v>45206</v>
      </c>
      <c r="B831" s="8">
        <f t="shared" si="154"/>
        <v>1897423</v>
      </c>
      <c r="C831" s="8">
        <v>1897895</v>
      </c>
      <c r="D831" s="13">
        <f t="shared" si="150"/>
        <v>472</v>
      </c>
      <c r="E831" s="77">
        <f t="shared" si="151"/>
        <v>210669</v>
      </c>
      <c r="F831" s="69">
        <v>210669</v>
      </c>
      <c r="G831" s="133">
        <f t="shared" si="145"/>
        <v>0</v>
      </c>
      <c r="H831" s="8">
        <f t="shared" si="157"/>
        <v>298933</v>
      </c>
      <c r="I831" s="8">
        <v>298933</v>
      </c>
      <c r="J831" s="13">
        <f t="shared" si="161"/>
        <v>0</v>
      </c>
      <c r="K831" s="138"/>
      <c r="L831" s="8">
        <f t="shared" si="155"/>
        <v>808117</v>
      </c>
      <c r="M831" s="8">
        <v>809384</v>
      </c>
      <c r="N831" s="13">
        <f t="shared" si="144"/>
        <v>1267</v>
      </c>
      <c r="O831" s="136"/>
      <c r="P831" s="8">
        <f t="shared" si="160"/>
        <v>445235</v>
      </c>
      <c r="Q831" s="8">
        <v>445942</v>
      </c>
      <c r="R831" s="133">
        <f t="shared" si="149"/>
        <v>707</v>
      </c>
      <c r="S831" s="8">
        <f t="shared" si="158"/>
        <v>26153</v>
      </c>
      <c r="T831" s="8">
        <v>26223</v>
      </c>
      <c r="U831" s="133">
        <f t="shared" si="148"/>
        <v>70</v>
      </c>
      <c r="V831" s="8">
        <f t="shared" si="159"/>
        <v>353986</v>
      </c>
      <c r="W831" s="8">
        <v>353986</v>
      </c>
      <c r="X831" s="13">
        <f t="shared" si="152"/>
        <v>0</v>
      </c>
      <c r="Y831" s="8">
        <f t="shared" si="153"/>
        <v>32396</v>
      </c>
      <c r="Z831" s="8">
        <v>32409</v>
      </c>
      <c r="AA831" s="13">
        <f t="shared" si="146"/>
        <v>13</v>
      </c>
      <c r="AB831" s="8">
        <f t="shared" si="156"/>
        <v>236509</v>
      </c>
      <c r="AC831" s="8">
        <v>236615</v>
      </c>
      <c r="AD831" s="13">
        <f t="shared" si="147"/>
        <v>106</v>
      </c>
      <c r="AE831" s="135"/>
      <c r="AF831" s="135"/>
      <c r="AG831" s="135"/>
      <c r="AH831" s="136"/>
      <c r="AI831" s="50">
        <f t="shared" si="143"/>
        <v>790</v>
      </c>
    </row>
    <row r="832" spans="1:35">
      <c r="A832" s="12">
        <v>45207</v>
      </c>
      <c r="B832" s="8">
        <f t="shared" si="154"/>
        <v>1897895</v>
      </c>
      <c r="C832" s="8">
        <v>1898305</v>
      </c>
      <c r="D832" s="13">
        <f t="shared" si="150"/>
        <v>410</v>
      </c>
      <c r="E832" s="77">
        <f t="shared" si="151"/>
        <v>210669</v>
      </c>
      <c r="F832" s="69">
        <v>210669</v>
      </c>
      <c r="G832" s="133">
        <f t="shared" si="145"/>
        <v>0</v>
      </c>
      <c r="H832" s="8">
        <f t="shared" si="157"/>
        <v>298933</v>
      </c>
      <c r="I832" s="8">
        <v>299018</v>
      </c>
      <c r="J832" s="13">
        <f t="shared" si="161"/>
        <v>85</v>
      </c>
      <c r="K832" s="138"/>
      <c r="L832" s="8">
        <f t="shared" si="155"/>
        <v>809384</v>
      </c>
      <c r="M832" s="8">
        <v>809988</v>
      </c>
      <c r="N832" s="13">
        <f t="shared" si="144"/>
        <v>604</v>
      </c>
      <c r="O832" s="136"/>
      <c r="P832" s="8">
        <f t="shared" si="160"/>
        <v>445942</v>
      </c>
      <c r="Q832" s="8">
        <v>446104</v>
      </c>
      <c r="R832" s="133">
        <f t="shared" si="149"/>
        <v>162</v>
      </c>
      <c r="S832" s="8">
        <f t="shared" si="158"/>
        <v>26223</v>
      </c>
      <c r="T832" s="8">
        <v>26287</v>
      </c>
      <c r="U832" s="133">
        <f t="shared" si="148"/>
        <v>64</v>
      </c>
      <c r="V832" s="8">
        <f t="shared" si="159"/>
        <v>353986</v>
      </c>
      <c r="W832" s="8">
        <v>353986</v>
      </c>
      <c r="X832" s="13">
        <f t="shared" si="152"/>
        <v>0</v>
      </c>
      <c r="Y832" s="8">
        <f t="shared" si="153"/>
        <v>32409</v>
      </c>
      <c r="Z832" s="8">
        <v>32426</v>
      </c>
      <c r="AA832" s="13">
        <f t="shared" si="146"/>
        <v>17</v>
      </c>
      <c r="AB832" s="8">
        <f t="shared" si="156"/>
        <v>236615</v>
      </c>
      <c r="AC832" s="8">
        <v>236725</v>
      </c>
      <c r="AD832" s="13">
        <f t="shared" si="147"/>
        <v>110</v>
      </c>
      <c r="AE832" s="135"/>
      <c r="AF832" s="135"/>
      <c r="AG832" s="135"/>
      <c r="AH832" s="136"/>
      <c r="AI832" s="50">
        <f t="shared" si="143"/>
        <v>243</v>
      </c>
    </row>
    <row r="833" spans="1:35">
      <c r="A833" s="12">
        <v>45208</v>
      </c>
      <c r="B833" s="8">
        <f t="shared" si="154"/>
        <v>1898305</v>
      </c>
      <c r="C833" s="8">
        <v>1899059</v>
      </c>
      <c r="D833" s="13">
        <f t="shared" si="150"/>
        <v>754</v>
      </c>
      <c r="E833" s="77">
        <f t="shared" si="151"/>
        <v>210669</v>
      </c>
      <c r="F833" s="69">
        <v>210669</v>
      </c>
      <c r="G833" s="133">
        <f t="shared" si="145"/>
        <v>0</v>
      </c>
      <c r="H833" s="8">
        <f t="shared" si="157"/>
        <v>299018</v>
      </c>
      <c r="I833" s="8">
        <v>299018</v>
      </c>
      <c r="J833" s="13">
        <f t="shared" si="161"/>
        <v>0</v>
      </c>
      <c r="K833" s="138"/>
      <c r="L833" s="8">
        <f t="shared" si="155"/>
        <v>809988</v>
      </c>
      <c r="M833" s="8">
        <v>811279</v>
      </c>
      <c r="N833" s="13">
        <f t="shared" si="144"/>
        <v>1291</v>
      </c>
      <c r="O833" s="136"/>
      <c r="P833" s="8">
        <f t="shared" si="160"/>
        <v>446104</v>
      </c>
      <c r="Q833" s="8">
        <v>446821</v>
      </c>
      <c r="R833" s="133">
        <f t="shared" si="149"/>
        <v>717</v>
      </c>
      <c r="S833" s="8">
        <f t="shared" si="158"/>
        <v>26287</v>
      </c>
      <c r="T833" s="8">
        <v>26358</v>
      </c>
      <c r="U833" s="133">
        <f t="shared" si="148"/>
        <v>71</v>
      </c>
      <c r="V833" s="8">
        <f t="shared" si="159"/>
        <v>353986</v>
      </c>
      <c r="W833" s="8">
        <v>353986</v>
      </c>
      <c r="X833" s="13">
        <f t="shared" si="152"/>
        <v>0</v>
      </c>
      <c r="Y833" s="8">
        <f t="shared" si="153"/>
        <v>32426</v>
      </c>
      <c r="Z833" s="8">
        <v>32441</v>
      </c>
      <c r="AA833" s="13">
        <f t="shared" si="146"/>
        <v>15</v>
      </c>
      <c r="AB833" s="8">
        <f t="shared" si="156"/>
        <v>236725</v>
      </c>
      <c r="AC833" s="8">
        <v>236822</v>
      </c>
      <c r="AD833" s="13">
        <f t="shared" si="147"/>
        <v>97</v>
      </c>
      <c r="AE833" s="135"/>
      <c r="AF833" s="135"/>
      <c r="AG833" s="135"/>
      <c r="AH833" s="136"/>
      <c r="AI833" s="50">
        <f t="shared" ref="AI833:AI896" si="162">AA833+U833+R833+O833+X833</f>
        <v>803</v>
      </c>
    </row>
    <row r="834" spans="1:35">
      <c r="A834" s="12">
        <v>45209</v>
      </c>
      <c r="B834" s="8">
        <f t="shared" si="154"/>
        <v>1899059</v>
      </c>
      <c r="C834" s="8">
        <v>1899734</v>
      </c>
      <c r="D834" s="13">
        <f t="shared" si="150"/>
        <v>675</v>
      </c>
      <c r="E834" s="77">
        <f t="shared" si="151"/>
        <v>210669</v>
      </c>
      <c r="F834" s="69">
        <v>210669</v>
      </c>
      <c r="G834" s="133">
        <f t="shared" si="145"/>
        <v>0</v>
      </c>
      <c r="H834" s="8">
        <f t="shared" si="157"/>
        <v>299018</v>
      </c>
      <c r="I834" s="8">
        <v>299018</v>
      </c>
      <c r="J834" s="13">
        <f t="shared" si="161"/>
        <v>0</v>
      </c>
      <c r="K834" s="138"/>
      <c r="L834" s="8">
        <f t="shared" si="155"/>
        <v>811279</v>
      </c>
      <c r="M834" s="8">
        <v>812486</v>
      </c>
      <c r="N834" s="13">
        <f t="shared" ref="N834:N897" si="163">M834-L834</f>
        <v>1207</v>
      </c>
      <c r="O834" s="136"/>
      <c r="P834" s="8">
        <f t="shared" si="160"/>
        <v>446821</v>
      </c>
      <c r="Q834" s="8">
        <v>447411</v>
      </c>
      <c r="R834" s="133">
        <f t="shared" si="149"/>
        <v>590</v>
      </c>
      <c r="S834" s="8">
        <f t="shared" si="158"/>
        <v>26358</v>
      </c>
      <c r="T834" s="8">
        <v>26399</v>
      </c>
      <c r="U834" s="133">
        <f t="shared" si="148"/>
        <v>41</v>
      </c>
      <c r="V834" s="8">
        <f t="shared" si="159"/>
        <v>353986</v>
      </c>
      <c r="W834" s="8">
        <v>353986</v>
      </c>
      <c r="X834" s="13">
        <f t="shared" si="152"/>
        <v>0</v>
      </c>
      <c r="Y834" s="8">
        <f t="shared" si="153"/>
        <v>32441</v>
      </c>
      <c r="Z834" s="8">
        <v>32461</v>
      </c>
      <c r="AA834" s="13">
        <f t="shared" si="146"/>
        <v>20</v>
      </c>
      <c r="AB834" s="8">
        <f t="shared" si="156"/>
        <v>236822</v>
      </c>
      <c r="AC834" s="8">
        <v>236914</v>
      </c>
      <c r="AD834" s="13">
        <f t="shared" si="147"/>
        <v>92</v>
      </c>
      <c r="AE834" s="135"/>
      <c r="AF834" s="135"/>
      <c r="AG834" s="135"/>
      <c r="AH834" s="136"/>
      <c r="AI834" s="50">
        <f t="shared" si="162"/>
        <v>651</v>
      </c>
    </row>
    <row r="835" spans="1:35">
      <c r="A835" s="12">
        <v>45210</v>
      </c>
      <c r="B835" s="8">
        <f t="shared" si="154"/>
        <v>1899734</v>
      </c>
      <c r="C835" s="8">
        <v>1899853</v>
      </c>
      <c r="D835" s="13">
        <f t="shared" si="150"/>
        <v>119</v>
      </c>
      <c r="E835" s="77">
        <f t="shared" si="151"/>
        <v>210669</v>
      </c>
      <c r="F835" s="69">
        <v>210669</v>
      </c>
      <c r="G835" s="133">
        <f t="shared" ref="G835:G856" si="164">F835-E835</f>
        <v>0</v>
      </c>
      <c r="H835" s="8">
        <f t="shared" si="157"/>
        <v>299018</v>
      </c>
      <c r="I835" s="8">
        <v>299018</v>
      </c>
      <c r="J835" s="13">
        <f t="shared" si="161"/>
        <v>0</v>
      </c>
      <c r="K835" s="138"/>
      <c r="L835" s="8">
        <f t="shared" si="155"/>
        <v>812486</v>
      </c>
      <c r="M835" s="8">
        <v>813712</v>
      </c>
      <c r="N835" s="13">
        <f t="shared" si="163"/>
        <v>1226</v>
      </c>
      <c r="O835" s="136"/>
      <c r="P835" s="8">
        <f t="shared" si="160"/>
        <v>447411</v>
      </c>
      <c r="Q835" s="8">
        <v>448017</v>
      </c>
      <c r="R835" s="133">
        <f t="shared" si="149"/>
        <v>606</v>
      </c>
      <c r="S835" s="8">
        <f t="shared" si="158"/>
        <v>26399</v>
      </c>
      <c r="T835" s="8">
        <v>26427</v>
      </c>
      <c r="U835" s="133">
        <f t="shared" si="148"/>
        <v>28</v>
      </c>
      <c r="V835" s="8">
        <f t="shared" si="159"/>
        <v>353986</v>
      </c>
      <c r="W835" s="8">
        <v>353986</v>
      </c>
      <c r="X835" s="13">
        <f t="shared" si="152"/>
        <v>0</v>
      </c>
      <c r="Y835" s="8">
        <f t="shared" si="153"/>
        <v>32461</v>
      </c>
      <c r="Z835" s="8">
        <v>32475</v>
      </c>
      <c r="AA835" s="13">
        <f t="shared" si="146"/>
        <v>14</v>
      </c>
      <c r="AB835" s="8">
        <f t="shared" si="156"/>
        <v>236914</v>
      </c>
      <c r="AC835" s="8">
        <v>236995</v>
      </c>
      <c r="AD835" s="13">
        <f t="shared" si="147"/>
        <v>81</v>
      </c>
      <c r="AE835" s="135"/>
      <c r="AF835" s="135"/>
      <c r="AG835" s="135"/>
      <c r="AH835" s="136"/>
      <c r="AI835" s="50">
        <f t="shared" si="162"/>
        <v>648</v>
      </c>
    </row>
    <row r="836" spans="1:35">
      <c r="A836" s="12">
        <v>45211</v>
      </c>
      <c r="B836" s="8">
        <f t="shared" si="154"/>
        <v>1899853</v>
      </c>
      <c r="C836" s="8">
        <v>1899949</v>
      </c>
      <c r="D836" s="13">
        <f t="shared" si="150"/>
        <v>96</v>
      </c>
      <c r="E836" s="77">
        <f t="shared" si="151"/>
        <v>210669</v>
      </c>
      <c r="F836" s="69">
        <v>210669</v>
      </c>
      <c r="G836" s="133">
        <f t="shared" si="164"/>
        <v>0</v>
      </c>
      <c r="H836" s="8">
        <f t="shared" si="157"/>
        <v>299018</v>
      </c>
      <c r="I836" s="8">
        <v>299790</v>
      </c>
      <c r="J836" s="13">
        <f t="shared" si="161"/>
        <v>772</v>
      </c>
      <c r="K836" s="138"/>
      <c r="L836" s="8">
        <f t="shared" si="155"/>
        <v>813712</v>
      </c>
      <c r="M836" s="8">
        <v>813871</v>
      </c>
      <c r="N836" s="13">
        <f t="shared" si="163"/>
        <v>159</v>
      </c>
      <c r="O836" s="136"/>
      <c r="P836" s="8">
        <f t="shared" si="160"/>
        <v>448017</v>
      </c>
      <c r="Q836" s="8">
        <v>448146</v>
      </c>
      <c r="R836" s="133">
        <f t="shared" si="149"/>
        <v>129</v>
      </c>
      <c r="S836" s="8">
        <f t="shared" si="158"/>
        <v>26427</v>
      </c>
      <c r="T836" s="8">
        <v>26487</v>
      </c>
      <c r="U836" s="133">
        <f t="shared" si="148"/>
        <v>60</v>
      </c>
      <c r="V836" s="8">
        <f t="shared" si="159"/>
        <v>353986</v>
      </c>
      <c r="W836" s="8">
        <v>353986</v>
      </c>
      <c r="X836" s="13">
        <f t="shared" si="152"/>
        <v>0</v>
      </c>
      <c r="Y836" s="8">
        <f t="shared" si="153"/>
        <v>32475</v>
      </c>
      <c r="Z836" s="8">
        <v>32491</v>
      </c>
      <c r="AA836" s="13">
        <f t="shared" si="146"/>
        <v>16</v>
      </c>
      <c r="AB836" s="8">
        <f t="shared" si="156"/>
        <v>236995</v>
      </c>
      <c r="AC836" s="8">
        <v>237051</v>
      </c>
      <c r="AD836" s="13">
        <f t="shared" si="147"/>
        <v>56</v>
      </c>
      <c r="AE836" s="135"/>
      <c r="AF836" s="135"/>
      <c r="AG836" s="135"/>
      <c r="AH836" s="136"/>
      <c r="AI836" s="50">
        <f t="shared" si="162"/>
        <v>205</v>
      </c>
    </row>
    <row r="837" spans="1:35">
      <c r="A837" s="12">
        <v>45212</v>
      </c>
      <c r="B837" s="8">
        <f t="shared" si="154"/>
        <v>1899949</v>
      </c>
      <c r="C837" s="8">
        <v>1900234</v>
      </c>
      <c r="D837" s="13">
        <f t="shared" si="150"/>
        <v>285</v>
      </c>
      <c r="E837" s="77">
        <f t="shared" si="151"/>
        <v>210669</v>
      </c>
      <c r="F837" s="69">
        <v>210669</v>
      </c>
      <c r="G837" s="133">
        <f t="shared" si="164"/>
        <v>0</v>
      </c>
      <c r="H837" s="8">
        <f t="shared" si="157"/>
        <v>299790</v>
      </c>
      <c r="I837" s="8">
        <v>299790</v>
      </c>
      <c r="J837" s="13">
        <f t="shared" si="161"/>
        <v>0</v>
      </c>
      <c r="K837" s="138"/>
      <c r="L837" s="8">
        <f t="shared" si="155"/>
        <v>813871</v>
      </c>
      <c r="M837" s="8">
        <v>814604</v>
      </c>
      <c r="N837" s="13">
        <f t="shared" si="163"/>
        <v>733</v>
      </c>
      <c r="O837" s="136"/>
      <c r="P837" s="8">
        <f t="shared" si="160"/>
        <v>448146</v>
      </c>
      <c r="Q837" s="8">
        <v>448146</v>
      </c>
      <c r="R837" s="133">
        <f t="shared" si="149"/>
        <v>0</v>
      </c>
      <c r="S837" s="8">
        <f t="shared" si="158"/>
        <v>26487</v>
      </c>
      <c r="T837" s="8">
        <v>26509</v>
      </c>
      <c r="U837" s="133">
        <f t="shared" si="148"/>
        <v>22</v>
      </c>
      <c r="V837" s="8">
        <f t="shared" si="159"/>
        <v>353986</v>
      </c>
      <c r="W837" s="8">
        <v>353986</v>
      </c>
      <c r="X837" s="13">
        <f t="shared" si="152"/>
        <v>0</v>
      </c>
      <c r="Y837" s="8">
        <f t="shared" si="153"/>
        <v>32491</v>
      </c>
      <c r="Z837" s="8">
        <v>32509</v>
      </c>
      <c r="AA837" s="13">
        <f t="shared" ref="AA837:AA900" si="165">Z837-Y837</f>
        <v>18</v>
      </c>
      <c r="AB837" s="8">
        <f t="shared" si="156"/>
        <v>237051</v>
      </c>
      <c r="AC837" s="8">
        <v>237125</v>
      </c>
      <c r="AD837" s="13">
        <f t="shared" si="147"/>
        <v>74</v>
      </c>
      <c r="AE837" s="135"/>
      <c r="AF837" s="135"/>
      <c r="AG837" s="135"/>
      <c r="AH837" s="136"/>
      <c r="AI837" s="50">
        <f t="shared" si="162"/>
        <v>40</v>
      </c>
    </row>
    <row r="838" spans="1:35">
      <c r="A838" s="12">
        <v>45213</v>
      </c>
      <c r="B838" s="8">
        <f t="shared" si="154"/>
        <v>1900234</v>
      </c>
      <c r="C838" s="8">
        <v>1900236</v>
      </c>
      <c r="D838" s="13">
        <f t="shared" si="150"/>
        <v>2</v>
      </c>
      <c r="E838" s="77">
        <f t="shared" si="151"/>
        <v>210669</v>
      </c>
      <c r="F838" s="69">
        <v>210669</v>
      </c>
      <c r="G838" s="133">
        <f t="shared" si="164"/>
        <v>0</v>
      </c>
      <c r="H838" s="8">
        <f t="shared" si="157"/>
        <v>299790</v>
      </c>
      <c r="I838" s="8">
        <v>299790</v>
      </c>
      <c r="J838" s="13">
        <f t="shared" si="161"/>
        <v>0</v>
      </c>
      <c r="K838" s="138"/>
      <c r="L838" s="8">
        <f t="shared" si="155"/>
        <v>814604</v>
      </c>
      <c r="M838" s="8">
        <v>815869</v>
      </c>
      <c r="N838" s="13">
        <f t="shared" si="163"/>
        <v>1265</v>
      </c>
      <c r="O838" s="136"/>
      <c r="P838" s="8">
        <f t="shared" si="160"/>
        <v>448146</v>
      </c>
      <c r="Q838" s="8">
        <v>448146</v>
      </c>
      <c r="R838" s="133">
        <f t="shared" si="149"/>
        <v>0</v>
      </c>
      <c r="S838" s="8">
        <f t="shared" si="158"/>
        <v>26509</v>
      </c>
      <c r="T838" s="8">
        <v>26576</v>
      </c>
      <c r="U838" s="133">
        <f t="shared" si="148"/>
        <v>67</v>
      </c>
      <c r="V838" s="8">
        <f t="shared" si="159"/>
        <v>353986</v>
      </c>
      <c r="W838" s="8">
        <v>353986</v>
      </c>
      <c r="X838" s="13">
        <f t="shared" si="152"/>
        <v>0</v>
      </c>
      <c r="Y838" s="8">
        <f t="shared" si="153"/>
        <v>32509</v>
      </c>
      <c r="Z838" s="8">
        <v>32526</v>
      </c>
      <c r="AA838" s="13">
        <f t="shared" si="165"/>
        <v>17</v>
      </c>
      <c r="AB838" s="8">
        <f t="shared" si="156"/>
        <v>237125</v>
      </c>
      <c r="AC838" s="8">
        <v>237179</v>
      </c>
      <c r="AD838" s="13">
        <f t="shared" si="147"/>
        <v>54</v>
      </c>
      <c r="AE838" s="135"/>
      <c r="AF838" s="135"/>
      <c r="AG838" s="135"/>
      <c r="AH838" s="136"/>
      <c r="AI838" s="50">
        <f t="shared" si="162"/>
        <v>84</v>
      </c>
    </row>
    <row r="839" spans="1:35">
      <c r="A839" s="12">
        <v>45214</v>
      </c>
      <c r="B839" s="8">
        <f t="shared" si="154"/>
        <v>1900236</v>
      </c>
      <c r="C839" s="8">
        <v>1900254</v>
      </c>
      <c r="D839" s="13">
        <f t="shared" si="150"/>
        <v>18</v>
      </c>
      <c r="E839" s="77">
        <f t="shared" si="151"/>
        <v>210669</v>
      </c>
      <c r="F839" s="69">
        <v>210669</v>
      </c>
      <c r="G839" s="133">
        <f t="shared" si="164"/>
        <v>0</v>
      </c>
      <c r="H839" s="8">
        <f t="shared" si="157"/>
        <v>299790</v>
      </c>
      <c r="I839" s="8">
        <v>300484</v>
      </c>
      <c r="J839" s="13">
        <f t="shared" si="161"/>
        <v>694</v>
      </c>
      <c r="K839" s="138"/>
      <c r="L839" s="8">
        <f t="shared" si="155"/>
        <v>815869</v>
      </c>
      <c r="M839" s="8">
        <v>816336</v>
      </c>
      <c r="N839" s="13">
        <f t="shared" si="163"/>
        <v>467</v>
      </c>
      <c r="O839" s="136"/>
      <c r="P839" s="8">
        <f t="shared" si="160"/>
        <v>448146</v>
      </c>
      <c r="Q839" s="8">
        <v>448146</v>
      </c>
      <c r="R839" s="133">
        <f t="shared" si="149"/>
        <v>0</v>
      </c>
      <c r="S839" s="8">
        <f t="shared" si="158"/>
        <v>26576</v>
      </c>
      <c r="T839" s="8">
        <v>26586</v>
      </c>
      <c r="U839" s="133">
        <f t="shared" si="148"/>
        <v>10</v>
      </c>
      <c r="V839" s="8">
        <f t="shared" si="159"/>
        <v>353986</v>
      </c>
      <c r="W839" s="8">
        <v>353986</v>
      </c>
      <c r="X839" s="13">
        <f t="shared" si="152"/>
        <v>0</v>
      </c>
      <c r="Y839" s="8">
        <f t="shared" si="153"/>
        <v>32526</v>
      </c>
      <c r="Z839" s="8">
        <v>32539</v>
      </c>
      <c r="AA839" s="13">
        <f t="shared" si="165"/>
        <v>13</v>
      </c>
      <c r="AB839" s="8">
        <f t="shared" si="156"/>
        <v>237179</v>
      </c>
      <c r="AC839" s="8">
        <v>237189</v>
      </c>
      <c r="AD839" s="13">
        <f t="shared" si="147"/>
        <v>10</v>
      </c>
      <c r="AE839" s="135"/>
      <c r="AF839" s="135"/>
      <c r="AG839" s="135"/>
      <c r="AH839" s="136"/>
      <c r="AI839" s="50">
        <f t="shared" si="162"/>
        <v>23</v>
      </c>
    </row>
    <row r="840" spans="1:35">
      <c r="A840" s="12">
        <v>45215</v>
      </c>
      <c r="B840" s="8">
        <f t="shared" si="154"/>
        <v>1900254</v>
      </c>
      <c r="C840" s="8">
        <v>1900283</v>
      </c>
      <c r="D840" s="13">
        <f t="shared" si="150"/>
        <v>29</v>
      </c>
      <c r="E840" s="77">
        <f t="shared" si="151"/>
        <v>210669</v>
      </c>
      <c r="F840" s="69">
        <v>210669</v>
      </c>
      <c r="G840" s="133">
        <f t="shared" si="164"/>
        <v>0</v>
      </c>
      <c r="H840" s="8">
        <f t="shared" si="157"/>
        <v>300484</v>
      </c>
      <c r="I840" s="8">
        <v>300484</v>
      </c>
      <c r="J840" s="13">
        <f t="shared" si="161"/>
        <v>0</v>
      </c>
      <c r="K840" s="138"/>
      <c r="L840" s="8">
        <f t="shared" si="155"/>
        <v>816336</v>
      </c>
      <c r="M840" s="8">
        <v>816896</v>
      </c>
      <c r="N840" s="13">
        <f t="shared" si="163"/>
        <v>560</v>
      </c>
      <c r="O840" s="136"/>
      <c r="P840" s="8">
        <f t="shared" si="160"/>
        <v>448146</v>
      </c>
      <c r="Q840" s="8">
        <v>448146</v>
      </c>
      <c r="R840" s="133">
        <f t="shared" si="149"/>
        <v>0</v>
      </c>
      <c r="S840" s="8">
        <f t="shared" si="158"/>
        <v>26586</v>
      </c>
      <c r="T840" s="8">
        <v>26684</v>
      </c>
      <c r="U840" s="133">
        <f t="shared" si="148"/>
        <v>98</v>
      </c>
      <c r="V840" s="8">
        <f t="shared" si="159"/>
        <v>353986</v>
      </c>
      <c r="W840" s="8">
        <v>353986</v>
      </c>
      <c r="X840" s="13">
        <f t="shared" si="152"/>
        <v>0</v>
      </c>
      <c r="Y840" s="8">
        <f t="shared" si="153"/>
        <v>32539</v>
      </c>
      <c r="Z840" s="8">
        <v>32558</v>
      </c>
      <c r="AA840" s="13">
        <f t="shared" si="165"/>
        <v>19</v>
      </c>
      <c r="AB840" s="8">
        <f t="shared" si="156"/>
        <v>237189</v>
      </c>
      <c r="AC840" s="8">
        <v>237276</v>
      </c>
      <c r="AD840" s="13">
        <f t="shared" ref="AD840:AD903" si="166">AC840-AB840</f>
        <v>87</v>
      </c>
      <c r="AE840" s="135"/>
      <c r="AF840" s="135"/>
      <c r="AG840" s="135"/>
      <c r="AH840" s="136"/>
      <c r="AI840" s="50">
        <f t="shared" si="162"/>
        <v>117</v>
      </c>
    </row>
    <row r="841" spans="1:35">
      <c r="A841" s="12">
        <v>45216</v>
      </c>
      <c r="B841" s="8">
        <f t="shared" si="154"/>
        <v>1900283</v>
      </c>
      <c r="C841" s="8">
        <v>1900479</v>
      </c>
      <c r="D841" s="13">
        <f t="shared" si="150"/>
        <v>196</v>
      </c>
      <c r="E841" s="77">
        <f t="shared" si="151"/>
        <v>210669</v>
      </c>
      <c r="F841" s="69">
        <v>210669</v>
      </c>
      <c r="G841" s="133">
        <f t="shared" si="164"/>
        <v>0</v>
      </c>
      <c r="H841" s="8">
        <f t="shared" si="157"/>
        <v>300484</v>
      </c>
      <c r="I841" s="8">
        <v>300484</v>
      </c>
      <c r="J841" s="13">
        <f>I841-H841</f>
        <v>0</v>
      </c>
      <c r="K841" s="138"/>
      <c r="L841" s="8">
        <f t="shared" si="155"/>
        <v>816896</v>
      </c>
      <c r="M841" s="8">
        <v>818009</v>
      </c>
      <c r="N841" s="13">
        <f>M841-L841</f>
        <v>1113</v>
      </c>
      <c r="O841" s="136"/>
      <c r="P841" s="8">
        <f t="shared" si="160"/>
        <v>448146</v>
      </c>
      <c r="Q841" s="8">
        <v>448586</v>
      </c>
      <c r="R841" s="133">
        <f>Q841-P841</f>
        <v>440</v>
      </c>
      <c r="S841" s="8">
        <f t="shared" si="158"/>
        <v>26684</v>
      </c>
      <c r="T841" s="8">
        <v>26726</v>
      </c>
      <c r="U841" s="133">
        <f>T841-S841</f>
        <v>42</v>
      </c>
      <c r="V841" s="8">
        <f t="shared" si="159"/>
        <v>353986</v>
      </c>
      <c r="W841" s="8">
        <v>353986</v>
      </c>
      <c r="X841" s="13">
        <f t="shared" si="152"/>
        <v>0</v>
      </c>
      <c r="Y841" s="8">
        <f t="shared" si="153"/>
        <v>32558</v>
      </c>
      <c r="Z841" s="8">
        <v>32574</v>
      </c>
      <c r="AA841" s="13">
        <f t="shared" si="165"/>
        <v>16</v>
      </c>
      <c r="AB841" s="8">
        <f t="shared" si="156"/>
        <v>237276</v>
      </c>
      <c r="AC841" s="8">
        <v>237397</v>
      </c>
      <c r="AD841" s="13">
        <f t="shared" si="166"/>
        <v>121</v>
      </c>
      <c r="AE841" s="135"/>
      <c r="AF841" s="135"/>
      <c r="AG841" s="135"/>
      <c r="AH841" s="136"/>
      <c r="AI841" s="50">
        <f t="shared" si="162"/>
        <v>498</v>
      </c>
    </row>
    <row r="842" spans="1:35">
      <c r="A842" s="12">
        <v>45217</v>
      </c>
      <c r="B842" s="8">
        <f t="shared" si="154"/>
        <v>1900479</v>
      </c>
      <c r="C842" s="8">
        <v>1900479</v>
      </c>
      <c r="D842" s="13">
        <f t="shared" si="150"/>
        <v>0</v>
      </c>
      <c r="E842" s="77">
        <f t="shared" si="151"/>
        <v>210669</v>
      </c>
      <c r="F842" s="69">
        <v>210669</v>
      </c>
      <c r="G842" s="133">
        <f t="shared" si="164"/>
        <v>0</v>
      </c>
      <c r="H842" s="8">
        <f t="shared" si="157"/>
        <v>300484</v>
      </c>
      <c r="I842" s="8">
        <v>301181</v>
      </c>
      <c r="J842" s="13">
        <f t="shared" si="161"/>
        <v>697</v>
      </c>
      <c r="K842" s="138"/>
      <c r="L842" s="8">
        <f t="shared" si="155"/>
        <v>818009</v>
      </c>
      <c r="M842" s="8">
        <v>818524</v>
      </c>
      <c r="N842" s="13">
        <f t="shared" si="163"/>
        <v>515</v>
      </c>
      <c r="O842" s="136"/>
      <c r="P842" s="8">
        <f t="shared" si="160"/>
        <v>448586</v>
      </c>
      <c r="Q842" s="8">
        <v>448661</v>
      </c>
      <c r="R842" s="133">
        <f t="shared" si="149"/>
        <v>75</v>
      </c>
      <c r="S842" s="8">
        <f t="shared" si="158"/>
        <v>26726</v>
      </c>
      <c r="T842" s="8">
        <v>26726</v>
      </c>
      <c r="U842" s="133">
        <f t="shared" si="148"/>
        <v>0</v>
      </c>
      <c r="V842" s="8">
        <f t="shared" si="159"/>
        <v>353986</v>
      </c>
      <c r="W842" s="8">
        <v>353986</v>
      </c>
      <c r="X842" s="13">
        <f>W842-V842</f>
        <v>0</v>
      </c>
      <c r="Y842" s="8">
        <f t="shared" si="153"/>
        <v>32574</v>
      </c>
      <c r="Z842" s="8">
        <v>32590</v>
      </c>
      <c r="AA842" s="13">
        <f>Z842-Y842</f>
        <v>16</v>
      </c>
      <c r="AB842" s="8">
        <f t="shared" si="156"/>
        <v>237397</v>
      </c>
      <c r="AC842" s="8">
        <v>237464</v>
      </c>
      <c r="AD842" s="13">
        <f t="shared" si="166"/>
        <v>67</v>
      </c>
      <c r="AE842" s="135"/>
      <c r="AF842" s="135"/>
      <c r="AG842" s="135"/>
      <c r="AH842" s="136"/>
      <c r="AI842" s="50">
        <f t="shared" si="162"/>
        <v>91</v>
      </c>
    </row>
    <row r="843" spans="1:35">
      <c r="A843" s="12">
        <v>45218</v>
      </c>
      <c r="B843" s="8">
        <f t="shared" si="154"/>
        <v>1900479</v>
      </c>
      <c r="C843" s="8">
        <v>1900605</v>
      </c>
      <c r="D843" s="13">
        <f t="shared" si="150"/>
        <v>126</v>
      </c>
      <c r="E843" s="77">
        <f t="shared" si="151"/>
        <v>210669</v>
      </c>
      <c r="F843" s="69">
        <v>210669</v>
      </c>
      <c r="G843" s="133">
        <f t="shared" si="164"/>
        <v>0</v>
      </c>
      <c r="H843" s="8">
        <f t="shared" si="157"/>
        <v>301181</v>
      </c>
      <c r="I843" s="8">
        <v>301869</v>
      </c>
      <c r="J843" s="13">
        <f t="shared" si="161"/>
        <v>688</v>
      </c>
      <c r="K843" s="138"/>
      <c r="L843" s="8">
        <f t="shared" si="155"/>
        <v>818524</v>
      </c>
      <c r="M843" s="8">
        <v>818833</v>
      </c>
      <c r="N843" s="13">
        <f t="shared" si="163"/>
        <v>309</v>
      </c>
      <c r="O843" s="136"/>
      <c r="P843" s="8">
        <f t="shared" si="160"/>
        <v>448661</v>
      </c>
      <c r="Q843" s="8">
        <v>448661</v>
      </c>
      <c r="R843" s="133">
        <f t="shared" si="149"/>
        <v>0</v>
      </c>
      <c r="S843" s="8">
        <f t="shared" si="158"/>
        <v>26726</v>
      </c>
      <c r="T843" s="8">
        <v>26782</v>
      </c>
      <c r="U843" s="133">
        <f t="shared" si="148"/>
        <v>56</v>
      </c>
      <c r="V843" s="8">
        <f t="shared" si="159"/>
        <v>353986</v>
      </c>
      <c r="W843" s="8">
        <v>353986</v>
      </c>
      <c r="X843" s="13">
        <f t="shared" si="152"/>
        <v>0</v>
      </c>
      <c r="Y843" s="8">
        <f t="shared" si="153"/>
        <v>32590</v>
      </c>
      <c r="Z843" s="8">
        <v>32605</v>
      </c>
      <c r="AA843" s="13">
        <f t="shared" si="165"/>
        <v>15</v>
      </c>
      <c r="AB843" s="8">
        <f t="shared" si="156"/>
        <v>237464</v>
      </c>
      <c r="AC843" s="8">
        <v>237554</v>
      </c>
      <c r="AD843" s="13">
        <f t="shared" si="166"/>
        <v>90</v>
      </c>
      <c r="AE843" s="135"/>
      <c r="AF843" s="135"/>
      <c r="AG843" s="135"/>
      <c r="AH843" s="136"/>
      <c r="AI843" s="50">
        <f t="shared" si="162"/>
        <v>71</v>
      </c>
    </row>
    <row r="844" spans="1:35">
      <c r="A844" s="12">
        <v>45219</v>
      </c>
      <c r="B844" s="8">
        <f t="shared" si="154"/>
        <v>1900605</v>
      </c>
      <c r="C844" s="8">
        <v>1900605</v>
      </c>
      <c r="D844" s="13">
        <f t="shared" si="150"/>
        <v>0</v>
      </c>
      <c r="E844" s="77">
        <f t="shared" si="151"/>
        <v>210669</v>
      </c>
      <c r="F844" s="69">
        <v>210669</v>
      </c>
      <c r="G844" s="133">
        <f t="shared" si="164"/>
        <v>0</v>
      </c>
      <c r="H844" s="8">
        <f t="shared" si="157"/>
        <v>301869</v>
      </c>
      <c r="I844" s="8">
        <v>302314</v>
      </c>
      <c r="J844" s="13">
        <f t="shared" si="161"/>
        <v>445</v>
      </c>
      <c r="K844" s="138"/>
      <c r="L844" s="8">
        <f t="shared" si="155"/>
        <v>818833</v>
      </c>
      <c r="M844" s="8">
        <v>819285</v>
      </c>
      <c r="N844" s="13">
        <f t="shared" si="163"/>
        <v>452</v>
      </c>
      <c r="O844" s="136"/>
      <c r="P844" s="8">
        <f t="shared" si="160"/>
        <v>448661</v>
      </c>
      <c r="Q844" s="8">
        <v>448661</v>
      </c>
      <c r="R844" s="133">
        <f t="shared" si="149"/>
        <v>0</v>
      </c>
      <c r="S844" s="8">
        <f t="shared" si="158"/>
        <v>26782</v>
      </c>
      <c r="T844" s="8">
        <v>26876</v>
      </c>
      <c r="U844" s="133">
        <f t="shared" ref="U844:U908" si="167">T844-S844</f>
        <v>94</v>
      </c>
      <c r="V844" s="8">
        <f t="shared" si="159"/>
        <v>353986</v>
      </c>
      <c r="W844" s="8">
        <v>353986</v>
      </c>
      <c r="X844" s="13">
        <f t="shared" si="152"/>
        <v>0</v>
      </c>
      <c r="Y844" s="8">
        <f t="shared" si="153"/>
        <v>32605</v>
      </c>
      <c r="Z844" s="8">
        <v>32623</v>
      </c>
      <c r="AA844" s="13">
        <f t="shared" si="165"/>
        <v>18</v>
      </c>
      <c r="AB844" s="8">
        <f t="shared" si="156"/>
        <v>237554</v>
      </c>
      <c r="AC844" s="8">
        <v>237613</v>
      </c>
      <c r="AD844" s="13">
        <f t="shared" si="166"/>
        <v>59</v>
      </c>
      <c r="AE844" s="135"/>
      <c r="AF844" s="135"/>
      <c r="AG844" s="135"/>
      <c r="AH844" s="136"/>
      <c r="AI844" s="50">
        <f t="shared" si="162"/>
        <v>112</v>
      </c>
    </row>
    <row r="845" spans="1:35">
      <c r="A845" s="12">
        <v>45220</v>
      </c>
      <c r="B845" s="8">
        <f t="shared" si="154"/>
        <v>1900605</v>
      </c>
      <c r="C845" s="8">
        <v>1900605</v>
      </c>
      <c r="D845" s="13">
        <f t="shared" si="150"/>
        <v>0</v>
      </c>
      <c r="E845" s="77">
        <f t="shared" si="151"/>
        <v>210669</v>
      </c>
      <c r="F845" s="69">
        <v>210669</v>
      </c>
      <c r="G845" s="133">
        <f t="shared" si="164"/>
        <v>0</v>
      </c>
      <c r="H845" s="8">
        <f t="shared" si="157"/>
        <v>302314</v>
      </c>
      <c r="I845" s="8">
        <v>302314</v>
      </c>
      <c r="J845" s="13">
        <f t="shared" si="161"/>
        <v>0</v>
      </c>
      <c r="K845" s="138"/>
      <c r="L845" s="8">
        <f t="shared" si="155"/>
        <v>819285</v>
      </c>
      <c r="M845" s="8">
        <v>820233</v>
      </c>
      <c r="N845" s="13">
        <f t="shared" si="163"/>
        <v>948</v>
      </c>
      <c r="O845" s="136"/>
      <c r="P845" s="8">
        <f t="shared" si="160"/>
        <v>448661</v>
      </c>
      <c r="Q845" s="8">
        <v>448661</v>
      </c>
      <c r="R845" s="133">
        <f t="shared" si="149"/>
        <v>0</v>
      </c>
      <c r="S845" s="8">
        <f t="shared" si="158"/>
        <v>26876</v>
      </c>
      <c r="T845" s="8">
        <v>26932</v>
      </c>
      <c r="U845" s="133">
        <f t="shared" si="167"/>
        <v>56</v>
      </c>
      <c r="V845" s="8">
        <f t="shared" si="159"/>
        <v>353986</v>
      </c>
      <c r="W845" s="8">
        <v>353986</v>
      </c>
      <c r="X845" s="13">
        <f t="shared" si="152"/>
        <v>0</v>
      </c>
      <c r="Y845" s="8">
        <f t="shared" si="153"/>
        <v>32623</v>
      </c>
      <c r="Z845" s="8">
        <v>32635</v>
      </c>
      <c r="AA845" s="13">
        <f t="shared" si="165"/>
        <v>12</v>
      </c>
      <c r="AB845" s="8">
        <f t="shared" si="156"/>
        <v>237613</v>
      </c>
      <c r="AC845" s="8">
        <v>237619</v>
      </c>
      <c r="AD845" s="13">
        <f t="shared" si="166"/>
        <v>6</v>
      </c>
      <c r="AE845" s="135"/>
      <c r="AF845" s="135"/>
      <c r="AG845" s="135"/>
      <c r="AH845" s="136"/>
      <c r="AI845" s="50">
        <f t="shared" si="162"/>
        <v>68</v>
      </c>
    </row>
    <row r="846" spans="1:35">
      <c r="A846" s="12">
        <v>45221</v>
      </c>
      <c r="B846" s="8">
        <f t="shared" si="154"/>
        <v>1900605</v>
      </c>
      <c r="C846" s="8">
        <v>1900605</v>
      </c>
      <c r="D846" s="13">
        <f t="shared" si="150"/>
        <v>0</v>
      </c>
      <c r="E846" s="77">
        <f t="shared" si="151"/>
        <v>210669</v>
      </c>
      <c r="F846" s="69">
        <v>210669</v>
      </c>
      <c r="G846" s="133">
        <f t="shared" si="164"/>
        <v>0</v>
      </c>
      <c r="H846" s="8">
        <f t="shared" si="157"/>
        <v>302314</v>
      </c>
      <c r="I846" s="8">
        <v>302780</v>
      </c>
      <c r="J846" s="13">
        <f t="shared" si="161"/>
        <v>466</v>
      </c>
      <c r="K846" s="138"/>
      <c r="L846" s="8">
        <f t="shared" si="155"/>
        <v>820233</v>
      </c>
      <c r="M846" s="8">
        <v>820809</v>
      </c>
      <c r="N846" s="13">
        <f t="shared" si="163"/>
        <v>576</v>
      </c>
      <c r="O846" s="136"/>
      <c r="P846" s="8">
        <f t="shared" si="160"/>
        <v>448661</v>
      </c>
      <c r="Q846" s="8">
        <v>448661</v>
      </c>
      <c r="R846" s="133">
        <f t="shared" si="149"/>
        <v>0</v>
      </c>
      <c r="S846" s="8">
        <f t="shared" si="158"/>
        <v>26932</v>
      </c>
      <c r="T846" s="8">
        <v>26932</v>
      </c>
      <c r="U846" s="133">
        <f t="shared" si="167"/>
        <v>0</v>
      </c>
      <c r="V846" s="8">
        <f t="shared" si="159"/>
        <v>353986</v>
      </c>
      <c r="W846" s="8">
        <v>353986</v>
      </c>
      <c r="X846" s="13">
        <f t="shared" si="152"/>
        <v>0</v>
      </c>
      <c r="Y846" s="8">
        <f t="shared" si="153"/>
        <v>32635</v>
      </c>
      <c r="Z846" s="8">
        <v>32656</v>
      </c>
      <c r="AA846" s="13">
        <f t="shared" si="165"/>
        <v>21</v>
      </c>
      <c r="AB846" s="8">
        <f t="shared" si="156"/>
        <v>237619</v>
      </c>
      <c r="AC846" s="8">
        <v>237626</v>
      </c>
      <c r="AD846" s="13">
        <f t="shared" si="166"/>
        <v>7</v>
      </c>
      <c r="AE846" s="135"/>
      <c r="AF846" s="135"/>
      <c r="AG846" s="135"/>
      <c r="AH846" s="136"/>
      <c r="AI846" s="50">
        <f t="shared" si="162"/>
        <v>21</v>
      </c>
    </row>
    <row r="847" spans="1:35">
      <c r="A847" s="12">
        <v>45222</v>
      </c>
      <c r="B847" s="8">
        <f t="shared" si="154"/>
        <v>1900605</v>
      </c>
      <c r="C847" s="8">
        <v>1900605</v>
      </c>
      <c r="D847" s="13">
        <f t="shared" si="150"/>
        <v>0</v>
      </c>
      <c r="E847" s="77">
        <f t="shared" si="151"/>
        <v>210669</v>
      </c>
      <c r="F847" s="69">
        <v>210669</v>
      </c>
      <c r="G847" s="133">
        <f t="shared" si="164"/>
        <v>0</v>
      </c>
      <c r="H847" s="8">
        <f t="shared" si="157"/>
        <v>302780</v>
      </c>
      <c r="I847" s="8">
        <v>303408</v>
      </c>
      <c r="J847" s="13">
        <f t="shared" si="161"/>
        <v>628</v>
      </c>
      <c r="K847" s="138"/>
      <c r="L847" s="8">
        <f t="shared" si="155"/>
        <v>820809</v>
      </c>
      <c r="M847" s="8">
        <v>821215</v>
      </c>
      <c r="N847" s="13">
        <f t="shared" si="163"/>
        <v>406</v>
      </c>
      <c r="O847" s="136"/>
      <c r="P847" s="8">
        <f t="shared" si="160"/>
        <v>448661</v>
      </c>
      <c r="Q847" s="8">
        <v>448661</v>
      </c>
      <c r="R847" s="133">
        <f t="shared" si="149"/>
        <v>0</v>
      </c>
      <c r="S847" s="8">
        <f t="shared" si="158"/>
        <v>26932</v>
      </c>
      <c r="T847" s="8">
        <v>27022</v>
      </c>
      <c r="U847" s="133">
        <f t="shared" si="167"/>
        <v>90</v>
      </c>
      <c r="V847" s="8">
        <f t="shared" si="159"/>
        <v>353986</v>
      </c>
      <c r="W847" s="8">
        <v>353986</v>
      </c>
      <c r="X847" s="13">
        <f t="shared" si="152"/>
        <v>0</v>
      </c>
      <c r="Y847" s="8">
        <f t="shared" si="153"/>
        <v>32656</v>
      </c>
      <c r="Z847" s="8">
        <v>32675</v>
      </c>
      <c r="AA847" s="13">
        <f t="shared" si="165"/>
        <v>19</v>
      </c>
      <c r="AB847" s="8">
        <f t="shared" si="156"/>
        <v>237626</v>
      </c>
      <c r="AC847" s="8">
        <v>237673</v>
      </c>
      <c r="AD847" s="13">
        <f t="shared" si="166"/>
        <v>47</v>
      </c>
      <c r="AE847" s="135"/>
      <c r="AF847" s="135"/>
      <c r="AG847" s="135"/>
      <c r="AH847" s="136"/>
      <c r="AI847" s="50">
        <f t="shared" si="162"/>
        <v>109</v>
      </c>
    </row>
    <row r="848" spans="1:35">
      <c r="A848" s="12">
        <v>45223</v>
      </c>
      <c r="B848" s="8">
        <f t="shared" si="154"/>
        <v>1900605</v>
      </c>
      <c r="C848" s="8">
        <v>1900605</v>
      </c>
      <c r="D848" s="13">
        <f t="shared" si="150"/>
        <v>0</v>
      </c>
      <c r="E848" s="77">
        <f t="shared" si="151"/>
        <v>210669</v>
      </c>
      <c r="F848" s="69">
        <v>210669</v>
      </c>
      <c r="G848" s="133">
        <f t="shared" si="164"/>
        <v>0</v>
      </c>
      <c r="H848" s="8">
        <f t="shared" si="157"/>
        <v>303408</v>
      </c>
      <c r="I848" s="8">
        <v>303595</v>
      </c>
      <c r="J848" s="13">
        <f t="shared" si="161"/>
        <v>187</v>
      </c>
      <c r="K848" s="138"/>
      <c r="L848" s="8">
        <f t="shared" si="155"/>
        <v>821215</v>
      </c>
      <c r="M848" s="8">
        <v>821426</v>
      </c>
      <c r="N848" s="13">
        <f t="shared" si="163"/>
        <v>211</v>
      </c>
      <c r="O848" s="136"/>
      <c r="P848" s="8">
        <f t="shared" si="160"/>
        <v>448661</v>
      </c>
      <c r="Q848" s="8">
        <v>448681</v>
      </c>
      <c r="R848" s="133">
        <f t="shared" si="149"/>
        <v>20</v>
      </c>
      <c r="S848" s="8">
        <f t="shared" si="158"/>
        <v>27022</v>
      </c>
      <c r="T848" s="8">
        <v>27107</v>
      </c>
      <c r="U848" s="133">
        <f t="shared" si="167"/>
        <v>85</v>
      </c>
      <c r="V848" s="8">
        <f t="shared" si="159"/>
        <v>353986</v>
      </c>
      <c r="W848" s="8">
        <v>353986</v>
      </c>
      <c r="X848" s="13">
        <f t="shared" si="152"/>
        <v>0</v>
      </c>
      <c r="Y848" s="8">
        <f t="shared" si="153"/>
        <v>32675</v>
      </c>
      <c r="Z848" s="8">
        <v>32692</v>
      </c>
      <c r="AA848" s="13">
        <f t="shared" si="165"/>
        <v>17</v>
      </c>
      <c r="AB848" s="8">
        <f t="shared" si="156"/>
        <v>237673</v>
      </c>
      <c r="AC848" s="8">
        <v>237688</v>
      </c>
      <c r="AD848" s="13">
        <f t="shared" si="166"/>
        <v>15</v>
      </c>
      <c r="AE848" s="135"/>
      <c r="AF848" s="135"/>
      <c r="AG848" s="135"/>
      <c r="AH848" s="136"/>
      <c r="AI848" s="50">
        <f t="shared" si="162"/>
        <v>122</v>
      </c>
    </row>
    <row r="849" spans="1:35">
      <c r="A849" s="12">
        <v>45224</v>
      </c>
      <c r="B849" s="8">
        <f t="shared" si="154"/>
        <v>1900605</v>
      </c>
      <c r="C849" s="8">
        <v>1900620</v>
      </c>
      <c r="D849" s="13">
        <f t="shared" si="150"/>
        <v>15</v>
      </c>
      <c r="E849" s="77">
        <f t="shared" si="151"/>
        <v>210669</v>
      </c>
      <c r="F849" s="69">
        <v>210669</v>
      </c>
      <c r="G849" s="133">
        <f t="shared" si="164"/>
        <v>0</v>
      </c>
      <c r="H849" s="8">
        <f t="shared" si="157"/>
        <v>303595</v>
      </c>
      <c r="I849" s="8">
        <v>304237</v>
      </c>
      <c r="J849" s="13">
        <f t="shared" si="161"/>
        <v>642</v>
      </c>
      <c r="K849" s="138"/>
      <c r="L849" s="8">
        <f t="shared" si="155"/>
        <v>821426</v>
      </c>
      <c r="M849" s="8">
        <v>821813</v>
      </c>
      <c r="N849" s="13">
        <f t="shared" si="163"/>
        <v>387</v>
      </c>
      <c r="O849" s="136"/>
      <c r="P849" s="8">
        <f t="shared" si="160"/>
        <v>448681</v>
      </c>
      <c r="Q849" s="8">
        <v>448683</v>
      </c>
      <c r="R849" s="133">
        <f t="shared" si="149"/>
        <v>2</v>
      </c>
      <c r="S849" s="8">
        <f t="shared" si="158"/>
        <v>27107</v>
      </c>
      <c r="T849" s="8">
        <v>27186</v>
      </c>
      <c r="U849" s="133">
        <f t="shared" si="167"/>
        <v>79</v>
      </c>
      <c r="V849" s="8">
        <f t="shared" si="159"/>
        <v>353986</v>
      </c>
      <c r="W849" s="8">
        <v>353986</v>
      </c>
      <c r="X849" s="13">
        <f t="shared" si="152"/>
        <v>0</v>
      </c>
      <c r="Y849" s="8">
        <f t="shared" si="153"/>
        <v>32692</v>
      </c>
      <c r="Z849" s="8">
        <v>32713</v>
      </c>
      <c r="AA849" s="13">
        <f t="shared" si="165"/>
        <v>21</v>
      </c>
      <c r="AB849" s="8">
        <f t="shared" si="156"/>
        <v>237688</v>
      </c>
      <c r="AC849" s="8">
        <v>237792</v>
      </c>
      <c r="AD849" s="13">
        <f t="shared" si="166"/>
        <v>104</v>
      </c>
      <c r="AE849" s="135"/>
      <c r="AF849" s="135"/>
      <c r="AG849" s="135"/>
      <c r="AH849" s="136"/>
      <c r="AI849" s="50">
        <f t="shared" si="162"/>
        <v>102</v>
      </c>
    </row>
    <row r="850" spans="1:35">
      <c r="A850" s="12">
        <v>45225</v>
      </c>
      <c r="B850" s="8">
        <f t="shared" si="154"/>
        <v>1900620</v>
      </c>
      <c r="C850" s="8">
        <v>1900660</v>
      </c>
      <c r="D850" s="13">
        <f t="shared" si="150"/>
        <v>40</v>
      </c>
      <c r="E850" s="77">
        <f t="shared" si="151"/>
        <v>210669</v>
      </c>
      <c r="F850" s="69">
        <v>210669</v>
      </c>
      <c r="G850" s="133">
        <f t="shared" si="164"/>
        <v>0</v>
      </c>
      <c r="H850" s="8">
        <f t="shared" si="157"/>
        <v>304237</v>
      </c>
      <c r="I850" s="8">
        <v>304938</v>
      </c>
      <c r="J850" s="13">
        <f t="shared" si="161"/>
        <v>701</v>
      </c>
      <c r="K850" s="138"/>
      <c r="L850" s="8">
        <f t="shared" si="155"/>
        <v>821813</v>
      </c>
      <c r="M850" s="8">
        <v>822518</v>
      </c>
      <c r="N850" s="13">
        <f t="shared" si="163"/>
        <v>705</v>
      </c>
      <c r="O850" s="136"/>
      <c r="P850" s="8">
        <f t="shared" si="160"/>
        <v>448683</v>
      </c>
      <c r="Q850" s="8">
        <v>449249</v>
      </c>
      <c r="R850" s="133">
        <f t="shared" si="149"/>
        <v>566</v>
      </c>
      <c r="S850" s="8">
        <f t="shared" si="158"/>
        <v>27186</v>
      </c>
      <c r="T850" s="8">
        <v>27233</v>
      </c>
      <c r="U850" s="133">
        <f t="shared" si="167"/>
        <v>47</v>
      </c>
      <c r="V850" s="8">
        <f t="shared" si="159"/>
        <v>353986</v>
      </c>
      <c r="W850" s="8">
        <v>353986</v>
      </c>
      <c r="X850" s="13">
        <f t="shared" si="152"/>
        <v>0</v>
      </c>
      <c r="Y850" s="8">
        <f t="shared" si="153"/>
        <v>32713</v>
      </c>
      <c r="Z850" s="8">
        <v>32731</v>
      </c>
      <c r="AA850" s="13">
        <f t="shared" si="165"/>
        <v>18</v>
      </c>
      <c r="AB850" s="8">
        <f t="shared" si="156"/>
        <v>237792</v>
      </c>
      <c r="AC850" s="8">
        <v>237908</v>
      </c>
      <c r="AD850" s="13">
        <f t="shared" si="166"/>
        <v>116</v>
      </c>
      <c r="AE850" s="135"/>
      <c r="AF850" s="135"/>
      <c r="AG850" s="135"/>
      <c r="AH850" s="136"/>
      <c r="AI850" s="50">
        <f t="shared" si="162"/>
        <v>631</v>
      </c>
    </row>
    <row r="851" spans="1:35">
      <c r="A851" s="12">
        <v>45226</v>
      </c>
      <c r="B851" s="8">
        <f t="shared" si="154"/>
        <v>1900660</v>
      </c>
      <c r="C851" s="8">
        <v>1900714</v>
      </c>
      <c r="D851" s="13">
        <f t="shared" si="150"/>
        <v>54</v>
      </c>
      <c r="E851" s="77">
        <f t="shared" si="151"/>
        <v>210669</v>
      </c>
      <c r="F851" s="69">
        <v>210669</v>
      </c>
      <c r="G851" s="133">
        <f t="shared" si="164"/>
        <v>0</v>
      </c>
      <c r="H851" s="8">
        <f t="shared" si="157"/>
        <v>304938</v>
      </c>
      <c r="I851" s="8">
        <v>305755</v>
      </c>
      <c r="J851" s="13">
        <f t="shared" si="161"/>
        <v>817</v>
      </c>
      <c r="K851" s="138"/>
      <c r="L851" s="8">
        <f t="shared" si="155"/>
        <v>822518</v>
      </c>
      <c r="M851" s="8">
        <v>823026</v>
      </c>
      <c r="N851" s="13">
        <f t="shared" si="163"/>
        <v>508</v>
      </c>
      <c r="O851" s="136"/>
      <c r="P851" s="8">
        <f t="shared" si="160"/>
        <v>449249</v>
      </c>
      <c r="Q851" s="8">
        <v>449945</v>
      </c>
      <c r="R851" s="133">
        <f t="shared" si="149"/>
        <v>696</v>
      </c>
      <c r="S851" s="8">
        <f t="shared" si="158"/>
        <v>27233</v>
      </c>
      <c r="T851" s="8">
        <v>27309</v>
      </c>
      <c r="U851" s="133">
        <f t="shared" si="167"/>
        <v>76</v>
      </c>
      <c r="V851" s="8">
        <f t="shared" si="159"/>
        <v>353986</v>
      </c>
      <c r="W851" s="8">
        <v>353986</v>
      </c>
      <c r="X851" s="13">
        <f t="shared" si="152"/>
        <v>0</v>
      </c>
      <c r="Y851" s="8">
        <f t="shared" si="153"/>
        <v>32731</v>
      </c>
      <c r="Z851" s="8">
        <v>32752</v>
      </c>
      <c r="AA851" s="13">
        <f t="shared" si="165"/>
        <v>21</v>
      </c>
      <c r="AB851" s="8">
        <f t="shared" si="156"/>
        <v>237908</v>
      </c>
      <c r="AC851" s="8">
        <v>237994</v>
      </c>
      <c r="AD851" s="13">
        <f t="shared" si="166"/>
        <v>86</v>
      </c>
      <c r="AE851" s="135"/>
      <c r="AF851" s="135"/>
      <c r="AG851" s="135"/>
      <c r="AH851" s="136"/>
      <c r="AI851" s="50">
        <f t="shared" si="162"/>
        <v>793</v>
      </c>
    </row>
    <row r="852" spans="1:35">
      <c r="A852" s="12">
        <v>45227</v>
      </c>
      <c r="B852" s="8">
        <f t="shared" si="154"/>
        <v>1900714</v>
      </c>
      <c r="C852" s="8">
        <v>1900774</v>
      </c>
      <c r="D852" s="13">
        <f t="shared" si="150"/>
        <v>60</v>
      </c>
      <c r="E852" s="77">
        <f t="shared" si="151"/>
        <v>210669</v>
      </c>
      <c r="F852" s="69">
        <v>210669</v>
      </c>
      <c r="G852" s="133">
        <f t="shared" si="164"/>
        <v>0</v>
      </c>
      <c r="H852" s="8">
        <f t="shared" si="157"/>
        <v>305755</v>
      </c>
      <c r="I852" s="8">
        <v>306477</v>
      </c>
      <c r="J852" s="13">
        <f t="shared" si="161"/>
        <v>722</v>
      </c>
      <c r="K852" s="138"/>
      <c r="L852" s="8">
        <f t="shared" si="155"/>
        <v>823026</v>
      </c>
      <c r="M852" s="8">
        <v>823574</v>
      </c>
      <c r="N852" s="13">
        <f t="shared" si="163"/>
        <v>548</v>
      </c>
      <c r="O852" s="136"/>
      <c r="P852" s="8">
        <f t="shared" si="160"/>
        <v>449945</v>
      </c>
      <c r="Q852" s="8">
        <v>450528</v>
      </c>
      <c r="R852" s="133">
        <f t="shared" si="149"/>
        <v>583</v>
      </c>
      <c r="S852" s="8">
        <f t="shared" si="158"/>
        <v>27309</v>
      </c>
      <c r="T852" s="8">
        <v>27334</v>
      </c>
      <c r="U852" s="133">
        <f t="shared" si="167"/>
        <v>25</v>
      </c>
      <c r="V852" s="8">
        <f t="shared" si="159"/>
        <v>353986</v>
      </c>
      <c r="W852" s="8">
        <v>353986</v>
      </c>
      <c r="X852" s="13">
        <f t="shared" si="152"/>
        <v>0</v>
      </c>
      <c r="Y852" s="8">
        <f t="shared" si="153"/>
        <v>32752</v>
      </c>
      <c r="Z852" s="8">
        <v>32768</v>
      </c>
      <c r="AA852" s="13">
        <f t="shared" si="165"/>
        <v>16</v>
      </c>
      <c r="AB852" s="8">
        <f t="shared" si="156"/>
        <v>237994</v>
      </c>
      <c r="AC852" s="8">
        <v>238072</v>
      </c>
      <c r="AD852" s="13">
        <f t="shared" si="166"/>
        <v>78</v>
      </c>
      <c r="AE852" s="135"/>
      <c r="AF852" s="135"/>
      <c r="AG852" s="135"/>
      <c r="AH852" s="136"/>
      <c r="AI852" s="50">
        <f t="shared" si="162"/>
        <v>624</v>
      </c>
    </row>
    <row r="853" spans="1:35">
      <c r="A853" s="12">
        <v>45228</v>
      </c>
      <c r="B853" s="8">
        <f t="shared" si="154"/>
        <v>1900774</v>
      </c>
      <c r="C853" s="8">
        <v>1900779</v>
      </c>
      <c r="D853" s="13">
        <f t="shared" si="150"/>
        <v>5</v>
      </c>
      <c r="E853" s="77">
        <f t="shared" si="151"/>
        <v>210669</v>
      </c>
      <c r="F853" s="69">
        <v>210669</v>
      </c>
      <c r="G853" s="133">
        <f t="shared" si="164"/>
        <v>0</v>
      </c>
      <c r="H853" s="8">
        <f t="shared" si="157"/>
        <v>306477</v>
      </c>
      <c r="I853" s="8">
        <v>307082</v>
      </c>
      <c r="J853" s="13">
        <f t="shared" si="161"/>
        <v>605</v>
      </c>
      <c r="K853" s="138"/>
      <c r="L853" s="8">
        <f t="shared" si="155"/>
        <v>823574</v>
      </c>
      <c r="M853" s="8">
        <v>824169</v>
      </c>
      <c r="N853" s="13">
        <f t="shared" si="163"/>
        <v>595</v>
      </c>
      <c r="O853" s="136"/>
      <c r="P853" s="8">
        <f t="shared" si="160"/>
        <v>450528</v>
      </c>
      <c r="Q853" s="8">
        <v>451017</v>
      </c>
      <c r="R853" s="133">
        <f>Q853-P853</f>
        <v>489</v>
      </c>
      <c r="S853" s="8">
        <f t="shared" si="158"/>
        <v>27334</v>
      </c>
      <c r="T853" s="8">
        <v>27412</v>
      </c>
      <c r="U853" s="133">
        <f t="shared" si="167"/>
        <v>78</v>
      </c>
      <c r="V853" s="8">
        <f t="shared" si="159"/>
        <v>353986</v>
      </c>
      <c r="W853" s="8">
        <v>353986</v>
      </c>
      <c r="X853" s="13">
        <f t="shared" si="152"/>
        <v>0</v>
      </c>
      <c r="Y853" s="8">
        <f t="shared" si="153"/>
        <v>32768</v>
      </c>
      <c r="Z853" s="8">
        <v>32794</v>
      </c>
      <c r="AA853" s="13">
        <f t="shared" si="165"/>
        <v>26</v>
      </c>
      <c r="AB853" s="8">
        <f t="shared" si="156"/>
        <v>238072</v>
      </c>
      <c r="AC853" s="8">
        <v>238104</v>
      </c>
      <c r="AD853" s="13">
        <f t="shared" si="166"/>
        <v>32</v>
      </c>
      <c r="AE853" s="135"/>
      <c r="AF853" s="135"/>
      <c r="AG853" s="135"/>
      <c r="AH853" s="136"/>
      <c r="AI853" s="50">
        <f t="shared" si="162"/>
        <v>593</v>
      </c>
    </row>
    <row r="854" spans="1:35">
      <c r="A854" s="12">
        <v>45229</v>
      </c>
      <c r="B854" s="8">
        <f t="shared" si="154"/>
        <v>1900779</v>
      </c>
      <c r="C854" s="8">
        <v>1900791</v>
      </c>
      <c r="D854" s="13">
        <f t="shared" si="150"/>
        <v>12</v>
      </c>
      <c r="E854" s="77">
        <f t="shared" si="151"/>
        <v>210669</v>
      </c>
      <c r="F854" s="69">
        <v>210669</v>
      </c>
      <c r="G854" s="133">
        <f t="shared" si="164"/>
        <v>0</v>
      </c>
      <c r="H854" s="8">
        <f t="shared" si="157"/>
        <v>307082</v>
      </c>
      <c r="I854" s="8">
        <v>307359</v>
      </c>
      <c r="J854" s="13">
        <f t="shared" si="161"/>
        <v>277</v>
      </c>
      <c r="K854" s="138"/>
      <c r="L854" s="8">
        <f t="shared" si="155"/>
        <v>824169</v>
      </c>
      <c r="M854" s="8">
        <v>824164</v>
      </c>
      <c r="N854" s="13">
        <f t="shared" si="163"/>
        <v>-5</v>
      </c>
      <c r="O854" s="136"/>
      <c r="P854" s="8">
        <f t="shared" si="160"/>
        <v>451017</v>
      </c>
      <c r="Q854" s="8">
        <v>451241</v>
      </c>
      <c r="R854" s="133">
        <f>Q854-P854</f>
        <v>224</v>
      </c>
      <c r="S854" s="8">
        <f t="shared" si="158"/>
        <v>27412</v>
      </c>
      <c r="T854" s="8">
        <v>27480</v>
      </c>
      <c r="U854" s="133">
        <f t="shared" si="167"/>
        <v>68</v>
      </c>
      <c r="V854" s="8">
        <f t="shared" si="159"/>
        <v>353986</v>
      </c>
      <c r="W854" s="8">
        <v>353986</v>
      </c>
      <c r="X854" s="13">
        <f t="shared" si="152"/>
        <v>0</v>
      </c>
      <c r="Y854" s="8">
        <f t="shared" si="153"/>
        <v>32794</v>
      </c>
      <c r="Z854" s="8">
        <v>32807</v>
      </c>
      <c r="AA854" s="13">
        <f t="shared" si="165"/>
        <v>13</v>
      </c>
      <c r="AB854" s="8">
        <v>0</v>
      </c>
      <c r="AC854" s="8">
        <v>144</v>
      </c>
      <c r="AD854" s="13">
        <f t="shared" si="166"/>
        <v>144</v>
      </c>
      <c r="AE854" s="135"/>
      <c r="AF854" s="135"/>
      <c r="AG854" s="135"/>
      <c r="AH854" s="136"/>
      <c r="AI854" s="50">
        <f t="shared" si="162"/>
        <v>305</v>
      </c>
    </row>
    <row r="855" spans="1:35">
      <c r="A855" s="12">
        <v>45230</v>
      </c>
      <c r="B855" s="8">
        <f t="shared" si="154"/>
        <v>1900791</v>
      </c>
      <c r="C855" s="8">
        <v>1900791</v>
      </c>
      <c r="D855" s="13">
        <f t="shared" si="150"/>
        <v>0</v>
      </c>
      <c r="E855" s="77">
        <f t="shared" si="151"/>
        <v>210669</v>
      </c>
      <c r="F855" s="69">
        <v>210669</v>
      </c>
      <c r="G855" s="133">
        <f t="shared" si="164"/>
        <v>0</v>
      </c>
      <c r="H855" s="8">
        <f t="shared" si="157"/>
        <v>307359</v>
      </c>
      <c r="I855" s="8">
        <v>308182</v>
      </c>
      <c r="J855" s="13">
        <f t="shared" si="161"/>
        <v>823</v>
      </c>
      <c r="K855" s="138"/>
      <c r="L855" s="8">
        <f t="shared" si="155"/>
        <v>824164</v>
      </c>
      <c r="M855" s="8">
        <v>824889</v>
      </c>
      <c r="N855" s="13">
        <f t="shared" si="163"/>
        <v>725</v>
      </c>
      <c r="O855" s="136"/>
      <c r="P855" s="8">
        <f t="shared" si="160"/>
        <v>451241</v>
      </c>
      <c r="Q855" s="8">
        <v>451920</v>
      </c>
      <c r="R855" s="133">
        <f t="shared" ref="R855:R918" si="168">Q855-P855</f>
        <v>679</v>
      </c>
      <c r="S855" s="8">
        <f t="shared" si="158"/>
        <v>27480</v>
      </c>
      <c r="T855" s="8">
        <v>27546</v>
      </c>
      <c r="U855" s="133">
        <f t="shared" si="167"/>
        <v>66</v>
      </c>
      <c r="V855" s="8">
        <f t="shared" si="159"/>
        <v>353986</v>
      </c>
      <c r="W855" s="8">
        <v>353986</v>
      </c>
      <c r="X855" s="13">
        <f t="shared" si="152"/>
        <v>0</v>
      </c>
      <c r="Y855" s="8">
        <f t="shared" si="153"/>
        <v>32807</v>
      </c>
      <c r="Z855" s="8">
        <v>32828</v>
      </c>
      <c r="AA855" s="13">
        <f t="shared" si="165"/>
        <v>21</v>
      </c>
      <c r="AB855" s="8">
        <f>AC854</f>
        <v>144</v>
      </c>
      <c r="AC855" s="8">
        <v>319</v>
      </c>
      <c r="AD855" s="13">
        <f t="shared" si="166"/>
        <v>175</v>
      </c>
      <c r="AE855" s="135"/>
      <c r="AF855" s="135"/>
      <c r="AG855" s="135"/>
      <c r="AH855" s="136"/>
      <c r="AI855" s="50">
        <f t="shared" si="162"/>
        <v>766</v>
      </c>
    </row>
    <row r="856" spans="1:35">
      <c r="A856" s="12">
        <v>45231</v>
      </c>
      <c r="B856" s="8">
        <f t="shared" si="154"/>
        <v>1900791</v>
      </c>
      <c r="C856" s="8">
        <v>1900791</v>
      </c>
      <c r="D856" s="13">
        <f t="shared" si="150"/>
        <v>0</v>
      </c>
      <c r="E856" s="77">
        <f t="shared" si="151"/>
        <v>210669</v>
      </c>
      <c r="F856" s="69">
        <v>210669</v>
      </c>
      <c r="G856" s="133">
        <f t="shared" si="164"/>
        <v>0</v>
      </c>
      <c r="H856" s="8">
        <f t="shared" si="157"/>
        <v>308182</v>
      </c>
      <c r="I856" s="8">
        <v>308537</v>
      </c>
      <c r="J856" s="13">
        <f t="shared" si="161"/>
        <v>355</v>
      </c>
      <c r="K856" s="138"/>
      <c r="L856" s="8">
        <f t="shared" si="155"/>
        <v>824889</v>
      </c>
      <c r="M856" s="8">
        <v>825807</v>
      </c>
      <c r="N856" s="13">
        <f t="shared" si="163"/>
        <v>918</v>
      </c>
      <c r="O856" s="136"/>
      <c r="P856" s="8">
        <f t="shared" si="160"/>
        <v>451920</v>
      </c>
      <c r="Q856" s="8">
        <v>452614</v>
      </c>
      <c r="R856" s="133">
        <f t="shared" si="168"/>
        <v>694</v>
      </c>
      <c r="S856" s="8">
        <f t="shared" si="158"/>
        <v>27546</v>
      </c>
      <c r="T856" s="8">
        <v>27569</v>
      </c>
      <c r="U856" s="133">
        <f t="shared" si="167"/>
        <v>23</v>
      </c>
      <c r="V856" s="8">
        <f t="shared" si="159"/>
        <v>353986</v>
      </c>
      <c r="W856" s="8">
        <v>353986</v>
      </c>
      <c r="X856" s="13">
        <f t="shared" si="152"/>
        <v>0</v>
      </c>
      <c r="Y856" s="8">
        <f t="shared" si="153"/>
        <v>32828</v>
      </c>
      <c r="Z856" s="8">
        <v>32844</v>
      </c>
      <c r="AA856" s="13">
        <f t="shared" si="165"/>
        <v>16</v>
      </c>
      <c r="AB856" s="8">
        <f t="shared" si="156"/>
        <v>319</v>
      </c>
      <c r="AC856" s="8">
        <v>485</v>
      </c>
      <c r="AD856" s="13">
        <f t="shared" si="166"/>
        <v>166</v>
      </c>
      <c r="AE856" s="135"/>
      <c r="AF856" s="135"/>
      <c r="AG856" s="135"/>
      <c r="AH856" s="136"/>
      <c r="AI856" s="50">
        <f t="shared" si="162"/>
        <v>733</v>
      </c>
    </row>
    <row r="857" spans="1:35">
      <c r="A857" s="12">
        <v>45232</v>
      </c>
      <c r="B857" s="8">
        <f t="shared" si="154"/>
        <v>1900791</v>
      </c>
      <c r="C857" s="8">
        <v>1900805</v>
      </c>
      <c r="D857" s="13">
        <f t="shared" si="150"/>
        <v>14</v>
      </c>
      <c r="E857" s="77">
        <f t="shared" si="151"/>
        <v>210669</v>
      </c>
      <c r="F857" s="69">
        <v>210669</v>
      </c>
      <c r="G857" s="133">
        <f t="shared" ref="G857:G913" si="169">F858-E857</f>
        <v>0</v>
      </c>
      <c r="H857" s="8">
        <f t="shared" si="157"/>
        <v>308537</v>
      </c>
      <c r="I857" s="8">
        <v>309027</v>
      </c>
      <c r="J857" s="13">
        <f t="shared" si="161"/>
        <v>490</v>
      </c>
      <c r="K857" s="138"/>
      <c r="L857" s="8">
        <f t="shared" si="155"/>
        <v>825807</v>
      </c>
      <c r="M857" s="8">
        <v>826431</v>
      </c>
      <c r="N857" s="13">
        <f t="shared" si="163"/>
        <v>624</v>
      </c>
      <c r="O857" s="136"/>
      <c r="P857" s="8">
        <f t="shared" si="160"/>
        <v>452614</v>
      </c>
      <c r="Q857" s="8">
        <v>453144</v>
      </c>
      <c r="R857" s="133">
        <f t="shared" si="168"/>
        <v>530</v>
      </c>
      <c r="S857" s="8">
        <f t="shared" si="158"/>
        <v>27569</v>
      </c>
      <c r="T857" s="8">
        <v>27602</v>
      </c>
      <c r="U857" s="133">
        <f t="shared" si="167"/>
        <v>33</v>
      </c>
      <c r="V857" s="8">
        <f t="shared" si="159"/>
        <v>353986</v>
      </c>
      <c r="W857" s="8">
        <v>353986</v>
      </c>
      <c r="X857" s="13">
        <f t="shared" si="152"/>
        <v>0</v>
      </c>
      <c r="Y857" s="8">
        <f t="shared" si="153"/>
        <v>32844</v>
      </c>
      <c r="Z857" s="8">
        <v>32859</v>
      </c>
      <c r="AA857" s="13">
        <f t="shared" si="165"/>
        <v>15</v>
      </c>
      <c r="AB857" s="8">
        <f t="shared" si="156"/>
        <v>485</v>
      </c>
      <c r="AC857" s="8">
        <v>674</v>
      </c>
      <c r="AD857" s="13">
        <f t="shared" si="166"/>
        <v>189</v>
      </c>
      <c r="AE857" s="135"/>
      <c r="AF857" s="135"/>
      <c r="AG857" s="135"/>
      <c r="AH857" s="136"/>
      <c r="AI857" s="50">
        <f t="shared" si="162"/>
        <v>578</v>
      </c>
    </row>
    <row r="858" spans="1:35">
      <c r="A858" s="12">
        <v>45233</v>
      </c>
      <c r="B858" s="8">
        <f t="shared" si="154"/>
        <v>1900805</v>
      </c>
      <c r="C858" s="8">
        <v>1901010</v>
      </c>
      <c r="D858" s="13">
        <f t="shared" si="150"/>
        <v>205</v>
      </c>
      <c r="E858" s="77">
        <f t="shared" si="151"/>
        <v>210669</v>
      </c>
      <c r="F858" s="69">
        <v>210669</v>
      </c>
      <c r="G858" s="133">
        <f t="shared" si="169"/>
        <v>0</v>
      </c>
      <c r="H858" s="8">
        <f t="shared" si="157"/>
        <v>309027</v>
      </c>
      <c r="I858" s="8">
        <v>309427</v>
      </c>
      <c r="J858" s="13">
        <f t="shared" si="161"/>
        <v>400</v>
      </c>
      <c r="K858" s="138"/>
      <c r="L858" s="8">
        <f t="shared" si="155"/>
        <v>826431</v>
      </c>
      <c r="M858" s="8">
        <v>826899</v>
      </c>
      <c r="N858" s="13">
        <f t="shared" si="163"/>
        <v>468</v>
      </c>
      <c r="O858" s="136"/>
      <c r="P858" s="8">
        <f t="shared" si="160"/>
        <v>453144</v>
      </c>
      <c r="Q858" s="8">
        <v>453344</v>
      </c>
      <c r="R858" s="133">
        <f t="shared" si="168"/>
        <v>200</v>
      </c>
      <c r="S858" s="8">
        <f t="shared" si="158"/>
        <v>27602</v>
      </c>
      <c r="T858" s="8">
        <v>27624</v>
      </c>
      <c r="U858" s="133">
        <f t="shared" si="167"/>
        <v>22</v>
      </c>
      <c r="V858" s="8">
        <f t="shared" si="159"/>
        <v>353986</v>
      </c>
      <c r="W858" s="8">
        <v>353986</v>
      </c>
      <c r="X858" s="13">
        <f t="shared" si="152"/>
        <v>0</v>
      </c>
      <c r="Y858" s="8">
        <f t="shared" si="153"/>
        <v>32859</v>
      </c>
      <c r="Z858" s="8">
        <v>32880</v>
      </c>
      <c r="AA858" s="13">
        <f t="shared" si="165"/>
        <v>21</v>
      </c>
      <c r="AB858" s="8">
        <f t="shared" si="156"/>
        <v>674</v>
      </c>
      <c r="AC858" s="8">
        <v>880</v>
      </c>
      <c r="AD858" s="13">
        <f t="shared" si="166"/>
        <v>206</v>
      </c>
      <c r="AE858" s="135"/>
      <c r="AF858" s="135"/>
      <c r="AG858" s="135"/>
      <c r="AH858" s="136"/>
      <c r="AI858" s="50">
        <f t="shared" si="162"/>
        <v>243</v>
      </c>
    </row>
    <row r="859" spans="1:35">
      <c r="A859" s="12">
        <v>45234</v>
      </c>
      <c r="B859" s="8">
        <f t="shared" si="154"/>
        <v>1901010</v>
      </c>
      <c r="C859" s="8">
        <v>1901148</v>
      </c>
      <c r="D859" s="13">
        <f t="shared" ref="D859:D922" si="170">C859-B859</f>
        <v>138</v>
      </c>
      <c r="E859" s="77">
        <f t="shared" si="151"/>
        <v>210669</v>
      </c>
      <c r="F859" s="69">
        <v>210669</v>
      </c>
      <c r="G859" s="133">
        <f t="shared" si="169"/>
        <v>0</v>
      </c>
      <c r="H859" s="8">
        <f t="shared" si="157"/>
        <v>309427</v>
      </c>
      <c r="I859" s="8">
        <v>310006</v>
      </c>
      <c r="J859" s="13">
        <f t="shared" si="161"/>
        <v>579</v>
      </c>
      <c r="K859" s="138"/>
      <c r="L859" s="8">
        <f t="shared" si="155"/>
        <v>826899</v>
      </c>
      <c r="M859" s="8">
        <v>827398</v>
      </c>
      <c r="N859" s="13">
        <f t="shared" si="163"/>
        <v>499</v>
      </c>
      <c r="O859" s="136"/>
      <c r="P859" s="8">
        <f t="shared" si="160"/>
        <v>453344</v>
      </c>
      <c r="Q859" s="8">
        <v>453911</v>
      </c>
      <c r="R859" s="133">
        <f t="shared" si="168"/>
        <v>567</v>
      </c>
      <c r="S859" s="8">
        <f t="shared" si="158"/>
        <v>27624</v>
      </c>
      <c r="T859" s="8">
        <v>27624</v>
      </c>
      <c r="U859" s="133">
        <f t="shared" si="167"/>
        <v>0</v>
      </c>
      <c r="V859" s="8">
        <f t="shared" si="159"/>
        <v>353986</v>
      </c>
      <c r="W859" s="8">
        <v>353986</v>
      </c>
      <c r="X859" s="13">
        <f t="shared" si="152"/>
        <v>0</v>
      </c>
      <c r="Y859" s="8">
        <f t="shared" si="153"/>
        <v>32880</v>
      </c>
      <c r="Z859" s="8">
        <v>32896</v>
      </c>
      <c r="AA859" s="13">
        <f t="shared" si="165"/>
        <v>16</v>
      </c>
      <c r="AB859" s="8">
        <f t="shared" si="156"/>
        <v>880</v>
      </c>
      <c r="AC859" s="8">
        <v>1061</v>
      </c>
      <c r="AD859" s="13">
        <f t="shared" si="166"/>
        <v>181</v>
      </c>
      <c r="AE859" s="135"/>
      <c r="AF859" s="135"/>
      <c r="AG859" s="135"/>
      <c r="AH859" s="136"/>
      <c r="AI859" s="50">
        <f t="shared" si="162"/>
        <v>583</v>
      </c>
    </row>
    <row r="860" spans="1:35">
      <c r="A860" s="12">
        <v>45235</v>
      </c>
      <c r="B860" s="8">
        <f t="shared" si="154"/>
        <v>1901148</v>
      </c>
      <c r="C860" s="8">
        <v>1901214</v>
      </c>
      <c r="D860" s="13">
        <f t="shared" si="170"/>
        <v>66</v>
      </c>
      <c r="E860" s="77">
        <f t="shared" si="151"/>
        <v>210669</v>
      </c>
      <c r="F860" s="69">
        <v>210669</v>
      </c>
      <c r="G860" s="133">
        <f t="shared" si="169"/>
        <v>0</v>
      </c>
      <c r="H860" s="8">
        <f t="shared" si="157"/>
        <v>310006</v>
      </c>
      <c r="I860" s="8">
        <v>310006</v>
      </c>
      <c r="J860" s="13">
        <f t="shared" si="161"/>
        <v>0</v>
      </c>
      <c r="K860" s="138"/>
      <c r="L860" s="8">
        <f t="shared" si="155"/>
        <v>827398</v>
      </c>
      <c r="M860" s="8">
        <v>828433</v>
      </c>
      <c r="N860" s="13">
        <f t="shared" si="163"/>
        <v>1035</v>
      </c>
      <c r="O860" s="136"/>
      <c r="P860" s="8">
        <f t="shared" si="160"/>
        <v>453911</v>
      </c>
      <c r="Q860" s="8">
        <v>454513</v>
      </c>
      <c r="R860" s="133">
        <f t="shared" si="168"/>
        <v>602</v>
      </c>
      <c r="S860" s="8">
        <f t="shared" si="158"/>
        <v>27624</v>
      </c>
      <c r="T860" s="8">
        <v>27707</v>
      </c>
      <c r="U860" s="133">
        <f t="shared" si="167"/>
        <v>83</v>
      </c>
      <c r="V860" s="8">
        <f t="shared" si="159"/>
        <v>353986</v>
      </c>
      <c r="W860" s="8">
        <v>353986</v>
      </c>
      <c r="X860" s="13">
        <f t="shared" si="152"/>
        <v>0</v>
      </c>
      <c r="Y860" s="8">
        <f t="shared" si="153"/>
        <v>32896</v>
      </c>
      <c r="Z860" s="8">
        <v>32908</v>
      </c>
      <c r="AA860" s="13">
        <f t="shared" si="165"/>
        <v>12</v>
      </c>
      <c r="AB860" s="8">
        <f t="shared" si="156"/>
        <v>1061</v>
      </c>
      <c r="AC860" s="8">
        <v>1222</v>
      </c>
      <c r="AD860" s="13">
        <f t="shared" si="166"/>
        <v>161</v>
      </c>
      <c r="AE860" s="135"/>
      <c r="AF860" s="135"/>
      <c r="AG860" s="135"/>
      <c r="AH860" s="136"/>
      <c r="AI860" s="50">
        <f t="shared" si="162"/>
        <v>697</v>
      </c>
    </row>
    <row r="861" spans="1:35">
      <c r="A861" s="12">
        <v>45236</v>
      </c>
      <c r="B861" s="8">
        <f t="shared" si="154"/>
        <v>1901214</v>
      </c>
      <c r="C861" s="8">
        <v>1901214</v>
      </c>
      <c r="D861" s="13">
        <f t="shared" si="170"/>
        <v>0</v>
      </c>
      <c r="E861" s="77">
        <f t="shared" si="151"/>
        <v>210669</v>
      </c>
      <c r="F861" s="69">
        <v>210669</v>
      </c>
      <c r="G861" s="133">
        <f t="shared" si="169"/>
        <v>0</v>
      </c>
      <c r="H861" s="8">
        <f t="shared" si="157"/>
        <v>310006</v>
      </c>
      <c r="I861" s="8">
        <v>310675</v>
      </c>
      <c r="J861" s="13">
        <f t="shared" si="161"/>
        <v>669</v>
      </c>
      <c r="K861" s="138"/>
      <c r="L861" s="8">
        <f t="shared" si="155"/>
        <v>828433</v>
      </c>
      <c r="M861" s="8">
        <v>828971</v>
      </c>
      <c r="N861" s="13">
        <f t="shared" si="163"/>
        <v>538</v>
      </c>
      <c r="O861" s="136"/>
      <c r="P861" s="8">
        <f t="shared" si="160"/>
        <v>454513</v>
      </c>
      <c r="Q861" s="8">
        <v>455083</v>
      </c>
      <c r="R861" s="133">
        <f t="shared" si="168"/>
        <v>570</v>
      </c>
      <c r="S861" s="8">
        <f t="shared" si="158"/>
        <v>27707</v>
      </c>
      <c r="T861" s="8">
        <v>27752</v>
      </c>
      <c r="U861" s="133">
        <f t="shared" si="167"/>
        <v>45</v>
      </c>
      <c r="V861" s="8">
        <f t="shared" si="159"/>
        <v>353986</v>
      </c>
      <c r="W861" s="8">
        <v>353986</v>
      </c>
      <c r="X861" s="13">
        <f t="shared" si="152"/>
        <v>0</v>
      </c>
      <c r="Y861" s="8">
        <f t="shared" si="153"/>
        <v>32908</v>
      </c>
      <c r="Z861" s="8">
        <v>32925</v>
      </c>
      <c r="AA861" s="13">
        <f t="shared" si="165"/>
        <v>17</v>
      </c>
      <c r="AB861" s="8">
        <f t="shared" si="156"/>
        <v>1222</v>
      </c>
      <c r="AC861" s="8">
        <v>1422</v>
      </c>
      <c r="AD861" s="13">
        <f t="shared" si="166"/>
        <v>200</v>
      </c>
      <c r="AE861" s="135"/>
      <c r="AF861" s="135"/>
      <c r="AG861" s="135"/>
      <c r="AH861" s="136"/>
      <c r="AI861" s="50">
        <f t="shared" si="162"/>
        <v>632</v>
      </c>
    </row>
    <row r="862" spans="1:35">
      <c r="A862" s="12">
        <v>45237</v>
      </c>
      <c r="B862" s="8">
        <f t="shared" si="154"/>
        <v>1901214</v>
      </c>
      <c r="C862" s="8">
        <v>1901247</v>
      </c>
      <c r="D862" s="13">
        <f t="shared" si="170"/>
        <v>33</v>
      </c>
      <c r="E862" s="77">
        <f t="shared" si="151"/>
        <v>210669</v>
      </c>
      <c r="F862" s="69">
        <v>210669</v>
      </c>
      <c r="G862" s="133">
        <f t="shared" si="169"/>
        <v>0</v>
      </c>
      <c r="H862" s="8">
        <f t="shared" si="157"/>
        <v>310675</v>
      </c>
      <c r="I862" s="8">
        <v>311493</v>
      </c>
      <c r="J862" s="13">
        <f t="shared" si="161"/>
        <v>818</v>
      </c>
      <c r="K862" s="138"/>
      <c r="L862" s="8">
        <f t="shared" si="155"/>
        <v>828971</v>
      </c>
      <c r="M862" s="8">
        <v>829375</v>
      </c>
      <c r="N862" s="13">
        <f t="shared" si="163"/>
        <v>404</v>
      </c>
      <c r="O862" s="136"/>
      <c r="P862" s="8">
        <f t="shared" si="160"/>
        <v>455083</v>
      </c>
      <c r="Q862" s="8">
        <v>455636</v>
      </c>
      <c r="R862" s="133">
        <f t="shared" si="168"/>
        <v>553</v>
      </c>
      <c r="S862" s="8">
        <f t="shared" si="158"/>
        <v>27752</v>
      </c>
      <c r="T862" s="8">
        <v>27782</v>
      </c>
      <c r="U862" s="133">
        <f t="shared" si="167"/>
        <v>30</v>
      </c>
      <c r="V862" s="8">
        <f t="shared" si="159"/>
        <v>353986</v>
      </c>
      <c r="W862" s="8">
        <v>353986</v>
      </c>
      <c r="X862" s="13">
        <f t="shared" si="152"/>
        <v>0</v>
      </c>
      <c r="Y862" s="8">
        <f t="shared" si="153"/>
        <v>32925</v>
      </c>
      <c r="Z862" s="8">
        <v>32940</v>
      </c>
      <c r="AA862" s="13">
        <f t="shared" si="165"/>
        <v>15</v>
      </c>
      <c r="AB862" s="8">
        <f t="shared" si="156"/>
        <v>1422</v>
      </c>
      <c r="AC862" s="8">
        <v>1659</v>
      </c>
      <c r="AD862" s="13">
        <f t="shared" si="166"/>
        <v>237</v>
      </c>
      <c r="AE862" s="135"/>
      <c r="AF862" s="135"/>
      <c r="AG862" s="135"/>
      <c r="AH862" s="136"/>
      <c r="AI862" s="50">
        <f t="shared" si="162"/>
        <v>598</v>
      </c>
    </row>
    <row r="863" spans="1:35">
      <c r="A863" s="12">
        <v>45238</v>
      </c>
      <c r="B863" s="8">
        <f t="shared" si="154"/>
        <v>1901247</v>
      </c>
      <c r="C863" s="8">
        <v>1901755</v>
      </c>
      <c r="D863" s="13">
        <f t="shared" si="170"/>
        <v>508</v>
      </c>
      <c r="E863" s="77">
        <f t="shared" si="151"/>
        <v>210669</v>
      </c>
      <c r="F863" s="69">
        <v>210669</v>
      </c>
      <c r="G863" s="133">
        <f t="shared" si="169"/>
        <v>0</v>
      </c>
      <c r="H863" s="8">
        <f t="shared" si="157"/>
        <v>311493</v>
      </c>
      <c r="I863" s="8">
        <v>312245</v>
      </c>
      <c r="J863" s="13">
        <f t="shared" si="161"/>
        <v>752</v>
      </c>
      <c r="K863" s="138"/>
      <c r="L863" s="8">
        <f t="shared" si="155"/>
        <v>829375</v>
      </c>
      <c r="M863" s="8">
        <v>829811</v>
      </c>
      <c r="N863" s="13">
        <f t="shared" si="163"/>
        <v>436</v>
      </c>
      <c r="O863" s="136"/>
      <c r="P863" s="8">
        <f t="shared" si="160"/>
        <v>455636</v>
      </c>
      <c r="Q863" s="8">
        <v>456034</v>
      </c>
      <c r="R863" s="133">
        <f t="shared" si="168"/>
        <v>398</v>
      </c>
      <c r="S863" s="8">
        <f t="shared" si="158"/>
        <v>27782</v>
      </c>
      <c r="T863" s="8">
        <v>27824</v>
      </c>
      <c r="U863" s="133">
        <f t="shared" si="167"/>
        <v>42</v>
      </c>
      <c r="V863" s="8">
        <f t="shared" si="159"/>
        <v>353986</v>
      </c>
      <c r="W863" s="8">
        <v>353986</v>
      </c>
      <c r="X863" s="13">
        <f t="shared" si="152"/>
        <v>0</v>
      </c>
      <c r="Y863" s="8">
        <f t="shared" si="153"/>
        <v>32940</v>
      </c>
      <c r="Z863" s="8">
        <v>32959</v>
      </c>
      <c r="AA863" s="13">
        <f t="shared" si="165"/>
        <v>19</v>
      </c>
      <c r="AB863" s="8">
        <f t="shared" si="156"/>
        <v>1659</v>
      </c>
      <c r="AC863" s="8">
        <v>1835</v>
      </c>
      <c r="AD863" s="13">
        <f t="shared" si="166"/>
        <v>176</v>
      </c>
      <c r="AE863" s="135"/>
      <c r="AF863" s="135"/>
      <c r="AG863" s="135"/>
      <c r="AH863" s="136"/>
      <c r="AI863" s="50">
        <f t="shared" si="162"/>
        <v>459</v>
      </c>
    </row>
    <row r="864" spans="1:35">
      <c r="A864" s="12">
        <v>45239</v>
      </c>
      <c r="B864" s="8">
        <f t="shared" si="154"/>
        <v>1901755</v>
      </c>
      <c r="C864" s="8">
        <v>1901938</v>
      </c>
      <c r="D864" s="13">
        <f t="shared" si="170"/>
        <v>183</v>
      </c>
      <c r="E864" s="77">
        <f t="shared" si="151"/>
        <v>210669</v>
      </c>
      <c r="F864" s="69">
        <v>210669</v>
      </c>
      <c r="G864" s="133">
        <f t="shared" si="169"/>
        <v>0</v>
      </c>
      <c r="H864" s="8">
        <f t="shared" si="157"/>
        <v>312245</v>
      </c>
      <c r="I864" s="8">
        <v>312245</v>
      </c>
      <c r="J864" s="13">
        <f t="shared" si="161"/>
        <v>0</v>
      </c>
      <c r="K864" s="138"/>
      <c r="L864" s="8">
        <f t="shared" si="155"/>
        <v>829811</v>
      </c>
      <c r="M864" s="8">
        <v>831135</v>
      </c>
      <c r="N864" s="13">
        <f t="shared" si="163"/>
        <v>1324</v>
      </c>
      <c r="O864" s="136"/>
      <c r="P864" s="8">
        <f t="shared" si="160"/>
        <v>456034</v>
      </c>
      <c r="Q864" s="8">
        <v>456557</v>
      </c>
      <c r="R864" s="133">
        <f t="shared" si="168"/>
        <v>523</v>
      </c>
      <c r="S864" s="8">
        <f t="shared" si="158"/>
        <v>27824</v>
      </c>
      <c r="T864" s="8">
        <v>27871</v>
      </c>
      <c r="U864" s="133">
        <f t="shared" si="167"/>
        <v>47</v>
      </c>
      <c r="V864" s="8">
        <f t="shared" si="159"/>
        <v>353986</v>
      </c>
      <c r="W864" s="8">
        <v>353986</v>
      </c>
      <c r="X864" s="13">
        <f t="shared" si="152"/>
        <v>0</v>
      </c>
      <c r="Y864" s="8">
        <f t="shared" si="153"/>
        <v>32959</v>
      </c>
      <c r="Z864" s="8">
        <v>32976</v>
      </c>
      <c r="AA864" s="13">
        <f t="shared" si="165"/>
        <v>17</v>
      </c>
      <c r="AB864" s="8">
        <f t="shared" si="156"/>
        <v>1835</v>
      </c>
      <c r="AC864" s="8">
        <v>1957</v>
      </c>
      <c r="AD864" s="13">
        <f t="shared" si="166"/>
        <v>122</v>
      </c>
      <c r="AE864" s="135"/>
      <c r="AF864" s="135"/>
      <c r="AG864" s="135"/>
      <c r="AH864" s="136"/>
      <c r="AI864" s="50">
        <f t="shared" si="162"/>
        <v>587</v>
      </c>
    </row>
    <row r="865" spans="1:35">
      <c r="A865" s="12">
        <v>45240</v>
      </c>
      <c r="B865" s="8">
        <f t="shared" si="154"/>
        <v>1901938</v>
      </c>
      <c r="C865" s="8">
        <v>1902639</v>
      </c>
      <c r="D865" s="13">
        <f t="shared" si="170"/>
        <v>701</v>
      </c>
      <c r="E865" s="77">
        <f t="shared" si="151"/>
        <v>210669</v>
      </c>
      <c r="F865" s="69">
        <v>210669</v>
      </c>
      <c r="G865" s="133">
        <f t="shared" si="169"/>
        <v>0</v>
      </c>
      <c r="H865" s="8">
        <f t="shared" si="157"/>
        <v>312245</v>
      </c>
      <c r="I865" s="8">
        <v>313149</v>
      </c>
      <c r="J865" s="13">
        <f t="shared" si="161"/>
        <v>904</v>
      </c>
      <c r="K865" s="138"/>
      <c r="L865" s="8">
        <f t="shared" si="155"/>
        <v>831135</v>
      </c>
      <c r="M865" s="8">
        <v>831652</v>
      </c>
      <c r="N865" s="13">
        <f t="shared" si="163"/>
        <v>517</v>
      </c>
      <c r="O865" s="136"/>
      <c r="P865" s="8">
        <f t="shared" si="160"/>
        <v>456557</v>
      </c>
      <c r="Q865" s="8">
        <v>457078</v>
      </c>
      <c r="R865" s="133">
        <f t="shared" si="168"/>
        <v>521</v>
      </c>
      <c r="S865" s="8">
        <f t="shared" si="158"/>
        <v>27871</v>
      </c>
      <c r="T865" s="8">
        <v>27896</v>
      </c>
      <c r="U865" s="133">
        <f t="shared" si="167"/>
        <v>25</v>
      </c>
      <c r="V865" s="8">
        <f t="shared" si="159"/>
        <v>353986</v>
      </c>
      <c r="W865" s="8">
        <v>353986</v>
      </c>
      <c r="X865" s="13">
        <f t="shared" si="152"/>
        <v>0</v>
      </c>
      <c r="Y865" s="8">
        <f t="shared" si="153"/>
        <v>32976</v>
      </c>
      <c r="Z865" s="8">
        <v>32991</v>
      </c>
      <c r="AA865" s="13">
        <f t="shared" si="165"/>
        <v>15</v>
      </c>
      <c r="AB865" s="8">
        <f t="shared" si="156"/>
        <v>1957</v>
      </c>
      <c r="AC865" s="8">
        <v>2144</v>
      </c>
      <c r="AD865" s="13">
        <f t="shared" si="166"/>
        <v>187</v>
      </c>
      <c r="AE865" s="135"/>
      <c r="AF865" s="135"/>
      <c r="AG865" s="135"/>
      <c r="AH865" s="136"/>
      <c r="AI865" s="50">
        <f t="shared" si="162"/>
        <v>561</v>
      </c>
    </row>
    <row r="866" spans="1:35">
      <c r="A866" s="12">
        <v>45241</v>
      </c>
      <c r="B866" s="8">
        <f t="shared" si="154"/>
        <v>1902639</v>
      </c>
      <c r="C866" s="8">
        <v>1903336</v>
      </c>
      <c r="D866" s="13">
        <f t="shared" si="170"/>
        <v>697</v>
      </c>
      <c r="E866" s="77">
        <f t="shared" si="151"/>
        <v>210669</v>
      </c>
      <c r="F866" s="69">
        <v>210669</v>
      </c>
      <c r="G866" s="133">
        <f t="shared" si="169"/>
        <v>0</v>
      </c>
      <c r="H866" s="8">
        <f t="shared" si="157"/>
        <v>313149</v>
      </c>
      <c r="I866" s="8">
        <v>313265</v>
      </c>
      <c r="J866" s="13">
        <f t="shared" si="161"/>
        <v>116</v>
      </c>
      <c r="K866" s="138"/>
      <c r="L866" s="8">
        <f t="shared" si="155"/>
        <v>831652</v>
      </c>
      <c r="M866" s="8">
        <v>832212</v>
      </c>
      <c r="N866" s="13">
        <f t="shared" si="163"/>
        <v>560</v>
      </c>
      <c r="O866" s="136"/>
      <c r="P866" s="8">
        <f t="shared" si="160"/>
        <v>457078</v>
      </c>
      <c r="Q866" s="8">
        <v>457232</v>
      </c>
      <c r="R866" s="133">
        <f t="shared" si="168"/>
        <v>154</v>
      </c>
      <c r="S866" s="8">
        <f t="shared" si="158"/>
        <v>27896</v>
      </c>
      <c r="T866" s="8">
        <v>27961</v>
      </c>
      <c r="U866" s="133">
        <f t="shared" si="167"/>
        <v>65</v>
      </c>
      <c r="V866" s="8">
        <f t="shared" si="159"/>
        <v>353986</v>
      </c>
      <c r="W866" s="8">
        <v>353986</v>
      </c>
      <c r="X866" s="13">
        <f t="shared" si="152"/>
        <v>0</v>
      </c>
      <c r="Y866" s="8">
        <f t="shared" si="153"/>
        <v>32991</v>
      </c>
      <c r="Z866" s="8">
        <v>33007</v>
      </c>
      <c r="AA866" s="13">
        <f t="shared" si="165"/>
        <v>16</v>
      </c>
      <c r="AB866" s="8">
        <f t="shared" si="156"/>
        <v>2144</v>
      </c>
      <c r="AC866" s="8">
        <v>2262</v>
      </c>
      <c r="AD866" s="13">
        <f t="shared" si="166"/>
        <v>118</v>
      </c>
      <c r="AE866" s="135"/>
      <c r="AF866" s="135"/>
      <c r="AG866" s="135"/>
      <c r="AH866" s="136"/>
      <c r="AI866" s="50">
        <f t="shared" si="162"/>
        <v>235</v>
      </c>
    </row>
    <row r="867" spans="1:35">
      <c r="A867" s="12">
        <v>45242</v>
      </c>
      <c r="B867" s="8">
        <f t="shared" si="154"/>
        <v>1903336</v>
      </c>
      <c r="C867" s="8">
        <v>1904135</v>
      </c>
      <c r="D867" s="13">
        <f t="shared" si="170"/>
        <v>799</v>
      </c>
      <c r="E867" s="77">
        <f t="shared" si="151"/>
        <v>210669</v>
      </c>
      <c r="F867" s="69">
        <v>210669</v>
      </c>
      <c r="G867" s="133">
        <f t="shared" si="169"/>
        <v>0</v>
      </c>
      <c r="H867" s="8">
        <f t="shared" si="157"/>
        <v>313265</v>
      </c>
      <c r="I867" s="8">
        <v>313265</v>
      </c>
      <c r="J867" s="13">
        <f t="shared" si="161"/>
        <v>0</v>
      </c>
      <c r="K867" s="138"/>
      <c r="L867" s="8">
        <f t="shared" si="155"/>
        <v>832212</v>
      </c>
      <c r="M867" s="8">
        <v>833418</v>
      </c>
      <c r="N867" s="13">
        <f t="shared" si="163"/>
        <v>1206</v>
      </c>
      <c r="O867" s="136"/>
      <c r="P867" s="8">
        <f t="shared" si="160"/>
        <v>457232</v>
      </c>
      <c r="Q867" s="8">
        <v>457735</v>
      </c>
      <c r="R867" s="133">
        <f t="shared" si="168"/>
        <v>503</v>
      </c>
      <c r="S867" s="8">
        <f t="shared" si="158"/>
        <v>27961</v>
      </c>
      <c r="T867" s="8">
        <v>28007</v>
      </c>
      <c r="U867" s="133">
        <f t="shared" si="167"/>
        <v>46</v>
      </c>
      <c r="V867" s="8">
        <f t="shared" si="159"/>
        <v>353986</v>
      </c>
      <c r="W867" s="8">
        <v>353986</v>
      </c>
      <c r="X867" s="13">
        <f t="shared" si="152"/>
        <v>0</v>
      </c>
      <c r="Y867" s="8">
        <f t="shared" si="153"/>
        <v>33007</v>
      </c>
      <c r="Z867" s="8">
        <v>33027</v>
      </c>
      <c r="AA867" s="13">
        <f t="shared" si="165"/>
        <v>20</v>
      </c>
      <c r="AB867" s="8">
        <f t="shared" si="156"/>
        <v>2262</v>
      </c>
      <c r="AC867" s="8">
        <v>2408</v>
      </c>
      <c r="AD867" s="13">
        <f t="shared" si="166"/>
        <v>146</v>
      </c>
      <c r="AE867" s="135"/>
      <c r="AF867" s="135"/>
      <c r="AG867" s="135"/>
      <c r="AH867" s="136"/>
      <c r="AI867" s="50">
        <f t="shared" si="162"/>
        <v>569</v>
      </c>
    </row>
    <row r="868" spans="1:35">
      <c r="A868" s="12">
        <v>45243</v>
      </c>
      <c r="B868" s="8">
        <f t="shared" si="154"/>
        <v>1904135</v>
      </c>
      <c r="C868" s="8">
        <v>1904860</v>
      </c>
      <c r="D868" s="13">
        <f t="shared" si="170"/>
        <v>725</v>
      </c>
      <c r="E868" s="77">
        <f t="shared" si="151"/>
        <v>210669</v>
      </c>
      <c r="F868" s="69">
        <v>210669</v>
      </c>
      <c r="G868" s="133">
        <f t="shared" si="169"/>
        <v>0</v>
      </c>
      <c r="H868" s="8">
        <f t="shared" si="157"/>
        <v>313265</v>
      </c>
      <c r="I868" s="8">
        <v>313265</v>
      </c>
      <c r="J868" s="13">
        <f t="shared" si="161"/>
        <v>0</v>
      </c>
      <c r="K868" s="138"/>
      <c r="L868" s="8">
        <f t="shared" si="155"/>
        <v>833418</v>
      </c>
      <c r="M868" s="8">
        <v>834463</v>
      </c>
      <c r="N868" s="13">
        <f t="shared" si="163"/>
        <v>1045</v>
      </c>
      <c r="O868" s="136"/>
      <c r="P868" s="8">
        <f t="shared" si="160"/>
        <v>457735</v>
      </c>
      <c r="Q868" s="8">
        <v>458219</v>
      </c>
      <c r="R868" s="133">
        <f t="shared" si="168"/>
        <v>484</v>
      </c>
      <c r="S868" s="8">
        <f t="shared" si="158"/>
        <v>28007</v>
      </c>
      <c r="T868" s="8">
        <v>28048</v>
      </c>
      <c r="U868" s="133">
        <f t="shared" si="167"/>
        <v>41</v>
      </c>
      <c r="V868" s="8">
        <f t="shared" si="159"/>
        <v>353986</v>
      </c>
      <c r="W868" s="8">
        <v>353986</v>
      </c>
      <c r="X868" s="13">
        <f t="shared" si="152"/>
        <v>0</v>
      </c>
      <c r="Y868" s="8">
        <f t="shared" si="153"/>
        <v>33027</v>
      </c>
      <c r="Z868" s="8">
        <v>33044</v>
      </c>
      <c r="AA868" s="13">
        <f t="shared" si="165"/>
        <v>17</v>
      </c>
      <c r="AB868" s="8">
        <f t="shared" si="156"/>
        <v>2408</v>
      </c>
      <c r="AC868" s="8">
        <v>2586</v>
      </c>
      <c r="AD868" s="13">
        <f t="shared" si="166"/>
        <v>178</v>
      </c>
      <c r="AE868" s="135"/>
      <c r="AF868" s="135"/>
      <c r="AG868" s="135"/>
      <c r="AH868" s="136"/>
      <c r="AI868" s="50">
        <f t="shared" si="162"/>
        <v>542</v>
      </c>
    </row>
    <row r="869" spans="1:35">
      <c r="A869" s="12">
        <v>45244</v>
      </c>
      <c r="B869" s="8">
        <f t="shared" si="154"/>
        <v>1904860</v>
      </c>
      <c r="C869" s="8">
        <v>1905692</v>
      </c>
      <c r="D869" s="13">
        <f t="shared" si="170"/>
        <v>832</v>
      </c>
      <c r="E869" s="77">
        <f t="shared" si="151"/>
        <v>210669</v>
      </c>
      <c r="F869" s="69">
        <v>210669</v>
      </c>
      <c r="G869" s="133">
        <f t="shared" si="169"/>
        <v>0</v>
      </c>
      <c r="H869" s="8">
        <f t="shared" si="157"/>
        <v>313265</v>
      </c>
      <c r="I869" s="8">
        <v>313265</v>
      </c>
      <c r="J869" s="13">
        <f t="shared" si="161"/>
        <v>0</v>
      </c>
      <c r="K869" s="138"/>
      <c r="L869" s="8">
        <f t="shared" si="155"/>
        <v>834463</v>
      </c>
      <c r="M869" s="8">
        <v>835432</v>
      </c>
      <c r="N869" s="13">
        <f t="shared" si="163"/>
        <v>969</v>
      </c>
      <c r="O869" s="136"/>
      <c r="P869" s="8">
        <f t="shared" si="160"/>
        <v>458219</v>
      </c>
      <c r="Q869" s="8">
        <v>458595</v>
      </c>
      <c r="R869" s="133">
        <f t="shared" si="168"/>
        <v>376</v>
      </c>
      <c r="S869" s="8">
        <f t="shared" si="158"/>
        <v>28048</v>
      </c>
      <c r="T869" s="8">
        <v>28081</v>
      </c>
      <c r="U869" s="133">
        <f t="shared" si="167"/>
        <v>33</v>
      </c>
      <c r="V869" s="8">
        <f t="shared" si="159"/>
        <v>353986</v>
      </c>
      <c r="W869" s="8">
        <v>353986</v>
      </c>
      <c r="X869" s="13">
        <f t="shared" si="152"/>
        <v>0</v>
      </c>
      <c r="Y869" s="8">
        <f t="shared" si="153"/>
        <v>33044</v>
      </c>
      <c r="Z869" s="8">
        <v>33062</v>
      </c>
      <c r="AA869" s="13">
        <f t="shared" si="165"/>
        <v>18</v>
      </c>
      <c r="AB869" s="8">
        <f t="shared" si="156"/>
        <v>2586</v>
      </c>
      <c r="AC869" s="8">
        <v>2798</v>
      </c>
      <c r="AD869" s="13">
        <f t="shared" si="166"/>
        <v>212</v>
      </c>
      <c r="AE869" s="135"/>
      <c r="AF869" s="135"/>
      <c r="AG869" s="135"/>
      <c r="AH869" s="136"/>
      <c r="AI869" s="50">
        <f t="shared" si="162"/>
        <v>427</v>
      </c>
    </row>
    <row r="870" spans="1:35">
      <c r="A870" s="12">
        <v>45245</v>
      </c>
      <c r="B870" s="8">
        <f t="shared" si="154"/>
        <v>1905692</v>
      </c>
      <c r="C870" s="8">
        <v>1906469</v>
      </c>
      <c r="D870" s="13">
        <f t="shared" si="170"/>
        <v>777</v>
      </c>
      <c r="E870" s="77">
        <f t="shared" si="151"/>
        <v>210669</v>
      </c>
      <c r="F870" s="69">
        <v>210669</v>
      </c>
      <c r="G870" s="133">
        <f t="shared" si="169"/>
        <v>0</v>
      </c>
      <c r="H870" s="8">
        <f t="shared" si="157"/>
        <v>313265</v>
      </c>
      <c r="I870" s="8">
        <v>313265</v>
      </c>
      <c r="J870" s="13">
        <f t="shared" si="161"/>
        <v>0</v>
      </c>
      <c r="K870" s="138"/>
      <c r="L870" s="8">
        <f t="shared" si="155"/>
        <v>835432</v>
      </c>
      <c r="M870" s="8">
        <v>836676</v>
      </c>
      <c r="N870" s="13">
        <f t="shared" si="163"/>
        <v>1244</v>
      </c>
      <c r="O870" s="136"/>
      <c r="P870" s="8">
        <f t="shared" si="160"/>
        <v>458595</v>
      </c>
      <c r="Q870" s="8">
        <v>459187</v>
      </c>
      <c r="R870" s="133">
        <f t="shared" si="168"/>
        <v>592</v>
      </c>
      <c r="S870" s="8">
        <f t="shared" si="158"/>
        <v>28081</v>
      </c>
      <c r="T870" s="8">
        <v>28134</v>
      </c>
      <c r="U870" s="133">
        <f t="shared" si="167"/>
        <v>53</v>
      </c>
      <c r="V870" s="8">
        <f t="shared" si="159"/>
        <v>353986</v>
      </c>
      <c r="W870" s="8">
        <v>353986</v>
      </c>
      <c r="X870" s="13">
        <f t="shared" si="152"/>
        <v>0</v>
      </c>
      <c r="Y870" s="8">
        <f t="shared" si="153"/>
        <v>33062</v>
      </c>
      <c r="Z870" s="8">
        <v>33077</v>
      </c>
      <c r="AA870" s="13">
        <f t="shared" si="165"/>
        <v>15</v>
      </c>
      <c r="AB870" s="8">
        <f t="shared" si="156"/>
        <v>2798</v>
      </c>
      <c r="AC870" s="8">
        <v>3023</v>
      </c>
      <c r="AD870" s="13">
        <f t="shared" si="166"/>
        <v>225</v>
      </c>
      <c r="AE870" s="135"/>
      <c r="AF870" s="135"/>
      <c r="AG870" s="135"/>
      <c r="AH870" s="136"/>
      <c r="AI870" s="50">
        <f t="shared" si="162"/>
        <v>660</v>
      </c>
    </row>
    <row r="871" spans="1:35">
      <c r="A871" s="12">
        <v>45246</v>
      </c>
      <c r="B871" s="8">
        <f t="shared" si="154"/>
        <v>1906469</v>
      </c>
      <c r="C871" s="8">
        <v>1906851</v>
      </c>
      <c r="D871" s="13">
        <f t="shared" si="170"/>
        <v>382</v>
      </c>
      <c r="E871" s="77">
        <f t="shared" si="151"/>
        <v>210669</v>
      </c>
      <c r="F871" s="69">
        <v>210669</v>
      </c>
      <c r="G871" s="133">
        <f t="shared" si="169"/>
        <v>0</v>
      </c>
      <c r="H871" s="8">
        <f t="shared" si="157"/>
        <v>313265</v>
      </c>
      <c r="I871" s="8">
        <v>313265</v>
      </c>
      <c r="J871" s="13">
        <f t="shared" si="161"/>
        <v>0</v>
      </c>
      <c r="K871" s="138"/>
      <c r="L871" s="8">
        <f t="shared" si="155"/>
        <v>836676</v>
      </c>
      <c r="M871" s="8">
        <v>837693</v>
      </c>
      <c r="N871" s="13">
        <f t="shared" si="163"/>
        <v>1017</v>
      </c>
      <c r="O871" s="136"/>
      <c r="P871" s="8">
        <f t="shared" si="160"/>
        <v>459187</v>
      </c>
      <c r="Q871" s="8">
        <v>459295</v>
      </c>
      <c r="R871" s="133">
        <f t="shared" si="168"/>
        <v>108</v>
      </c>
      <c r="S871" s="8">
        <f t="shared" si="158"/>
        <v>28134</v>
      </c>
      <c r="T871" s="8">
        <v>28186</v>
      </c>
      <c r="U871" s="133">
        <f t="shared" si="167"/>
        <v>52</v>
      </c>
      <c r="V871" s="8">
        <f t="shared" si="159"/>
        <v>353986</v>
      </c>
      <c r="W871" s="8">
        <v>353986</v>
      </c>
      <c r="X871" s="13">
        <f t="shared" si="152"/>
        <v>0</v>
      </c>
      <c r="Y871" s="8">
        <f t="shared" si="153"/>
        <v>33077</v>
      </c>
      <c r="Z871" s="8">
        <v>33094</v>
      </c>
      <c r="AA871" s="13">
        <f t="shared" si="165"/>
        <v>17</v>
      </c>
      <c r="AB871" s="8">
        <f t="shared" si="156"/>
        <v>3023</v>
      </c>
      <c r="AC871" s="8">
        <v>3134</v>
      </c>
      <c r="AD871" s="13">
        <f t="shared" si="166"/>
        <v>111</v>
      </c>
      <c r="AE871" s="135"/>
      <c r="AF871" s="135"/>
      <c r="AG871" s="135"/>
      <c r="AH871" s="136"/>
      <c r="AI871" s="50">
        <f t="shared" si="162"/>
        <v>177</v>
      </c>
    </row>
    <row r="872" spans="1:35">
      <c r="A872" s="12">
        <v>45247</v>
      </c>
      <c r="B872" s="8">
        <f t="shared" si="154"/>
        <v>1906851</v>
      </c>
      <c r="C872" s="8">
        <v>1907091</v>
      </c>
      <c r="D872" s="13">
        <f t="shared" si="170"/>
        <v>240</v>
      </c>
      <c r="E872" s="77">
        <f t="shared" si="151"/>
        <v>210669</v>
      </c>
      <c r="F872" s="69">
        <v>210669</v>
      </c>
      <c r="G872" s="133">
        <f t="shared" si="169"/>
        <v>0</v>
      </c>
      <c r="H872" s="8">
        <f t="shared" si="157"/>
        <v>313265</v>
      </c>
      <c r="I872" s="8">
        <v>313265</v>
      </c>
      <c r="J872" s="13">
        <f t="shared" si="161"/>
        <v>0</v>
      </c>
      <c r="K872" s="138"/>
      <c r="L872" s="8">
        <f t="shared" si="155"/>
        <v>837693</v>
      </c>
      <c r="M872" s="8">
        <v>838563</v>
      </c>
      <c r="N872" s="13">
        <f t="shared" si="163"/>
        <v>870</v>
      </c>
      <c r="O872" s="136"/>
      <c r="P872" s="8">
        <f t="shared" si="160"/>
        <v>459295</v>
      </c>
      <c r="Q872" s="8">
        <v>459754</v>
      </c>
      <c r="R872" s="133">
        <f t="shared" si="168"/>
        <v>459</v>
      </c>
      <c r="S872" s="8">
        <f t="shared" si="158"/>
        <v>28186</v>
      </c>
      <c r="T872" s="8">
        <v>28237</v>
      </c>
      <c r="U872" s="133">
        <f t="shared" si="167"/>
        <v>51</v>
      </c>
      <c r="V872" s="8">
        <f t="shared" si="159"/>
        <v>353986</v>
      </c>
      <c r="W872" s="8">
        <v>353986</v>
      </c>
      <c r="X872" s="13">
        <f t="shared" si="152"/>
        <v>0</v>
      </c>
      <c r="Y872" s="8">
        <f t="shared" si="153"/>
        <v>33094</v>
      </c>
      <c r="Z872" s="8">
        <v>33117</v>
      </c>
      <c r="AA872" s="13">
        <f t="shared" si="165"/>
        <v>23</v>
      </c>
      <c r="AB872" s="8">
        <v>238104</v>
      </c>
      <c r="AC872" s="8">
        <v>238195</v>
      </c>
      <c r="AD872" s="13">
        <f t="shared" si="166"/>
        <v>91</v>
      </c>
      <c r="AE872" s="135"/>
      <c r="AF872" s="135"/>
      <c r="AG872" s="135"/>
      <c r="AH872" s="136"/>
      <c r="AI872" s="50">
        <f t="shared" si="162"/>
        <v>533</v>
      </c>
    </row>
    <row r="873" spans="1:35">
      <c r="A873" s="12">
        <v>45248</v>
      </c>
      <c r="B873" s="8">
        <f t="shared" si="154"/>
        <v>1907091</v>
      </c>
      <c r="C873" s="8">
        <v>1907549</v>
      </c>
      <c r="D873" s="13">
        <f t="shared" si="170"/>
        <v>458</v>
      </c>
      <c r="E873" s="77">
        <f t="shared" si="151"/>
        <v>210669</v>
      </c>
      <c r="F873" s="69">
        <v>210669</v>
      </c>
      <c r="G873" s="133">
        <f t="shared" si="169"/>
        <v>0</v>
      </c>
      <c r="H873" s="8">
        <f t="shared" si="157"/>
        <v>313265</v>
      </c>
      <c r="I873" s="8">
        <v>313823</v>
      </c>
      <c r="J873" s="13">
        <f t="shared" si="161"/>
        <v>558</v>
      </c>
      <c r="K873" s="138"/>
      <c r="L873" s="8">
        <f t="shared" si="155"/>
        <v>838563</v>
      </c>
      <c r="M873" s="8">
        <v>839110</v>
      </c>
      <c r="N873" s="13">
        <f t="shared" si="163"/>
        <v>547</v>
      </c>
      <c r="O873" s="136"/>
      <c r="P873" s="8">
        <f t="shared" si="160"/>
        <v>459754</v>
      </c>
      <c r="Q873" s="8">
        <v>459815</v>
      </c>
      <c r="R873" s="133">
        <f t="shared" si="168"/>
        <v>61</v>
      </c>
      <c r="S873" s="8">
        <f t="shared" si="158"/>
        <v>28237</v>
      </c>
      <c r="T873" s="8">
        <v>28298</v>
      </c>
      <c r="U873" s="133">
        <f t="shared" si="167"/>
        <v>61</v>
      </c>
      <c r="V873" s="8">
        <f t="shared" si="159"/>
        <v>353986</v>
      </c>
      <c r="W873" s="8">
        <v>353986</v>
      </c>
      <c r="X873" s="13">
        <f t="shared" si="152"/>
        <v>0</v>
      </c>
      <c r="Y873" s="8">
        <f t="shared" si="153"/>
        <v>33117</v>
      </c>
      <c r="Z873" s="8">
        <v>33132</v>
      </c>
      <c r="AA873" s="13">
        <f t="shared" si="165"/>
        <v>15</v>
      </c>
      <c r="AB873" s="8">
        <f t="shared" si="156"/>
        <v>238195</v>
      </c>
      <c r="AC873" s="8">
        <v>238298</v>
      </c>
      <c r="AD873" s="13">
        <f t="shared" si="166"/>
        <v>103</v>
      </c>
      <c r="AE873" s="135"/>
      <c r="AF873" s="135"/>
      <c r="AG873" s="135"/>
      <c r="AH873" s="136"/>
      <c r="AI873" s="50">
        <f t="shared" si="162"/>
        <v>137</v>
      </c>
    </row>
    <row r="874" spans="1:35">
      <c r="A874" s="12">
        <v>45249</v>
      </c>
      <c r="B874" s="8">
        <f t="shared" si="154"/>
        <v>1907549</v>
      </c>
      <c r="C874" s="8">
        <v>1907891</v>
      </c>
      <c r="D874" s="13">
        <f t="shared" si="170"/>
        <v>342</v>
      </c>
      <c r="E874" s="77">
        <f t="shared" ref="E874:E937" si="171">F873</f>
        <v>210669</v>
      </c>
      <c r="F874" s="69">
        <v>210669</v>
      </c>
      <c r="G874" s="133">
        <f t="shared" si="169"/>
        <v>0</v>
      </c>
      <c r="H874" s="8">
        <f t="shared" si="157"/>
        <v>313823</v>
      </c>
      <c r="I874" s="8">
        <v>314426</v>
      </c>
      <c r="J874" s="13">
        <f t="shared" si="161"/>
        <v>603</v>
      </c>
      <c r="K874" s="138"/>
      <c r="L874" s="8">
        <f t="shared" si="155"/>
        <v>839110</v>
      </c>
      <c r="M874" s="8">
        <v>839529</v>
      </c>
      <c r="N874" s="13">
        <f t="shared" si="163"/>
        <v>419</v>
      </c>
      <c r="O874" s="136"/>
      <c r="P874" s="8">
        <f t="shared" si="160"/>
        <v>459815</v>
      </c>
      <c r="Q874" s="8">
        <v>459815</v>
      </c>
      <c r="R874" s="133">
        <f t="shared" si="168"/>
        <v>0</v>
      </c>
      <c r="S874" s="8">
        <f t="shared" si="158"/>
        <v>28298</v>
      </c>
      <c r="T874" s="8">
        <v>28330</v>
      </c>
      <c r="U874" s="133">
        <f t="shared" si="167"/>
        <v>32</v>
      </c>
      <c r="V874" s="8">
        <f t="shared" si="159"/>
        <v>353986</v>
      </c>
      <c r="W874" s="8">
        <v>353986</v>
      </c>
      <c r="X874" s="13">
        <f t="shared" ref="X874:X937" si="172">W874-V874</f>
        <v>0</v>
      </c>
      <c r="Y874" s="8">
        <f t="shared" ref="Y874:Y937" si="173">Z873</f>
        <v>33132</v>
      </c>
      <c r="Z874" s="8">
        <v>33148</v>
      </c>
      <c r="AA874" s="13">
        <f t="shared" si="165"/>
        <v>16</v>
      </c>
      <c r="AB874" s="8">
        <f t="shared" si="156"/>
        <v>238298</v>
      </c>
      <c r="AC874" s="8">
        <v>238407</v>
      </c>
      <c r="AD874" s="13">
        <f t="shared" si="166"/>
        <v>109</v>
      </c>
      <c r="AE874" s="135"/>
      <c r="AF874" s="135"/>
      <c r="AG874" s="135"/>
      <c r="AH874" s="136"/>
      <c r="AI874" s="50">
        <f t="shared" si="162"/>
        <v>48</v>
      </c>
    </row>
    <row r="875" spans="1:35">
      <c r="A875" s="12">
        <v>45250</v>
      </c>
      <c r="B875" s="8">
        <f t="shared" si="154"/>
        <v>1907891</v>
      </c>
      <c r="C875" s="8">
        <v>1908374</v>
      </c>
      <c r="D875" s="13">
        <f t="shared" si="170"/>
        <v>483</v>
      </c>
      <c r="E875" s="77">
        <f t="shared" si="171"/>
        <v>210669</v>
      </c>
      <c r="F875" s="69">
        <v>210669</v>
      </c>
      <c r="G875" s="133">
        <f t="shared" si="169"/>
        <v>0</v>
      </c>
      <c r="H875" s="8">
        <f t="shared" si="157"/>
        <v>314426</v>
      </c>
      <c r="I875" s="8">
        <v>314521</v>
      </c>
      <c r="J875" s="13">
        <f t="shared" si="161"/>
        <v>95</v>
      </c>
      <c r="K875" s="138"/>
      <c r="L875" s="8">
        <f t="shared" si="155"/>
        <v>839529</v>
      </c>
      <c r="M875" s="8">
        <v>840714</v>
      </c>
      <c r="N875" s="13">
        <f t="shared" si="163"/>
        <v>1185</v>
      </c>
      <c r="O875" s="136"/>
      <c r="P875" s="8">
        <f t="shared" si="160"/>
        <v>459815</v>
      </c>
      <c r="Q875" s="8">
        <v>459825</v>
      </c>
      <c r="R875" s="133">
        <f t="shared" si="168"/>
        <v>10</v>
      </c>
      <c r="S875" s="8">
        <f t="shared" si="158"/>
        <v>28330</v>
      </c>
      <c r="T875" s="8">
        <v>28383</v>
      </c>
      <c r="U875" s="133">
        <f t="shared" si="167"/>
        <v>53</v>
      </c>
      <c r="V875" s="8">
        <f t="shared" si="159"/>
        <v>353986</v>
      </c>
      <c r="W875" s="8">
        <v>353986</v>
      </c>
      <c r="X875" s="13">
        <f t="shared" si="172"/>
        <v>0</v>
      </c>
      <c r="Y875" s="8">
        <f t="shared" si="173"/>
        <v>33148</v>
      </c>
      <c r="Z875" s="8">
        <v>33164</v>
      </c>
      <c r="AA875" s="13">
        <f t="shared" si="165"/>
        <v>16</v>
      </c>
      <c r="AB875" s="8">
        <f t="shared" si="156"/>
        <v>238407</v>
      </c>
      <c r="AC875" s="8">
        <v>238517</v>
      </c>
      <c r="AD875" s="13">
        <f t="shared" si="166"/>
        <v>110</v>
      </c>
      <c r="AE875" s="135"/>
      <c r="AF875" s="135"/>
      <c r="AG875" s="135"/>
      <c r="AH875" s="136"/>
      <c r="AI875" s="50">
        <f t="shared" si="162"/>
        <v>79</v>
      </c>
    </row>
    <row r="876" spans="1:35">
      <c r="A876" s="12">
        <v>45251</v>
      </c>
      <c r="B876" s="8">
        <f t="shared" si="154"/>
        <v>1908374</v>
      </c>
      <c r="C876" s="8">
        <v>1908942</v>
      </c>
      <c r="D876" s="13">
        <f t="shared" si="170"/>
        <v>568</v>
      </c>
      <c r="E876" s="77">
        <f t="shared" si="171"/>
        <v>210669</v>
      </c>
      <c r="F876" s="69">
        <v>210669</v>
      </c>
      <c r="G876" s="133">
        <f t="shared" si="169"/>
        <v>0</v>
      </c>
      <c r="H876" s="8">
        <f t="shared" si="157"/>
        <v>314521</v>
      </c>
      <c r="I876" s="8">
        <v>314521</v>
      </c>
      <c r="J876" s="13">
        <f t="shared" si="161"/>
        <v>0</v>
      </c>
      <c r="K876" s="138"/>
      <c r="L876" s="8">
        <f t="shared" si="155"/>
        <v>840714</v>
      </c>
      <c r="M876" s="8">
        <v>841815</v>
      </c>
      <c r="N876" s="13">
        <f t="shared" si="163"/>
        <v>1101</v>
      </c>
      <c r="O876" s="136"/>
      <c r="P876" s="8">
        <f t="shared" si="160"/>
        <v>459825</v>
      </c>
      <c r="Q876" s="8">
        <v>460368</v>
      </c>
      <c r="R876" s="133">
        <f t="shared" si="168"/>
        <v>543</v>
      </c>
      <c r="S876" s="8">
        <f t="shared" si="158"/>
        <v>28383</v>
      </c>
      <c r="T876" s="8">
        <v>28404</v>
      </c>
      <c r="U876" s="133">
        <f t="shared" si="167"/>
        <v>21</v>
      </c>
      <c r="V876" s="8">
        <f t="shared" si="159"/>
        <v>353986</v>
      </c>
      <c r="W876" s="8">
        <v>353986</v>
      </c>
      <c r="X876" s="13">
        <f t="shared" si="172"/>
        <v>0</v>
      </c>
      <c r="Y876" s="8">
        <f t="shared" si="173"/>
        <v>33164</v>
      </c>
      <c r="Z876" s="8">
        <v>33183</v>
      </c>
      <c r="AA876" s="13">
        <f t="shared" si="165"/>
        <v>19</v>
      </c>
      <c r="AB876" s="8">
        <f t="shared" si="156"/>
        <v>238517</v>
      </c>
      <c r="AC876" s="8">
        <v>238607</v>
      </c>
      <c r="AD876" s="13">
        <f t="shared" si="166"/>
        <v>90</v>
      </c>
      <c r="AE876" s="135"/>
      <c r="AF876" s="135"/>
      <c r="AG876" s="135"/>
      <c r="AH876" s="136"/>
      <c r="AI876" s="50">
        <f t="shared" si="162"/>
        <v>583</v>
      </c>
    </row>
    <row r="877" spans="1:35">
      <c r="A877" s="12">
        <v>45252</v>
      </c>
      <c r="B877" s="8">
        <f t="shared" ref="B877:B941" si="174">C876</f>
        <v>1908942</v>
      </c>
      <c r="C877" s="8">
        <v>1909319</v>
      </c>
      <c r="D877" s="13">
        <f t="shared" si="170"/>
        <v>377</v>
      </c>
      <c r="E877" s="77">
        <f t="shared" si="171"/>
        <v>210669</v>
      </c>
      <c r="F877" s="69">
        <v>210669</v>
      </c>
      <c r="G877" s="133">
        <f t="shared" si="169"/>
        <v>0</v>
      </c>
      <c r="H877" s="8">
        <f t="shared" si="157"/>
        <v>314521</v>
      </c>
      <c r="I877" s="8">
        <v>314521</v>
      </c>
      <c r="J877" s="13">
        <f t="shared" si="161"/>
        <v>0</v>
      </c>
      <c r="K877" s="138"/>
      <c r="L877" s="8">
        <f t="shared" ref="L877:L941" si="175">M876</f>
        <v>841815</v>
      </c>
      <c r="M877" s="8">
        <v>842873</v>
      </c>
      <c r="N877" s="13">
        <f t="shared" si="163"/>
        <v>1058</v>
      </c>
      <c r="O877" s="136"/>
      <c r="P877" s="8">
        <f t="shared" si="160"/>
        <v>460368</v>
      </c>
      <c r="Q877" s="8">
        <v>460947</v>
      </c>
      <c r="R877" s="133">
        <f t="shared" si="168"/>
        <v>579</v>
      </c>
      <c r="S877" s="8">
        <f t="shared" si="158"/>
        <v>28404</v>
      </c>
      <c r="T877" s="8">
        <v>28460</v>
      </c>
      <c r="U877" s="133">
        <f t="shared" si="167"/>
        <v>56</v>
      </c>
      <c r="V877" s="8">
        <f t="shared" si="159"/>
        <v>353986</v>
      </c>
      <c r="W877" s="8">
        <v>353986</v>
      </c>
      <c r="X877" s="13">
        <f t="shared" si="172"/>
        <v>0</v>
      </c>
      <c r="Y877" s="8">
        <f t="shared" si="173"/>
        <v>33183</v>
      </c>
      <c r="Z877" s="8">
        <v>33200</v>
      </c>
      <c r="AA877" s="13">
        <f t="shared" si="165"/>
        <v>17</v>
      </c>
      <c r="AB877" s="8">
        <f t="shared" ref="AB877:AB941" si="176">AC876</f>
        <v>238607</v>
      </c>
      <c r="AC877" s="8">
        <v>238693</v>
      </c>
      <c r="AD877" s="13">
        <f t="shared" si="166"/>
        <v>86</v>
      </c>
      <c r="AE877" s="135"/>
      <c r="AF877" s="135"/>
      <c r="AG877" s="135"/>
      <c r="AH877" s="136"/>
      <c r="AI877" s="50">
        <f t="shared" si="162"/>
        <v>652</v>
      </c>
    </row>
    <row r="878" spans="1:35">
      <c r="A878" s="12">
        <v>45253</v>
      </c>
      <c r="B878" s="8">
        <f t="shared" si="174"/>
        <v>1909319</v>
      </c>
      <c r="C878" s="8">
        <v>1909696</v>
      </c>
      <c r="D878" s="13">
        <f t="shared" si="170"/>
        <v>377</v>
      </c>
      <c r="E878" s="77">
        <f t="shared" si="171"/>
        <v>210669</v>
      </c>
      <c r="F878" s="69">
        <v>210669</v>
      </c>
      <c r="G878" s="133">
        <f t="shared" si="169"/>
        <v>0</v>
      </c>
      <c r="H878" s="8">
        <f t="shared" ref="H878:H941" si="177">I877</f>
        <v>314521</v>
      </c>
      <c r="I878" s="8">
        <v>314521</v>
      </c>
      <c r="J878" s="13">
        <f t="shared" si="161"/>
        <v>0</v>
      </c>
      <c r="K878" s="138"/>
      <c r="L878" s="8">
        <f t="shared" si="175"/>
        <v>842873</v>
      </c>
      <c r="M878" s="8">
        <v>843979</v>
      </c>
      <c r="N878" s="13">
        <f t="shared" si="163"/>
        <v>1106</v>
      </c>
      <c r="O878" s="136"/>
      <c r="P878" s="8">
        <f t="shared" si="160"/>
        <v>460947</v>
      </c>
      <c r="Q878" s="8">
        <v>461515</v>
      </c>
      <c r="R878" s="133">
        <f t="shared" si="168"/>
        <v>568</v>
      </c>
      <c r="S878" s="8">
        <f t="shared" ref="S878:S941" si="178">T877</f>
        <v>28460</v>
      </c>
      <c r="T878" s="8">
        <v>28501</v>
      </c>
      <c r="U878" s="133">
        <f t="shared" si="167"/>
        <v>41</v>
      </c>
      <c r="V878" s="8">
        <f t="shared" ref="V878:V941" si="179">W877</f>
        <v>353986</v>
      </c>
      <c r="W878" s="8">
        <v>353986</v>
      </c>
      <c r="X878" s="13">
        <f t="shared" si="172"/>
        <v>0</v>
      </c>
      <c r="Y878" s="8">
        <f t="shared" si="173"/>
        <v>33200</v>
      </c>
      <c r="Z878" s="8">
        <v>33223</v>
      </c>
      <c r="AA878" s="13">
        <f t="shared" si="165"/>
        <v>23</v>
      </c>
      <c r="AB878" s="8">
        <f t="shared" si="176"/>
        <v>238693</v>
      </c>
      <c r="AC878" s="8">
        <v>238776</v>
      </c>
      <c r="AD878" s="13">
        <f t="shared" si="166"/>
        <v>83</v>
      </c>
      <c r="AE878" s="135"/>
      <c r="AF878" s="135"/>
      <c r="AG878" s="135"/>
      <c r="AH878" s="136"/>
      <c r="AI878" s="50">
        <f t="shared" si="162"/>
        <v>632</v>
      </c>
    </row>
    <row r="879" spans="1:35">
      <c r="A879" s="12">
        <v>45254</v>
      </c>
      <c r="B879" s="8">
        <f t="shared" si="174"/>
        <v>1909696</v>
      </c>
      <c r="C879" s="8">
        <v>1910106</v>
      </c>
      <c r="D879" s="13">
        <f t="shared" si="170"/>
        <v>410</v>
      </c>
      <c r="E879" s="77">
        <f t="shared" si="171"/>
        <v>210669</v>
      </c>
      <c r="F879" s="69">
        <v>210669</v>
      </c>
      <c r="G879" s="133">
        <f t="shared" si="169"/>
        <v>0</v>
      </c>
      <c r="H879" s="8">
        <f t="shared" si="177"/>
        <v>314521</v>
      </c>
      <c r="I879" s="8">
        <v>314521</v>
      </c>
      <c r="J879" s="13">
        <f t="shared" si="161"/>
        <v>0</v>
      </c>
      <c r="K879" s="138"/>
      <c r="L879" s="8">
        <f t="shared" si="175"/>
        <v>843979</v>
      </c>
      <c r="M879" s="8">
        <v>845085</v>
      </c>
      <c r="N879" s="13">
        <f t="shared" si="163"/>
        <v>1106</v>
      </c>
      <c r="O879" s="136"/>
      <c r="P879" s="8">
        <f t="shared" si="160"/>
        <v>461515</v>
      </c>
      <c r="Q879" s="8">
        <v>462087</v>
      </c>
      <c r="R879" s="133">
        <f t="shared" si="168"/>
        <v>572</v>
      </c>
      <c r="S879" s="8">
        <f t="shared" si="178"/>
        <v>28501</v>
      </c>
      <c r="T879" s="8">
        <v>28558</v>
      </c>
      <c r="U879" s="133">
        <f t="shared" si="167"/>
        <v>57</v>
      </c>
      <c r="V879" s="8">
        <f t="shared" si="179"/>
        <v>353986</v>
      </c>
      <c r="W879" s="8">
        <v>353986</v>
      </c>
      <c r="X879" s="13">
        <f t="shared" si="172"/>
        <v>0</v>
      </c>
      <c r="Y879" s="8">
        <f t="shared" si="173"/>
        <v>33223</v>
      </c>
      <c r="Z879" s="8">
        <v>33272</v>
      </c>
      <c r="AA879" s="13">
        <f t="shared" si="165"/>
        <v>49</v>
      </c>
      <c r="AB879" s="8">
        <f t="shared" si="176"/>
        <v>238776</v>
      </c>
      <c r="AC879" s="8">
        <v>238851</v>
      </c>
      <c r="AD879" s="13">
        <f t="shared" si="166"/>
        <v>75</v>
      </c>
      <c r="AE879" s="135"/>
      <c r="AF879" s="135"/>
      <c r="AG879" s="135"/>
      <c r="AH879" s="136"/>
      <c r="AI879" s="50">
        <f t="shared" si="162"/>
        <v>678</v>
      </c>
    </row>
    <row r="880" spans="1:35">
      <c r="A880" s="12">
        <v>45255</v>
      </c>
      <c r="B880" s="8">
        <f t="shared" si="174"/>
        <v>1910106</v>
      </c>
      <c r="C880" s="8">
        <v>1910220</v>
      </c>
      <c r="D880" s="13">
        <f t="shared" si="170"/>
        <v>114</v>
      </c>
      <c r="E880" s="77">
        <f t="shared" si="171"/>
        <v>210669</v>
      </c>
      <c r="F880" s="69">
        <v>210669</v>
      </c>
      <c r="G880" s="133">
        <f t="shared" si="169"/>
        <v>0</v>
      </c>
      <c r="H880" s="8">
        <f t="shared" si="177"/>
        <v>314521</v>
      </c>
      <c r="I880" s="8">
        <v>314521</v>
      </c>
      <c r="J880" s="13">
        <f t="shared" si="161"/>
        <v>0</v>
      </c>
      <c r="K880" s="138"/>
      <c r="L880" s="8">
        <f t="shared" si="175"/>
        <v>845085</v>
      </c>
      <c r="M880" s="8">
        <v>846051</v>
      </c>
      <c r="N880" s="13">
        <f t="shared" si="163"/>
        <v>966</v>
      </c>
      <c r="O880" s="136"/>
      <c r="P880" s="8">
        <f t="shared" ref="P880:P943" si="180">Q879</f>
        <v>462087</v>
      </c>
      <c r="Q880" s="8">
        <v>462626</v>
      </c>
      <c r="R880" s="133">
        <f t="shared" si="168"/>
        <v>539</v>
      </c>
      <c r="S880" s="8">
        <f t="shared" si="178"/>
        <v>28558</v>
      </c>
      <c r="T880" s="8">
        <v>28594</v>
      </c>
      <c r="U880" s="133">
        <f t="shared" si="167"/>
        <v>36</v>
      </c>
      <c r="V880" s="8">
        <f t="shared" si="179"/>
        <v>353986</v>
      </c>
      <c r="W880" s="8">
        <v>353986</v>
      </c>
      <c r="X880" s="13">
        <f t="shared" si="172"/>
        <v>0</v>
      </c>
      <c r="Y880" s="8">
        <f t="shared" si="173"/>
        <v>33272</v>
      </c>
      <c r="Z880" s="8">
        <v>33298</v>
      </c>
      <c r="AA880" s="13">
        <f t="shared" si="165"/>
        <v>26</v>
      </c>
      <c r="AB880" s="8">
        <f t="shared" si="176"/>
        <v>238851</v>
      </c>
      <c r="AC880" s="8">
        <v>238892</v>
      </c>
      <c r="AD880" s="13">
        <f t="shared" si="166"/>
        <v>41</v>
      </c>
      <c r="AE880" s="135"/>
      <c r="AF880" s="135"/>
      <c r="AG880" s="135"/>
      <c r="AH880" s="136"/>
      <c r="AI880" s="50">
        <f t="shared" si="162"/>
        <v>601</v>
      </c>
    </row>
    <row r="881" spans="1:35">
      <c r="A881" s="12">
        <v>45256</v>
      </c>
      <c r="B881" s="8">
        <f t="shared" si="174"/>
        <v>1910220</v>
      </c>
      <c r="C881" s="8">
        <v>1910229</v>
      </c>
      <c r="D881" s="13">
        <f t="shared" si="170"/>
        <v>9</v>
      </c>
      <c r="E881" s="77">
        <f t="shared" si="171"/>
        <v>210669</v>
      </c>
      <c r="F881" s="69">
        <v>210669</v>
      </c>
      <c r="G881" s="133">
        <f t="shared" si="169"/>
        <v>0</v>
      </c>
      <c r="H881" s="8">
        <f t="shared" si="177"/>
        <v>314521</v>
      </c>
      <c r="I881" s="8">
        <v>315173</v>
      </c>
      <c r="J881" s="13">
        <f t="shared" si="161"/>
        <v>652</v>
      </c>
      <c r="K881" s="138"/>
      <c r="L881" s="8">
        <f t="shared" si="175"/>
        <v>846051</v>
      </c>
      <c r="M881" s="8">
        <v>846321</v>
      </c>
      <c r="N881" s="13">
        <f t="shared" si="163"/>
        <v>270</v>
      </c>
      <c r="O881" s="136"/>
      <c r="P881" s="8">
        <f t="shared" si="180"/>
        <v>462626</v>
      </c>
      <c r="Q881" s="8">
        <v>463129</v>
      </c>
      <c r="R881" s="133">
        <f t="shared" si="168"/>
        <v>503</v>
      </c>
      <c r="S881" s="8">
        <f t="shared" si="178"/>
        <v>28594</v>
      </c>
      <c r="T881" s="8">
        <v>28634</v>
      </c>
      <c r="U881" s="133">
        <f t="shared" si="167"/>
        <v>40</v>
      </c>
      <c r="V881" s="8">
        <f t="shared" si="179"/>
        <v>353986</v>
      </c>
      <c r="W881" s="8">
        <v>353986</v>
      </c>
      <c r="X881" s="13">
        <f t="shared" si="172"/>
        <v>0</v>
      </c>
      <c r="Y881" s="8">
        <f t="shared" si="173"/>
        <v>33298</v>
      </c>
      <c r="Z881" s="8">
        <v>33347</v>
      </c>
      <c r="AA881" s="13">
        <f t="shared" si="165"/>
        <v>49</v>
      </c>
      <c r="AB881" s="8">
        <f t="shared" si="176"/>
        <v>238892</v>
      </c>
      <c r="AC881" s="8">
        <v>238903</v>
      </c>
      <c r="AD881" s="13">
        <f t="shared" si="166"/>
        <v>11</v>
      </c>
      <c r="AE881" s="135"/>
      <c r="AF881" s="135"/>
      <c r="AG881" s="135"/>
      <c r="AH881" s="136"/>
      <c r="AI881" s="50">
        <f t="shared" si="162"/>
        <v>592</v>
      </c>
    </row>
    <row r="882" spans="1:35">
      <c r="A882" s="12">
        <v>45257</v>
      </c>
      <c r="B882" s="8">
        <f t="shared" si="174"/>
        <v>1910229</v>
      </c>
      <c r="C882" s="8">
        <v>1910229</v>
      </c>
      <c r="D882" s="13">
        <f t="shared" si="170"/>
        <v>0</v>
      </c>
      <c r="E882" s="77">
        <f t="shared" si="171"/>
        <v>210669</v>
      </c>
      <c r="F882" s="69">
        <v>210669</v>
      </c>
      <c r="G882" s="133">
        <f t="shared" si="169"/>
        <v>0</v>
      </c>
      <c r="H882" s="8">
        <f t="shared" si="177"/>
        <v>315173</v>
      </c>
      <c r="I882" s="8">
        <v>315933</v>
      </c>
      <c r="J882" s="13">
        <f t="shared" si="161"/>
        <v>760</v>
      </c>
      <c r="K882" s="138"/>
      <c r="L882" s="8">
        <f t="shared" si="175"/>
        <v>846321</v>
      </c>
      <c r="M882" s="8">
        <v>846738</v>
      </c>
      <c r="N882" s="13">
        <f t="shared" si="163"/>
        <v>417</v>
      </c>
      <c r="O882" s="136"/>
      <c r="P882" s="8">
        <f t="shared" si="180"/>
        <v>463129</v>
      </c>
      <c r="Q882" s="8">
        <v>463698</v>
      </c>
      <c r="R882" s="133">
        <f t="shared" si="168"/>
        <v>569</v>
      </c>
      <c r="S882" s="8">
        <f t="shared" si="178"/>
        <v>28634</v>
      </c>
      <c r="T882" s="8">
        <v>28696</v>
      </c>
      <c r="U882" s="133">
        <f t="shared" si="167"/>
        <v>62</v>
      </c>
      <c r="V882" s="8">
        <f t="shared" si="179"/>
        <v>353986</v>
      </c>
      <c r="W882" s="8">
        <v>533986</v>
      </c>
      <c r="X882" s="13">
        <v>0</v>
      </c>
      <c r="Y882" s="8">
        <f t="shared" si="173"/>
        <v>33347</v>
      </c>
      <c r="Z882" s="8">
        <v>33372</v>
      </c>
      <c r="AA882" s="13">
        <f t="shared" si="165"/>
        <v>25</v>
      </c>
      <c r="AB882" s="8">
        <v>3023</v>
      </c>
      <c r="AC882" s="8">
        <v>3327</v>
      </c>
      <c r="AD882" s="13">
        <f t="shared" si="166"/>
        <v>304</v>
      </c>
      <c r="AE882" s="135"/>
      <c r="AF882" s="135"/>
      <c r="AG882" s="135"/>
      <c r="AH882" s="136"/>
      <c r="AI882" s="50">
        <f t="shared" si="162"/>
        <v>656</v>
      </c>
    </row>
    <row r="883" spans="1:35">
      <c r="A883" s="12">
        <v>45258</v>
      </c>
      <c r="B883" s="8">
        <f t="shared" si="174"/>
        <v>1910229</v>
      </c>
      <c r="C883" s="8">
        <v>1910299</v>
      </c>
      <c r="D883" s="13">
        <f t="shared" si="170"/>
        <v>70</v>
      </c>
      <c r="E883" s="77">
        <f t="shared" si="171"/>
        <v>210669</v>
      </c>
      <c r="F883" s="69">
        <v>210669</v>
      </c>
      <c r="G883" s="133">
        <f t="shared" si="169"/>
        <v>0</v>
      </c>
      <c r="H883" s="8">
        <f t="shared" si="177"/>
        <v>315933</v>
      </c>
      <c r="I883" s="8">
        <v>316669</v>
      </c>
      <c r="J883" s="13">
        <f t="shared" si="161"/>
        <v>736</v>
      </c>
      <c r="K883" s="138"/>
      <c r="L883" s="8">
        <f t="shared" si="175"/>
        <v>846738</v>
      </c>
      <c r="M883" s="8">
        <v>847193</v>
      </c>
      <c r="N883" s="13">
        <f t="shared" si="163"/>
        <v>455</v>
      </c>
      <c r="O883" s="136"/>
      <c r="P883" s="8">
        <f t="shared" si="180"/>
        <v>463698</v>
      </c>
      <c r="Q883" s="8">
        <v>464297</v>
      </c>
      <c r="R883" s="133">
        <f t="shared" si="168"/>
        <v>599</v>
      </c>
      <c r="S883" s="8">
        <f t="shared" si="178"/>
        <v>28696</v>
      </c>
      <c r="T883" s="8">
        <v>28715</v>
      </c>
      <c r="U883" s="133">
        <f t="shared" si="167"/>
        <v>19</v>
      </c>
      <c r="V883" s="8">
        <f t="shared" si="179"/>
        <v>533986</v>
      </c>
      <c r="W883" s="8">
        <v>533986</v>
      </c>
      <c r="X883" s="13">
        <f t="shared" si="172"/>
        <v>0</v>
      </c>
      <c r="Y883" s="8">
        <f t="shared" si="173"/>
        <v>33372</v>
      </c>
      <c r="Z883" s="8">
        <v>33390</v>
      </c>
      <c r="AA883" s="13">
        <f t="shared" si="165"/>
        <v>18</v>
      </c>
      <c r="AB883" s="8">
        <f t="shared" si="176"/>
        <v>3327</v>
      </c>
      <c r="AC883" s="8">
        <v>3420</v>
      </c>
      <c r="AD883" s="13">
        <f t="shared" si="166"/>
        <v>93</v>
      </c>
      <c r="AE883" s="135"/>
      <c r="AF883" s="135"/>
      <c r="AG883" s="135"/>
      <c r="AH883" s="136"/>
      <c r="AI883" s="50">
        <f t="shared" si="162"/>
        <v>636</v>
      </c>
    </row>
    <row r="884" spans="1:35">
      <c r="A884" s="12">
        <v>45259</v>
      </c>
      <c r="B884" s="8">
        <f t="shared" si="174"/>
        <v>1910299</v>
      </c>
      <c r="C884" s="8">
        <v>1910419</v>
      </c>
      <c r="D884" s="13">
        <f t="shared" si="170"/>
        <v>120</v>
      </c>
      <c r="E884" s="77">
        <f t="shared" si="171"/>
        <v>210669</v>
      </c>
      <c r="F884" s="69">
        <v>210669</v>
      </c>
      <c r="G884" s="133">
        <f t="shared" si="169"/>
        <v>0</v>
      </c>
      <c r="H884" s="8">
        <f t="shared" si="177"/>
        <v>316669</v>
      </c>
      <c r="I884" s="8">
        <v>317400</v>
      </c>
      <c r="J884" s="13">
        <f t="shared" si="161"/>
        <v>731</v>
      </c>
      <c r="K884" s="138"/>
      <c r="L884" s="8">
        <f t="shared" si="175"/>
        <v>847193</v>
      </c>
      <c r="M884" s="8">
        <v>847623</v>
      </c>
      <c r="N884" s="13">
        <f t="shared" si="163"/>
        <v>430</v>
      </c>
      <c r="O884" s="136"/>
      <c r="P884" s="8">
        <f t="shared" si="180"/>
        <v>464297</v>
      </c>
      <c r="Q884" s="8">
        <v>464363</v>
      </c>
      <c r="R884" s="133">
        <f t="shared" si="168"/>
        <v>66</v>
      </c>
      <c r="S884" s="8">
        <f t="shared" si="178"/>
        <v>28715</v>
      </c>
      <c r="T884" s="8">
        <v>28715</v>
      </c>
      <c r="U884" s="133">
        <f t="shared" si="167"/>
        <v>0</v>
      </c>
      <c r="V884" s="8">
        <f t="shared" si="179"/>
        <v>533986</v>
      </c>
      <c r="W884" s="8">
        <v>533986</v>
      </c>
      <c r="X884" s="13">
        <f t="shared" si="172"/>
        <v>0</v>
      </c>
      <c r="Y884" s="8">
        <f t="shared" si="173"/>
        <v>33390</v>
      </c>
      <c r="Z884" s="8">
        <v>33408</v>
      </c>
      <c r="AA884" s="13">
        <f t="shared" si="165"/>
        <v>18</v>
      </c>
      <c r="AB884" s="8">
        <f t="shared" si="176"/>
        <v>3420</v>
      </c>
      <c r="AC884" s="8">
        <v>3510</v>
      </c>
      <c r="AD884" s="13">
        <f t="shared" si="166"/>
        <v>90</v>
      </c>
      <c r="AE884" s="135"/>
      <c r="AF884" s="135"/>
      <c r="AG884" s="135"/>
      <c r="AH884" s="136"/>
      <c r="AI884" s="50">
        <f t="shared" si="162"/>
        <v>84</v>
      </c>
    </row>
    <row r="885" spans="1:35">
      <c r="A885" s="12">
        <v>45260</v>
      </c>
      <c r="B885" s="8">
        <f t="shared" si="174"/>
        <v>1910419</v>
      </c>
      <c r="C885" s="8">
        <v>1910602</v>
      </c>
      <c r="D885" s="13">
        <f t="shared" si="170"/>
        <v>183</v>
      </c>
      <c r="E885" s="77">
        <f t="shared" si="171"/>
        <v>210669</v>
      </c>
      <c r="F885" s="69">
        <v>210669</v>
      </c>
      <c r="G885" s="133">
        <f t="shared" si="169"/>
        <v>0</v>
      </c>
      <c r="H885" s="8">
        <f t="shared" si="177"/>
        <v>317400</v>
      </c>
      <c r="I885" s="8">
        <v>317400</v>
      </c>
      <c r="J885" s="13">
        <f t="shared" si="161"/>
        <v>0</v>
      </c>
      <c r="K885" s="138"/>
      <c r="L885" s="8">
        <f t="shared" si="175"/>
        <v>847623</v>
      </c>
      <c r="M885" s="8">
        <v>848709</v>
      </c>
      <c r="N885" s="13">
        <f t="shared" si="163"/>
        <v>1086</v>
      </c>
      <c r="O885" s="136"/>
      <c r="P885" s="8">
        <f t="shared" si="180"/>
        <v>464363</v>
      </c>
      <c r="Q885" s="8">
        <v>464738</v>
      </c>
      <c r="R885" s="133">
        <f t="shared" si="168"/>
        <v>375</v>
      </c>
      <c r="S885" s="8">
        <f t="shared" si="178"/>
        <v>28715</v>
      </c>
      <c r="T885" s="8">
        <v>28794</v>
      </c>
      <c r="U885" s="133">
        <f t="shared" si="167"/>
        <v>79</v>
      </c>
      <c r="V885" s="8">
        <f t="shared" si="179"/>
        <v>533986</v>
      </c>
      <c r="W885" s="8">
        <v>533986</v>
      </c>
      <c r="X885" s="13">
        <f t="shared" si="172"/>
        <v>0</v>
      </c>
      <c r="Y885" s="8">
        <f t="shared" si="173"/>
        <v>33408</v>
      </c>
      <c r="Z885" s="8">
        <v>33466</v>
      </c>
      <c r="AA885" s="13">
        <f t="shared" si="165"/>
        <v>58</v>
      </c>
      <c r="AB885" s="8">
        <f t="shared" si="176"/>
        <v>3510</v>
      </c>
      <c r="AC885" s="8">
        <v>3607</v>
      </c>
      <c r="AD885" s="13">
        <f t="shared" si="166"/>
        <v>97</v>
      </c>
      <c r="AE885" s="135"/>
      <c r="AF885" s="135"/>
      <c r="AG885" s="135"/>
      <c r="AH885" s="136"/>
      <c r="AI885" s="50">
        <f t="shared" si="162"/>
        <v>512</v>
      </c>
    </row>
    <row r="886" spans="1:35">
      <c r="A886" s="12">
        <v>45261</v>
      </c>
      <c r="B886" s="8">
        <f t="shared" si="174"/>
        <v>1910602</v>
      </c>
      <c r="C886" s="8">
        <v>1911354</v>
      </c>
      <c r="D886" s="13">
        <f t="shared" si="170"/>
        <v>752</v>
      </c>
      <c r="E886" s="77">
        <f t="shared" si="171"/>
        <v>210669</v>
      </c>
      <c r="F886" s="69">
        <v>210669</v>
      </c>
      <c r="G886" s="133">
        <f t="shared" si="169"/>
        <v>0</v>
      </c>
      <c r="H886" s="8">
        <f t="shared" si="177"/>
        <v>317400</v>
      </c>
      <c r="I886" s="8">
        <v>317735</v>
      </c>
      <c r="J886" s="13">
        <f t="shared" si="161"/>
        <v>335</v>
      </c>
      <c r="K886" s="138"/>
      <c r="L886" s="8">
        <f t="shared" si="175"/>
        <v>848709</v>
      </c>
      <c r="M886" s="8">
        <v>849567</v>
      </c>
      <c r="N886" s="13">
        <f t="shared" si="163"/>
        <v>858</v>
      </c>
      <c r="O886" s="136"/>
      <c r="P886" s="8">
        <f t="shared" si="180"/>
        <v>464738</v>
      </c>
      <c r="Q886" s="8">
        <v>465347</v>
      </c>
      <c r="R886" s="133">
        <f t="shared" si="168"/>
        <v>609</v>
      </c>
      <c r="S886" s="8">
        <f t="shared" si="178"/>
        <v>28794</v>
      </c>
      <c r="T886" s="8">
        <v>28812</v>
      </c>
      <c r="U886" s="133">
        <f t="shared" si="167"/>
        <v>18</v>
      </c>
      <c r="V886" s="8">
        <f t="shared" si="179"/>
        <v>533986</v>
      </c>
      <c r="W886" s="8">
        <v>533986</v>
      </c>
      <c r="X886" s="13">
        <f t="shared" si="172"/>
        <v>0</v>
      </c>
      <c r="Y886" s="8">
        <f t="shared" si="173"/>
        <v>33466</v>
      </c>
      <c r="Z886" s="8">
        <v>33471</v>
      </c>
      <c r="AA886" s="13">
        <f t="shared" si="165"/>
        <v>5</v>
      </c>
      <c r="AB886" s="8">
        <f t="shared" si="176"/>
        <v>3607</v>
      </c>
      <c r="AC886" s="8">
        <v>3706</v>
      </c>
      <c r="AD886" s="13">
        <f t="shared" si="166"/>
        <v>99</v>
      </c>
      <c r="AE886" s="135"/>
      <c r="AF886" s="135"/>
      <c r="AG886" s="135"/>
      <c r="AH886" s="136"/>
      <c r="AI886" s="50">
        <f t="shared" si="162"/>
        <v>632</v>
      </c>
    </row>
    <row r="887" spans="1:35">
      <c r="A887" s="12">
        <v>45262</v>
      </c>
      <c r="B887" s="8">
        <f t="shared" si="174"/>
        <v>1911354</v>
      </c>
      <c r="C887" s="8">
        <v>1911770</v>
      </c>
      <c r="D887" s="13">
        <f t="shared" si="170"/>
        <v>416</v>
      </c>
      <c r="E887" s="77">
        <f t="shared" si="171"/>
        <v>210669</v>
      </c>
      <c r="F887" s="69">
        <v>210669</v>
      </c>
      <c r="G887" s="133">
        <f t="shared" si="169"/>
        <v>0</v>
      </c>
      <c r="H887" s="8">
        <f t="shared" si="177"/>
        <v>317735</v>
      </c>
      <c r="I887" s="8">
        <v>318499</v>
      </c>
      <c r="J887" s="13">
        <f t="shared" si="161"/>
        <v>764</v>
      </c>
      <c r="K887" s="138"/>
      <c r="L887" s="8">
        <f t="shared" si="175"/>
        <v>849567</v>
      </c>
      <c r="M887" s="8">
        <v>849996</v>
      </c>
      <c r="N887" s="13">
        <f t="shared" si="163"/>
        <v>429</v>
      </c>
      <c r="O887" s="136"/>
      <c r="P887" s="8">
        <f t="shared" si="180"/>
        <v>465347</v>
      </c>
      <c r="Q887" s="8">
        <v>465348</v>
      </c>
      <c r="R887" s="133">
        <f t="shared" si="168"/>
        <v>1</v>
      </c>
      <c r="S887" s="8">
        <f t="shared" si="178"/>
        <v>28812</v>
      </c>
      <c r="T887" s="8">
        <v>28901</v>
      </c>
      <c r="U887" s="133">
        <f t="shared" si="167"/>
        <v>89</v>
      </c>
      <c r="V887" s="8">
        <f t="shared" si="179"/>
        <v>533986</v>
      </c>
      <c r="W887" s="8">
        <v>533986</v>
      </c>
      <c r="X887" s="13">
        <f t="shared" si="172"/>
        <v>0</v>
      </c>
      <c r="Y887" s="8">
        <f t="shared" si="173"/>
        <v>33471</v>
      </c>
      <c r="Z887" s="8">
        <v>33491</v>
      </c>
      <c r="AA887" s="13">
        <f t="shared" si="165"/>
        <v>20</v>
      </c>
      <c r="AB887" s="8">
        <f t="shared" si="176"/>
        <v>3706</v>
      </c>
      <c r="AC887" s="8">
        <v>3827</v>
      </c>
      <c r="AD887" s="13">
        <f t="shared" si="166"/>
        <v>121</v>
      </c>
      <c r="AE887" s="135"/>
      <c r="AF887" s="135"/>
      <c r="AG887" s="135"/>
      <c r="AH887" s="136"/>
      <c r="AI887" s="50">
        <f t="shared" si="162"/>
        <v>110</v>
      </c>
    </row>
    <row r="888" spans="1:35">
      <c r="A888" s="12">
        <v>45263</v>
      </c>
      <c r="B888" s="8">
        <f t="shared" si="174"/>
        <v>1911770</v>
      </c>
      <c r="C888" s="8">
        <v>1911950</v>
      </c>
      <c r="D888" s="13">
        <f t="shared" si="170"/>
        <v>180</v>
      </c>
      <c r="E888" s="77">
        <f t="shared" si="171"/>
        <v>210669</v>
      </c>
      <c r="F888" s="69">
        <v>210669</v>
      </c>
      <c r="G888" s="133">
        <f t="shared" si="169"/>
        <v>0</v>
      </c>
      <c r="H888" s="8">
        <f t="shared" si="177"/>
        <v>318499</v>
      </c>
      <c r="I888" s="8">
        <v>318499</v>
      </c>
      <c r="J888" s="13">
        <f t="shared" si="161"/>
        <v>0</v>
      </c>
      <c r="K888" s="138"/>
      <c r="L888" s="8">
        <f t="shared" si="175"/>
        <v>849996</v>
      </c>
      <c r="M888" s="8">
        <v>851138</v>
      </c>
      <c r="N888" s="13">
        <f t="shared" si="163"/>
        <v>1142</v>
      </c>
      <c r="O888" s="136"/>
      <c r="P888" s="8">
        <f t="shared" si="180"/>
        <v>465348</v>
      </c>
      <c r="Q888" s="8">
        <v>465350</v>
      </c>
      <c r="R888" s="133">
        <f t="shared" si="168"/>
        <v>2</v>
      </c>
      <c r="S888" s="8">
        <f t="shared" si="178"/>
        <v>28901</v>
      </c>
      <c r="T888" s="8">
        <v>28959</v>
      </c>
      <c r="U888" s="133">
        <f t="shared" si="167"/>
        <v>58</v>
      </c>
      <c r="V888" s="8">
        <f t="shared" si="179"/>
        <v>533986</v>
      </c>
      <c r="W888" s="8">
        <v>533986</v>
      </c>
      <c r="X888" s="13">
        <f t="shared" si="172"/>
        <v>0</v>
      </c>
      <c r="Y888" s="8">
        <f t="shared" si="173"/>
        <v>33491</v>
      </c>
      <c r="Z888" s="8">
        <v>33511</v>
      </c>
      <c r="AA888" s="13">
        <f t="shared" si="165"/>
        <v>20</v>
      </c>
      <c r="AB888" s="8">
        <f t="shared" si="176"/>
        <v>3827</v>
      </c>
      <c r="AC888" s="8">
        <v>3894</v>
      </c>
      <c r="AD888" s="13">
        <f t="shared" si="166"/>
        <v>67</v>
      </c>
      <c r="AE888" s="135"/>
      <c r="AF888" s="135"/>
      <c r="AG888" s="135"/>
      <c r="AH888" s="136"/>
      <c r="AI888" s="50">
        <f t="shared" si="162"/>
        <v>80</v>
      </c>
    </row>
    <row r="889" spans="1:35">
      <c r="A889" s="12">
        <v>45264</v>
      </c>
      <c r="B889" s="8">
        <f t="shared" si="174"/>
        <v>1911950</v>
      </c>
      <c r="C889" s="8">
        <v>1912684</v>
      </c>
      <c r="D889" s="13">
        <f t="shared" si="170"/>
        <v>734</v>
      </c>
      <c r="E889" s="77">
        <f t="shared" si="171"/>
        <v>210669</v>
      </c>
      <c r="F889" s="69">
        <v>210669</v>
      </c>
      <c r="G889" s="133">
        <f t="shared" si="169"/>
        <v>0</v>
      </c>
      <c r="H889" s="8">
        <f t="shared" si="177"/>
        <v>318499</v>
      </c>
      <c r="I889" s="8">
        <v>318687</v>
      </c>
      <c r="J889" s="13">
        <f t="shared" si="161"/>
        <v>188</v>
      </c>
      <c r="K889" s="138"/>
      <c r="L889" s="8">
        <f t="shared" si="175"/>
        <v>851138</v>
      </c>
      <c r="M889" s="8">
        <v>852054</v>
      </c>
      <c r="N889" s="13">
        <f t="shared" si="163"/>
        <v>916</v>
      </c>
      <c r="O889" s="136"/>
      <c r="P889" s="8">
        <f t="shared" si="180"/>
        <v>465350</v>
      </c>
      <c r="Q889" s="8">
        <v>465354</v>
      </c>
      <c r="R889" s="133">
        <f t="shared" si="168"/>
        <v>4</v>
      </c>
      <c r="S889" s="8">
        <f t="shared" si="178"/>
        <v>28959</v>
      </c>
      <c r="T889" s="8">
        <v>29015</v>
      </c>
      <c r="U889" s="133">
        <f t="shared" si="167"/>
        <v>56</v>
      </c>
      <c r="V889" s="8">
        <f t="shared" si="179"/>
        <v>533986</v>
      </c>
      <c r="W889" s="8">
        <v>533986</v>
      </c>
      <c r="X889" s="13">
        <f t="shared" si="172"/>
        <v>0</v>
      </c>
      <c r="Y889" s="8">
        <f t="shared" si="173"/>
        <v>33511</v>
      </c>
      <c r="Z889" s="8">
        <v>33531</v>
      </c>
      <c r="AA889" s="13">
        <f t="shared" si="165"/>
        <v>20</v>
      </c>
      <c r="AB889" s="8">
        <f t="shared" si="176"/>
        <v>3894</v>
      </c>
      <c r="AC889" s="8">
        <v>4029</v>
      </c>
      <c r="AD889" s="13">
        <f t="shared" si="166"/>
        <v>135</v>
      </c>
      <c r="AE889" s="135"/>
      <c r="AF889" s="135"/>
      <c r="AG889" s="135"/>
      <c r="AH889" s="136"/>
      <c r="AI889" s="50">
        <f t="shared" si="162"/>
        <v>80</v>
      </c>
    </row>
    <row r="890" spans="1:35">
      <c r="A890" s="12">
        <v>45265</v>
      </c>
      <c r="B890" s="8">
        <f t="shared" si="174"/>
        <v>1912684</v>
      </c>
      <c r="C890" s="8">
        <v>1913195</v>
      </c>
      <c r="D890" s="13">
        <f t="shared" si="170"/>
        <v>511</v>
      </c>
      <c r="E890" s="77">
        <f t="shared" si="171"/>
        <v>210669</v>
      </c>
      <c r="F890" s="69">
        <v>210669</v>
      </c>
      <c r="G890" s="133">
        <f t="shared" si="169"/>
        <v>0</v>
      </c>
      <c r="H890" s="8">
        <f t="shared" si="177"/>
        <v>318687</v>
      </c>
      <c r="I890" s="8">
        <v>319398</v>
      </c>
      <c r="J890" s="13">
        <f t="shared" si="161"/>
        <v>711</v>
      </c>
      <c r="K890" s="138"/>
      <c r="L890" s="8">
        <f t="shared" si="175"/>
        <v>852054</v>
      </c>
      <c r="M890" s="8">
        <v>852463</v>
      </c>
      <c r="N890" s="13">
        <f t="shared" si="163"/>
        <v>409</v>
      </c>
      <c r="O890" s="136"/>
      <c r="P890" s="8">
        <f t="shared" si="180"/>
        <v>465354</v>
      </c>
      <c r="Q890" s="8">
        <v>465934</v>
      </c>
      <c r="R890" s="133">
        <f t="shared" si="168"/>
        <v>580</v>
      </c>
      <c r="S890" s="8">
        <f t="shared" si="178"/>
        <v>29015</v>
      </c>
      <c r="T890" s="8">
        <v>29060</v>
      </c>
      <c r="U890" s="133">
        <f t="shared" si="167"/>
        <v>45</v>
      </c>
      <c r="V890" s="8">
        <f t="shared" si="179"/>
        <v>533986</v>
      </c>
      <c r="W890" s="8">
        <v>533986</v>
      </c>
      <c r="X890" s="13">
        <f t="shared" si="172"/>
        <v>0</v>
      </c>
      <c r="Y890" s="8">
        <f t="shared" si="173"/>
        <v>33531</v>
      </c>
      <c r="Z890" s="8">
        <v>33550</v>
      </c>
      <c r="AA890" s="13">
        <f t="shared" si="165"/>
        <v>19</v>
      </c>
      <c r="AB890" s="8">
        <f t="shared" si="176"/>
        <v>4029</v>
      </c>
      <c r="AC890" s="8">
        <v>4163</v>
      </c>
      <c r="AD890" s="13">
        <f t="shared" si="166"/>
        <v>134</v>
      </c>
      <c r="AE890" s="135"/>
      <c r="AF890" s="135"/>
      <c r="AG890" s="135"/>
      <c r="AH890" s="136"/>
      <c r="AI890" s="50">
        <f t="shared" si="162"/>
        <v>644</v>
      </c>
    </row>
    <row r="891" spans="1:35">
      <c r="A891" s="12">
        <v>45266</v>
      </c>
      <c r="B891" s="8">
        <f t="shared" si="174"/>
        <v>1913195</v>
      </c>
      <c r="C891" s="8">
        <v>1913642</v>
      </c>
      <c r="D891" s="13">
        <f t="shared" si="170"/>
        <v>447</v>
      </c>
      <c r="E891" s="77">
        <f t="shared" si="171"/>
        <v>210669</v>
      </c>
      <c r="F891" s="69">
        <v>210669</v>
      </c>
      <c r="G891" s="133">
        <f t="shared" si="169"/>
        <v>0</v>
      </c>
      <c r="H891" s="8">
        <f t="shared" si="177"/>
        <v>319398</v>
      </c>
      <c r="I891" s="8">
        <v>319416</v>
      </c>
      <c r="J891" s="13">
        <f t="shared" si="161"/>
        <v>18</v>
      </c>
      <c r="K891" s="138"/>
      <c r="L891" s="8">
        <f t="shared" si="175"/>
        <v>852463</v>
      </c>
      <c r="M891" s="8">
        <v>853452</v>
      </c>
      <c r="N891" s="13">
        <f t="shared" si="163"/>
        <v>989</v>
      </c>
      <c r="O891" s="136"/>
      <c r="P891" s="8">
        <f t="shared" si="180"/>
        <v>465934</v>
      </c>
      <c r="Q891" s="8">
        <v>466441</v>
      </c>
      <c r="R891" s="133">
        <f t="shared" si="168"/>
        <v>507</v>
      </c>
      <c r="S891" s="8">
        <f t="shared" si="178"/>
        <v>29060</v>
      </c>
      <c r="T891" s="8">
        <v>29103</v>
      </c>
      <c r="U891" s="133">
        <f t="shared" si="167"/>
        <v>43</v>
      </c>
      <c r="V891" s="8">
        <f t="shared" si="179"/>
        <v>533986</v>
      </c>
      <c r="W891" s="8">
        <v>533986</v>
      </c>
      <c r="X891" s="13">
        <f t="shared" si="172"/>
        <v>0</v>
      </c>
      <c r="Y891" s="8">
        <f t="shared" si="173"/>
        <v>33550</v>
      </c>
      <c r="Z891" s="8">
        <v>33599</v>
      </c>
      <c r="AA891" s="13">
        <f t="shared" si="165"/>
        <v>49</v>
      </c>
      <c r="AB891" s="8">
        <f t="shared" si="176"/>
        <v>4163</v>
      </c>
      <c r="AC891" s="8">
        <v>4224</v>
      </c>
      <c r="AD891" s="13">
        <f t="shared" si="166"/>
        <v>61</v>
      </c>
      <c r="AE891" s="135"/>
      <c r="AF891" s="135"/>
      <c r="AG891" s="135"/>
      <c r="AH891" s="136"/>
      <c r="AI891" s="50">
        <f t="shared" si="162"/>
        <v>599</v>
      </c>
    </row>
    <row r="892" spans="1:35">
      <c r="A892" s="12">
        <v>45267</v>
      </c>
      <c r="B892" s="8">
        <f t="shared" si="174"/>
        <v>1913642</v>
      </c>
      <c r="C892" s="8">
        <v>1914015</v>
      </c>
      <c r="D892" s="13">
        <f t="shared" si="170"/>
        <v>373</v>
      </c>
      <c r="E892" s="77">
        <f t="shared" si="171"/>
        <v>210669</v>
      </c>
      <c r="F892" s="69">
        <v>210669</v>
      </c>
      <c r="G892" s="133">
        <f t="shared" si="169"/>
        <v>0</v>
      </c>
      <c r="H892" s="8">
        <f t="shared" si="177"/>
        <v>319416</v>
      </c>
      <c r="I892" s="8">
        <v>319416</v>
      </c>
      <c r="J892" s="13">
        <f t="shared" ref="J892:J955" si="181">I892-H892</f>
        <v>0</v>
      </c>
      <c r="K892" s="138"/>
      <c r="L892" s="8">
        <f t="shared" si="175"/>
        <v>853452</v>
      </c>
      <c r="M892" s="8">
        <v>854631</v>
      </c>
      <c r="N892" s="13">
        <f t="shared" si="163"/>
        <v>1179</v>
      </c>
      <c r="O892" s="136"/>
      <c r="P892" s="8">
        <f t="shared" si="180"/>
        <v>466441</v>
      </c>
      <c r="Q892" s="8">
        <v>466616</v>
      </c>
      <c r="R892" s="133">
        <f t="shared" si="168"/>
        <v>175</v>
      </c>
      <c r="S892" s="8">
        <f t="shared" si="178"/>
        <v>29103</v>
      </c>
      <c r="T892" s="8">
        <v>29149</v>
      </c>
      <c r="U892" s="133">
        <f t="shared" si="167"/>
        <v>46</v>
      </c>
      <c r="V892" s="8">
        <f t="shared" si="179"/>
        <v>533986</v>
      </c>
      <c r="W892" s="8">
        <v>533986</v>
      </c>
      <c r="X892" s="13">
        <f t="shared" si="172"/>
        <v>0</v>
      </c>
      <c r="Y892" s="8">
        <f t="shared" si="173"/>
        <v>33599</v>
      </c>
      <c r="Z892" s="8">
        <v>33659</v>
      </c>
      <c r="AA892" s="13">
        <f t="shared" si="165"/>
        <v>60</v>
      </c>
      <c r="AB892" s="8">
        <f t="shared" si="176"/>
        <v>4224</v>
      </c>
      <c r="AC892" s="8">
        <v>4370</v>
      </c>
      <c r="AD892" s="13">
        <f t="shared" si="166"/>
        <v>146</v>
      </c>
      <c r="AE892" s="135"/>
      <c r="AF892" s="135"/>
      <c r="AG892" s="135"/>
      <c r="AH892" s="136"/>
      <c r="AI892" s="50">
        <f t="shared" si="162"/>
        <v>281</v>
      </c>
    </row>
    <row r="893" spans="1:35">
      <c r="A893" s="12">
        <v>45268</v>
      </c>
      <c r="B893" s="8">
        <v>1914015</v>
      </c>
      <c r="C893" s="8">
        <v>1914776</v>
      </c>
      <c r="D893" s="13">
        <f t="shared" si="170"/>
        <v>761</v>
      </c>
      <c r="E893" s="77">
        <f t="shared" si="171"/>
        <v>210669</v>
      </c>
      <c r="F893" s="69">
        <v>210669</v>
      </c>
      <c r="G893" s="133">
        <f t="shared" si="169"/>
        <v>0</v>
      </c>
      <c r="H893" s="8">
        <f t="shared" si="177"/>
        <v>319416</v>
      </c>
      <c r="I893" s="8">
        <v>319416</v>
      </c>
      <c r="J893" s="13">
        <f t="shared" si="181"/>
        <v>0</v>
      </c>
      <c r="K893" s="138"/>
      <c r="L893" s="8">
        <f t="shared" si="175"/>
        <v>854631</v>
      </c>
      <c r="M893" s="8">
        <v>855883</v>
      </c>
      <c r="N893" s="13">
        <f t="shared" si="163"/>
        <v>1252</v>
      </c>
      <c r="O893" s="136"/>
      <c r="P893" s="8">
        <f t="shared" si="180"/>
        <v>466616</v>
      </c>
      <c r="Q893" s="8">
        <v>467267</v>
      </c>
      <c r="R893" s="133">
        <f t="shared" si="168"/>
        <v>651</v>
      </c>
      <c r="S893" s="8">
        <f t="shared" si="178"/>
        <v>29149</v>
      </c>
      <c r="T893" s="8">
        <v>29215</v>
      </c>
      <c r="U893" s="133">
        <f t="shared" si="167"/>
        <v>66</v>
      </c>
      <c r="V893" s="8">
        <f t="shared" si="179"/>
        <v>533986</v>
      </c>
      <c r="W893" s="8">
        <v>533986</v>
      </c>
      <c r="X893" s="13">
        <f t="shared" si="172"/>
        <v>0</v>
      </c>
      <c r="Y893" s="8">
        <f t="shared" si="173"/>
        <v>33659</v>
      </c>
      <c r="Z893" s="8">
        <v>33680</v>
      </c>
      <c r="AA893" s="13">
        <f t="shared" si="165"/>
        <v>21</v>
      </c>
      <c r="AB893" s="8">
        <f t="shared" si="176"/>
        <v>4370</v>
      </c>
      <c r="AC893" s="8">
        <v>4516</v>
      </c>
      <c r="AD893" s="13">
        <f t="shared" si="166"/>
        <v>146</v>
      </c>
      <c r="AE893" s="135"/>
      <c r="AF893" s="135"/>
      <c r="AG893" s="135"/>
      <c r="AH893" s="136"/>
      <c r="AI893" s="50">
        <f t="shared" si="162"/>
        <v>738</v>
      </c>
    </row>
    <row r="894" spans="1:35">
      <c r="A894" s="12">
        <v>45269</v>
      </c>
      <c r="B894" s="8">
        <f t="shared" si="174"/>
        <v>1914776</v>
      </c>
      <c r="C894" s="8">
        <v>1915218</v>
      </c>
      <c r="D894" s="13">
        <f t="shared" si="170"/>
        <v>442</v>
      </c>
      <c r="E894" s="77">
        <f t="shared" si="171"/>
        <v>210669</v>
      </c>
      <c r="F894" s="69">
        <v>210669</v>
      </c>
      <c r="G894" s="133">
        <f t="shared" si="169"/>
        <v>0</v>
      </c>
      <c r="H894" s="8">
        <f t="shared" si="177"/>
        <v>319416</v>
      </c>
      <c r="I894" s="8">
        <v>319416</v>
      </c>
      <c r="J894" s="13">
        <f t="shared" si="181"/>
        <v>0</v>
      </c>
      <c r="K894" s="138"/>
      <c r="L894" s="8">
        <f t="shared" si="175"/>
        <v>855883</v>
      </c>
      <c r="M894" s="8">
        <v>857128</v>
      </c>
      <c r="N894" s="13">
        <f t="shared" si="163"/>
        <v>1245</v>
      </c>
      <c r="O894" s="136"/>
      <c r="P894" s="8">
        <f t="shared" si="180"/>
        <v>467267</v>
      </c>
      <c r="Q894" s="8">
        <v>467915</v>
      </c>
      <c r="R894" s="133">
        <f t="shared" si="168"/>
        <v>648</v>
      </c>
      <c r="S894" s="8">
        <f t="shared" si="178"/>
        <v>29215</v>
      </c>
      <c r="T894" s="8">
        <v>29270</v>
      </c>
      <c r="U894" s="133">
        <f t="shared" si="167"/>
        <v>55</v>
      </c>
      <c r="V894" s="8">
        <f t="shared" si="179"/>
        <v>533986</v>
      </c>
      <c r="W894" s="8">
        <v>533986</v>
      </c>
      <c r="X894" s="13">
        <f t="shared" si="172"/>
        <v>0</v>
      </c>
      <c r="Y894" s="8">
        <f t="shared" si="173"/>
        <v>33680</v>
      </c>
      <c r="Z894" s="8">
        <v>33702</v>
      </c>
      <c r="AA894" s="13">
        <f t="shared" si="165"/>
        <v>22</v>
      </c>
      <c r="AB894" s="8">
        <f t="shared" si="176"/>
        <v>4516</v>
      </c>
      <c r="AC894" s="8">
        <v>4636</v>
      </c>
      <c r="AD894" s="13">
        <f t="shared" si="166"/>
        <v>120</v>
      </c>
      <c r="AE894" s="135"/>
      <c r="AF894" s="135"/>
      <c r="AG894" s="135"/>
      <c r="AH894" s="136"/>
      <c r="AI894" s="50">
        <f t="shared" si="162"/>
        <v>725</v>
      </c>
    </row>
    <row r="895" spans="1:35">
      <c r="A895" s="12">
        <v>45270</v>
      </c>
      <c r="B895" s="8">
        <f t="shared" si="174"/>
        <v>1915218</v>
      </c>
      <c r="C895" s="8">
        <v>1915779</v>
      </c>
      <c r="D895" s="13">
        <f t="shared" si="170"/>
        <v>561</v>
      </c>
      <c r="E895" s="77">
        <f t="shared" si="171"/>
        <v>210669</v>
      </c>
      <c r="F895" s="69">
        <v>210669</v>
      </c>
      <c r="G895" s="133">
        <f t="shared" si="169"/>
        <v>0</v>
      </c>
      <c r="H895" s="8">
        <f t="shared" si="177"/>
        <v>319416</v>
      </c>
      <c r="I895" s="8">
        <v>319953</v>
      </c>
      <c r="J895" s="13">
        <f t="shared" si="181"/>
        <v>537</v>
      </c>
      <c r="K895" s="138"/>
      <c r="L895" s="8">
        <f t="shared" si="175"/>
        <v>857128</v>
      </c>
      <c r="M895" s="8">
        <v>857570</v>
      </c>
      <c r="N895" s="13">
        <f t="shared" si="163"/>
        <v>442</v>
      </c>
      <c r="O895" s="136"/>
      <c r="P895" s="8">
        <f t="shared" si="180"/>
        <v>467915</v>
      </c>
      <c r="Q895" s="8">
        <v>468117</v>
      </c>
      <c r="R895" s="133">
        <f t="shared" si="168"/>
        <v>202</v>
      </c>
      <c r="S895" s="8">
        <f t="shared" si="178"/>
        <v>29270</v>
      </c>
      <c r="T895" s="8">
        <v>29322</v>
      </c>
      <c r="U895" s="133">
        <f t="shared" si="167"/>
        <v>52</v>
      </c>
      <c r="V895" s="8">
        <f t="shared" si="179"/>
        <v>533986</v>
      </c>
      <c r="W895" s="8">
        <v>533986</v>
      </c>
      <c r="X895" s="13">
        <f t="shared" si="172"/>
        <v>0</v>
      </c>
      <c r="Y895" s="8">
        <f t="shared" si="173"/>
        <v>33702</v>
      </c>
      <c r="Z895" s="8">
        <v>33730</v>
      </c>
      <c r="AA895" s="13">
        <f t="shared" si="165"/>
        <v>28</v>
      </c>
      <c r="AB895" s="8">
        <v>238903</v>
      </c>
      <c r="AC895" s="8">
        <v>238945</v>
      </c>
      <c r="AD895" s="13">
        <f t="shared" si="166"/>
        <v>42</v>
      </c>
      <c r="AE895" s="135"/>
      <c r="AF895" s="135"/>
      <c r="AG895" s="135"/>
      <c r="AH895" s="136"/>
      <c r="AI895" s="50">
        <f t="shared" si="162"/>
        <v>282</v>
      </c>
    </row>
    <row r="896" spans="1:35">
      <c r="A896" s="12">
        <v>45271</v>
      </c>
      <c r="B896" s="8">
        <f t="shared" si="174"/>
        <v>1915779</v>
      </c>
      <c r="C896" s="8">
        <v>1916179</v>
      </c>
      <c r="D896" s="13">
        <f t="shared" si="170"/>
        <v>400</v>
      </c>
      <c r="E896" s="77">
        <f t="shared" si="171"/>
        <v>210669</v>
      </c>
      <c r="F896" s="69">
        <v>210669</v>
      </c>
      <c r="G896" s="133">
        <f t="shared" si="169"/>
        <v>0</v>
      </c>
      <c r="H896" s="8">
        <f t="shared" si="177"/>
        <v>319953</v>
      </c>
      <c r="I896" s="8">
        <v>319953</v>
      </c>
      <c r="J896" s="13">
        <f t="shared" si="181"/>
        <v>0</v>
      </c>
      <c r="K896" s="138"/>
      <c r="L896" s="8">
        <f t="shared" si="175"/>
        <v>857570</v>
      </c>
      <c r="M896" s="8">
        <v>858808</v>
      </c>
      <c r="N896" s="13">
        <f t="shared" si="163"/>
        <v>1238</v>
      </c>
      <c r="O896" s="136"/>
      <c r="P896" s="8">
        <f t="shared" si="180"/>
        <v>468117</v>
      </c>
      <c r="Q896" s="8">
        <v>468645</v>
      </c>
      <c r="R896" s="133">
        <f t="shared" si="168"/>
        <v>528</v>
      </c>
      <c r="S896" s="8">
        <f t="shared" si="178"/>
        <v>29322</v>
      </c>
      <c r="T896" s="8">
        <v>29396</v>
      </c>
      <c r="U896" s="133">
        <f t="shared" si="167"/>
        <v>74</v>
      </c>
      <c r="V896" s="8">
        <f t="shared" si="179"/>
        <v>533986</v>
      </c>
      <c r="W896" s="8">
        <v>533986</v>
      </c>
      <c r="X896" s="13">
        <f t="shared" si="172"/>
        <v>0</v>
      </c>
      <c r="Y896" s="8">
        <f t="shared" si="173"/>
        <v>33730</v>
      </c>
      <c r="Z896" s="8">
        <v>33747</v>
      </c>
      <c r="AA896" s="13">
        <f t="shared" si="165"/>
        <v>17</v>
      </c>
      <c r="AB896" s="8">
        <f t="shared" si="176"/>
        <v>238945</v>
      </c>
      <c r="AC896" s="8">
        <v>239051</v>
      </c>
      <c r="AD896" s="13">
        <f t="shared" si="166"/>
        <v>106</v>
      </c>
      <c r="AE896" s="135"/>
      <c r="AF896" s="135"/>
      <c r="AG896" s="135"/>
      <c r="AH896" s="136"/>
      <c r="AI896" s="50">
        <f t="shared" si="162"/>
        <v>619</v>
      </c>
    </row>
    <row r="897" spans="1:35">
      <c r="A897" s="12">
        <v>45272</v>
      </c>
      <c r="B897" s="8">
        <f t="shared" si="174"/>
        <v>1916179</v>
      </c>
      <c r="C897" s="8">
        <v>1916799</v>
      </c>
      <c r="D897" s="13">
        <f t="shared" si="170"/>
        <v>620</v>
      </c>
      <c r="E897" s="77">
        <f t="shared" si="171"/>
        <v>210669</v>
      </c>
      <c r="F897" s="69">
        <v>210669</v>
      </c>
      <c r="G897" s="133">
        <f t="shared" si="169"/>
        <v>0</v>
      </c>
      <c r="H897" s="8">
        <f t="shared" si="177"/>
        <v>319953</v>
      </c>
      <c r="I897" s="8">
        <v>319953</v>
      </c>
      <c r="J897" s="13">
        <f t="shared" si="181"/>
        <v>0</v>
      </c>
      <c r="K897" s="138"/>
      <c r="L897" s="8">
        <f t="shared" si="175"/>
        <v>858808</v>
      </c>
      <c r="M897" s="8">
        <v>860082</v>
      </c>
      <c r="N897" s="13">
        <f t="shared" si="163"/>
        <v>1274</v>
      </c>
      <c r="O897" s="136"/>
      <c r="P897" s="8">
        <f t="shared" si="180"/>
        <v>468645</v>
      </c>
      <c r="Q897" s="8">
        <v>469302</v>
      </c>
      <c r="R897" s="133">
        <f t="shared" si="168"/>
        <v>657</v>
      </c>
      <c r="S897" s="8">
        <f t="shared" si="178"/>
        <v>29396</v>
      </c>
      <c r="T897" s="8">
        <v>29399</v>
      </c>
      <c r="U897" s="133">
        <f t="shared" si="167"/>
        <v>3</v>
      </c>
      <c r="V897" s="8">
        <f t="shared" si="179"/>
        <v>533986</v>
      </c>
      <c r="W897" s="8">
        <v>533986</v>
      </c>
      <c r="X897" s="13">
        <f t="shared" si="172"/>
        <v>0</v>
      </c>
      <c r="Y897" s="8">
        <v>33747</v>
      </c>
      <c r="Z897" s="8">
        <v>33768</v>
      </c>
      <c r="AA897" s="13">
        <f t="shared" si="165"/>
        <v>21</v>
      </c>
      <c r="AB897" s="8">
        <f t="shared" si="176"/>
        <v>239051</v>
      </c>
      <c r="AC897" s="8">
        <v>239134</v>
      </c>
      <c r="AD897" s="13">
        <f t="shared" si="166"/>
        <v>83</v>
      </c>
      <c r="AE897" s="135"/>
      <c r="AF897" s="135"/>
      <c r="AG897" s="135"/>
      <c r="AH897" s="136"/>
      <c r="AI897" s="50">
        <f t="shared" ref="AI897:AI960" si="182">AA897+U897+R897+O897+X897</f>
        <v>681</v>
      </c>
    </row>
    <row r="898" spans="1:35">
      <c r="A898" s="12">
        <v>45273</v>
      </c>
      <c r="B898" s="8">
        <f t="shared" si="174"/>
        <v>1916799</v>
      </c>
      <c r="C898" s="8">
        <v>1917481</v>
      </c>
      <c r="D898" s="13">
        <f t="shared" si="170"/>
        <v>682</v>
      </c>
      <c r="E898" s="77">
        <f t="shared" si="171"/>
        <v>210669</v>
      </c>
      <c r="F898" s="69">
        <v>210669</v>
      </c>
      <c r="G898" s="133">
        <f t="shared" si="169"/>
        <v>0</v>
      </c>
      <c r="H898" s="8">
        <f t="shared" si="177"/>
        <v>319953</v>
      </c>
      <c r="I898" s="8">
        <v>320220</v>
      </c>
      <c r="J898" s="13">
        <f t="shared" si="181"/>
        <v>267</v>
      </c>
      <c r="K898" s="138"/>
      <c r="L898" s="8">
        <f t="shared" si="175"/>
        <v>860082</v>
      </c>
      <c r="M898" s="8">
        <v>860725</v>
      </c>
      <c r="N898" s="13">
        <f t="shared" ref="N898:N961" si="183">M898-L898</f>
        <v>643</v>
      </c>
      <c r="O898" s="136"/>
      <c r="P898" s="8">
        <f t="shared" si="180"/>
        <v>469302</v>
      </c>
      <c r="Q898" s="8">
        <v>469540</v>
      </c>
      <c r="R898" s="133">
        <f t="shared" si="168"/>
        <v>238</v>
      </c>
      <c r="S898" s="8">
        <f t="shared" si="178"/>
        <v>29399</v>
      </c>
      <c r="T898" s="8">
        <v>29462</v>
      </c>
      <c r="U898" s="133">
        <f t="shared" si="167"/>
        <v>63</v>
      </c>
      <c r="V898" s="8">
        <f t="shared" si="179"/>
        <v>533986</v>
      </c>
      <c r="W898" s="8">
        <v>533986</v>
      </c>
      <c r="X898" s="13">
        <f t="shared" si="172"/>
        <v>0</v>
      </c>
      <c r="Y898" s="8">
        <f t="shared" si="173"/>
        <v>33768</v>
      </c>
      <c r="Z898" s="8">
        <v>33784</v>
      </c>
      <c r="AA898" s="13">
        <f t="shared" si="165"/>
        <v>16</v>
      </c>
      <c r="AB898" s="8">
        <f t="shared" si="176"/>
        <v>239134</v>
      </c>
      <c r="AC898" s="8">
        <v>239211</v>
      </c>
      <c r="AD898" s="13">
        <f t="shared" si="166"/>
        <v>77</v>
      </c>
      <c r="AE898" s="135"/>
      <c r="AF898" s="135"/>
      <c r="AG898" s="135"/>
      <c r="AH898" s="136"/>
      <c r="AI898" s="50">
        <f t="shared" si="182"/>
        <v>317</v>
      </c>
    </row>
    <row r="899" spans="1:35">
      <c r="A899" s="12">
        <v>45274</v>
      </c>
      <c r="B899" s="8">
        <f t="shared" si="174"/>
        <v>1917481</v>
      </c>
      <c r="C899" s="8">
        <v>1917801</v>
      </c>
      <c r="D899" s="13">
        <f t="shared" si="170"/>
        <v>320</v>
      </c>
      <c r="E899" s="77">
        <f t="shared" si="171"/>
        <v>210669</v>
      </c>
      <c r="F899" s="69">
        <v>210669</v>
      </c>
      <c r="G899" s="133">
        <f t="shared" si="169"/>
        <v>0</v>
      </c>
      <c r="H899" s="8">
        <f t="shared" si="177"/>
        <v>320220</v>
      </c>
      <c r="I899" s="8">
        <v>320940</v>
      </c>
      <c r="J899" s="13">
        <f t="shared" si="181"/>
        <v>720</v>
      </c>
      <c r="K899" s="138"/>
      <c r="L899" s="8">
        <f t="shared" si="175"/>
        <v>860725</v>
      </c>
      <c r="M899" s="8">
        <v>860846</v>
      </c>
      <c r="N899" s="13">
        <f t="shared" si="183"/>
        <v>121</v>
      </c>
      <c r="O899" s="136"/>
      <c r="P899" s="8">
        <f t="shared" si="180"/>
        <v>469540</v>
      </c>
      <c r="Q899" s="8">
        <v>470124</v>
      </c>
      <c r="R899" s="133">
        <f t="shared" si="168"/>
        <v>584</v>
      </c>
      <c r="S899" s="8">
        <f t="shared" si="178"/>
        <v>29462</v>
      </c>
      <c r="T899" s="8">
        <v>29537</v>
      </c>
      <c r="U899" s="133">
        <f t="shared" si="167"/>
        <v>75</v>
      </c>
      <c r="V899" s="8">
        <f t="shared" si="179"/>
        <v>533986</v>
      </c>
      <c r="W899" s="8">
        <v>533986</v>
      </c>
      <c r="X899" s="13">
        <f t="shared" si="172"/>
        <v>0</v>
      </c>
      <c r="Y899" s="8">
        <f t="shared" si="173"/>
        <v>33784</v>
      </c>
      <c r="Z899" s="8">
        <v>33803</v>
      </c>
      <c r="AA899" s="13">
        <f t="shared" si="165"/>
        <v>19</v>
      </c>
      <c r="AB899" s="8">
        <f t="shared" si="176"/>
        <v>239211</v>
      </c>
      <c r="AC899" s="8">
        <v>239310</v>
      </c>
      <c r="AD899" s="13">
        <f t="shared" si="166"/>
        <v>99</v>
      </c>
      <c r="AE899" s="135"/>
      <c r="AF899" s="135"/>
      <c r="AG899" s="135"/>
      <c r="AH899" s="136"/>
      <c r="AI899" s="50">
        <f t="shared" si="182"/>
        <v>678</v>
      </c>
    </row>
    <row r="900" spans="1:35">
      <c r="A900" s="12">
        <v>45275</v>
      </c>
      <c r="B900" s="8">
        <f t="shared" si="174"/>
        <v>1917801</v>
      </c>
      <c r="C900" s="8">
        <v>1917994</v>
      </c>
      <c r="D900" s="13">
        <f t="shared" si="170"/>
        <v>193</v>
      </c>
      <c r="E900" s="77">
        <f t="shared" si="171"/>
        <v>210669</v>
      </c>
      <c r="F900" s="69">
        <v>210669</v>
      </c>
      <c r="G900" s="133">
        <f t="shared" si="169"/>
        <v>0</v>
      </c>
      <c r="H900" s="8">
        <f t="shared" si="177"/>
        <v>320940</v>
      </c>
      <c r="I900" s="8">
        <v>320940</v>
      </c>
      <c r="J900" s="13">
        <f t="shared" si="181"/>
        <v>0</v>
      </c>
      <c r="K900" s="138"/>
      <c r="L900" s="8">
        <f t="shared" si="175"/>
        <v>860846</v>
      </c>
      <c r="M900" s="8">
        <v>861703</v>
      </c>
      <c r="N900" s="13">
        <f t="shared" si="183"/>
        <v>857</v>
      </c>
      <c r="O900" s="136"/>
      <c r="P900" s="8">
        <f t="shared" si="180"/>
        <v>470124</v>
      </c>
      <c r="Q900" s="8">
        <v>470802</v>
      </c>
      <c r="R900" s="133">
        <f t="shared" si="168"/>
        <v>678</v>
      </c>
      <c r="S900" s="8">
        <f t="shared" si="178"/>
        <v>29537</v>
      </c>
      <c r="T900" s="8">
        <v>29597</v>
      </c>
      <c r="U900" s="133">
        <f t="shared" si="167"/>
        <v>60</v>
      </c>
      <c r="V900" s="8">
        <f t="shared" si="179"/>
        <v>533986</v>
      </c>
      <c r="W900" s="8">
        <v>533986</v>
      </c>
      <c r="X900" s="13">
        <f t="shared" si="172"/>
        <v>0</v>
      </c>
      <c r="Y900" s="8">
        <f t="shared" si="173"/>
        <v>33803</v>
      </c>
      <c r="Z900" s="8">
        <v>33819</v>
      </c>
      <c r="AA900" s="13">
        <f t="shared" si="165"/>
        <v>16</v>
      </c>
      <c r="AB900" s="8">
        <f t="shared" si="176"/>
        <v>239310</v>
      </c>
      <c r="AC900" s="8">
        <v>239423</v>
      </c>
      <c r="AD900" s="13">
        <f t="shared" si="166"/>
        <v>113</v>
      </c>
      <c r="AE900" s="135"/>
      <c r="AF900" s="135"/>
      <c r="AG900" s="135"/>
      <c r="AH900" s="136"/>
      <c r="AI900" s="50">
        <f t="shared" si="182"/>
        <v>754</v>
      </c>
    </row>
    <row r="901" spans="1:35">
      <c r="A901" s="12">
        <v>45276</v>
      </c>
      <c r="B901" s="8">
        <f t="shared" si="174"/>
        <v>1917994</v>
      </c>
      <c r="C901" s="8">
        <v>1918346</v>
      </c>
      <c r="D901" s="13">
        <f t="shared" si="170"/>
        <v>352</v>
      </c>
      <c r="E901" s="77">
        <f t="shared" si="171"/>
        <v>210669</v>
      </c>
      <c r="F901" s="69">
        <v>210669</v>
      </c>
      <c r="G901" s="133">
        <f t="shared" si="169"/>
        <v>0</v>
      </c>
      <c r="H901" s="8">
        <f t="shared" si="177"/>
        <v>320940</v>
      </c>
      <c r="I901" s="8">
        <v>320940</v>
      </c>
      <c r="J901" s="13">
        <f t="shared" si="181"/>
        <v>0</v>
      </c>
      <c r="K901" s="138"/>
      <c r="L901" s="8">
        <f t="shared" si="175"/>
        <v>861703</v>
      </c>
      <c r="M901" s="8">
        <v>863029</v>
      </c>
      <c r="N901" s="13">
        <f t="shared" si="183"/>
        <v>1326</v>
      </c>
      <c r="O901" s="136"/>
      <c r="P901" s="8">
        <f t="shared" si="180"/>
        <v>470802</v>
      </c>
      <c r="Q901" s="8">
        <v>471409</v>
      </c>
      <c r="R901" s="133">
        <f t="shared" si="168"/>
        <v>607</v>
      </c>
      <c r="S901" s="8">
        <f t="shared" si="178"/>
        <v>29597</v>
      </c>
      <c r="T901" s="8">
        <v>29649</v>
      </c>
      <c r="U901" s="133">
        <f t="shared" si="167"/>
        <v>52</v>
      </c>
      <c r="V901" s="8">
        <f t="shared" si="179"/>
        <v>533986</v>
      </c>
      <c r="W901" s="8">
        <v>533986</v>
      </c>
      <c r="X901" s="13">
        <f t="shared" si="172"/>
        <v>0</v>
      </c>
      <c r="Y901" s="8">
        <f t="shared" si="173"/>
        <v>33819</v>
      </c>
      <c r="Z901" s="8">
        <v>34279</v>
      </c>
      <c r="AA901" s="13">
        <f t="shared" ref="AA901:AA964" si="184">Z901-Y901</f>
        <v>460</v>
      </c>
      <c r="AB901" s="8">
        <f t="shared" si="176"/>
        <v>239423</v>
      </c>
      <c r="AC901" s="8">
        <v>239499</v>
      </c>
      <c r="AD901" s="13">
        <f t="shared" si="166"/>
        <v>76</v>
      </c>
      <c r="AE901" s="135"/>
      <c r="AF901" s="135"/>
      <c r="AG901" s="135"/>
      <c r="AH901" s="136"/>
      <c r="AI901" s="50">
        <f t="shared" si="182"/>
        <v>1119</v>
      </c>
    </row>
    <row r="902" spans="1:35">
      <c r="A902" s="12">
        <v>45277</v>
      </c>
      <c r="B902" s="8">
        <f t="shared" si="174"/>
        <v>1918346</v>
      </c>
      <c r="C902" s="8">
        <v>1918930</v>
      </c>
      <c r="D902" s="13">
        <f t="shared" si="170"/>
        <v>584</v>
      </c>
      <c r="E902" s="77">
        <f t="shared" si="171"/>
        <v>210669</v>
      </c>
      <c r="F902" s="69">
        <v>210669</v>
      </c>
      <c r="G902" s="133">
        <f t="shared" si="169"/>
        <v>0</v>
      </c>
      <c r="H902" s="8">
        <f t="shared" si="177"/>
        <v>320940</v>
      </c>
      <c r="I902" s="8">
        <v>321888</v>
      </c>
      <c r="J902" s="13">
        <f t="shared" si="181"/>
        <v>948</v>
      </c>
      <c r="K902" s="138"/>
      <c r="L902" s="8">
        <f t="shared" si="175"/>
        <v>863029</v>
      </c>
      <c r="M902" s="8">
        <v>863459</v>
      </c>
      <c r="N902" s="13">
        <f t="shared" si="183"/>
        <v>430</v>
      </c>
      <c r="O902" s="136"/>
      <c r="P902" s="8">
        <f t="shared" si="180"/>
        <v>471409</v>
      </c>
      <c r="Q902" s="8">
        <v>471924</v>
      </c>
      <c r="R902" s="133">
        <f t="shared" si="168"/>
        <v>515</v>
      </c>
      <c r="S902" s="8">
        <f t="shared" si="178"/>
        <v>29649</v>
      </c>
      <c r="T902" s="8">
        <v>29695</v>
      </c>
      <c r="U902" s="133">
        <f t="shared" si="167"/>
        <v>46</v>
      </c>
      <c r="V902" s="8">
        <f t="shared" si="179"/>
        <v>533986</v>
      </c>
      <c r="W902" s="8">
        <v>533986</v>
      </c>
      <c r="X902" s="13">
        <f t="shared" si="172"/>
        <v>0</v>
      </c>
      <c r="Y902" s="8">
        <f t="shared" si="173"/>
        <v>34279</v>
      </c>
      <c r="Z902" s="8">
        <v>34280</v>
      </c>
      <c r="AA902" s="13">
        <f t="shared" si="184"/>
        <v>1</v>
      </c>
      <c r="AB902" s="8">
        <f t="shared" si="176"/>
        <v>239499</v>
      </c>
      <c r="AC902" s="8">
        <v>239558</v>
      </c>
      <c r="AD902" s="13">
        <f t="shared" si="166"/>
        <v>59</v>
      </c>
      <c r="AE902" s="135"/>
      <c r="AF902" s="135"/>
      <c r="AG902" s="135"/>
      <c r="AH902" s="136"/>
      <c r="AI902" s="50">
        <f t="shared" si="182"/>
        <v>562</v>
      </c>
    </row>
    <row r="903" spans="1:35">
      <c r="A903" s="12">
        <v>45278</v>
      </c>
      <c r="B903" s="8">
        <f t="shared" si="174"/>
        <v>1918930</v>
      </c>
      <c r="C903" s="8">
        <v>1919431</v>
      </c>
      <c r="D903" s="13">
        <f t="shared" si="170"/>
        <v>501</v>
      </c>
      <c r="E903" s="77">
        <f t="shared" si="171"/>
        <v>210669</v>
      </c>
      <c r="F903" s="69">
        <v>210669</v>
      </c>
      <c r="G903" s="133">
        <f t="shared" si="169"/>
        <v>0</v>
      </c>
      <c r="H903" s="8">
        <f t="shared" si="177"/>
        <v>321888</v>
      </c>
      <c r="I903" s="8">
        <v>322167</v>
      </c>
      <c r="J903" s="13">
        <f t="shared" si="181"/>
        <v>279</v>
      </c>
      <c r="K903" s="138"/>
      <c r="L903" s="8">
        <f t="shared" si="175"/>
        <v>863459</v>
      </c>
      <c r="M903" s="8">
        <v>863909</v>
      </c>
      <c r="N903" s="13">
        <f t="shared" si="183"/>
        <v>450</v>
      </c>
      <c r="O903" s="136"/>
      <c r="P903" s="8">
        <f t="shared" si="180"/>
        <v>471924</v>
      </c>
      <c r="Q903" s="8">
        <v>472429</v>
      </c>
      <c r="R903" s="133">
        <f t="shared" si="168"/>
        <v>505</v>
      </c>
      <c r="S903" s="8">
        <f t="shared" si="178"/>
        <v>29695</v>
      </c>
      <c r="T903" s="8">
        <v>29769</v>
      </c>
      <c r="U903" s="133">
        <f t="shared" si="167"/>
        <v>74</v>
      </c>
      <c r="V903" s="8">
        <f t="shared" si="179"/>
        <v>533986</v>
      </c>
      <c r="W903" s="8">
        <v>533986</v>
      </c>
      <c r="X903" s="13">
        <f t="shared" si="172"/>
        <v>0</v>
      </c>
      <c r="Y903" s="8">
        <f t="shared" si="173"/>
        <v>34280</v>
      </c>
      <c r="Z903" s="8">
        <v>34304</v>
      </c>
      <c r="AA903" s="13">
        <f t="shared" si="184"/>
        <v>24</v>
      </c>
      <c r="AB903" s="8">
        <f t="shared" si="176"/>
        <v>239558</v>
      </c>
      <c r="AC903" s="8">
        <v>239625</v>
      </c>
      <c r="AD903" s="13">
        <f t="shared" si="166"/>
        <v>67</v>
      </c>
      <c r="AE903" s="135"/>
      <c r="AF903" s="135"/>
      <c r="AG903" s="135"/>
      <c r="AH903" s="136"/>
      <c r="AI903" s="50">
        <f t="shared" si="182"/>
        <v>603</v>
      </c>
    </row>
    <row r="904" spans="1:35">
      <c r="A904" s="12">
        <v>45279</v>
      </c>
      <c r="B904" s="8">
        <f t="shared" si="174"/>
        <v>1919431</v>
      </c>
      <c r="C904" s="8">
        <v>1919891</v>
      </c>
      <c r="D904" s="13">
        <f t="shared" si="170"/>
        <v>460</v>
      </c>
      <c r="E904" s="77">
        <f t="shared" si="171"/>
        <v>210669</v>
      </c>
      <c r="F904" s="69">
        <v>210669</v>
      </c>
      <c r="G904" s="133">
        <v>600</v>
      </c>
      <c r="H904" s="8">
        <f t="shared" si="177"/>
        <v>322167</v>
      </c>
      <c r="I904" s="8">
        <v>322198</v>
      </c>
      <c r="J904" s="13">
        <f t="shared" si="181"/>
        <v>31</v>
      </c>
      <c r="K904" s="138"/>
      <c r="L904" s="8">
        <f t="shared" si="175"/>
        <v>863909</v>
      </c>
      <c r="M904" s="8">
        <v>865296</v>
      </c>
      <c r="N904" s="13">
        <f t="shared" si="183"/>
        <v>1387</v>
      </c>
      <c r="O904" s="136"/>
      <c r="P904" s="8">
        <v>472429</v>
      </c>
      <c r="Q904" s="8">
        <v>472951</v>
      </c>
      <c r="R904" s="133">
        <f t="shared" si="168"/>
        <v>522</v>
      </c>
      <c r="S904" s="8">
        <f t="shared" si="178"/>
        <v>29769</v>
      </c>
      <c r="T904" s="8">
        <v>29822</v>
      </c>
      <c r="U904" s="133">
        <f t="shared" si="167"/>
        <v>53</v>
      </c>
      <c r="V904" s="8">
        <f t="shared" si="179"/>
        <v>533986</v>
      </c>
      <c r="W904" s="8">
        <v>533986</v>
      </c>
      <c r="X904" s="13">
        <f t="shared" si="172"/>
        <v>0</v>
      </c>
      <c r="Y904" s="8">
        <f t="shared" si="173"/>
        <v>34304</v>
      </c>
      <c r="Z904" s="8">
        <v>34322</v>
      </c>
      <c r="AA904" s="13">
        <f t="shared" si="184"/>
        <v>18</v>
      </c>
      <c r="AB904" s="8">
        <f t="shared" si="176"/>
        <v>239625</v>
      </c>
      <c r="AC904" s="8">
        <v>239676</v>
      </c>
      <c r="AD904" s="13">
        <f t="shared" ref="AD904:AD967" si="185">AC904-AB904</f>
        <v>51</v>
      </c>
      <c r="AE904" s="135"/>
      <c r="AF904" s="135"/>
      <c r="AG904" s="135"/>
      <c r="AH904" s="136"/>
      <c r="AI904" s="50">
        <f t="shared" si="182"/>
        <v>593</v>
      </c>
    </row>
    <row r="905" spans="1:35">
      <c r="A905" s="12">
        <v>45280</v>
      </c>
      <c r="B905" s="8">
        <f t="shared" si="174"/>
        <v>1919891</v>
      </c>
      <c r="C905" s="8">
        <v>1919869</v>
      </c>
      <c r="D905" s="13">
        <f t="shared" si="170"/>
        <v>-22</v>
      </c>
      <c r="E905" s="77">
        <f t="shared" si="171"/>
        <v>210669</v>
      </c>
      <c r="F905" s="69">
        <v>210669</v>
      </c>
      <c r="G905" s="133">
        <v>650</v>
      </c>
      <c r="H905" s="8">
        <f t="shared" si="177"/>
        <v>322198</v>
      </c>
      <c r="I905" s="8">
        <v>322839</v>
      </c>
      <c r="J905" s="13">
        <f t="shared" si="181"/>
        <v>641</v>
      </c>
      <c r="K905" s="138"/>
      <c r="L905" s="8">
        <f t="shared" si="175"/>
        <v>865296</v>
      </c>
      <c r="M905" s="8">
        <v>865972</v>
      </c>
      <c r="N905" s="13">
        <f t="shared" si="183"/>
        <v>676</v>
      </c>
      <c r="O905" s="136"/>
      <c r="P905" s="8">
        <f t="shared" si="180"/>
        <v>472951</v>
      </c>
      <c r="Q905" s="8">
        <v>473598</v>
      </c>
      <c r="R905" s="133">
        <f t="shared" si="168"/>
        <v>647</v>
      </c>
      <c r="S905" s="8">
        <f t="shared" si="178"/>
        <v>29822</v>
      </c>
      <c r="T905" s="8">
        <v>29895</v>
      </c>
      <c r="U905" s="133">
        <f t="shared" si="167"/>
        <v>73</v>
      </c>
      <c r="V905" s="8">
        <f t="shared" si="179"/>
        <v>533986</v>
      </c>
      <c r="W905" s="8">
        <v>533986</v>
      </c>
      <c r="X905" s="13">
        <f t="shared" si="172"/>
        <v>0</v>
      </c>
      <c r="Y905" s="8">
        <f t="shared" si="173"/>
        <v>34322</v>
      </c>
      <c r="Z905" s="8">
        <v>34339</v>
      </c>
      <c r="AA905" s="13">
        <f t="shared" si="184"/>
        <v>17</v>
      </c>
      <c r="AB905" s="8">
        <f t="shared" si="176"/>
        <v>239676</v>
      </c>
      <c r="AC905" s="8">
        <v>239725</v>
      </c>
      <c r="AD905" s="13">
        <f t="shared" si="185"/>
        <v>49</v>
      </c>
      <c r="AE905" s="135"/>
      <c r="AF905" s="135"/>
      <c r="AG905" s="135"/>
      <c r="AH905" s="136"/>
      <c r="AI905" s="50">
        <f t="shared" si="182"/>
        <v>737</v>
      </c>
    </row>
    <row r="906" spans="1:35">
      <c r="A906" s="12">
        <v>45281</v>
      </c>
      <c r="B906" s="8">
        <f t="shared" si="174"/>
        <v>1919869</v>
      </c>
      <c r="C906" s="8">
        <v>1920005</v>
      </c>
      <c r="D906" s="13">
        <f t="shared" si="170"/>
        <v>136</v>
      </c>
      <c r="E906" s="77">
        <f t="shared" si="171"/>
        <v>210669</v>
      </c>
      <c r="F906" s="69">
        <v>210669</v>
      </c>
      <c r="G906" s="133"/>
      <c r="H906" s="8">
        <f t="shared" si="177"/>
        <v>322839</v>
      </c>
      <c r="I906" s="8">
        <v>323582</v>
      </c>
      <c r="J906" s="13">
        <f t="shared" si="181"/>
        <v>743</v>
      </c>
      <c r="K906" s="138"/>
      <c r="L906" s="8">
        <f t="shared" si="175"/>
        <v>865972</v>
      </c>
      <c r="M906" s="8">
        <v>866475</v>
      </c>
      <c r="N906" s="13">
        <f t="shared" si="183"/>
        <v>503</v>
      </c>
      <c r="O906" s="136"/>
      <c r="P906" s="8">
        <f t="shared" si="180"/>
        <v>473598</v>
      </c>
      <c r="Q906" s="8">
        <v>474171</v>
      </c>
      <c r="R906" s="133">
        <f t="shared" si="168"/>
        <v>573</v>
      </c>
      <c r="S906" s="8">
        <f t="shared" si="178"/>
        <v>29895</v>
      </c>
      <c r="T906" s="8">
        <v>29943</v>
      </c>
      <c r="U906" s="133">
        <f t="shared" si="167"/>
        <v>48</v>
      </c>
      <c r="V906" s="8">
        <f t="shared" si="179"/>
        <v>533986</v>
      </c>
      <c r="W906" s="8">
        <v>533986</v>
      </c>
      <c r="X906" s="13">
        <f t="shared" si="172"/>
        <v>0</v>
      </c>
      <c r="Y906" s="8">
        <f t="shared" si="173"/>
        <v>34339</v>
      </c>
      <c r="Z906" s="8">
        <v>34357</v>
      </c>
      <c r="AA906" s="13">
        <f t="shared" si="184"/>
        <v>18</v>
      </c>
      <c r="AB906" s="8">
        <f t="shared" si="176"/>
        <v>239725</v>
      </c>
      <c r="AC906" s="8">
        <v>239779</v>
      </c>
      <c r="AD906" s="13">
        <f t="shared" si="185"/>
        <v>54</v>
      </c>
      <c r="AE906" s="135"/>
      <c r="AF906" s="135"/>
      <c r="AG906" s="135"/>
      <c r="AH906" s="136"/>
      <c r="AI906" s="50">
        <f t="shared" si="182"/>
        <v>639</v>
      </c>
    </row>
    <row r="907" spans="1:35">
      <c r="A907" s="12">
        <v>45282</v>
      </c>
      <c r="B907" s="8">
        <f t="shared" si="174"/>
        <v>1920005</v>
      </c>
      <c r="C907" s="8">
        <v>1920499</v>
      </c>
      <c r="D907" s="13">
        <f t="shared" si="170"/>
        <v>494</v>
      </c>
      <c r="E907" s="77">
        <f t="shared" si="171"/>
        <v>210669</v>
      </c>
      <c r="F907" s="69">
        <v>210669</v>
      </c>
      <c r="G907" s="133">
        <v>700</v>
      </c>
      <c r="H907" s="8">
        <f t="shared" si="177"/>
        <v>323582</v>
      </c>
      <c r="I907" s="8">
        <v>324408</v>
      </c>
      <c r="J907" s="13">
        <f t="shared" si="181"/>
        <v>826</v>
      </c>
      <c r="K907" s="138"/>
      <c r="L907" s="8">
        <f t="shared" si="175"/>
        <v>866475</v>
      </c>
      <c r="M907" s="8">
        <v>867173</v>
      </c>
      <c r="N907" s="13">
        <f t="shared" si="183"/>
        <v>698</v>
      </c>
      <c r="O907" s="136"/>
      <c r="P907" s="8">
        <f t="shared" si="180"/>
        <v>474171</v>
      </c>
      <c r="Q907" s="8">
        <v>474778</v>
      </c>
      <c r="R907" s="133">
        <f t="shared" si="168"/>
        <v>607</v>
      </c>
      <c r="S907" s="8">
        <f t="shared" si="178"/>
        <v>29943</v>
      </c>
      <c r="T907" s="8">
        <v>30025</v>
      </c>
      <c r="U907" s="133">
        <f t="shared" si="167"/>
        <v>82</v>
      </c>
      <c r="V907" s="8">
        <f t="shared" si="179"/>
        <v>533986</v>
      </c>
      <c r="W907" s="8">
        <v>533986</v>
      </c>
      <c r="X907" s="13">
        <f t="shared" si="172"/>
        <v>0</v>
      </c>
      <c r="Y907" s="8">
        <f t="shared" si="173"/>
        <v>34357</v>
      </c>
      <c r="Z907" s="8">
        <v>34376</v>
      </c>
      <c r="AA907" s="13">
        <f t="shared" si="184"/>
        <v>19</v>
      </c>
      <c r="AB907" s="8">
        <f t="shared" si="176"/>
        <v>239779</v>
      </c>
      <c r="AC907" s="8">
        <v>239869</v>
      </c>
      <c r="AD907" s="13">
        <f t="shared" si="185"/>
        <v>90</v>
      </c>
      <c r="AE907" s="135"/>
      <c r="AF907" s="135"/>
      <c r="AG907" s="135"/>
      <c r="AH907" s="136"/>
      <c r="AI907" s="50">
        <f t="shared" si="182"/>
        <v>708</v>
      </c>
    </row>
    <row r="908" spans="1:35">
      <c r="A908" s="12">
        <v>45283</v>
      </c>
      <c r="B908" s="8">
        <f t="shared" si="174"/>
        <v>1920499</v>
      </c>
      <c r="C908" s="8">
        <v>1921054</v>
      </c>
      <c r="D908" s="13">
        <f t="shared" si="170"/>
        <v>555</v>
      </c>
      <c r="E908" s="77">
        <f t="shared" si="171"/>
        <v>210669</v>
      </c>
      <c r="F908" s="69">
        <v>210669</v>
      </c>
      <c r="G908" s="133">
        <f t="shared" si="169"/>
        <v>0</v>
      </c>
      <c r="H908" s="8">
        <f t="shared" si="177"/>
        <v>324408</v>
      </c>
      <c r="I908" s="8">
        <v>325174</v>
      </c>
      <c r="J908" s="13">
        <f t="shared" si="181"/>
        <v>766</v>
      </c>
      <c r="K908" s="138"/>
      <c r="L908" s="8">
        <f t="shared" si="175"/>
        <v>867173</v>
      </c>
      <c r="M908" s="8">
        <v>868287</v>
      </c>
      <c r="N908" s="13">
        <f t="shared" si="183"/>
        <v>1114</v>
      </c>
      <c r="O908" s="136"/>
      <c r="P908" s="8">
        <f t="shared" si="180"/>
        <v>474778</v>
      </c>
      <c r="Q908" s="8">
        <v>475388</v>
      </c>
      <c r="R908" s="133">
        <f t="shared" si="168"/>
        <v>610</v>
      </c>
      <c r="S908" s="8">
        <f t="shared" si="178"/>
        <v>30025</v>
      </c>
      <c r="T908" s="8">
        <v>30094</v>
      </c>
      <c r="U908" s="133">
        <f t="shared" si="167"/>
        <v>69</v>
      </c>
      <c r="V908" s="8">
        <f t="shared" si="179"/>
        <v>533986</v>
      </c>
      <c r="W908" s="8">
        <v>533986</v>
      </c>
      <c r="X908" s="13">
        <f t="shared" si="172"/>
        <v>0</v>
      </c>
      <c r="Y908" s="8">
        <f t="shared" si="173"/>
        <v>34376</v>
      </c>
      <c r="Z908" s="8">
        <v>34391</v>
      </c>
      <c r="AA908" s="13">
        <f t="shared" si="184"/>
        <v>15</v>
      </c>
      <c r="AB908" s="8">
        <f t="shared" si="176"/>
        <v>239869</v>
      </c>
      <c r="AC908" s="8">
        <v>239973</v>
      </c>
      <c r="AD908" s="13">
        <f t="shared" si="185"/>
        <v>104</v>
      </c>
      <c r="AE908" s="135"/>
      <c r="AF908" s="135"/>
      <c r="AG908" s="135"/>
      <c r="AH908" s="136"/>
      <c r="AI908" s="50">
        <f t="shared" si="182"/>
        <v>694</v>
      </c>
    </row>
    <row r="909" spans="1:35">
      <c r="A909" s="12">
        <v>45284</v>
      </c>
      <c r="B909" s="8">
        <f t="shared" si="174"/>
        <v>1921054</v>
      </c>
      <c r="C909" s="8">
        <v>1921595</v>
      </c>
      <c r="D909" s="13">
        <f t="shared" si="170"/>
        <v>541</v>
      </c>
      <c r="E909" s="77">
        <v>210669</v>
      </c>
      <c r="F909" s="69">
        <v>210669</v>
      </c>
      <c r="G909" s="133">
        <f t="shared" si="169"/>
        <v>0</v>
      </c>
      <c r="H909" s="8">
        <f t="shared" si="177"/>
        <v>325174</v>
      </c>
      <c r="I909" s="8">
        <v>325792</v>
      </c>
      <c r="J909" s="13">
        <f t="shared" si="181"/>
        <v>618</v>
      </c>
      <c r="K909" s="138"/>
      <c r="L909" s="8">
        <f t="shared" si="175"/>
        <v>868287</v>
      </c>
      <c r="M909" s="8">
        <v>868600</v>
      </c>
      <c r="N909" s="13">
        <f t="shared" si="183"/>
        <v>313</v>
      </c>
      <c r="O909" s="136"/>
      <c r="P909" s="8">
        <f t="shared" si="180"/>
        <v>475388</v>
      </c>
      <c r="Q909" s="8">
        <v>475870</v>
      </c>
      <c r="R909" s="133">
        <f t="shared" si="168"/>
        <v>482</v>
      </c>
      <c r="S909" s="8">
        <f t="shared" si="178"/>
        <v>30094</v>
      </c>
      <c r="T909" s="8">
        <v>30163</v>
      </c>
      <c r="U909" s="133">
        <f t="shared" ref="U909:U972" si="186">T909-S909</f>
        <v>69</v>
      </c>
      <c r="V909" s="8">
        <f t="shared" si="179"/>
        <v>533986</v>
      </c>
      <c r="W909" s="8">
        <v>533986</v>
      </c>
      <c r="X909" s="13">
        <f t="shared" si="172"/>
        <v>0</v>
      </c>
      <c r="Y909" s="8">
        <f t="shared" si="173"/>
        <v>34391</v>
      </c>
      <c r="Z909" s="8">
        <v>34409</v>
      </c>
      <c r="AA909" s="13">
        <f t="shared" si="184"/>
        <v>18</v>
      </c>
      <c r="AB909" s="8">
        <f t="shared" si="176"/>
        <v>239973</v>
      </c>
      <c r="AC909" s="8">
        <v>240025</v>
      </c>
      <c r="AD909" s="13">
        <f t="shared" si="185"/>
        <v>52</v>
      </c>
      <c r="AE909" s="135"/>
      <c r="AF909" s="135"/>
      <c r="AG909" s="135"/>
      <c r="AH909" s="136"/>
      <c r="AI909" s="50">
        <f t="shared" si="182"/>
        <v>569</v>
      </c>
    </row>
    <row r="910" spans="1:35">
      <c r="A910" s="12">
        <v>45285</v>
      </c>
      <c r="B910" s="8">
        <f t="shared" si="174"/>
        <v>1921595</v>
      </c>
      <c r="C910" s="8">
        <v>1921805</v>
      </c>
      <c r="D910" s="13">
        <f t="shared" si="170"/>
        <v>210</v>
      </c>
      <c r="E910" s="77">
        <f t="shared" si="171"/>
        <v>210669</v>
      </c>
      <c r="F910" s="69">
        <v>210669</v>
      </c>
      <c r="G910" s="133">
        <f t="shared" si="169"/>
        <v>0</v>
      </c>
      <c r="H910" s="8">
        <f t="shared" si="177"/>
        <v>325792</v>
      </c>
      <c r="I910" s="8">
        <v>326171</v>
      </c>
      <c r="J910" s="13">
        <f t="shared" si="181"/>
        <v>379</v>
      </c>
      <c r="K910" s="138"/>
      <c r="L910" s="8">
        <f t="shared" si="175"/>
        <v>868600</v>
      </c>
      <c r="M910" s="8">
        <v>869312</v>
      </c>
      <c r="N910" s="13">
        <f t="shared" si="183"/>
        <v>712</v>
      </c>
      <c r="O910" s="136"/>
      <c r="P910" s="8">
        <f t="shared" si="180"/>
        <v>475870</v>
      </c>
      <c r="Q910" s="8">
        <v>476505</v>
      </c>
      <c r="R910" s="133">
        <f t="shared" si="168"/>
        <v>635</v>
      </c>
      <c r="S910" s="8">
        <f t="shared" si="178"/>
        <v>30163</v>
      </c>
      <c r="T910" s="8">
        <v>30248</v>
      </c>
      <c r="U910" s="133">
        <f t="shared" si="186"/>
        <v>85</v>
      </c>
      <c r="V910" s="8">
        <f t="shared" si="179"/>
        <v>533986</v>
      </c>
      <c r="W910" s="8">
        <v>533986</v>
      </c>
      <c r="X910" s="13">
        <f t="shared" si="172"/>
        <v>0</v>
      </c>
      <c r="Y910" s="8">
        <f t="shared" si="173"/>
        <v>34409</v>
      </c>
      <c r="Z910" s="8">
        <v>34426</v>
      </c>
      <c r="AA910" s="13">
        <f t="shared" si="184"/>
        <v>17</v>
      </c>
      <c r="AB910" s="8">
        <f t="shared" si="176"/>
        <v>240025</v>
      </c>
      <c r="AC910" s="8">
        <v>240143</v>
      </c>
      <c r="AD910" s="13">
        <f t="shared" si="185"/>
        <v>118</v>
      </c>
      <c r="AE910" s="135"/>
      <c r="AF910" s="135"/>
      <c r="AG910" s="135"/>
      <c r="AH910" s="136"/>
      <c r="AI910" s="50">
        <f t="shared" si="182"/>
        <v>737</v>
      </c>
    </row>
    <row r="911" spans="1:35">
      <c r="A911" s="12">
        <v>45286</v>
      </c>
      <c r="B911" s="8">
        <f t="shared" si="174"/>
        <v>1921805</v>
      </c>
      <c r="C911" s="8">
        <v>1921903</v>
      </c>
      <c r="D911" s="13">
        <f t="shared" si="170"/>
        <v>98</v>
      </c>
      <c r="E911" s="77">
        <f t="shared" si="171"/>
        <v>210669</v>
      </c>
      <c r="F911" s="69">
        <v>210669</v>
      </c>
      <c r="G911" s="133">
        <f t="shared" si="169"/>
        <v>0</v>
      </c>
      <c r="H911" s="8">
        <f t="shared" si="177"/>
        <v>326171</v>
      </c>
      <c r="I911" s="8">
        <v>326171</v>
      </c>
      <c r="J911" s="13">
        <f t="shared" si="181"/>
        <v>0</v>
      </c>
      <c r="K911" s="138"/>
      <c r="L911" s="8">
        <f t="shared" si="175"/>
        <v>869312</v>
      </c>
      <c r="M911" s="8">
        <v>870415</v>
      </c>
      <c r="N911" s="13">
        <f t="shared" si="183"/>
        <v>1103</v>
      </c>
      <c r="O911" s="136"/>
      <c r="P911" s="8">
        <f t="shared" si="180"/>
        <v>476505</v>
      </c>
      <c r="Q911" s="8">
        <v>477029</v>
      </c>
      <c r="R911" s="133">
        <f t="shared" si="168"/>
        <v>524</v>
      </c>
      <c r="S911" s="8">
        <f t="shared" si="178"/>
        <v>30248</v>
      </c>
      <c r="T911" s="8">
        <v>30293</v>
      </c>
      <c r="U911" s="133">
        <f t="shared" si="186"/>
        <v>45</v>
      </c>
      <c r="V911" s="8">
        <f t="shared" si="179"/>
        <v>533986</v>
      </c>
      <c r="W911" s="8">
        <v>533986</v>
      </c>
      <c r="X911" s="13">
        <f t="shared" si="172"/>
        <v>0</v>
      </c>
      <c r="Y911" s="8">
        <f t="shared" si="173"/>
        <v>34426</v>
      </c>
      <c r="Z911" s="8">
        <v>34506</v>
      </c>
      <c r="AA911" s="13">
        <f t="shared" si="184"/>
        <v>80</v>
      </c>
      <c r="AB911" s="8">
        <f t="shared" si="176"/>
        <v>240143</v>
      </c>
      <c r="AC911" s="8">
        <v>240230</v>
      </c>
      <c r="AD911" s="13">
        <f t="shared" si="185"/>
        <v>87</v>
      </c>
      <c r="AE911" s="135"/>
      <c r="AF911" s="135"/>
      <c r="AG911" s="135"/>
      <c r="AH911" s="136"/>
      <c r="AI911" s="50">
        <f t="shared" si="182"/>
        <v>649</v>
      </c>
    </row>
    <row r="912" spans="1:35">
      <c r="A912" s="12">
        <v>45287</v>
      </c>
      <c r="B912" s="8">
        <f t="shared" si="174"/>
        <v>1921903</v>
      </c>
      <c r="C912" s="8">
        <v>1922051</v>
      </c>
      <c r="D912" s="13">
        <f t="shared" si="170"/>
        <v>148</v>
      </c>
      <c r="E912" s="77">
        <f t="shared" si="171"/>
        <v>210669</v>
      </c>
      <c r="F912" s="69">
        <v>210669</v>
      </c>
      <c r="G912" s="133">
        <f t="shared" si="169"/>
        <v>0</v>
      </c>
      <c r="H912" s="8">
        <f t="shared" si="177"/>
        <v>326171</v>
      </c>
      <c r="I912" s="8">
        <v>326641</v>
      </c>
      <c r="J912" s="13">
        <f t="shared" si="181"/>
        <v>470</v>
      </c>
      <c r="K912" s="138"/>
      <c r="L912" s="8">
        <f t="shared" si="175"/>
        <v>870415</v>
      </c>
      <c r="M912" s="8">
        <v>870737</v>
      </c>
      <c r="N912" s="13">
        <f t="shared" si="183"/>
        <v>322</v>
      </c>
      <c r="O912" s="136"/>
      <c r="P912" s="8">
        <f t="shared" si="180"/>
        <v>477029</v>
      </c>
      <c r="Q912" s="8">
        <v>477473</v>
      </c>
      <c r="R912" s="133">
        <f t="shared" si="168"/>
        <v>444</v>
      </c>
      <c r="S912" s="8">
        <f t="shared" si="178"/>
        <v>30293</v>
      </c>
      <c r="T912" s="8">
        <v>30314</v>
      </c>
      <c r="U912" s="133">
        <f t="shared" si="186"/>
        <v>21</v>
      </c>
      <c r="V912" s="8">
        <f t="shared" si="179"/>
        <v>533986</v>
      </c>
      <c r="W912" s="8">
        <v>533986</v>
      </c>
      <c r="X912" s="13">
        <f t="shared" si="172"/>
        <v>0</v>
      </c>
      <c r="Y912" s="8">
        <f t="shared" si="173"/>
        <v>34506</v>
      </c>
      <c r="Z912" s="8">
        <v>34569</v>
      </c>
      <c r="AA912" s="13">
        <f t="shared" si="184"/>
        <v>63</v>
      </c>
      <c r="AB912" s="8">
        <f t="shared" si="176"/>
        <v>240230</v>
      </c>
      <c r="AC912" s="8">
        <v>240285</v>
      </c>
      <c r="AD912" s="13">
        <f t="shared" si="185"/>
        <v>55</v>
      </c>
      <c r="AE912" s="135"/>
      <c r="AF912" s="135"/>
      <c r="AG912" s="135"/>
      <c r="AH912" s="136"/>
      <c r="AI912" s="50">
        <f t="shared" si="182"/>
        <v>528</v>
      </c>
    </row>
    <row r="913" spans="1:35">
      <c r="A913" s="12">
        <v>45288</v>
      </c>
      <c r="B913" s="8">
        <f t="shared" si="174"/>
        <v>1922051</v>
      </c>
      <c r="C913" s="8">
        <v>1922051</v>
      </c>
      <c r="D913" s="13">
        <f t="shared" si="170"/>
        <v>0</v>
      </c>
      <c r="E913" s="77">
        <f t="shared" si="171"/>
        <v>210669</v>
      </c>
      <c r="F913" s="69">
        <v>210669</v>
      </c>
      <c r="G913" s="133">
        <f t="shared" si="169"/>
        <v>0</v>
      </c>
      <c r="H913" s="8">
        <f t="shared" si="177"/>
        <v>326641</v>
      </c>
      <c r="I913" s="8">
        <v>326749</v>
      </c>
      <c r="J913" s="13">
        <f t="shared" si="181"/>
        <v>108</v>
      </c>
      <c r="K913" s="138"/>
      <c r="L913" s="8">
        <f t="shared" si="175"/>
        <v>870737</v>
      </c>
      <c r="M913" s="8">
        <v>871150</v>
      </c>
      <c r="N913" s="13">
        <f t="shared" si="183"/>
        <v>413</v>
      </c>
      <c r="O913" s="136"/>
      <c r="P913" s="8">
        <f t="shared" si="180"/>
        <v>477473</v>
      </c>
      <c r="Q913" s="8">
        <v>477641</v>
      </c>
      <c r="R913" s="133">
        <f t="shared" si="168"/>
        <v>168</v>
      </c>
      <c r="S913" s="8">
        <f t="shared" si="178"/>
        <v>30314</v>
      </c>
      <c r="T913" s="8">
        <v>30428</v>
      </c>
      <c r="U913" s="133">
        <f t="shared" si="186"/>
        <v>114</v>
      </c>
      <c r="V913" s="8">
        <f t="shared" si="179"/>
        <v>533986</v>
      </c>
      <c r="W913" s="8">
        <v>533986</v>
      </c>
      <c r="X913" s="13">
        <f t="shared" si="172"/>
        <v>0</v>
      </c>
      <c r="Y913" s="8">
        <f t="shared" si="173"/>
        <v>34569</v>
      </c>
      <c r="Z913" s="8">
        <v>34598</v>
      </c>
      <c r="AA913" s="13">
        <f t="shared" si="184"/>
        <v>29</v>
      </c>
      <c r="AB913" s="8">
        <f t="shared" si="176"/>
        <v>240285</v>
      </c>
      <c r="AC913" s="8">
        <v>240305</v>
      </c>
      <c r="AD913" s="13">
        <f t="shared" si="185"/>
        <v>20</v>
      </c>
      <c r="AE913" s="135"/>
      <c r="AF913" s="135"/>
      <c r="AG913" s="135"/>
      <c r="AH913" s="136"/>
      <c r="AI913" s="50">
        <f t="shared" si="182"/>
        <v>311</v>
      </c>
    </row>
    <row r="914" spans="1:35">
      <c r="A914" s="12">
        <v>45289</v>
      </c>
      <c r="B914" s="8">
        <f t="shared" si="174"/>
        <v>1922051</v>
      </c>
      <c r="C914" s="8">
        <v>1922051</v>
      </c>
      <c r="D914" s="13">
        <f t="shared" si="170"/>
        <v>0</v>
      </c>
      <c r="E914" s="77">
        <f t="shared" si="171"/>
        <v>210669</v>
      </c>
      <c r="F914" s="69">
        <v>210669</v>
      </c>
      <c r="G914" s="133">
        <v>700</v>
      </c>
      <c r="H914" s="8">
        <f t="shared" si="177"/>
        <v>326749</v>
      </c>
      <c r="I914" s="8">
        <v>327268</v>
      </c>
      <c r="J914" s="13">
        <f t="shared" si="181"/>
        <v>519</v>
      </c>
      <c r="K914" s="138"/>
      <c r="L914" s="8">
        <f t="shared" si="175"/>
        <v>871150</v>
      </c>
      <c r="M914" s="8">
        <v>871708</v>
      </c>
      <c r="N914" s="13">
        <f t="shared" si="183"/>
        <v>558</v>
      </c>
      <c r="O914" s="136"/>
      <c r="P914" s="8">
        <f t="shared" si="180"/>
        <v>477641</v>
      </c>
      <c r="Q914" s="8">
        <v>477723</v>
      </c>
      <c r="R914" s="133">
        <f t="shared" si="168"/>
        <v>82</v>
      </c>
      <c r="S914" s="8">
        <f t="shared" si="178"/>
        <v>30428</v>
      </c>
      <c r="T914" s="8">
        <v>30484</v>
      </c>
      <c r="U914" s="133">
        <f t="shared" si="186"/>
        <v>56</v>
      </c>
      <c r="V914" s="8">
        <f t="shared" si="179"/>
        <v>533986</v>
      </c>
      <c r="W914" s="8">
        <v>533986</v>
      </c>
      <c r="X914" s="13">
        <f t="shared" si="172"/>
        <v>0</v>
      </c>
      <c r="Y914" s="8">
        <f t="shared" si="173"/>
        <v>34598</v>
      </c>
      <c r="Z914" s="8">
        <v>34615</v>
      </c>
      <c r="AA914" s="13">
        <f t="shared" si="184"/>
        <v>17</v>
      </c>
      <c r="AB914" s="8">
        <f t="shared" si="176"/>
        <v>240305</v>
      </c>
      <c r="AC914" s="8">
        <v>240332</v>
      </c>
      <c r="AD914" s="13">
        <f t="shared" si="185"/>
        <v>27</v>
      </c>
      <c r="AE914" s="135"/>
      <c r="AF914" s="135"/>
      <c r="AG914" s="135"/>
      <c r="AH914" s="136"/>
      <c r="AI914" s="50">
        <f t="shared" si="182"/>
        <v>155</v>
      </c>
    </row>
    <row r="915" spans="1:35">
      <c r="A915" s="12">
        <v>45290</v>
      </c>
      <c r="B915" s="8">
        <f t="shared" si="174"/>
        <v>1922051</v>
      </c>
      <c r="C915" s="8">
        <v>1922095</v>
      </c>
      <c r="D915" s="13">
        <f t="shared" si="170"/>
        <v>44</v>
      </c>
      <c r="E915" s="77">
        <f t="shared" si="171"/>
        <v>210669</v>
      </c>
      <c r="F915" s="69">
        <v>210669</v>
      </c>
      <c r="G915" s="133">
        <v>710</v>
      </c>
      <c r="H915" s="8">
        <f t="shared" si="177"/>
        <v>327268</v>
      </c>
      <c r="I915" s="8">
        <v>328097</v>
      </c>
      <c r="J915" s="13">
        <f t="shared" si="181"/>
        <v>829</v>
      </c>
      <c r="K915" s="138"/>
      <c r="L915" s="8">
        <f t="shared" si="175"/>
        <v>871708</v>
      </c>
      <c r="M915" s="8">
        <v>872051</v>
      </c>
      <c r="N915" s="13">
        <f t="shared" si="183"/>
        <v>343</v>
      </c>
      <c r="O915" s="136"/>
      <c r="P915" s="8">
        <f t="shared" si="180"/>
        <v>477723</v>
      </c>
      <c r="Q915" s="8">
        <v>478196</v>
      </c>
      <c r="R915" s="133">
        <f t="shared" si="168"/>
        <v>473</v>
      </c>
      <c r="S915" s="8">
        <f t="shared" si="178"/>
        <v>30484</v>
      </c>
      <c r="T915" s="8">
        <v>30552</v>
      </c>
      <c r="U915" s="133">
        <f t="shared" si="186"/>
        <v>68</v>
      </c>
      <c r="V915" s="8">
        <f t="shared" si="179"/>
        <v>533986</v>
      </c>
      <c r="W915" s="8">
        <v>533986</v>
      </c>
      <c r="X915" s="13">
        <f t="shared" si="172"/>
        <v>0</v>
      </c>
      <c r="Y915" s="8">
        <f t="shared" si="173"/>
        <v>34615</v>
      </c>
      <c r="Z915" s="8">
        <v>34631</v>
      </c>
      <c r="AA915" s="13">
        <f t="shared" si="184"/>
        <v>16</v>
      </c>
      <c r="AB915" s="8">
        <f t="shared" si="176"/>
        <v>240332</v>
      </c>
      <c r="AC915" s="8">
        <v>240389</v>
      </c>
      <c r="AD915" s="13">
        <f t="shared" si="185"/>
        <v>57</v>
      </c>
      <c r="AE915" s="135"/>
      <c r="AF915" s="135"/>
      <c r="AG915" s="135"/>
      <c r="AH915" s="136"/>
      <c r="AI915" s="50">
        <f t="shared" si="182"/>
        <v>557</v>
      </c>
    </row>
    <row r="916" spans="1:35">
      <c r="A916" s="12">
        <v>45291</v>
      </c>
      <c r="B916" s="8">
        <f t="shared" si="174"/>
        <v>1922095</v>
      </c>
      <c r="C916" s="8">
        <v>1922373</v>
      </c>
      <c r="D916" s="13">
        <f t="shared" si="170"/>
        <v>278</v>
      </c>
      <c r="E916" s="77">
        <f t="shared" si="171"/>
        <v>210669</v>
      </c>
      <c r="F916" s="69">
        <v>210669</v>
      </c>
      <c r="G916" s="133">
        <v>700</v>
      </c>
      <c r="H916" s="8">
        <f t="shared" si="177"/>
        <v>328097</v>
      </c>
      <c r="I916" s="8">
        <v>328957</v>
      </c>
      <c r="J916" s="13">
        <f t="shared" si="181"/>
        <v>860</v>
      </c>
      <c r="K916" s="138"/>
      <c r="L916" s="8">
        <f t="shared" si="175"/>
        <v>872051</v>
      </c>
      <c r="M916" s="8">
        <v>872495</v>
      </c>
      <c r="N916" s="13">
        <f t="shared" si="183"/>
        <v>444</v>
      </c>
      <c r="O916" s="136"/>
      <c r="P916" s="8">
        <f t="shared" si="180"/>
        <v>478196</v>
      </c>
      <c r="Q916" s="8">
        <v>478851</v>
      </c>
      <c r="R916" s="133">
        <f t="shared" si="168"/>
        <v>655</v>
      </c>
      <c r="S916" s="8">
        <f t="shared" si="178"/>
        <v>30552</v>
      </c>
      <c r="T916" s="8">
        <v>30600</v>
      </c>
      <c r="U916" s="133">
        <f t="shared" si="186"/>
        <v>48</v>
      </c>
      <c r="V916" s="8">
        <f t="shared" si="179"/>
        <v>533986</v>
      </c>
      <c r="W916" s="8">
        <v>533986</v>
      </c>
      <c r="X916" s="13">
        <f t="shared" si="172"/>
        <v>0</v>
      </c>
      <c r="Y916" s="8">
        <f t="shared" si="173"/>
        <v>34631</v>
      </c>
      <c r="Z916" s="8">
        <v>34649</v>
      </c>
      <c r="AA916" s="13">
        <f t="shared" si="184"/>
        <v>18</v>
      </c>
      <c r="AB916" s="8">
        <f t="shared" si="176"/>
        <v>240389</v>
      </c>
      <c r="AC916" s="8">
        <v>240443</v>
      </c>
      <c r="AD916" s="13">
        <f t="shared" si="185"/>
        <v>54</v>
      </c>
      <c r="AE916" s="135"/>
      <c r="AF916" s="135"/>
      <c r="AG916" s="135"/>
      <c r="AH916" s="136"/>
      <c r="AI916" s="50">
        <f t="shared" si="182"/>
        <v>721</v>
      </c>
    </row>
    <row r="917" spans="1:35">
      <c r="A917" s="12">
        <v>45292</v>
      </c>
      <c r="B917" s="8">
        <f t="shared" si="174"/>
        <v>1922373</v>
      </c>
      <c r="C917" s="8">
        <v>1922625</v>
      </c>
      <c r="D917" s="13">
        <f t="shared" si="170"/>
        <v>252</v>
      </c>
      <c r="E917" s="77">
        <f t="shared" si="171"/>
        <v>210669</v>
      </c>
      <c r="F917" s="69">
        <v>210669</v>
      </c>
      <c r="G917" s="133">
        <v>600</v>
      </c>
      <c r="H917" s="8">
        <f t="shared" si="177"/>
        <v>328957</v>
      </c>
      <c r="I917" s="8">
        <v>329677</v>
      </c>
      <c r="J917" s="13">
        <f t="shared" si="181"/>
        <v>720</v>
      </c>
      <c r="K917" s="138"/>
      <c r="L917" s="8">
        <f t="shared" si="175"/>
        <v>872495</v>
      </c>
      <c r="M917" s="8">
        <v>872872</v>
      </c>
      <c r="N917" s="13">
        <f t="shared" si="183"/>
        <v>377</v>
      </c>
      <c r="O917" s="136"/>
      <c r="P917" s="8">
        <f t="shared" si="180"/>
        <v>478851</v>
      </c>
      <c r="Q917" s="8">
        <v>479407</v>
      </c>
      <c r="R917" s="133">
        <f t="shared" si="168"/>
        <v>556</v>
      </c>
      <c r="S917" s="8">
        <f t="shared" si="178"/>
        <v>30600</v>
      </c>
      <c r="T917" s="8">
        <v>30663</v>
      </c>
      <c r="U917" s="133">
        <f t="shared" si="186"/>
        <v>63</v>
      </c>
      <c r="V917" s="8">
        <f t="shared" si="179"/>
        <v>533986</v>
      </c>
      <c r="W917" s="8">
        <v>533986</v>
      </c>
      <c r="X917" s="13">
        <f t="shared" si="172"/>
        <v>0</v>
      </c>
      <c r="Y917" s="8">
        <f t="shared" si="173"/>
        <v>34649</v>
      </c>
      <c r="Z917" s="8">
        <v>34715</v>
      </c>
      <c r="AA917" s="13">
        <f t="shared" si="184"/>
        <v>66</v>
      </c>
      <c r="AB917" s="8">
        <f t="shared" si="176"/>
        <v>240443</v>
      </c>
      <c r="AC917" s="8">
        <v>240529</v>
      </c>
      <c r="AD917" s="13">
        <f t="shared" si="185"/>
        <v>86</v>
      </c>
      <c r="AE917" s="135"/>
      <c r="AF917" s="135"/>
      <c r="AG917" s="135"/>
      <c r="AH917" s="136"/>
      <c r="AI917" s="50">
        <f t="shared" si="182"/>
        <v>685</v>
      </c>
    </row>
    <row r="918" spans="1:35">
      <c r="A918" s="12">
        <v>45293</v>
      </c>
      <c r="B918" s="8">
        <f t="shared" si="174"/>
        <v>1922625</v>
      </c>
      <c r="C918" s="8">
        <v>1923199</v>
      </c>
      <c r="D918" s="13">
        <f t="shared" si="170"/>
        <v>574</v>
      </c>
      <c r="E918" s="77">
        <f t="shared" si="171"/>
        <v>210669</v>
      </c>
      <c r="F918" s="69">
        <v>210669</v>
      </c>
      <c r="G918" s="133">
        <v>650</v>
      </c>
      <c r="H918" s="8">
        <f t="shared" si="177"/>
        <v>329677</v>
      </c>
      <c r="I918" s="8">
        <v>329740</v>
      </c>
      <c r="J918" s="13">
        <f t="shared" si="181"/>
        <v>63</v>
      </c>
      <c r="K918" s="138"/>
      <c r="L918" s="8">
        <f t="shared" si="175"/>
        <v>872872</v>
      </c>
      <c r="M918" s="8">
        <v>873906</v>
      </c>
      <c r="N918" s="13">
        <f t="shared" si="183"/>
        <v>1034</v>
      </c>
      <c r="O918" s="136"/>
      <c r="P918" s="8">
        <f t="shared" si="180"/>
        <v>479407</v>
      </c>
      <c r="Q918" s="8">
        <v>479946</v>
      </c>
      <c r="R918" s="133">
        <f t="shared" si="168"/>
        <v>539</v>
      </c>
      <c r="S918" s="8">
        <f t="shared" si="178"/>
        <v>30663</v>
      </c>
      <c r="T918" s="8">
        <v>30715</v>
      </c>
      <c r="U918" s="133">
        <f t="shared" si="186"/>
        <v>52</v>
      </c>
      <c r="V918" s="8">
        <f t="shared" si="179"/>
        <v>533986</v>
      </c>
      <c r="W918" s="8">
        <v>533986</v>
      </c>
      <c r="X918" s="13">
        <f t="shared" si="172"/>
        <v>0</v>
      </c>
      <c r="Y918" s="8">
        <f t="shared" si="173"/>
        <v>34715</v>
      </c>
      <c r="Z918" s="8">
        <v>34722</v>
      </c>
      <c r="AA918" s="13">
        <f t="shared" si="184"/>
        <v>7</v>
      </c>
      <c r="AB918" s="8">
        <f t="shared" si="176"/>
        <v>240529</v>
      </c>
      <c r="AC918" s="8">
        <v>240572</v>
      </c>
      <c r="AD918" s="13">
        <f t="shared" si="185"/>
        <v>43</v>
      </c>
      <c r="AE918" s="135"/>
      <c r="AF918" s="135"/>
      <c r="AG918" s="135"/>
      <c r="AH918" s="136"/>
      <c r="AI918" s="50">
        <f t="shared" si="182"/>
        <v>598</v>
      </c>
    </row>
    <row r="919" spans="1:35">
      <c r="A919" s="12">
        <v>45294</v>
      </c>
      <c r="B919" s="8">
        <f t="shared" si="174"/>
        <v>1923199</v>
      </c>
      <c r="C919" s="8">
        <v>1923759</v>
      </c>
      <c r="D919" s="13">
        <f t="shared" si="170"/>
        <v>560</v>
      </c>
      <c r="E919" s="77">
        <f t="shared" si="171"/>
        <v>210669</v>
      </c>
      <c r="F919" s="69">
        <v>210669</v>
      </c>
      <c r="G919" s="133">
        <v>750</v>
      </c>
      <c r="H919" s="8">
        <f t="shared" si="177"/>
        <v>329740</v>
      </c>
      <c r="I919" s="8">
        <v>329749</v>
      </c>
      <c r="J919" s="13">
        <f t="shared" si="181"/>
        <v>9</v>
      </c>
      <c r="K919" s="138"/>
      <c r="L919" s="8">
        <f t="shared" si="175"/>
        <v>873906</v>
      </c>
      <c r="M919" s="8">
        <v>875130</v>
      </c>
      <c r="N919" s="13">
        <f t="shared" si="183"/>
        <v>1224</v>
      </c>
      <c r="O919" s="136"/>
      <c r="P919" s="8">
        <f t="shared" si="180"/>
        <v>479946</v>
      </c>
      <c r="Q919" s="8">
        <v>480465</v>
      </c>
      <c r="R919" s="133">
        <f t="shared" ref="R919:R982" si="187">Q919-P919</f>
        <v>519</v>
      </c>
      <c r="S919" s="8">
        <f t="shared" si="178"/>
        <v>30715</v>
      </c>
      <c r="T919" s="8">
        <v>30769</v>
      </c>
      <c r="U919" s="133">
        <f t="shared" si="186"/>
        <v>54</v>
      </c>
      <c r="V919" s="8">
        <f t="shared" si="179"/>
        <v>533986</v>
      </c>
      <c r="W919" s="8">
        <v>533986</v>
      </c>
      <c r="X919" s="13">
        <f t="shared" si="172"/>
        <v>0</v>
      </c>
      <c r="Y919" s="8">
        <f t="shared" si="173"/>
        <v>34722</v>
      </c>
      <c r="Z919" s="8">
        <v>34740</v>
      </c>
      <c r="AA919" s="13">
        <f t="shared" si="184"/>
        <v>18</v>
      </c>
      <c r="AB919" s="8">
        <f t="shared" si="176"/>
        <v>240572</v>
      </c>
      <c r="AC919" s="8">
        <v>240632</v>
      </c>
      <c r="AD919" s="13">
        <f t="shared" si="185"/>
        <v>60</v>
      </c>
      <c r="AE919" s="135"/>
      <c r="AF919" s="135"/>
      <c r="AG919" s="135"/>
      <c r="AH919" s="136"/>
      <c r="AI919" s="50">
        <f t="shared" si="182"/>
        <v>591</v>
      </c>
    </row>
    <row r="920" spans="1:35">
      <c r="A920" s="12">
        <v>45295</v>
      </c>
      <c r="B920" s="8">
        <f t="shared" si="174"/>
        <v>1923759</v>
      </c>
      <c r="C920" s="8">
        <v>1924314</v>
      </c>
      <c r="D920" s="13">
        <f t="shared" si="170"/>
        <v>555</v>
      </c>
      <c r="E920" s="77">
        <f t="shared" si="171"/>
        <v>210669</v>
      </c>
      <c r="F920" s="69">
        <v>210669</v>
      </c>
      <c r="G920" s="133">
        <v>650</v>
      </c>
      <c r="H920" s="8">
        <f t="shared" si="177"/>
        <v>329749</v>
      </c>
      <c r="I920" s="8">
        <v>329749</v>
      </c>
      <c r="J920" s="13">
        <f t="shared" si="181"/>
        <v>0</v>
      </c>
      <c r="K920" s="138"/>
      <c r="L920" s="8">
        <f t="shared" si="175"/>
        <v>875130</v>
      </c>
      <c r="M920" s="8">
        <v>876174</v>
      </c>
      <c r="N920" s="13">
        <f t="shared" si="183"/>
        <v>1044</v>
      </c>
      <c r="O920" s="136"/>
      <c r="P920" s="8">
        <f t="shared" si="180"/>
        <v>480465</v>
      </c>
      <c r="Q920" s="8">
        <v>480998</v>
      </c>
      <c r="R920" s="133">
        <f t="shared" si="187"/>
        <v>533</v>
      </c>
      <c r="S920" s="8">
        <f t="shared" si="178"/>
        <v>30769</v>
      </c>
      <c r="T920" s="8">
        <v>30829</v>
      </c>
      <c r="U920" s="133">
        <f t="shared" si="186"/>
        <v>60</v>
      </c>
      <c r="V920" s="8">
        <f t="shared" si="179"/>
        <v>533986</v>
      </c>
      <c r="W920" s="8">
        <v>533986</v>
      </c>
      <c r="X920" s="13">
        <f t="shared" si="172"/>
        <v>0</v>
      </c>
      <c r="Y920" s="8">
        <f t="shared" si="173"/>
        <v>34740</v>
      </c>
      <c r="Z920" s="8">
        <v>34766</v>
      </c>
      <c r="AA920" s="13">
        <f t="shared" si="184"/>
        <v>26</v>
      </c>
      <c r="AB920" s="8">
        <f t="shared" si="176"/>
        <v>240632</v>
      </c>
      <c r="AC920" s="8">
        <v>240672</v>
      </c>
      <c r="AD920" s="13">
        <f t="shared" si="185"/>
        <v>40</v>
      </c>
      <c r="AE920" s="135"/>
      <c r="AF920" s="135"/>
      <c r="AG920" s="135"/>
      <c r="AH920" s="136"/>
      <c r="AI920" s="50">
        <f t="shared" si="182"/>
        <v>619</v>
      </c>
    </row>
    <row r="921" spans="1:35">
      <c r="A921" s="12">
        <v>45296</v>
      </c>
      <c r="B921" s="8">
        <f t="shared" si="174"/>
        <v>1924314</v>
      </c>
      <c r="C921" s="8">
        <v>1924873</v>
      </c>
      <c r="D921" s="13">
        <f t="shared" si="170"/>
        <v>559</v>
      </c>
      <c r="E921" s="77">
        <f t="shared" si="171"/>
        <v>210669</v>
      </c>
      <c r="F921" s="69">
        <v>210669</v>
      </c>
      <c r="G921" s="133">
        <v>700</v>
      </c>
      <c r="H921" s="8">
        <f t="shared" si="177"/>
        <v>329749</v>
      </c>
      <c r="I921" s="8">
        <v>329749</v>
      </c>
      <c r="J921" s="13">
        <f t="shared" si="181"/>
        <v>0</v>
      </c>
      <c r="K921" s="138"/>
      <c r="L921" s="8">
        <f t="shared" si="175"/>
        <v>876174</v>
      </c>
      <c r="M921" s="8">
        <v>877451</v>
      </c>
      <c r="N921" s="13">
        <f t="shared" si="183"/>
        <v>1277</v>
      </c>
      <c r="O921" s="136"/>
      <c r="P921" s="8">
        <f t="shared" si="180"/>
        <v>480998</v>
      </c>
      <c r="Q921" s="8">
        <v>481678</v>
      </c>
      <c r="R921" s="133">
        <f t="shared" si="187"/>
        <v>680</v>
      </c>
      <c r="S921" s="8">
        <f t="shared" si="178"/>
        <v>30829</v>
      </c>
      <c r="T921" s="8">
        <v>30881</v>
      </c>
      <c r="U921" s="133">
        <f t="shared" si="186"/>
        <v>52</v>
      </c>
      <c r="V921" s="8">
        <f t="shared" si="179"/>
        <v>533986</v>
      </c>
      <c r="W921" s="8">
        <v>533986</v>
      </c>
      <c r="X921" s="13">
        <f t="shared" si="172"/>
        <v>0</v>
      </c>
      <c r="Y921" s="8">
        <f t="shared" si="173"/>
        <v>34766</v>
      </c>
      <c r="Z921" s="8">
        <v>34787</v>
      </c>
      <c r="AA921" s="13">
        <f t="shared" si="184"/>
        <v>21</v>
      </c>
      <c r="AB921" s="8">
        <f t="shared" si="176"/>
        <v>240672</v>
      </c>
      <c r="AC921" s="8">
        <v>240732</v>
      </c>
      <c r="AD921" s="13">
        <f t="shared" si="185"/>
        <v>60</v>
      </c>
      <c r="AE921" s="135"/>
      <c r="AF921" s="135"/>
      <c r="AG921" s="135"/>
      <c r="AH921" s="136"/>
      <c r="AI921" s="50">
        <f t="shared" si="182"/>
        <v>753</v>
      </c>
    </row>
    <row r="922" spans="1:35">
      <c r="A922" s="12">
        <v>45297</v>
      </c>
      <c r="B922" s="8">
        <f t="shared" si="174"/>
        <v>1924873</v>
      </c>
      <c r="C922" s="8">
        <v>1925352</v>
      </c>
      <c r="D922" s="13">
        <f t="shared" si="170"/>
        <v>479</v>
      </c>
      <c r="E922" s="77">
        <f t="shared" si="171"/>
        <v>210669</v>
      </c>
      <c r="F922" s="69">
        <v>210669</v>
      </c>
      <c r="G922" s="133">
        <v>700</v>
      </c>
      <c r="H922" s="8">
        <f t="shared" si="177"/>
        <v>329749</v>
      </c>
      <c r="I922" s="8">
        <v>329749</v>
      </c>
      <c r="J922" s="13">
        <f t="shared" si="181"/>
        <v>0</v>
      </c>
      <c r="K922" s="138"/>
      <c r="L922" s="8">
        <f t="shared" si="175"/>
        <v>877451</v>
      </c>
      <c r="M922" s="8">
        <v>878531</v>
      </c>
      <c r="N922" s="13">
        <f t="shared" si="183"/>
        <v>1080</v>
      </c>
      <c r="O922" s="136"/>
      <c r="P922" s="8">
        <f t="shared" si="180"/>
        <v>481678</v>
      </c>
      <c r="Q922" s="8">
        <v>482158</v>
      </c>
      <c r="R922" s="133">
        <f t="shared" si="187"/>
        <v>480</v>
      </c>
      <c r="S922" s="8">
        <f t="shared" si="178"/>
        <v>30881</v>
      </c>
      <c r="T922" s="8">
        <v>30918</v>
      </c>
      <c r="U922" s="133">
        <f t="shared" si="186"/>
        <v>37</v>
      </c>
      <c r="V922" s="8">
        <f t="shared" si="179"/>
        <v>533986</v>
      </c>
      <c r="W922" s="8">
        <v>533986</v>
      </c>
      <c r="X922" s="13">
        <f t="shared" si="172"/>
        <v>0</v>
      </c>
      <c r="Y922" s="8">
        <f t="shared" si="173"/>
        <v>34787</v>
      </c>
      <c r="Z922" s="8">
        <v>34803</v>
      </c>
      <c r="AA922" s="13">
        <f t="shared" si="184"/>
        <v>16</v>
      </c>
      <c r="AB922" s="8">
        <f t="shared" si="176"/>
        <v>240732</v>
      </c>
      <c r="AC922" s="8">
        <v>240771</v>
      </c>
      <c r="AD922" s="13">
        <f t="shared" si="185"/>
        <v>39</v>
      </c>
      <c r="AE922" s="135"/>
      <c r="AF922" s="135"/>
      <c r="AG922" s="135"/>
      <c r="AH922" s="136"/>
      <c r="AI922" s="50">
        <f t="shared" si="182"/>
        <v>533</v>
      </c>
    </row>
    <row r="923" spans="1:35">
      <c r="A923" s="12">
        <v>45298</v>
      </c>
      <c r="B923" s="8">
        <f t="shared" si="174"/>
        <v>1925352</v>
      </c>
      <c r="C923" s="8">
        <v>1926017</v>
      </c>
      <c r="D923" s="13">
        <f t="shared" ref="D923:D986" si="188">C923-B923</f>
        <v>665</v>
      </c>
      <c r="E923" s="77">
        <f t="shared" si="171"/>
        <v>210669</v>
      </c>
      <c r="F923" s="69">
        <v>210669</v>
      </c>
      <c r="G923" s="133">
        <v>700</v>
      </c>
      <c r="H923" s="8">
        <f t="shared" si="177"/>
        <v>329749</v>
      </c>
      <c r="I923" s="8">
        <v>330337</v>
      </c>
      <c r="J923" s="13">
        <f t="shared" si="181"/>
        <v>588</v>
      </c>
      <c r="K923" s="138"/>
      <c r="L923" s="8">
        <f t="shared" si="175"/>
        <v>878531</v>
      </c>
      <c r="M923" s="8">
        <v>878993</v>
      </c>
      <c r="N923" s="13">
        <f t="shared" si="183"/>
        <v>462</v>
      </c>
      <c r="O923" s="136"/>
      <c r="P923" s="8">
        <f t="shared" si="180"/>
        <v>482158</v>
      </c>
      <c r="Q923" s="8">
        <v>482560</v>
      </c>
      <c r="R923" s="133">
        <f t="shared" si="187"/>
        <v>402</v>
      </c>
      <c r="S923" s="8">
        <f t="shared" si="178"/>
        <v>30918</v>
      </c>
      <c r="T923" s="8">
        <v>30999</v>
      </c>
      <c r="U923" s="133">
        <f t="shared" si="186"/>
        <v>81</v>
      </c>
      <c r="V923" s="8">
        <f t="shared" si="179"/>
        <v>533986</v>
      </c>
      <c r="W923" s="8">
        <v>533986</v>
      </c>
      <c r="X923" s="13">
        <f t="shared" si="172"/>
        <v>0</v>
      </c>
      <c r="Y923" s="8">
        <f t="shared" si="173"/>
        <v>34803</v>
      </c>
      <c r="Z923" s="8">
        <v>34818</v>
      </c>
      <c r="AA923" s="13">
        <f t="shared" si="184"/>
        <v>15</v>
      </c>
      <c r="AB923" s="8">
        <f t="shared" si="176"/>
        <v>240771</v>
      </c>
      <c r="AC923" s="8">
        <v>240809</v>
      </c>
      <c r="AD923" s="13">
        <f t="shared" si="185"/>
        <v>38</v>
      </c>
      <c r="AE923" s="135"/>
      <c r="AF923" s="135"/>
      <c r="AG923" s="135"/>
      <c r="AH923" s="136"/>
      <c r="AI923" s="50">
        <f t="shared" si="182"/>
        <v>498</v>
      </c>
    </row>
    <row r="924" spans="1:35">
      <c r="A924" s="12">
        <v>45299</v>
      </c>
      <c r="B924" s="8">
        <f t="shared" si="174"/>
        <v>1926017</v>
      </c>
      <c r="C924" s="8">
        <v>1926521</v>
      </c>
      <c r="D924" s="13">
        <f t="shared" si="188"/>
        <v>504</v>
      </c>
      <c r="E924" s="77">
        <f t="shared" si="171"/>
        <v>210669</v>
      </c>
      <c r="F924" s="69">
        <v>210669</v>
      </c>
      <c r="G924" s="133">
        <v>400</v>
      </c>
      <c r="H924" s="8">
        <f t="shared" si="177"/>
        <v>330337</v>
      </c>
      <c r="I924" s="8">
        <v>331119</v>
      </c>
      <c r="J924" s="13">
        <f t="shared" si="181"/>
        <v>782</v>
      </c>
      <c r="K924" s="138"/>
      <c r="L924" s="8">
        <f t="shared" si="175"/>
        <v>878993</v>
      </c>
      <c r="M924" s="8">
        <v>879198</v>
      </c>
      <c r="N924" s="13">
        <f t="shared" si="183"/>
        <v>205</v>
      </c>
      <c r="O924" s="136"/>
      <c r="P924" s="8">
        <f t="shared" si="180"/>
        <v>482560</v>
      </c>
      <c r="Q924" s="8">
        <v>483202</v>
      </c>
      <c r="R924" s="133">
        <f t="shared" si="187"/>
        <v>642</v>
      </c>
      <c r="S924" s="8">
        <f t="shared" si="178"/>
        <v>30999</v>
      </c>
      <c r="T924" s="8">
        <v>31033</v>
      </c>
      <c r="U924" s="133">
        <f t="shared" si="186"/>
        <v>34</v>
      </c>
      <c r="V924" s="8">
        <f t="shared" si="179"/>
        <v>533986</v>
      </c>
      <c r="W924" s="8">
        <v>533986</v>
      </c>
      <c r="X924" s="13">
        <f t="shared" si="172"/>
        <v>0</v>
      </c>
      <c r="Y924" s="8">
        <f t="shared" si="173"/>
        <v>34818</v>
      </c>
      <c r="Z924" s="8">
        <v>34840</v>
      </c>
      <c r="AA924" s="13">
        <f t="shared" si="184"/>
        <v>22</v>
      </c>
      <c r="AB924" s="8">
        <f t="shared" si="176"/>
        <v>240809</v>
      </c>
      <c r="AC924" s="8">
        <v>240906</v>
      </c>
      <c r="AD924" s="13">
        <f t="shared" si="185"/>
        <v>97</v>
      </c>
      <c r="AE924" s="135"/>
      <c r="AF924" s="135"/>
      <c r="AG924" s="135"/>
      <c r="AH924" s="136"/>
      <c r="AI924" s="50">
        <f t="shared" si="182"/>
        <v>698</v>
      </c>
    </row>
    <row r="925" spans="1:35">
      <c r="A925" s="12">
        <v>45300</v>
      </c>
      <c r="B925" s="8">
        <f t="shared" si="174"/>
        <v>1926521</v>
      </c>
      <c r="C925" s="8">
        <v>1927139</v>
      </c>
      <c r="D925" s="13">
        <f t="shared" si="188"/>
        <v>618</v>
      </c>
      <c r="E925" s="77">
        <f t="shared" si="171"/>
        <v>210669</v>
      </c>
      <c r="F925" s="69">
        <v>210669</v>
      </c>
      <c r="G925" s="133">
        <v>200</v>
      </c>
      <c r="H925" s="8">
        <f t="shared" si="177"/>
        <v>331119</v>
      </c>
      <c r="I925" s="8">
        <v>331315</v>
      </c>
      <c r="J925" s="13">
        <f t="shared" si="181"/>
        <v>196</v>
      </c>
      <c r="K925" s="138"/>
      <c r="L925" s="8">
        <f t="shared" si="175"/>
        <v>879198</v>
      </c>
      <c r="M925" s="8">
        <v>880257</v>
      </c>
      <c r="N925" s="13">
        <f t="shared" si="183"/>
        <v>1059</v>
      </c>
      <c r="O925" s="136"/>
      <c r="P925" s="8">
        <f t="shared" si="180"/>
        <v>483202</v>
      </c>
      <c r="Q925" s="8">
        <v>483618</v>
      </c>
      <c r="R925" s="133">
        <f t="shared" si="187"/>
        <v>416</v>
      </c>
      <c r="S925" s="8">
        <f t="shared" si="178"/>
        <v>31033</v>
      </c>
      <c r="T925" s="8">
        <v>31100</v>
      </c>
      <c r="U925" s="133">
        <f t="shared" si="186"/>
        <v>67</v>
      </c>
      <c r="V925" s="8">
        <f t="shared" si="179"/>
        <v>533986</v>
      </c>
      <c r="W925" s="8">
        <v>533986</v>
      </c>
      <c r="X925" s="13">
        <f t="shared" si="172"/>
        <v>0</v>
      </c>
      <c r="Y925" s="8">
        <f t="shared" si="173"/>
        <v>34840</v>
      </c>
      <c r="Z925" s="8">
        <v>34856</v>
      </c>
      <c r="AA925" s="13">
        <f t="shared" si="184"/>
        <v>16</v>
      </c>
      <c r="AB925" s="8">
        <f t="shared" si="176"/>
        <v>240906</v>
      </c>
      <c r="AC925" s="8">
        <v>240974</v>
      </c>
      <c r="AD925" s="13">
        <f t="shared" si="185"/>
        <v>68</v>
      </c>
      <c r="AE925" s="135"/>
      <c r="AF925" s="135"/>
      <c r="AG925" s="135"/>
      <c r="AH925" s="136"/>
      <c r="AI925" s="50">
        <f t="shared" si="182"/>
        <v>499</v>
      </c>
    </row>
    <row r="926" spans="1:35">
      <c r="A926" s="12">
        <v>45301</v>
      </c>
      <c r="B926" s="8">
        <f t="shared" si="174"/>
        <v>1927139</v>
      </c>
      <c r="C926" s="8">
        <v>1927851</v>
      </c>
      <c r="D926" s="13">
        <f t="shared" si="188"/>
        <v>712</v>
      </c>
      <c r="E926" s="77">
        <f t="shared" si="171"/>
        <v>210669</v>
      </c>
      <c r="F926" s="69">
        <v>210669</v>
      </c>
      <c r="G926" s="133">
        <v>250</v>
      </c>
      <c r="H926" s="8">
        <f t="shared" si="177"/>
        <v>331315</v>
      </c>
      <c r="I926" s="8">
        <v>331315</v>
      </c>
      <c r="J926" s="13">
        <f t="shared" si="181"/>
        <v>0</v>
      </c>
      <c r="K926" s="138"/>
      <c r="L926" s="8">
        <f t="shared" si="175"/>
        <v>880257</v>
      </c>
      <c r="M926" s="8">
        <v>881237</v>
      </c>
      <c r="N926" s="13">
        <f t="shared" si="183"/>
        <v>980</v>
      </c>
      <c r="O926" s="136"/>
      <c r="P926" s="8">
        <f t="shared" si="180"/>
        <v>483618</v>
      </c>
      <c r="Q926" s="8">
        <v>484157</v>
      </c>
      <c r="R926" s="133">
        <f t="shared" si="187"/>
        <v>539</v>
      </c>
      <c r="S926" s="8">
        <f t="shared" si="178"/>
        <v>31100</v>
      </c>
      <c r="T926" s="8">
        <v>31168</v>
      </c>
      <c r="U926" s="133">
        <f t="shared" si="186"/>
        <v>68</v>
      </c>
      <c r="V926" s="8">
        <f t="shared" si="179"/>
        <v>533986</v>
      </c>
      <c r="W926" s="8">
        <v>533986</v>
      </c>
      <c r="X926" s="13">
        <f t="shared" si="172"/>
        <v>0</v>
      </c>
      <c r="Y926" s="8">
        <f t="shared" si="173"/>
        <v>34856</v>
      </c>
      <c r="Z926" s="8">
        <v>34876</v>
      </c>
      <c r="AA926" s="13">
        <f t="shared" si="184"/>
        <v>20</v>
      </c>
      <c r="AB926" s="8">
        <f t="shared" si="176"/>
        <v>240974</v>
      </c>
      <c r="AC926" s="8">
        <v>241022</v>
      </c>
      <c r="AD926" s="13">
        <f t="shared" si="185"/>
        <v>48</v>
      </c>
      <c r="AE926" s="135"/>
      <c r="AF926" s="135"/>
      <c r="AG926" s="135"/>
      <c r="AH926" s="136"/>
      <c r="AI926" s="50">
        <f t="shared" si="182"/>
        <v>627</v>
      </c>
    </row>
    <row r="927" spans="1:35">
      <c r="A927" s="12">
        <v>45302</v>
      </c>
      <c r="B927" s="8">
        <f t="shared" si="174"/>
        <v>1927851</v>
      </c>
      <c r="C927" s="8">
        <v>1928636</v>
      </c>
      <c r="D927" s="13">
        <f t="shared" si="188"/>
        <v>785</v>
      </c>
      <c r="E927" s="77">
        <f t="shared" si="171"/>
        <v>210669</v>
      </c>
      <c r="F927" s="69">
        <v>210669</v>
      </c>
      <c r="G927" s="133">
        <v>239</v>
      </c>
      <c r="H927" s="8">
        <f t="shared" si="177"/>
        <v>331315</v>
      </c>
      <c r="I927" s="8">
        <v>331315</v>
      </c>
      <c r="J927" s="13">
        <f t="shared" si="181"/>
        <v>0</v>
      </c>
      <c r="K927" s="138"/>
      <c r="L927" s="8">
        <f t="shared" si="175"/>
        <v>881237</v>
      </c>
      <c r="M927" s="8">
        <v>882269</v>
      </c>
      <c r="N927" s="13">
        <f t="shared" si="183"/>
        <v>1032</v>
      </c>
      <c r="O927" s="136"/>
      <c r="P927" s="8">
        <f t="shared" si="180"/>
        <v>484157</v>
      </c>
      <c r="Q927" s="8">
        <v>484645</v>
      </c>
      <c r="R927" s="133">
        <f t="shared" si="187"/>
        <v>488</v>
      </c>
      <c r="S927" s="8">
        <f t="shared" si="178"/>
        <v>31168</v>
      </c>
      <c r="T927" s="8">
        <v>31202</v>
      </c>
      <c r="U927" s="133">
        <f t="shared" si="186"/>
        <v>34</v>
      </c>
      <c r="V927" s="8">
        <f t="shared" si="179"/>
        <v>533986</v>
      </c>
      <c r="W927" s="8">
        <v>533986</v>
      </c>
      <c r="X927" s="13">
        <f t="shared" si="172"/>
        <v>0</v>
      </c>
      <c r="Y927" s="8">
        <f t="shared" si="173"/>
        <v>34876</v>
      </c>
      <c r="Z927" s="8">
        <v>34889</v>
      </c>
      <c r="AA927" s="13">
        <f t="shared" si="184"/>
        <v>13</v>
      </c>
      <c r="AB927" s="8">
        <f t="shared" si="176"/>
        <v>241022</v>
      </c>
      <c r="AC927" s="8">
        <v>241070</v>
      </c>
      <c r="AD927" s="13">
        <f t="shared" si="185"/>
        <v>48</v>
      </c>
      <c r="AE927" s="135"/>
      <c r="AF927" s="135"/>
      <c r="AG927" s="135"/>
      <c r="AH927" s="136"/>
      <c r="AI927" s="50">
        <f t="shared" si="182"/>
        <v>535</v>
      </c>
    </row>
    <row r="928" spans="1:35">
      <c r="A928" s="12">
        <v>45303</v>
      </c>
      <c r="B928" s="8">
        <f t="shared" si="174"/>
        <v>1928636</v>
      </c>
      <c r="C928" s="8">
        <v>1929373</v>
      </c>
      <c r="D928" s="13">
        <f t="shared" si="188"/>
        <v>737</v>
      </c>
      <c r="E928" s="77">
        <f t="shared" si="171"/>
        <v>210669</v>
      </c>
      <c r="F928" s="69">
        <v>212669</v>
      </c>
      <c r="G928" s="133">
        <f>F929-E928</f>
        <v>2000</v>
      </c>
      <c r="H928" s="8">
        <f t="shared" si="177"/>
        <v>331315</v>
      </c>
      <c r="I928" s="8">
        <v>331315</v>
      </c>
      <c r="J928" s="13">
        <f t="shared" si="181"/>
        <v>0</v>
      </c>
      <c r="K928" s="138"/>
      <c r="L928" s="8">
        <f t="shared" si="175"/>
        <v>882269</v>
      </c>
      <c r="M928" s="8">
        <v>883389</v>
      </c>
      <c r="N928" s="13">
        <f t="shared" si="183"/>
        <v>1120</v>
      </c>
      <c r="O928" s="136"/>
      <c r="P928" s="8">
        <f t="shared" si="180"/>
        <v>484645</v>
      </c>
      <c r="Q928" s="8">
        <v>485223</v>
      </c>
      <c r="R928" s="133">
        <f t="shared" si="187"/>
        <v>578</v>
      </c>
      <c r="S928" s="8">
        <f t="shared" si="178"/>
        <v>31202</v>
      </c>
      <c r="T928" s="8">
        <v>31220</v>
      </c>
      <c r="U928" s="133">
        <f t="shared" si="186"/>
        <v>18</v>
      </c>
      <c r="V928" s="8">
        <f t="shared" si="179"/>
        <v>533986</v>
      </c>
      <c r="W928" s="8">
        <v>533986</v>
      </c>
      <c r="X928" s="13">
        <f t="shared" si="172"/>
        <v>0</v>
      </c>
      <c r="Y928" s="8">
        <f t="shared" si="173"/>
        <v>34889</v>
      </c>
      <c r="Z928" s="8">
        <v>34911</v>
      </c>
      <c r="AA928" s="13">
        <f t="shared" si="184"/>
        <v>22</v>
      </c>
      <c r="AB928" s="8">
        <f t="shared" si="176"/>
        <v>241070</v>
      </c>
      <c r="AC928" s="8">
        <v>241125</v>
      </c>
      <c r="AD928" s="13">
        <f t="shared" si="185"/>
        <v>55</v>
      </c>
      <c r="AE928" s="135"/>
      <c r="AF928" s="135"/>
      <c r="AG928" s="135"/>
      <c r="AH928" s="136"/>
      <c r="AI928" s="50">
        <f t="shared" si="182"/>
        <v>618</v>
      </c>
    </row>
    <row r="929" spans="1:35">
      <c r="A929" s="12">
        <v>45304</v>
      </c>
      <c r="B929" s="8">
        <f t="shared" si="174"/>
        <v>1929373</v>
      </c>
      <c r="C929" s="8">
        <v>1930063</v>
      </c>
      <c r="D929" s="13">
        <f t="shared" si="188"/>
        <v>690</v>
      </c>
      <c r="E929" s="77">
        <f t="shared" si="171"/>
        <v>212669</v>
      </c>
      <c r="F929" s="69">
        <v>212669</v>
      </c>
      <c r="G929" s="133">
        <f t="shared" ref="G929:G992" si="189">F930-E929</f>
        <v>0</v>
      </c>
      <c r="H929" s="8">
        <f t="shared" si="177"/>
        <v>331315</v>
      </c>
      <c r="I929" s="8">
        <v>331315</v>
      </c>
      <c r="J929" s="13">
        <f t="shared" si="181"/>
        <v>0</v>
      </c>
      <c r="K929" s="138"/>
      <c r="L929" s="8">
        <f t="shared" si="175"/>
        <v>883389</v>
      </c>
      <c r="M929" s="8">
        <v>884435</v>
      </c>
      <c r="N929" s="13">
        <f t="shared" si="183"/>
        <v>1046</v>
      </c>
      <c r="O929" s="136"/>
      <c r="P929" s="8">
        <f t="shared" si="180"/>
        <v>485223</v>
      </c>
      <c r="Q929" s="8">
        <v>485723</v>
      </c>
      <c r="R929" s="133">
        <f t="shared" si="187"/>
        <v>500</v>
      </c>
      <c r="S929" s="8">
        <f t="shared" si="178"/>
        <v>31220</v>
      </c>
      <c r="T929" s="8">
        <v>31252</v>
      </c>
      <c r="U929" s="133">
        <f t="shared" si="186"/>
        <v>32</v>
      </c>
      <c r="V929" s="8">
        <f t="shared" si="179"/>
        <v>533986</v>
      </c>
      <c r="W929" s="8">
        <v>533986</v>
      </c>
      <c r="X929" s="13">
        <f t="shared" si="172"/>
        <v>0</v>
      </c>
      <c r="Y929" s="8">
        <f t="shared" si="173"/>
        <v>34911</v>
      </c>
      <c r="Z929" s="8">
        <v>34928</v>
      </c>
      <c r="AA929" s="13">
        <f t="shared" si="184"/>
        <v>17</v>
      </c>
      <c r="AB929" s="8">
        <f t="shared" si="176"/>
        <v>241125</v>
      </c>
      <c r="AC929" s="8">
        <v>241171</v>
      </c>
      <c r="AD929" s="13">
        <f t="shared" si="185"/>
        <v>46</v>
      </c>
      <c r="AE929" s="135"/>
      <c r="AF929" s="135"/>
      <c r="AG929" s="135"/>
      <c r="AH929" s="136"/>
      <c r="AI929" s="50">
        <f t="shared" si="182"/>
        <v>549</v>
      </c>
    </row>
    <row r="930" spans="1:35">
      <c r="A930" s="12">
        <v>45305</v>
      </c>
      <c r="B930" s="8">
        <f t="shared" si="174"/>
        <v>1930063</v>
      </c>
      <c r="C930" s="8">
        <v>1930634</v>
      </c>
      <c r="D930" s="13">
        <f t="shared" si="188"/>
        <v>571</v>
      </c>
      <c r="E930" s="77">
        <f t="shared" si="171"/>
        <v>212669</v>
      </c>
      <c r="F930" s="69">
        <v>212669</v>
      </c>
      <c r="G930" s="133">
        <f t="shared" si="189"/>
        <v>0</v>
      </c>
      <c r="H930" s="8">
        <f t="shared" si="177"/>
        <v>331315</v>
      </c>
      <c r="I930" s="8">
        <v>331315</v>
      </c>
      <c r="J930" s="13">
        <f t="shared" si="181"/>
        <v>0</v>
      </c>
      <c r="K930" s="138"/>
      <c r="L930" s="8">
        <f t="shared" si="175"/>
        <v>884435</v>
      </c>
      <c r="M930" s="8">
        <v>885496</v>
      </c>
      <c r="N930" s="13">
        <f t="shared" si="183"/>
        <v>1061</v>
      </c>
      <c r="O930" s="136"/>
      <c r="P930" s="8">
        <f t="shared" si="180"/>
        <v>485723</v>
      </c>
      <c r="Q930" s="8">
        <v>486176</v>
      </c>
      <c r="R930" s="133">
        <f t="shared" si="187"/>
        <v>453</v>
      </c>
      <c r="S930" s="8">
        <f t="shared" si="178"/>
        <v>31252</v>
      </c>
      <c r="T930" s="8">
        <v>31322</v>
      </c>
      <c r="U930" s="133">
        <f t="shared" si="186"/>
        <v>70</v>
      </c>
      <c r="V930" s="8">
        <f t="shared" si="179"/>
        <v>533986</v>
      </c>
      <c r="W930" s="8">
        <v>533986</v>
      </c>
      <c r="X930" s="13">
        <f t="shared" si="172"/>
        <v>0</v>
      </c>
      <c r="Y930" s="8">
        <f t="shared" si="173"/>
        <v>34928</v>
      </c>
      <c r="Z930" s="8">
        <v>34942</v>
      </c>
      <c r="AA930" s="13">
        <f t="shared" si="184"/>
        <v>14</v>
      </c>
      <c r="AB930" s="8">
        <f t="shared" si="176"/>
        <v>241171</v>
      </c>
      <c r="AC930" s="8">
        <v>241229</v>
      </c>
      <c r="AD930" s="13">
        <f t="shared" si="185"/>
        <v>58</v>
      </c>
      <c r="AE930" s="135"/>
      <c r="AF930" s="135"/>
      <c r="AG930" s="135"/>
      <c r="AH930" s="136"/>
      <c r="AI930" s="50">
        <f t="shared" si="182"/>
        <v>537</v>
      </c>
    </row>
    <row r="931" spans="1:35">
      <c r="A931" s="12">
        <v>45306</v>
      </c>
      <c r="B931" s="8">
        <f t="shared" si="174"/>
        <v>1930634</v>
      </c>
      <c r="C931" s="8">
        <v>1931370</v>
      </c>
      <c r="D931" s="13">
        <f t="shared" si="188"/>
        <v>736</v>
      </c>
      <c r="E931" s="77">
        <f t="shared" si="171"/>
        <v>212669</v>
      </c>
      <c r="F931" s="69">
        <v>212669</v>
      </c>
      <c r="G931" s="133">
        <v>350</v>
      </c>
      <c r="H931" s="8">
        <f t="shared" si="177"/>
        <v>331315</v>
      </c>
      <c r="I931" s="8">
        <v>331315</v>
      </c>
      <c r="J931" s="13">
        <f t="shared" si="181"/>
        <v>0</v>
      </c>
      <c r="K931" s="138"/>
      <c r="L931" s="8">
        <f t="shared" si="175"/>
        <v>885496</v>
      </c>
      <c r="M931" s="8">
        <v>886649</v>
      </c>
      <c r="N931" s="13">
        <f t="shared" si="183"/>
        <v>1153</v>
      </c>
      <c r="O931" s="136"/>
      <c r="P931" s="8">
        <f t="shared" si="180"/>
        <v>486176</v>
      </c>
      <c r="Q931" s="8">
        <v>486716</v>
      </c>
      <c r="R931" s="133">
        <f t="shared" si="187"/>
        <v>540</v>
      </c>
      <c r="S931" s="8">
        <f t="shared" si="178"/>
        <v>31322</v>
      </c>
      <c r="T931" s="8">
        <v>31379</v>
      </c>
      <c r="U931" s="133">
        <f t="shared" si="186"/>
        <v>57</v>
      </c>
      <c r="V931" s="8">
        <f t="shared" si="179"/>
        <v>533986</v>
      </c>
      <c r="W931" s="8">
        <v>533986</v>
      </c>
      <c r="X931" s="13">
        <f t="shared" si="172"/>
        <v>0</v>
      </c>
      <c r="Y931" s="8">
        <f t="shared" si="173"/>
        <v>34942</v>
      </c>
      <c r="Z931" s="8">
        <v>34955</v>
      </c>
      <c r="AA931" s="13">
        <f t="shared" si="184"/>
        <v>13</v>
      </c>
      <c r="AB931" s="8">
        <f t="shared" si="176"/>
        <v>241229</v>
      </c>
      <c r="AC931" s="8">
        <v>241274</v>
      </c>
      <c r="AD931" s="13">
        <f t="shared" si="185"/>
        <v>45</v>
      </c>
      <c r="AE931" s="135"/>
      <c r="AF931" s="135"/>
      <c r="AG931" s="135"/>
      <c r="AH931" s="136"/>
      <c r="AI931" s="50">
        <f t="shared" si="182"/>
        <v>610</v>
      </c>
    </row>
    <row r="932" spans="1:35">
      <c r="A932" s="12">
        <v>45307</v>
      </c>
      <c r="B932" s="8">
        <f t="shared" si="174"/>
        <v>1931370</v>
      </c>
      <c r="C932" s="8">
        <v>1931601</v>
      </c>
      <c r="D932" s="13">
        <f t="shared" si="188"/>
        <v>231</v>
      </c>
      <c r="E932" s="77">
        <f t="shared" si="171"/>
        <v>212669</v>
      </c>
      <c r="F932" s="69">
        <v>212669</v>
      </c>
      <c r="G932" s="133">
        <f t="shared" si="189"/>
        <v>0</v>
      </c>
      <c r="H932" s="8">
        <f t="shared" si="177"/>
        <v>331315</v>
      </c>
      <c r="I932" s="8">
        <v>331315</v>
      </c>
      <c r="J932" s="13">
        <f t="shared" si="181"/>
        <v>0</v>
      </c>
      <c r="K932" s="138"/>
      <c r="L932" s="8">
        <f t="shared" si="175"/>
        <v>886649</v>
      </c>
      <c r="M932" s="8">
        <v>887643</v>
      </c>
      <c r="N932" s="13">
        <f t="shared" si="183"/>
        <v>994</v>
      </c>
      <c r="O932" s="136"/>
      <c r="P932" s="8">
        <f t="shared" si="180"/>
        <v>486716</v>
      </c>
      <c r="Q932" s="8">
        <v>487258</v>
      </c>
      <c r="R932" s="133">
        <f t="shared" si="187"/>
        <v>542</v>
      </c>
      <c r="S932" s="8">
        <f t="shared" si="178"/>
        <v>31379</v>
      </c>
      <c r="T932" s="8">
        <v>31438</v>
      </c>
      <c r="U932" s="133">
        <f t="shared" si="186"/>
        <v>59</v>
      </c>
      <c r="V932" s="8">
        <f t="shared" si="179"/>
        <v>533986</v>
      </c>
      <c r="W932" s="8">
        <v>533986</v>
      </c>
      <c r="X932" s="13">
        <f t="shared" si="172"/>
        <v>0</v>
      </c>
      <c r="Y932" s="8">
        <f t="shared" si="173"/>
        <v>34955</v>
      </c>
      <c r="Z932" s="8">
        <v>34980</v>
      </c>
      <c r="AA932" s="13">
        <f t="shared" si="184"/>
        <v>25</v>
      </c>
      <c r="AB932" s="8">
        <f t="shared" si="176"/>
        <v>241274</v>
      </c>
      <c r="AC932" s="8">
        <v>241328</v>
      </c>
      <c r="AD932" s="13">
        <f t="shared" si="185"/>
        <v>54</v>
      </c>
      <c r="AE932" s="135"/>
      <c r="AF932" s="135"/>
      <c r="AG932" s="135"/>
      <c r="AH932" s="136"/>
      <c r="AI932" s="50">
        <f t="shared" si="182"/>
        <v>626</v>
      </c>
    </row>
    <row r="933" spans="1:35">
      <c r="A933" s="12">
        <v>45308</v>
      </c>
      <c r="B933" s="8">
        <f t="shared" si="174"/>
        <v>1931601</v>
      </c>
      <c r="C933" s="8">
        <v>1932222</v>
      </c>
      <c r="D933" s="13">
        <f t="shared" si="188"/>
        <v>621</v>
      </c>
      <c r="E933" s="77">
        <f t="shared" si="171"/>
        <v>212669</v>
      </c>
      <c r="F933" s="69">
        <v>212669</v>
      </c>
      <c r="G933" s="133">
        <f t="shared" si="189"/>
        <v>0</v>
      </c>
      <c r="H933" s="8">
        <f t="shared" si="177"/>
        <v>331315</v>
      </c>
      <c r="I933" s="8">
        <v>331315</v>
      </c>
      <c r="J933" s="13">
        <f t="shared" si="181"/>
        <v>0</v>
      </c>
      <c r="K933" s="138"/>
      <c r="L933" s="8">
        <f t="shared" si="175"/>
        <v>887643</v>
      </c>
      <c r="M933" s="8">
        <v>888753</v>
      </c>
      <c r="N933" s="13">
        <f t="shared" si="183"/>
        <v>1110</v>
      </c>
      <c r="O933" s="136"/>
      <c r="P933" s="8">
        <f t="shared" si="180"/>
        <v>487258</v>
      </c>
      <c r="Q933" s="8">
        <v>487799</v>
      </c>
      <c r="R933" s="133">
        <f t="shared" si="187"/>
        <v>541</v>
      </c>
      <c r="S933" s="8">
        <f t="shared" si="178"/>
        <v>31438</v>
      </c>
      <c r="T933" s="8">
        <v>31503</v>
      </c>
      <c r="U933" s="133">
        <f t="shared" si="186"/>
        <v>65</v>
      </c>
      <c r="V933" s="8">
        <f t="shared" si="179"/>
        <v>533986</v>
      </c>
      <c r="W933" s="8">
        <v>533986</v>
      </c>
      <c r="X933" s="13">
        <f t="shared" si="172"/>
        <v>0</v>
      </c>
      <c r="Y933" s="8">
        <f t="shared" si="173"/>
        <v>34980</v>
      </c>
      <c r="Z933" s="8">
        <v>34998</v>
      </c>
      <c r="AA933" s="13">
        <f t="shared" si="184"/>
        <v>18</v>
      </c>
      <c r="AB933" s="8">
        <f t="shared" si="176"/>
        <v>241328</v>
      </c>
      <c r="AC933" s="8">
        <v>241383</v>
      </c>
      <c r="AD933" s="13">
        <f t="shared" si="185"/>
        <v>55</v>
      </c>
      <c r="AE933" s="135"/>
      <c r="AF933" s="135"/>
      <c r="AG933" s="135"/>
      <c r="AH933" s="136"/>
      <c r="AI933" s="50">
        <f t="shared" si="182"/>
        <v>624</v>
      </c>
    </row>
    <row r="934" spans="1:35">
      <c r="A934" s="12">
        <v>45309</v>
      </c>
      <c r="B934" s="8">
        <f t="shared" si="174"/>
        <v>1932222</v>
      </c>
      <c r="C934" s="8">
        <v>1932879</v>
      </c>
      <c r="D934" s="13">
        <f t="shared" si="188"/>
        <v>657</v>
      </c>
      <c r="E934" s="77">
        <f t="shared" si="171"/>
        <v>212669</v>
      </c>
      <c r="F934" s="69">
        <v>212669</v>
      </c>
      <c r="G934" s="133">
        <f t="shared" si="189"/>
        <v>60694</v>
      </c>
      <c r="H934" s="8">
        <f t="shared" si="177"/>
        <v>331315</v>
      </c>
      <c r="I934" s="8">
        <v>331315</v>
      </c>
      <c r="J934" s="13">
        <f t="shared" si="181"/>
        <v>0</v>
      </c>
      <c r="K934" s="138"/>
      <c r="L934" s="8">
        <f t="shared" si="175"/>
        <v>888753</v>
      </c>
      <c r="M934" s="8">
        <v>889699</v>
      </c>
      <c r="N934" s="13">
        <f t="shared" si="183"/>
        <v>946</v>
      </c>
      <c r="O934" s="136"/>
      <c r="P934" s="8">
        <f t="shared" si="180"/>
        <v>487799</v>
      </c>
      <c r="Q934" s="8">
        <v>488215</v>
      </c>
      <c r="R934" s="133">
        <f t="shared" si="187"/>
        <v>416</v>
      </c>
      <c r="S934" s="8">
        <f t="shared" si="178"/>
        <v>31503</v>
      </c>
      <c r="T934" s="8">
        <v>31571</v>
      </c>
      <c r="U934" s="133">
        <f t="shared" si="186"/>
        <v>68</v>
      </c>
      <c r="V934" s="8">
        <f t="shared" si="179"/>
        <v>533986</v>
      </c>
      <c r="W934" s="8">
        <v>533986</v>
      </c>
      <c r="X934" s="13">
        <f t="shared" si="172"/>
        <v>0</v>
      </c>
      <c r="Y934" s="8">
        <f t="shared" si="173"/>
        <v>34998</v>
      </c>
      <c r="Z934" s="8">
        <v>35016</v>
      </c>
      <c r="AA934" s="13">
        <f t="shared" si="184"/>
        <v>18</v>
      </c>
      <c r="AB934" s="8">
        <f t="shared" si="176"/>
        <v>241383</v>
      </c>
      <c r="AC934" s="8">
        <v>241428</v>
      </c>
      <c r="AD934" s="13">
        <f t="shared" si="185"/>
        <v>45</v>
      </c>
      <c r="AE934" s="135"/>
      <c r="AF934" s="135"/>
      <c r="AG934" s="135"/>
      <c r="AH934" s="136"/>
      <c r="AI934" s="50">
        <f t="shared" si="182"/>
        <v>502</v>
      </c>
    </row>
    <row r="935" spans="1:35">
      <c r="A935" s="12">
        <v>45310</v>
      </c>
      <c r="B935" s="8">
        <f t="shared" si="174"/>
        <v>1932879</v>
      </c>
      <c r="C935" s="8">
        <v>1933518</v>
      </c>
      <c r="D935" s="13">
        <f t="shared" si="188"/>
        <v>639</v>
      </c>
      <c r="E935" s="77">
        <f t="shared" si="171"/>
        <v>212669</v>
      </c>
      <c r="F935" s="69">
        <v>273363</v>
      </c>
      <c r="G935" s="133">
        <f t="shared" si="189"/>
        <v>60694</v>
      </c>
      <c r="H935" s="8">
        <f t="shared" si="177"/>
        <v>331315</v>
      </c>
      <c r="I935" s="8">
        <v>331315</v>
      </c>
      <c r="J935" s="13">
        <f t="shared" si="181"/>
        <v>0</v>
      </c>
      <c r="K935" s="138"/>
      <c r="L935" s="8">
        <f t="shared" si="175"/>
        <v>889699</v>
      </c>
      <c r="M935" s="8">
        <v>890833</v>
      </c>
      <c r="N935" s="13">
        <f t="shared" si="183"/>
        <v>1134</v>
      </c>
      <c r="O935" s="136"/>
      <c r="P935" s="8">
        <f t="shared" si="180"/>
        <v>488215</v>
      </c>
      <c r="Q935" s="8">
        <v>488864</v>
      </c>
      <c r="R935" s="133">
        <f t="shared" si="187"/>
        <v>649</v>
      </c>
      <c r="S935" s="8">
        <f t="shared" si="178"/>
        <v>31571</v>
      </c>
      <c r="T935" s="8">
        <v>31602</v>
      </c>
      <c r="U935" s="133">
        <f t="shared" si="186"/>
        <v>31</v>
      </c>
      <c r="V935" s="8">
        <f t="shared" si="179"/>
        <v>533986</v>
      </c>
      <c r="W935" s="8">
        <v>533986</v>
      </c>
      <c r="X935" s="13">
        <f t="shared" si="172"/>
        <v>0</v>
      </c>
      <c r="Y935" s="8">
        <f t="shared" si="173"/>
        <v>35016</v>
      </c>
      <c r="Z935" s="8">
        <v>35032</v>
      </c>
      <c r="AA935" s="13">
        <f t="shared" si="184"/>
        <v>16</v>
      </c>
      <c r="AB935" s="8">
        <f t="shared" si="176"/>
        <v>241428</v>
      </c>
      <c r="AC935" s="8">
        <v>241517</v>
      </c>
      <c r="AD935" s="13">
        <f t="shared" si="185"/>
        <v>89</v>
      </c>
      <c r="AE935" s="135"/>
      <c r="AF935" s="135"/>
      <c r="AG935" s="135"/>
      <c r="AH935" s="136"/>
      <c r="AI935" s="50">
        <f t="shared" si="182"/>
        <v>696</v>
      </c>
    </row>
    <row r="936" spans="1:35">
      <c r="A936" s="12">
        <v>45311</v>
      </c>
      <c r="B936" s="8">
        <f t="shared" si="174"/>
        <v>1933518</v>
      </c>
      <c r="C936" s="8">
        <v>1933869</v>
      </c>
      <c r="D936" s="13">
        <f t="shared" si="188"/>
        <v>351</v>
      </c>
      <c r="E936" s="77">
        <f t="shared" si="171"/>
        <v>273363</v>
      </c>
      <c r="F936" s="69">
        <v>273363</v>
      </c>
      <c r="G936" s="133">
        <f t="shared" si="189"/>
        <v>0</v>
      </c>
      <c r="H936" s="8">
        <f t="shared" si="177"/>
        <v>331315</v>
      </c>
      <c r="I936" s="8">
        <v>331315</v>
      </c>
      <c r="J936" s="13">
        <f t="shared" si="181"/>
        <v>0</v>
      </c>
      <c r="K936" s="138"/>
      <c r="L936" s="8">
        <f t="shared" si="175"/>
        <v>890833</v>
      </c>
      <c r="M936" s="8">
        <v>891950</v>
      </c>
      <c r="N936" s="13">
        <f t="shared" si="183"/>
        <v>1117</v>
      </c>
      <c r="O936" s="136"/>
      <c r="P936" s="8">
        <f t="shared" si="180"/>
        <v>488864</v>
      </c>
      <c r="Q936" s="8">
        <v>489432</v>
      </c>
      <c r="R936" s="133">
        <f t="shared" si="187"/>
        <v>568</v>
      </c>
      <c r="S936" s="8">
        <f t="shared" si="178"/>
        <v>31602</v>
      </c>
      <c r="T936" s="8">
        <v>31622</v>
      </c>
      <c r="U936" s="133">
        <f t="shared" si="186"/>
        <v>20</v>
      </c>
      <c r="V936" s="8">
        <f t="shared" si="179"/>
        <v>533986</v>
      </c>
      <c r="W936" s="8">
        <v>533986</v>
      </c>
      <c r="X936" s="13">
        <f t="shared" si="172"/>
        <v>0</v>
      </c>
      <c r="Y936" s="8">
        <f t="shared" si="173"/>
        <v>35032</v>
      </c>
      <c r="Z936" s="8">
        <v>35049</v>
      </c>
      <c r="AA936" s="13">
        <f t="shared" si="184"/>
        <v>17</v>
      </c>
      <c r="AB936" s="8">
        <f t="shared" si="176"/>
        <v>241517</v>
      </c>
      <c r="AC936" s="8">
        <v>241590</v>
      </c>
      <c r="AD936" s="13">
        <f t="shared" si="185"/>
        <v>73</v>
      </c>
      <c r="AE936" s="135"/>
      <c r="AF936" s="135"/>
      <c r="AG936" s="135"/>
      <c r="AH936" s="136"/>
      <c r="AI936" s="50">
        <f t="shared" si="182"/>
        <v>605</v>
      </c>
    </row>
    <row r="937" spans="1:35">
      <c r="A937" s="12">
        <v>45312</v>
      </c>
      <c r="B937" s="8">
        <f t="shared" si="174"/>
        <v>1933869</v>
      </c>
      <c r="C937" s="8">
        <v>1933992</v>
      </c>
      <c r="D937" s="13">
        <f t="shared" si="188"/>
        <v>123</v>
      </c>
      <c r="E937" s="77">
        <f t="shared" si="171"/>
        <v>273363</v>
      </c>
      <c r="F937" s="69">
        <v>273363</v>
      </c>
      <c r="G937" s="133">
        <f t="shared" si="189"/>
        <v>0</v>
      </c>
      <c r="H937" s="8">
        <f t="shared" si="177"/>
        <v>331315</v>
      </c>
      <c r="I937" s="8">
        <v>331315</v>
      </c>
      <c r="J937" s="13">
        <f t="shared" si="181"/>
        <v>0</v>
      </c>
      <c r="K937" s="138"/>
      <c r="L937" s="8">
        <f t="shared" si="175"/>
        <v>891950</v>
      </c>
      <c r="M937" s="8">
        <v>892844</v>
      </c>
      <c r="N937" s="13">
        <f t="shared" si="183"/>
        <v>894</v>
      </c>
      <c r="O937" s="136"/>
      <c r="P937" s="8">
        <f t="shared" si="180"/>
        <v>489432</v>
      </c>
      <c r="Q937" s="8">
        <v>489874</v>
      </c>
      <c r="R937" s="133">
        <f t="shared" si="187"/>
        <v>442</v>
      </c>
      <c r="S937" s="8">
        <f t="shared" si="178"/>
        <v>31622</v>
      </c>
      <c r="T937" s="8">
        <v>31635</v>
      </c>
      <c r="U937" s="133">
        <f t="shared" si="186"/>
        <v>13</v>
      </c>
      <c r="V937" s="8">
        <f t="shared" si="179"/>
        <v>533986</v>
      </c>
      <c r="W937" s="8">
        <v>533986</v>
      </c>
      <c r="X937" s="13">
        <f t="shared" si="172"/>
        <v>0</v>
      </c>
      <c r="Y937" s="8">
        <f t="shared" si="173"/>
        <v>35049</v>
      </c>
      <c r="Z937" s="8">
        <v>35069</v>
      </c>
      <c r="AA937" s="13">
        <f t="shared" si="184"/>
        <v>20</v>
      </c>
      <c r="AB937" s="8">
        <f t="shared" si="176"/>
        <v>241590</v>
      </c>
      <c r="AC937" s="8">
        <v>241663</v>
      </c>
      <c r="AD937" s="13">
        <f t="shared" si="185"/>
        <v>73</v>
      </c>
      <c r="AE937" s="135"/>
      <c r="AF937" s="135"/>
      <c r="AG937" s="135"/>
      <c r="AH937" s="136"/>
      <c r="AI937" s="50">
        <f t="shared" si="182"/>
        <v>475</v>
      </c>
    </row>
    <row r="938" spans="1:35">
      <c r="A938" s="12">
        <v>45313</v>
      </c>
      <c r="B938" s="8">
        <f t="shared" si="174"/>
        <v>1933992</v>
      </c>
      <c r="C938" s="8">
        <v>1934770</v>
      </c>
      <c r="D938" s="13">
        <f t="shared" si="188"/>
        <v>778</v>
      </c>
      <c r="E938" s="77">
        <f t="shared" ref="E938:E1001" si="190">F937</f>
        <v>273363</v>
      </c>
      <c r="F938" s="69">
        <v>273363</v>
      </c>
      <c r="G938" s="133">
        <v>750</v>
      </c>
      <c r="H938" s="8">
        <f t="shared" si="177"/>
        <v>331315</v>
      </c>
      <c r="I938" s="8">
        <v>331486</v>
      </c>
      <c r="J938" s="13">
        <f t="shared" si="181"/>
        <v>171</v>
      </c>
      <c r="K938" s="138"/>
      <c r="L938" s="8">
        <f t="shared" si="175"/>
        <v>892844</v>
      </c>
      <c r="M938" s="8">
        <v>893715</v>
      </c>
      <c r="N938" s="13">
        <f t="shared" si="183"/>
        <v>871</v>
      </c>
      <c r="O938" s="136"/>
      <c r="P938" s="8">
        <f t="shared" si="180"/>
        <v>489874</v>
      </c>
      <c r="Q938" s="8">
        <v>490340</v>
      </c>
      <c r="R938" s="133">
        <f t="shared" si="187"/>
        <v>466</v>
      </c>
      <c r="S938" s="8">
        <f>T937</f>
        <v>31635</v>
      </c>
      <c r="T938" s="8">
        <v>31683</v>
      </c>
      <c r="U938" s="133">
        <f t="shared" si="186"/>
        <v>48</v>
      </c>
      <c r="V938" s="8">
        <f t="shared" si="179"/>
        <v>533986</v>
      </c>
      <c r="W938" s="8">
        <v>533986</v>
      </c>
      <c r="X938" s="13">
        <f t="shared" ref="X938:X1001" si="191">W938-V938</f>
        <v>0</v>
      </c>
      <c r="Y938" s="8">
        <f t="shared" ref="Y938:Y1001" si="192">Z937</f>
        <v>35069</v>
      </c>
      <c r="Z938" s="8">
        <v>35078</v>
      </c>
      <c r="AA938" s="13">
        <f t="shared" si="184"/>
        <v>9</v>
      </c>
      <c r="AB938" s="8">
        <f t="shared" si="176"/>
        <v>241663</v>
      </c>
      <c r="AC938" s="8">
        <v>241739</v>
      </c>
      <c r="AD938" s="13">
        <f t="shared" si="185"/>
        <v>76</v>
      </c>
      <c r="AE938" s="135"/>
      <c r="AF938" s="135"/>
      <c r="AG938" s="135"/>
      <c r="AH938" s="136"/>
      <c r="AI938" s="50">
        <f t="shared" si="182"/>
        <v>523</v>
      </c>
    </row>
    <row r="939" spans="1:35">
      <c r="A939" s="12">
        <v>45314</v>
      </c>
      <c r="B939" s="8">
        <f t="shared" si="174"/>
        <v>1934770</v>
      </c>
      <c r="C939" s="8">
        <v>1935396</v>
      </c>
      <c r="D939" s="13">
        <f t="shared" si="188"/>
        <v>626</v>
      </c>
      <c r="E939" s="77">
        <f t="shared" si="190"/>
        <v>273363</v>
      </c>
      <c r="F939" s="69">
        <v>273363</v>
      </c>
      <c r="G939" s="133">
        <f t="shared" si="189"/>
        <v>0</v>
      </c>
      <c r="H939" s="8">
        <f t="shared" si="177"/>
        <v>331486</v>
      </c>
      <c r="I939" s="8">
        <v>331486</v>
      </c>
      <c r="J939" s="13">
        <f t="shared" si="181"/>
        <v>0</v>
      </c>
      <c r="K939" s="138"/>
      <c r="L939" s="8">
        <f t="shared" si="175"/>
        <v>893715</v>
      </c>
      <c r="M939" s="8">
        <v>894673</v>
      </c>
      <c r="N939" s="13">
        <f t="shared" si="183"/>
        <v>958</v>
      </c>
      <c r="O939" s="136"/>
      <c r="P939" s="8">
        <f t="shared" si="180"/>
        <v>490340</v>
      </c>
      <c r="Q939" s="8">
        <v>490873</v>
      </c>
      <c r="R939" s="133">
        <f t="shared" si="187"/>
        <v>533</v>
      </c>
      <c r="S939" s="8">
        <f t="shared" si="178"/>
        <v>31683</v>
      </c>
      <c r="T939" s="8">
        <v>31722</v>
      </c>
      <c r="U939" s="133">
        <f t="shared" si="186"/>
        <v>39</v>
      </c>
      <c r="V939" s="8">
        <f t="shared" si="179"/>
        <v>533986</v>
      </c>
      <c r="W939" s="8">
        <v>533986</v>
      </c>
      <c r="X939" s="13">
        <f t="shared" si="191"/>
        <v>0</v>
      </c>
      <c r="Y939" s="8">
        <f t="shared" si="192"/>
        <v>35078</v>
      </c>
      <c r="Z939" s="8">
        <v>35097</v>
      </c>
      <c r="AA939" s="13">
        <f t="shared" si="184"/>
        <v>19</v>
      </c>
      <c r="AB939" s="8">
        <f t="shared" si="176"/>
        <v>241739</v>
      </c>
      <c r="AC939" s="8">
        <v>241812</v>
      </c>
      <c r="AD939" s="13">
        <f t="shared" si="185"/>
        <v>73</v>
      </c>
      <c r="AE939" s="135"/>
      <c r="AF939" s="135"/>
      <c r="AG939" s="135"/>
      <c r="AH939" s="136"/>
      <c r="AI939" s="50">
        <f t="shared" si="182"/>
        <v>591</v>
      </c>
    </row>
    <row r="940" spans="1:35">
      <c r="A940" s="12">
        <v>45315</v>
      </c>
      <c r="B940" s="8">
        <f t="shared" si="174"/>
        <v>1935396</v>
      </c>
      <c r="C940" s="8">
        <v>1936123</v>
      </c>
      <c r="D940" s="13">
        <f t="shared" si="188"/>
        <v>727</v>
      </c>
      <c r="E940" s="77">
        <f t="shared" si="190"/>
        <v>273363</v>
      </c>
      <c r="F940" s="69">
        <v>273363</v>
      </c>
      <c r="G940" s="133">
        <f>F941-E940</f>
        <v>0</v>
      </c>
      <c r="H940" s="8">
        <f t="shared" si="177"/>
        <v>331486</v>
      </c>
      <c r="I940" s="8">
        <v>331486</v>
      </c>
      <c r="J940" s="13">
        <f t="shared" si="181"/>
        <v>0</v>
      </c>
      <c r="K940" s="138"/>
      <c r="L940" s="8">
        <f t="shared" si="175"/>
        <v>894673</v>
      </c>
      <c r="M940" s="8">
        <v>895823</v>
      </c>
      <c r="N940" s="13">
        <f t="shared" si="183"/>
        <v>1150</v>
      </c>
      <c r="O940" s="136"/>
      <c r="P940" s="8">
        <f t="shared" si="180"/>
        <v>490873</v>
      </c>
      <c r="Q940" s="8">
        <v>491462</v>
      </c>
      <c r="R940" s="133">
        <f t="shared" si="187"/>
        <v>589</v>
      </c>
      <c r="S940" s="8">
        <f t="shared" si="178"/>
        <v>31722</v>
      </c>
      <c r="T940" s="8">
        <v>31785</v>
      </c>
      <c r="U940" s="133">
        <f t="shared" si="186"/>
        <v>63</v>
      </c>
      <c r="V940" s="8">
        <f t="shared" si="179"/>
        <v>533986</v>
      </c>
      <c r="W940" s="8">
        <v>533986</v>
      </c>
      <c r="X940" s="13">
        <f t="shared" si="191"/>
        <v>0</v>
      </c>
      <c r="Y940" s="8">
        <f t="shared" si="192"/>
        <v>35097</v>
      </c>
      <c r="Z940" s="8">
        <v>35113</v>
      </c>
      <c r="AA940" s="13">
        <f t="shared" si="184"/>
        <v>16</v>
      </c>
      <c r="AB940" s="8">
        <f t="shared" si="176"/>
        <v>241812</v>
      </c>
      <c r="AC940" s="8">
        <v>241878</v>
      </c>
      <c r="AD940" s="13">
        <f t="shared" si="185"/>
        <v>66</v>
      </c>
      <c r="AE940" s="135"/>
      <c r="AF940" s="135"/>
      <c r="AG940" s="135"/>
      <c r="AH940" s="136"/>
      <c r="AI940" s="50">
        <f t="shared" si="182"/>
        <v>668</v>
      </c>
    </row>
    <row r="941" spans="1:35">
      <c r="A941" s="12">
        <v>45316</v>
      </c>
      <c r="B941" s="8">
        <f t="shared" si="174"/>
        <v>1936123</v>
      </c>
      <c r="C941" s="8">
        <v>1936866</v>
      </c>
      <c r="D941" s="13">
        <f t="shared" si="188"/>
        <v>743</v>
      </c>
      <c r="E941" s="77">
        <f t="shared" si="190"/>
        <v>273363</v>
      </c>
      <c r="F941" s="69">
        <v>273363</v>
      </c>
      <c r="G941" s="133">
        <f>F942-E941</f>
        <v>0</v>
      </c>
      <c r="H941" s="8">
        <f t="shared" si="177"/>
        <v>331486</v>
      </c>
      <c r="I941" s="8">
        <v>331486</v>
      </c>
      <c r="J941" s="13">
        <f t="shared" si="181"/>
        <v>0</v>
      </c>
      <c r="K941" s="138"/>
      <c r="L941" s="8">
        <f t="shared" si="175"/>
        <v>895823</v>
      </c>
      <c r="M941" s="8">
        <v>896870</v>
      </c>
      <c r="N941" s="13">
        <f t="shared" si="183"/>
        <v>1047</v>
      </c>
      <c r="O941" s="136"/>
      <c r="P941" s="8">
        <f t="shared" si="180"/>
        <v>491462</v>
      </c>
      <c r="Q941" s="8">
        <v>492027</v>
      </c>
      <c r="R941" s="133">
        <f t="shared" si="187"/>
        <v>565</v>
      </c>
      <c r="S941" s="8">
        <f t="shared" si="178"/>
        <v>31785</v>
      </c>
      <c r="T941" s="8">
        <v>31819</v>
      </c>
      <c r="U941" s="133">
        <f t="shared" si="186"/>
        <v>34</v>
      </c>
      <c r="V941" s="8">
        <f t="shared" si="179"/>
        <v>533986</v>
      </c>
      <c r="W941" s="8">
        <v>533986</v>
      </c>
      <c r="X941" s="13">
        <f t="shared" si="191"/>
        <v>0</v>
      </c>
      <c r="Y941" s="8">
        <f t="shared" si="192"/>
        <v>35113</v>
      </c>
      <c r="Z941" s="8">
        <v>35132</v>
      </c>
      <c r="AA941" s="13">
        <f t="shared" si="184"/>
        <v>19</v>
      </c>
      <c r="AB941" s="8">
        <f t="shared" si="176"/>
        <v>241878</v>
      </c>
      <c r="AC941" s="8">
        <v>241940</v>
      </c>
      <c r="AD941" s="13">
        <f t="shared" si="185"/>
        <v>62</v>
      </c>
      <c r="AE941" s="135"/>
      <c r="AF941" s="135"/>
      <c r="AG941" s="135"/>
      <c r="AH941" s="136"/>
      <c r="AI941" s="50">
        <f t="shared" si="182"/>
        <v>618</v>
      </c>
    </row>
    <row r="942" spans="1:35">
      <c r="A942" s="12">
        <v>45317</v>
      </c>
      <c r="B942" s="8">
        <f t="shared" ref="B942:B983" si="193">C941</f>
        <v>1936866</v>
      </c>
      <c r="C942" s="8">
        <v>1937533</v>
      </c>
      <c r="D942" s="13">
        <f t="shared" si="188"/>
        <v>667</v>
      </c>
      <c r="E942" s="77">
        <f>F941</f>
        <v>273363</v>
      </c>
      <c r="F942" s="69">
        <v>273363</v>
      </c>
      <c r="G942" s="133">
        <f t="shared" si="189"/>
        <v>0</v>
      </c>
      <c r="H942" s="8">
        <f t="shared" ref="H942:H1005" si="194">I941</f>
        <v>331486</v>
      </c>
      <c r="I942" s="8">
        <v>331486</v>
      </c>
      <c r="J942" s="13">
        <f t="shared" si="181"/>
        <v>0</v>
      </c>
      <c r="K942" s="138"/>
      <c r="L942" s="8">
        <f t="shared" ref="L942:L1005" si="195">M941</f>
        <v>896870</v>
      </c>
      <c r="M942" s="8">
        <v>898056</v>
      </c>
      <c r="N942" s="13">
        <f t="shared" si="183"/>
        <v>1186</v>
      </c>
      <c r="O942" s="136"/>
      <c r="P942" s="8">
        <f t="shared" si="180"/>
        <v>492027</v>
      </c>
      <c r="Q942" s="8">
        <v>492585</v>
      </c>
      <c r="R942" s="133">
        <f t="shared" si="187"/>
        <v>558</v>
      </c>
      <c r="S942" s="8">
        <f t="shared" ref="S942:S1005" si="196">T941</f>
        <v>31819</v>
      </c>
      <c r="T942" s="8">
        <v>31877</v>
      </c>
      <c r="U942" s="133">
        <f t="shared" si="186"/>
        <v>58</v>
      </c>
      <c r="V942" s="8">
        <f t="shared" ref="V942:V1005" si="197">W941</f>
        <v>533986</v>
      </c>
      <c r="W942" s="8">
        <v>533986</v>
      </c>
      <c r="X942" s="13">
        <f t="shared" si="191"/>
        <v>0</v>
      </c>
      <c r="Y942" s="8">
        <f t="shared" si="192"/>
        <v>35132</v>
      </c>
      <c r="Z942" s="8">
        <v>35146</v>
      </c>
      <c r="AA942" s="13">
        <f t="shared" si="184"/>
        <v>14</v>
      </c>
      <c r="AB942" s="8">
        <f t="shared" ref="AB942:AB983" si="198">AC941</f>
        <v>241940</v>
      </c>
      <c r="AC942" s="8">
        <v>242022</v>
      </c>
      <c r="AD942" s="13">
        <f t="shared" si="185"/>
        <v>82</v>
      </c>
      <c r="AE942" s="135"/>
      <c r="AF942" s="135"/>
      <c r="AG942" s="135"/>
      <c r="AH942" s="136"/>
      <c r="AI942" s="50">
        <f t="shared" si="182"/>
        <v>630</v>
      </c>
    </row>
    <row r="943" spans="1:35">
      <c r="A943" s="12">
        <v>45318</v>
      </c>
      <c r="B943" s="8">
        <f t="shared" si="193"/>
        <v>1937533</v>
      </c>
      <c r="C943" s="8">
        <v>1938046</v>
      </c>
      <c r="D943" s="13">
        <f t="shared" si="188"/>
        <v>513</v>
      </c>
      <c r="E943" s="77">
        <f>F942</f>
        <v>273363</v>
      </c>
      <c r="F943" s="69">
        <v>273363</v>
      </c>
      <c r="G943" s="133">
        <f t="shared" si="189"/>
        <v>0</v>
      </c>
      <c r="H943" s="8">
        <f t="shared" si="194"/>
        <v>331486</v>
      </c>
      <c r="I943" s="8">
        <v>331486</v>
      </c>
      <c r="J943" s="13">
        <f t="shared" si="181"/>
        <v>0</v>
      </c>
      <c r="K943" s="138"/>
      <c r="L943" s="8">
        <f t="shared" si="195"/>
        <v>898056</v>
      </c>
      <c r="M943" s="8">
        <v>899333</v>
      </c>
      <c r="N943" s="13">
        <f t="shared" si="183"/>
        <v>1277</v>
      </c>
      <c r="O943" s="136"/>
      <c r="P943" s="8">
        <f t="shared" si="180"/>
        <v>492585</v>
      </c>
      <c r="Q943" s="8">
        <v>493268</v>
      </c>
      <c r="R943" s="133">
        <f t="shared" si="187"/>
        <v>683</v>
      </c>
      <c r="S943" s="8">
        <f t="shared" si="196"/>
        <v>31877</v>
      </c>
      <c r="T943" s="8">
        <v>31926</v>
      </c>
      <c r="U943" s="133">
        <f t="shared" si="186"/>
        <v>49</v>
      </c>
      <c r="V943" s="8">
        <f t="shared" si="197"/>
        <v>533986</v>
      </c>
      <c r="W943" s="8">
        <v>533986</v>
      </c>
      <c r="X943" s="13">
        <f t="shared" si="191"/>
        <v>0</v>
      </c>
      <c r="Y943" s="8">
        <f t="shared" si="192"/>
        <v>35146</v>
      </c>
      <c r="Z943" s="8">
        <v>35167</v>
      </c>
      <c r="AA943" s="13">
        <f t="shared" si="184"/>
        <v>21</v>
      </c>
      <c r="AB943" s="8">
        <f t="shared" si="198"/>
        <v>242022</v>
      </c>
      <c r="AC943" s="8">
        <v>242090</v>
      </c>
      <c r="AD943" s="13">
        <f t="shared" si="185"/>
        <v>68</v>
      </c>
      <c r="AE943" s="135"/>
      <c r="AF943" s="135"/>
      <c r="AG943" s="135"/>
      <c r="AH943" s="136"/>
      <c r="AI943" s="50">
        <f t="shared" si="182"/>
        <v>753</v>
      </c>
    </row>
    <row r="944" spans="1:35">
      <c r="A944" s="12">
        <v>45319</v>
      </c>
      <c r="B944" s="8">
        <f t="shared" si="193"/>
        <v>1938046</v>
      </c>
      <c r="C944" s="8">
        <v>1938640</v>
      </c>
      <c r="D944" s="13">
        <f t="shared" si="188"/>
        <v>594</v>
      </c>
      <c r="E944" s="77">
        <f t="shared" si="190"/>
        <v>273363</v>
      </c>
      <c r="F944" s="69">
        <v>273363</v>
      </c>
      <c r="G944" s="133">
        <f t="shared" si="189"/>
        <v>0</v>
      </c>
      <c r="H944" s="8">
        <f t="shared" si="194"/>
        <v>331486</v>
      </c>
      <c r="I944" s="8">
        <v>331486</v>
      </c>
      <c r="J944" s="13">
        <f t="shared" si="181"/>
        <v>0</v>
      </c>
      <c r="K944" s="138"/>
      <c r="L944" s="8">
        <f t="shared" si="195"/>
        <v>899333</v>
      </c>
      <c r="M944" s="8">
        <v>900350</v>
      </c>
      <c r="N944" s="13">
        <f t="shared" si="183"/>
        <v>1017</v>
      </c>
      <c r="O944" s="136"/>
      <c r="P944" s="8">
        <f t="shared" ref="P944:P1007" si="199">Q943</f>
        <v>493268</v>
      </c>
      <c r="Q944" s="8">
        <v>493793</v>
      </c>
      <c r="R944" s="133">
        <f t="shared" si="187"/>
        <v>525</v>
      </c>
      <c r="S944" s="8">
        <f t="shared" si="196"/>
        <v>31926</v>
      </c>
      <c r="T944" s="8">
        <v>31965</v>
      </c>
      <c r="U944" s="133">
        <f t="shared" si="186"/>
        <v>39</v>
      </c>
      <c r="V944" s="8">
        <f t="shared" si="197"/>
        <v>533986</v>
      </c>
      <c r="W944" s="8">
        <v>533986</v>
      </c>
      <c r="X944" s="13">
        <f t="shared" si="191"/>
        <v>0</v>
      </c>
      <c r="Y944" s="8">
        <f t="shared" si="192"/>
        <v>35167</v>
      </c>
      <c r="Z944" s="8">
        <v>35181</v>
      </c>
      <c r="AA944" s="13">
        <f t="shared" si="184"/>
        <v>14</v>
      </c>
      <c r="AB944" s="8">
        <f t="shared" si="198"/>
        <v>242090</v>
      </c>
      <c r="AC944" s="8">
        <v>242150</v>
      </c>
      <c r="AD944" s="13">
        <f t="shared" si="185"/>
        <v>60</v>
      </c>
      <c r="AE944" s="135"/>
      <c r="AF944" s="135"/>
      <c r="AG944" s="135"/>
      <c r="AH944" s="136"/>
      <c r="AI944" s="50">
        <f t="shared" si="182"/>
        <v>578</v>
      </c>
    </row>
    <row r="945" spans="1:35">
      <c r="A945" s="12">
        <v>45320</v>
      </c>
      <c r="B945" s="8">
        <f t="shared" si="193"/>
        <v>1938640</v>
      </c>
      <c r="C945" s="8">
        <v>1939331</v>
      </c>
      <c r="D945" s="13">
        <f t="shared" si="188"/>
        <v>691</v>
      </c>
      <c r="E945" s="77">
        <f t="shared" si="190"/>
        <v>273363</v>
      </c>
      <c r="F945" s="69">
        <v>273363</v>
      </c>
      <c r="G945" s="133">
        <f t="shared" si="189"/>
        <v>0</v>
      </c>
      <c r="H945" s="8">
        <f t="shared" si="194"/>
        <v>331486</v>
      </c>
      <c r="I945" s="8">
        <v>331486</v>
      </c>
      <c r="J945" s="13">
        <f t="shared" si="181"/>
        <v>0</v>
      </c>
      <c r="K945" s="138"/>
      <c r="L945" s="8">
        <f t="shared" si="195"/>
        <v>900350</v>
      </c>
      <c r="M945" s="8">
        <v>901474</v>
      </c>
      <c r="N945" s="13">
        <f t="shared" si="183"/>
        <v>1124</v>
      </c>
      <c r="O945" s="136"/>
      <c r="P945" s="8">
        <f t="shared" si="199"/>
        <v>493793</v>
      </c>
      <c r="Q945" s="8">
        <v>493991</v>
      </c>
      <c r="R945" s="133">
        <f t="shared" si="187"/>
        <v>198</v>
      </c>
      <c r="S945" s="8">
        <f t="shared" si="196"/>
        <v>31965</v>
      </c>
      <c r="T945" s="8">
        <v>32011</v>
      </c>
      <c r="U945" s="133">
        <f t="shared" si="186"/>
        <v>46</v>
      </c>
      <c r="V945" s="8">
        <f t="shared" si="197"/>
        <v>533986</v>
      </c>
      <c r="W945" s="8">
        <v>533986</v>
      </c>
      <c r="X945" s="13">
        <f t="shared" si="191"/>
        <v>0</v>
      </c>
      <c r="Y945" s="8">
        <f t="shared" si="192"/>
        <v>35181</v>
      </c>
      <c r="Z945" s="8">
        <v>35199</v>
      </c>
      <c r="AA945" s="13">
        <f t="shared" si="184"/>
        <v>18</v>
      </c>
      <c r="AB945" s="8">
        <f t="shared" si="198"/>
        <v>242150</v>
      </c>
      <c r="AC945" s="8">
        <v>242212</v>
      </c>
      <c r="AD945" s="13">
        <f t="shared" si="185"/>
        <v>62</v>
      </c>
      <c r="AE945" s="135"/>
      <c r="AF945" s="135"/>
      <c r="AG945" s="135"/>
      <c r="AH945" s="136"/>
      <c r="AI945" s="50">
        <f t="shared" si="182"/>
        <v>262</v>
      </c>
    </row>
    <row r="946" spans="1:35">
      <c r="A946" s="12">
        <v>45321</v>
      </c>
      <c r="B946" s="8">
        <f t="shared" si="193"/>
        <v>1939331</v>
      </c>
      <c r="C946" s="8">
        <v>1939894</v>
      </c>
      <c r="D946" s="13">
        <f t="shared" si="188"/>
        <v>563</v>
      </c>
      <c r="E946" s="77">
        <f t="shared" si="190"/>
        <v>273363</v>
      </c>
      <c r="F946" s="69">
        <v>273363</v>
      </c>
      <c r="G946" s="133">
        <f t="shared" si="189"/>
        <v>0</v>
      </c>
      <c r="H946" s="8">
        <f t="shared" si="194"/>
        <v>331486</v>
      </c>
      <c r="I946" s="8">
        <v>331486</v>
      </c>
      <c r="J946" s="13">
        <f t="shared" si="181"/>
        <v>0</v>
      </c>
      <c r="K946" s="138"/>
      <c r="L946" s="8">
        <f t="shared" si="195"/>
        <v>901474</v>
      </c>
      <c r="M946" s="8">
        <v>902544</v>
      </c>
      <c r="N946" s="13">
        <f t="shared" si="183"/>
        <v>1070</v>
      </c>
      <c r="O946" s="136"/>
      <c r="P946" s="8">
        <f t="shared" si="199"/>
        <v>493991</v>
      </c>
      <c r="Q946" s="8">
        <v>493994</v>
      </c>
      <c r="R946" s="133">
        <f t="shared" si="187"/>
        <v>3</v>
      </c>
      <c r="S946" s="8">
        <f t="shared" si="196"/>
        <v>32011</v>
      </c>
      <c r="T946" s="8">
        <v>32061</v>
      </c>
      <c r="U946" s="133">
        <f t="shared" si="186"/>
        <v>50</v>
      </c>
      <c r="V946" s="8">
        <f t="shared" si="197"/>
        <v>533986</v>
      </c>
      <c r="W946" s="8">
        <v>533986</v>
      </c>
      <c r="X946" s="13">
        <f t="shared" si="191"/>
        <v>0</v>
      </c>
      <c r="Y946" s="8">
        <f t="shared" si="192"/>
        <v>35199</v>
      </c>
      <c r="Z946" s="8">
        <v>35213</v>
      </c>
      <c r="AA946" s="13">
        <f t="shared" si="184"/>
        <v>14</v>
      </c>
      <c r="AB946" s="8">
        <f t="shared" si="198"/>
        <v>242212</v>
      </c>
      <c r="AC946" s="8">
        <v>242307</v>
      </c>
      <c r="AD946" s="13">
        <f t="shared" si="185"/>
        <v>95</v>
      </c>
      <c r="AE946" s="135"/>
      <c r="AF946" s="135"/>
      <c r="AG946" s="135"/>
      <c r="AH946" s="136"/>
      <c r="AI946" s="50">
        <f t="shared" si="182"/>
        <v>67</v>
      </c>
    </row>
    <row r="947" spans="1:35">
      <c r="A947" s="12">
        <v>45322</v>
      </c>
      <c r="B947" s="8">
        <f t="shared" si="193"/>
        <v>1939894</v>
      </c>
      <c r="C947" s="8">
        <v>1940081</v>
      </c>
      <c r="D947" s="13">
        <f t="shared" si="188"/>
        <v>187</v>
      </c>
      <c r="E947" s="77">
        <f t="shared" si="190"/>
        <v>273363</v>
      </c>
      <c r="F947" s="69">
        <v>273363</v>
      </c>
      <c r="G947" s="133">
        <f t="shared" si="189"/>
        <v>0</v>
      </c>
      <c r="H947" s="8">
        <f t="shared" si="194"/>
        <v>331486</v>
      </c>
      <c r="I947" s="8">
        <v>331486</v>
      </c>
      <c r="J947" s="13">
        <f t="shared" si="181"/>
        <v>0</v>
      </c>
      <c r="K947" s="138"/>
      <c r="L947" s="8">
        <f t="shared" si="195"/>
        <v>902544</v>
      </c>
      <c r="M947" s="8">
        <v>903709</v>
      </c>
      <c r="N947" s="13">
        <f t="shared" si="183"/>
        <v>1165</v>
      </c>
      <c r="O947" s="136"/>
      <c r="P947" s="8">
        <f t="shared" si="199"/>
        <v>493994</v>
      </c>
      <c r="Q947" s="8">
        <v>494531</v>
      </c>
      <c r="R947" s="133">
        <f t="shared" si="187"/>
        <v>537</v>
      </c>
      <c r="S947" s="8">
        <f t="shared" si="196"/>
        <v>32061</v>
      </c>
      <c r="T947" s="8">
        <v>32113</v>
      </c>
      <c r="U947" s="133">
        <f t="shared" si="186"/>
        <v>52</v>
      </c>
      <c r="V947" s="8">
        <f t="shared" si="197"/>
        <v>533986</v>
      </c>
      <c r="W947" s="8">
        <v>533986</v>
      </c>
      <c r="X947" s="13">
        <f t="shared" si="191"/>
        <v>0</v>
      </c>
      <c r="Y947" s="8">
        <f t="shared" si="192"/>
        <v>35213</v>
      </c>
      <c r="Z947" s="8">
        <v>35228</v>
      </c>
      <c r="AA947" s="13">
        <f t="shared" si="184"/>
        <v>15</v>
      </c>
      <c r="AB947" s="8">
        <f t="shared" si="198"/>
        <v>242307</v>
      </c>
      <c r="AC947" s="8">
        <v>242347</v>
      </c>
      <c r="AD947" s="13">
        <f t="shared" si="185"/>
        <v>40</v>
      </c>
      <c r="AE947" s="135"/>
      <c r="AF947" s="135"/>
      <c r="AG947" s="135"/>
      <c r="AH947" s="136"/>
      <c r="AI947" s="50">
        <f t="shared" si="182"/>
        <v>604</v>
      </c>
    </row>
    <row r="948" spans="1:35">
      <c r="A948" s="12">
        <v>45323</v>
      </c>
      <c r="B948" s="8">
        <f t="shared" si="193"/>
        <v>1940081</v>
      </c>
      <c r="C948" s="8">
        <v>1940582</v>
      </c>
      <c r="D948" s="13">
        <f t="shared" si="188"/>
        <v>501</v>
      </c>
      <c r="E948" s="77">
        <f t="shared" si="190"/>
        <v>273363</v>
      </c>
      <c r="F948" s="69">
        <v>273363</v>
      </c>
      <c r="G948" s="133">
        <f t="shared" si="189"/>
        <v>0</v>
      </c>
      <c r="H948" s="8">
        <f t="shared" si="194"/>
        <v>331486</v>
      </c>
      <c r="I948" s="8">
        <v>331486</v>
      </c>
      <c r="J948" s="13">
        <f t="shared" si="181"/>
        <v>0</v>
      </c>
      <c r="K948" s="138"/>
      <c r="L948" s="8">
        <f t="shared" si="195"/>
        <v>903709</v>
      </c>
      <c r="M948" s="8">
        <v>904774</v>
      </c>
      <c r="N948" s="13">
        <f t="shared" si="183"/>
        <v>1065</v>
      </c>
      <c r="O948" s="136"/>
      <c r="P948" s="8">
        <f t="shared" si="199"/>
        <v>494531</v>
      </c>
      <c r="Q948" s="8">
        <v>495140</v>
      </c>
      <c r="R948" s="133">
        <f t="shared" si="187"/>
        <v>609</v>
      </c>
      <c r="S948" s="8">
        <f t="shared" si="196"/>
        <v>32113</v>
      </c>
      <c r="T948" s="8">
        <v>32156</v>
      </c>
      <c r="U948" s="133">
        <f t="shared" si="186"/>
        <v>43</v>
      </c>
      <c r="V948" s="8">
        <f t="shared" si="197"/>
        <v>533986</v>
      </c>
      <c r="W948" s="8">
        <v>533986</v>
      </c>
      <c r="X948" s="13">
        <f t="shared" si="191"/>
        <v>0</v>
      </c>
      <c r="Y948" s="8">
        <f t="shared" si="192"/>
        <v>35228</v>
      </c>
      <c r="Z948" s="8">
        <v>35243</v>
      </c>
      <c r="AA948" s="13">
        <f t="shared" si="184"/>
        <v>15</v>
      </c>
      <c r="AB948" s="8">
        <f t="shared" si="198"/>
        <v>242347</v>
      </c>
      <c r="AC948" s="8">
        <v>242413</v>
      </c>
      <c r="AD948" s="13">
        <f t="shared" si="185"/>
        <v>66</v>
      </c>
      <c r="AE948" s="135"/>
      <c r="AF948" s="135"/>
      <c r="AG948" s="135"/>
      <c r="AH948" s="136"/>
      <c r="AI948" s="50">
        <f t="shared" si="182"/>
        <v>667</v>
      </c>
    </row>
    <row r="949" spans="1:35">
      <c r="A949" s="12">
        <v>45324</v>
      </c>
      <c r="B949" s="8">
        <f t="shared" si="193"/>
        <v>1940582</v>
      </c>
      <c r="C949" s="8">
        <v>1941184</v>
      </c>
      <c r="D949" s="13">
        <f t="shared" si="188"/>
        <v>602</v>
      </c>
      <c r="E949" s="77">
        <f t="shared" si="190"/>
        <v>273363</v>
      </c>
      <c r="F949" s="69">
        <v>273363</v>
      </c>
      <c r="G949" s="133">
        <f t="shared" si="189"/>
        <v>0</v>
      </c>
      <c r="H949" s="8">
        <f t="shared" si="194"/>
        <v>331486</v>
      </c>
      <c r="I949" s="8">
        <v>331486</v>
      </c>
      <c r="J949" s="13">
        <f t="shared" si="181"/>
        <v>0</v>
      </c>
      <c r="K949" s="138"/>
      <c r="L949" s="8">
        <f t="shared" si="195"/>
        <v>904774</v>
      </c>
      <c r="M949" s="8">
        <v>906055</v>
      </c>
      <c r="N949" s="13">
        <f t="shared" si="183"/>
        <v>1281</v>
      </c>
      <c r="O949" s="136"/>
      <c r="P949" s="8">
        <f t="shared" si="199"/>
        <v>495140</v>
      </c>
      <c r="Q949" s="8">
        <v>495785</v>
      </c>
      <c r="R949" s="133">
        <f t="shared" si="187"/>
        <v>645</v>
      </c>
      <c r="S949" s="8">
        <f t="shared" si="196"/>
        <v>32156</v>
      </c>
      <c r="T949" s="8">
        <v>32213</v>
      </c>
      <c r="U949" s="133">
        <f t="shared" si="186"/>
        <v>57</v>
      </c>
      <c r="V949" s="8">
        <f t="shared" si="197"/>
        <v>533986</v>
      </c>
      <c r="W949" s="8">
        <v>533986</v>
      </c>
      <c r="X949" s="13">
        <f t="shared" si="191"/>
        <v>0</v>
      </c>
      <c r="Y949" s="8">
        <f t="shared" si="192"/>
        <v>35243</v>
      </c>
      <c r="Z949" s="8">
        <v>35262</v>
      </c>
      <c r="AA949" s="13">
        <f t="shared" si="184"/>
        <v>19</v>
      </c>
      <c r="AB949" s="8">
        <f t="shared" si="198"/>
        <v>242413</v>
      </c>
      <c r="AC949" s="8">
        <v>242474</v>
      </c>
      <c r="AD949" s="13">
        <f t="shared" si="185"/>
        <v>61</v>
      </c>
      <c r="AE949" s="135"/>
      <c r="AF949" s="135"/>
      <c r="AG949" s="135"/>
      <c r="AH949" s="136"/>
      <c r="AI949" s="50">
        <f t="shared" si="182"/>
        <v>721</v>
      </c>
    </row>
    <row r="950" spans="1:35">
      <c r="A950" s="12">
        <v>45325</v>
      </c>
      <c r="B950" s="8">
        <f t="shared" si="193"/>
        <v>1941184</v>
      </c>
      <c r="C950" s="8">
        <v>1941693</v>
      </c>
      <c r="D950" s="13">
        <f t="shared" si="188"/>
        <v>509</v>
      </c>
      <c r="E950" s="77">
        <f t="shared" si="190"/>
        <v>273363</v>
      </c>
      <c r="F950" s="69">
        <v>273363</v>
      </c>
      <c r="G950" s="133">
        <f t="shared" si="189"/>
        <v>0</v>
      </c>
      <c r="H950" s="8">
        <f t="shared" si="194"/>
        <v>331486</v>
      </c>
      <c r="I950" s="8">
        <v>331486</v>
      </c>
      <c r="J950" s="13">
        <f t="shared" si="181"/>
        <v>0</v>
      </c>
      <c r="K950" s="138"/>
      <c r="L950" s="8">
        <f t="shared" si="195"/>
        <v>906055</v>
      </c>
      <c r="M950" s="8">
        <v>907261</v>
      </c>
      <c r="N950" s="13">
        <f t="shared" si="183"/>
        <v>1206</v>
      </c>
      <c r="O950" s="136"/>
      <c r="P950" s="8">
        <f t="shared" si="199"/>
        <v>495785</v>
      </c>
      <c r="Q950" s="8">
        <v>496377</v>
      </c>
      <c r="R950" s="133">
        <f t="shared" si="187"/>
        <v>592</v>
      </c>
      <c r="S950" s="8">
        <f t="shared" si="196"/>
        <v>32213</v>
      </c>
      <c r="T950" s="8">
        <v>32292</v>
      </c>
      <c r="U950" s="133">
        <f t="shared" si="186"/>
        <v>79</v>
      </c>
      <c r="V950" s="8">
        <f t="shared" si="197"/>
        <v>533986</v>
      </c>
      <c r="W950" s="8">
        <v>533986</v>
      </c>
      <c r="X950" s="13">
        <f t="shared" si="191"/>
        <v>0</v>
      </c>
      <c r="Y950" s="8">
        <f t="shared" si="192"/>
        <v>35262</v>
      </c>
      <c r="Z950" s="8">
        <v>35280</v>
      </c>
      <c r="AA950" s="13">
        <f t="shared" si="184"/>
        <v>18</v>
      </c>
      <c r="AB950" s="8">
        <f t="shared" si="198"/>
        <v>242474</v>
      </c>
      <c r="AC950" s="8">
        <v>242563</v>
      </c>
      <c r="AD950" s="13">
        <f t="shared" si="185"/>
        <v>89</v>
      </c>
      <c r="AE950" s="135"/>
      <c r="AF950" s="135"/>
      <c r="AG950" s="135"/>
      <c r="AH950" s="136"/>
      <c r="AI950" s="50">
        <f t="shared" si="182"/>
        <v>689</v>
      </c>
    </row>
    <row r="951" spans="1:35">
      <c r="A951" s="12">
        <v>45326</v>
      </c>
      <c r="B951" s="8">
        <f t="shared" si="193"/>
        <v>1941693</v>
      </c>
      <c r="C951" s="8">
        <v>1942298</v>
      </c>
      <c r="D951" s="13">
        <f t="shared" si="188"/>
        <v>605</v>
      </c>
      <c r="E951" s="77">
        <f t="shared" si="190"/>
        <v>273363</v>
      </c>
      <c r="F951" s="69">
        <v>273363</v>
      </c>
      <c r="G951" s="133">
        <f t="shared" si="189"/>
        <v>0</v>
      </c>
      <c r="H951" s="8">
        <f t="shared" si="194"/>
        <v>331486</v>
      </c>
      <c r="I951" s="8">
        <v>331486</v>
      </c>
      <c r="J951" s="13">
        <f t="shared" si="181"/>
        <v>0</v>
      </c>
      <c r="K951" s="138"/>
      <c r="L951" s="8">
        <f t="shared" si="195"/>
        <v>907261</v>
      </c>
      <c r="M951" s="8">
        <v>908163</v>
      </c>
      <c r="N951" s="13">
        <f t="shared" si="183"/>
        <v>902</v>
      </c>
      <c r="O951" s="136"/>
      <c r="P951" s="8">
        <f t="shared" si="199"/>
        <v>496377</v>
      </c>
      <c r="Q951" s="8">
        <v>496833</v>
      </c>
      <c r="R951" s="133">
        <f t="shared" si="187"/>
        <v>456</v>
      </c>
      <c r="S951" s="8">
        <f t="shared" si="196"/>
        <v>32292</v>
      </c>
      <c r="T951" s="8">
        <v>32332</v>
      </c>
      <c r="U951" s="133">
        <f t="shared" si="186"/>
        <v>40</v>
      </c>
      <c r="V951" s="8">
        <f t="shared" si="197"/>
        <v>533986</v>
      </c>
      <c r="W951" s="8">
        <v>533986</v>
      </c>
      <c r="X951" s="13">
        <f t="shared" si="191"/>
        <v>0</v>
      </c>
      <c r="Y951" s="8">
        <f t="shared" si="192"/>
        <v>35280</v>
      </c>
      <c r="Z951" s="8">
        <v>35291</v>
      </c>
      <c r="AA951" s="13">
        <f t="shared" si="184"/>
        <v>11</v>
      </c>
      <c r="AB951" s="8">
        <f t="shared" si="198"/>
        <v>242563</v>
      </c>
      <c r="AC951" s="8">
        <v>242624</v>
      </c>
      <c r="AD951" s="13">
        <f t="shared" si="185"/>
        <v>61</v>
      </c>
      <c r="AE951" s="135"/>
      <c r="AF951" s="135"/>
      <c r="AG951" s="135"/>
      <c r="AH951" s="136"/>
      <c r="AI951" s="50">
        <f t="shared" si="182"/>
        <v>507</v>
      </c>
    </row>
    <row r="952" spans="1:35">
      <c r="A952" s="12">
        <v>45327</v>
      </c>
      <c r="B952" s="8">
        <f t="shared" si="193"/>
        <v>1942298</v>
      </c>
      <c r="C952" s="8">
        <v>1942896</v>
      </c>
      <c r="D952" s="13">
        <f t="shared" si="188"/>
        <v>598</v>
      </c>
      <c r="E952" s="77">
        <f t="shared" si="190"/>
        <v>273363</v>
      </c>
      <c r="F952" s="69">
        <v>273363</v>
      </c>
      <c r="G952" s="133">
        <f t="shared" si="189"/>
        <v>0</v>
      </c>
      <c r="H952" s="8">
        <f t="shared" si="194"/>
        <v>331486</v>
      </c>
      <c r="I952" s="8">
        <v>331486</v>
      </c>
      <c r="J952" s="13">
        <f t="shared" si="181"/>
        <v>0</v>
      </c>
      <c r="K952" s="138"/>
      <c r="L952" s="8">
        <f t="shared" si="195"/>
        <v>908163</v>
      </c>
      <c r="M952" s="8">
        <v>909321</v>
      </c>
      <c r="N952" s="13">
        <f t="shared" si="183"/>
        <v>1158</v>
      </c>
      <c r="O952" s="136"/>
      <c r="P952" s="8">
        <f t="shared" si="199"/>
        <v>496833</v>
      </c>
      <c r="Q952" s="8">
        <v>497433</v>
      </c>
      <c r="R952" s="133">
        <f t="shared" si="187"/>
        <v>600</v>
      </c>
      <c r="S952" s="8">
        <f t="shared" si="196"/>
        <v>32332</v>
      </c>
      <c r="T952" s="8">
        <v>32398</v>
      </c>
      <c r="U952" s="133">
        <f t="shared" si="186"/>
        <v>66</v>
      </c>
      <c r="V952" s="8">
        <f t="shared" si="197"/>
        <v>533986</v>
      </c>
      <c r="W952" s="8">
        <v>533986</v>
      </c>
      <c r="X952" s="13">
        <f t="shared" si="191"/>
        <v>0</v>
      </c>
      <c r="Y952" s="8">
        <f t="shared" si="192"/>
        <v>35291</v>
      </c>
      <c r="Z952" s="8">
        <v>35309</v>
      </c>
      <c r="AA952" s="13">
        <f t="shared" si="184"/>
        <v>18</v>
      </c>
      <c r="AB952" s="8">
        <f t="shared" si="198"/>
        <v>242624</v>
      </c>
      <c r="AC952" s="8">
        <v>242692</v>
      </c>
      <c r="AD952" s="13">
        <f t="shared" si="185"/>
        <v>68</v>
      </c>
      <c r="AE952" s="135"/>
      <c r="AF952" s="135"/>
      <c r="AG952" s="135"/>
      <c r="AH952" s="136"/>
      <c r="AI952" s="50">
        <f t="shared" si="182"/>
        <v>684</v>
      </c>
    </row>
    <row r="953" spans="1:35">
      <c r="A953" s="12">
        <v>45328</v>
      </c>
      <c r="B953" s="8">
        <f t="shared" si="193"/>
        <v>1942896</v>
      </c>
      <c r="C953" s="8">
        <v>1943494</v>
      </c>
      <c r="D953" s="13">
        <f t="shared" si="188"/>
        <v>598</v>
      </c>
      <c r="E953" s="77">
        <f t="shared" si="190"/>
        <v>273363</v>
      </c>
      <c r="F953" s="69">
        <v>273363</v>
      </c>
      <c r="G953" s="133">
        <f t="shared" si="189"/>
        <v>0</v>
      </c>
      <c r="H953" s="8">
        <f t="shared" si="194"/>
        <v>331486</v>
      </c>
      <c r="I953" s="8">
        <v>331486</v>
      </c>
      <c r="J953" s="13">
        <f t="shared" si="181"/>
        <v>0</v>
      </c>
      <c r="K953" s="138"/>
      <c r="L953" s="8">
        <f t="shared" si="195"/>
        <v>909321</v>
      </c>
      <c r="M953" s="8">
        <v>910646</v>
      </c>
      <c r="N953" s="13">
        <f t="shared" si="183"/>
        <v>1325</v>
      </c>
      <c r="O953" s="136"/>
      <c r="P953" s="8">
        <f t="shared" si="199"/>
        <v>497433</v>
      </c>
      <c r="Q953" s="8">
        <v>498005</v>
      </c>
      <c r="R953" s="133">
        <f t="shared" si="187"/>
        <v>572</v>
      </c>
      <c r="S953" s="8">
        <f t="shared" si="196"/>
        <v>32398</v>
      </c>
      <c r="T953" s="8">
        <v>32434</v>
      </c>
      <c r="U953" s="133">
        <f t="shared" si="186"/>
        <v>36</v>
      </c>
      <c r="V953" s="8">
        <f t="shared" si="197"/>
        <v>533986</v>
      </c>
      <c r="W953" s="8">
        <v>533986</v>
      </c>
      <c r="X953" s="13">
        <f t="shared" si="191"/>
        <v>0</v>
      </c>
      <c r="Y953" s="8">
        <f t="shared" si="192"/>
        <v>35309</v>
      </c>
      <c r="Z953" s="8">
        <v>35328</v>
      </c>
      <c r="AA953" s="13">
        <f t="shared" si="184"/>
        <v>19</v>
      </c>
      <c r="AB953" s="8">
        <f t="shared" si="198"/>
        <v>242692</v>
      </c>
      <c r="AC953" s="8">
        <v>242793</v>
      </c>
      <c r="AD953" s="13">
        <f t="shared" si="185"/>
        <v>101</v>
      </c>
      <c r="AE953" s="135"/>
      <c r="AF953" s="135"/>
      <c r="AG953" s="135"/>
      <c r="AH953" s="136"/>
      <c r="AI953" s="50">
        <f t="shared" si="182"/>
        <v>627</v>
      </c>
    </row>
    <row r="954" spans="1:35">
      <c r="A954" s="12">
        <v>45329</v>
      </c>
      <c r="B954" s="8">
        <f t="shared" si="193"/>
        <v>1943494</v>
      </c>
      <c r="C954" s="8">
        <v>1943989</v>
      </c>
      <c r="D954" s="13">
        <f t="shared" si="188"/>
        <v>495</v>
      </c>
      <c r="E954" s="77">
        <f t="shared" si="190"/>
        <v>273363</v>
      </c>
      <c r="F954" s="69">
        <v>273363</v>
      </c>
      <c r="G954" s="133">
        <f t="shared" si="189"/>
        <v>0</v>
      </c>
      <c r="H954" s="8">
        <f t="shared" si="194"/>
        <v>331486</v>
      </c>
      <c r="I954" s="8">
        <v>331486</v>
      </c>
      <c r="J954" s="13">
        <f t="shared" si="181"/>
        <v>0</v>
      </c>
      <c r="K954" s="138"/>
      <c r="L954" s="8">
        <f t="shared" si="195"/>
        <v>910646</v>
      </c>
      <c r="M954" s="8">
        <v>911805</v>
      </c>
      <c r="N954" s="13">
        <f t="shared" si="183"/>
        <v>1159</v>
      </c>
      <c r="O954" s="136"/>
      <c r="P954" s="8">
        <f t="shared" si="199"/>
        <v>498005</v>
      </c>
      <c r="Q954" s="8">
        <v>498558</v>
      </c>
      <c r="R954" s="133">
        <f t="shared" si="187"/>
        <v>553</v>
      </c>
      <c r="S954" s="8">
        <f t="shared" si="196"/>
        <v>32434</v>
      </c>
      <c r="T954" s="8">
        <v>32476</v>
      </c>
      <c r="U954" s="133">
        <f t="shared" si="186"/>
        <v>42</v>
      </c>
      <c r="V954" s="8">
        <f t="shared" si="197"/>
        <v>533986</v>
      </c>
      <c r="W954" s="8">
        <v>533986</v>
      </c>
      <c r="X954" s="13">
        <f t="shared" si="191"/>
        <v>0</v>
      </c>
      <c r="Y954" s="8">
        <f t="shared" si="192"/>
        <v>35328</v>
      </c>
      <c r="Z954" s="8">
        <v>35384</v>
      </c>
      <c r="AA954" s="13">
        <f t="shared" si="184"/>
        <v>56</v>
      </c>
      <c r="AB954" s="8">
        <f t="shared" si="198"/>
        <v>242793</v>
      </c>
      <c r="AC954" s="8">
        <v>242878</v>
      </c>
      <c r="AD954" s="13">
        <f t="shared" si="185"/>
        <v>85</v>
      </c>
      <c r="AE954" s="135"/>
      <c r="AF954" s="135"/>
      <c r="AG954" s="135"/>
      <c r="AH954" s="136"/>
      <c r="AI954" s="50">
        <f t="shared" si="182"/>
        <v>651</v>
      </c>
    </row>
    <row r="955" spans="1:35">
      <c r="A955" s="12">
        <v>45330</v>
      </c>
      <c r="B955" s="8">
        <f t="shared" si="193"/>
        <v>1943989</v>
      </c>
      <c r="C955" s="8">
        <v>1944661</v>
      </c>
      <c r="D955" s="13">
        <f t="shared" si="188"/>
        <v>672</v>
      </c>
      <c r="E955" s="77">
        <f t="shared" si="190"/>
        <v>273363</v>
      </c>
      <c r="F955" s="69">
        <v>273363</v>
      </c>
      <c r="G955" s="133">
        <f t="shared" si="189"/>
        <v>0</v>
      </c>
      <c r="H955" s="8">
        <f t="shared" si="194"/>
        <v>331486</v>
      </c>
      <c r="I955" s="8">
        <v>331486</v>
      </c>
      <c r="J955" s="13">
        <f t="shared" si="181"/>
        <v>0</v>
      </c>
      <c r="K955" s="138"/>
      <c r="L955" s="8">
        <f t="shared" si="195"/>
        <v>911805</v>
      </c>
      <c r="M955" s="8">
        <v>912847</v>
      </c>
      <c r="N955" s="13">
        <f t="shared" si="183"/>
        <v>1042</v>
      </c>
      <c r="O955" s="136"/>
      <c r="P955" s="8">
        <f t="shared" si="199"/>
        <v>498558</v>
      </c>
      <c r="Q955" s="8">
        <v>499073</v>
      </c>
      <c r="R955" s="133">
        <f t="shared" si="187"/>
        <v>515</v>
      </c>
      <c r="S955" s="8">
        <f t="shared" si="196"/>
        <v>32476</v>
      </c>
      <c r="T955" s="8">
        <v>32508</v>
      </c>
      <c r="U955" s="133">
        <f t="shared" si="186"/>
        <v>32</v>
      </c>
      <c r="V955" s="8">
        <f t="shared" si="197"/>
        <v>533986</v>
      </c>
      <c r="W955" s="8">
        <v>533986</v>
      </c>
      <c r="X955" s="13">
        <f t="shared" si="191"/>
        <v>0</v>
      </c>
      <c r="Y955" s="8">
        <f t="shared" si="192"/>
        <v>35384</v>
      </c>
      <c r="Z955" s="8">
        <v>35406</v>
      </c>
      <c r="AA955" s="13">
        <f t="shared" si="184"/>
        <v>22</v>
      </c>
      <c r="AB955" s="8">
        <f t="shared" si="198"/>
        <v>242878</v>
      </c>
      <c r="AC955" s="8">
        <v>242960</v>
      </c>
      <c r="AD955" s="13">
        <f t="shared" si="185"/>
        <v>82</v>
      </c>
      <c r="AE955" s="135"/>
      <c r="AF955" s="135"/>
      <c r="AG955" s="135"/>
      <c r="AH955" s="136"/>
      <c r="AI955" s="50">
        <f t="shared" si="182"/>
        <v>569</v>
      </c>
    </row>
    <row r="956" spans="1:35">
      <c r="A956" s="12">
        <v>45331</v>
      </c>
      <c r="B956" s="8">
        <f t="shared" si="193"/>
        <v>1944661</v>
      </c>
      <c r="C956" s="8">
        <v>1945018</v>
      </c>
      <c r="D956" s="13">
        <f t="shared" si="188"/>
        <v>357</v>
      </c>
      <c r="E956" s="77">
        <f t="shared" si="190"/>
        <v>273363</v>
      </c>
      <c r="F956" s="69">
        <v>273363</v>
      </c>
      <c r="G956" s="133">
        <f t="shared" si="189"/>
        <v>0</v>
      </c>
      <c r="H956" s="8">
        <f t="shared" si="194"/>
        <v>331486</v>
      </c>
      <c r="I956" s="8">
        <v>331486</v>
      </c>
      <c r="J956" s="13">
        <f t="shared" ref="J956:J1019" si="200">I956-H956</f>
        <v>0</v>
      </c>
      <c r="K956" s="138"/>
      <c r="L956" s="8">
        <f t="shared" si="195"/>
        <v>912847</v>
      </c>
      <c r="M956" s="8">
        <v>914078</v>
      </c>
      <c r="N956" s="13">
        <f t="shared" si="183"/>
        <v>1231</v>
      </c>
      <c r="O956" s="136"/>
      <c r="P956" s="8">
        <f t="shared" si="199"/>
        <v>499073</v>
      </c>
      <c r="Q956" s="8">
        <v>499753</v>
      </c>
      <c r="R956" s="133">
        <f t="shared" si="187"/>
        <v>680</v>
      </c>
      <c r="S956" s="8">
        <f t="shared" si="196"/>
        <v>32508</v>
      </c>
      <c r="T956" s="8">
        <v>32533</v>
      </c>
      <c r="U956" s="133">
        <f t="shared" si="186"/>
        <v>25</v>
      </c>
      <c r="V956" s="8">
        <f t="shared" si="197"/>
        <v>533986</v>
      </c>
      <c r="W956" s="8">
        <v>533986</v>
      </c>
      <c r="X956" s="13">
        <f t="shared" si="191"/>
        <v>0</v>
      </c>
      <c r="Y956" s="8">
        <f t="shared" si="192"/>
        <v>35406</v>
      </c>
      <c r="Z956" s="8">
        <v>35422</v>
      </c>
      <c r="AA956" s="13">
        <f t="shared" si="184"/>
        <v>16</v>
      </c>
      <c r="AB956" s="8">
        <f t="shared" si="198"/>
        <v>242960</v>
      </c>
      <c r="AC956" s="8">
        <v>243010</v>
      </c>
      <c r="AD956" s="13">
        <f t="shared" si="185"/>
        <v>50</v>
      </c>
      <c r="AE956" s="135"/>
      <c r="AF956" s="135"/>
      <c r="AG956" s="135"/>
      <c r="AH956" s="136"/>
      <c r="AI956" s="50">
        <f t="shared" si="182"/>
        <v>721</v>
      </c>
    </row>
    <row r="957" spans="1:35">
      <c r="A957" s="12">
        <v>45332</v>
      </c>
      <c r="B957" s="8">
        <f t="shared" si="193"/>
        <v>1945018</v>
      </c>
      <c r="C957" s="8">
        <v>1945395</v>
      </c>
      <c r="D957" s="13">
        <f t="shared" si="188"/>
        <v>377</v>
      </c>
      <c r="E957" s="77">
        <f t="shared" si="190"/>
        <v>273363</v>
      </c>
      <c r="F957" s="69">
        <v>273363</v>
      </c>
      <c r="G957" s="133">
        <f t="shared" si="189"/>
        <v>0</v>
      </c>
      <c r="H957" s="8">
        <f t="shared" si="194"/>
        <v>331486</v>
      </c>
      <c r="I957" s="8">
        <v>331486</v>
      </c>
      <c r="J957" s="13">
        <f t="shared" si="200"/>
        <v>0</v>
      </c>
      <c r="K957" s="138"/>
      <c r="L957" s="8">
        <f t="shared" si="195"/>
        <v>914078</v>
      </c>
      <c r="M957" s="8">
        <v>915202</v>
      </c>
      <c r="N957" s="13">
        <f t="shared" si="183"/>
        <v>1124</v>
      </c>
      <c r="O957" s="136"/>
      <c r="P957" s="8">
        <f t="shared" si="199"/>
        <v>499753</v>
      </c>
      <c r="Q957" s="8">
        <v>500307</v>
      </c>
      <c r="R957" s="133">
        <f t="shared" si="187"/>
        <v>554</v>
      </c>
      <c r="S957" s="8">
        <f t="shared" si="196"/>
        <v>32533</v>
      </c>
      <c r="T957" s="8">
        <v>32572</v>
      </c>
      <c r="U957" s="133">
        <f t="shared" si="186"/>
        <v>39</v>
      </c>
      <c r="V957" s="8">
        <f t="shared" si="197"/>
        <v>533986</v>
      </c>
      <c r="W957" s="8">
        <v>533986</v>
      </c>
      <c r="X957" s="13">
        <f t="shared" si="191"/>
        <v>0</v>
      </c>
      <c r="Y957" s="8">
        <f t="shared" si="192"/>
        <v>35422</v>
      </c>
      <c r="Z957" s="8">
        <v>35436</v>
      </c>
      <c r="AA957" s="13">
        <f t="shared" si="184"/>
        <v>14</v>
      </c>
      <c r="AB957" s="8">
        <f t="shared" si="198"/>
        <v>243010</v>
      </c>
      <c r="AC957" s="8">
        <v>243129</v>
      </c>
      <c r="AD957" s="13">
        <f t="shared" si="185"/>
        <v>119</v>
      </c>
      <c r="AE957" s="135"/>
      <c r="AF957" s="135"/>
      <c r="AG957" s="135"/>
      <c r="AH957" s="136"/>
      <c r="AI957" s="50">
        <f t="shared" si="182"/>
        <v>607</v>
      </c>
    </row>
    <row r="958" spans="1:35">
      <c r="A958" s="12">
        <v>45333</v>
      </c>
      <c r="B958" s="8">
        <f t="shared" si="193"/>
        <v>1945395</v>
      </c>
      <c r="C958" s="8">
        <v>1946081</v>
      </c>
      <c r="D958" s="13">
        <f t="shared" si="188"/>
        <v>686</v>
      </c>
      <c r="E958" s="77">
        <f t="shared" si="190"/>
        <v>273363</v>
      </c>
      <c r="F958" s="69">
        <v>273363</v>
      </c>
      <c r="G958" s="133">
        <f t="shared" si="189"/>
        <v>0</v>
      </c>
      <c r="H958" s="8">
        <f t="shared" si="194"/>
        <v>331486</v>
      </c>
      <c r="I958" s="8">
        <v>331486</v>
      </c>
      <c r="J958" s="13">
        <f t="shared" si="200"/>
        <v>0</v>
      </c>
      <c r="K958" s="138"/>
      <c r="L958" s="8">
        <f t="shared" si="195"/>
        <v>915202</v>
      </c>
      <c r="M958" s="8">
        <v>916199</v>
      </c>
      <c r="N958" s="13">
        <f t="shared" si="183"/>
        <v>997</v>
      </c>
      <c r="O958" s="136"/>
      <c r="P958" s="8">
        <f t="shared" si="199"/>
        <v>500307</v>
      </c>
      <c r="Q958" s="8">
        <v>500780</v>
      </c>
      <c r="R958" s="133">
        <f t="shared" si="187"/>
        <v>473</v>
      </c>
      <c r="S958" s="8">
        <f t="shared" si="196"/>
        <v>32572</v>
      </c>
      <c r="T958" s="8">
        <v>32606</v>
      </c>
      <c r="U958" s="133">
        <f t="shared" si="186"/>
        <v>34</v>
      </c>
      <c r="V958" s="8">
        <f t="shared" si="197"/>
        <v>533986</v>
      </c>
      <c r="W958" s="8">
        <v>533986</v>
      </c>
      <c r="X958" s="13">
        <f t="shared" si="191"/>
        <v>0</v>
      </c>
      <c r="Y958" s="8">
        <f t="shared" si="192"/>
        <v>35436</v>
      </c>
      <c r="Z958" s="8">
        <v>35450</v>
      </c>
      <c r="AA958" s="13">
        <f t="shared" si="184"/>
        <v>14</v>
      </c>
      <c r="AB958" s="8">
        <f t="shared" si="198"/>
        <v>243129</v>
      </c>
      <c r="AC958" s="8">
        <v>243211</v>
      </c>
      <c r="AD958" s="13">
        <f t="shared" si="185"/>
        <v>82</v>
      </c>
      <c r="AE958" s="135"/>
      <c r="AF958" s="135"/>
      <c r="AG958" s="135"/>
      <c r="AH958" s="136"/>
      <c r="AI958" s="50">
        <f t="shared" si="182"/>
        <v>521</v>
      </c>
    </row>
    <row r="959" spans="1:35">
      <c r="A959" s="12">
        <v>45334</v>
      </c>
      <c r="B959" s="8">
        <f t="shared" si="193"/>
        <v>1946081</v>
      </c>
      <c r="C959" s="8">
        <v>1946228</v>
      </c>
      <c r="D959" s="13">
        <f t="shared" si="188"/>
        <v>147</v>
      </c>
      <c r="E959" s="77">
        <f t="shared" si="190"/>
        <v>273363</v>
      </c>
      <c r="F959" s="69">
        <v>273363</v>
      </c>
      <c r="G959" s="133">
        <f t="shared" si="189"/>
        <v>0</v>
      </c>
      <c r="H959" s="8">
        <f t="shared" si="194"/>
        <v>331486</v>
      </c>
      <c r="I959" s="8">
        <v>331486</v>
      </c>
      <c r="J959" s="13">
        <f t="shared" si="200"/>
        <v>0</v>
      </c>
      <c r="K959" s="138"/>
      <c r="L959" s="8">
        <f t="shared" si="195"/>
        <v>916199</v>
      </c>
      <c r="M959" s="8">
        <v>917313</v>
      </c>
      <c r="N959" s="13">
        <f t="shared" si="183"/>
        <v>1114</v>
      </c>
      <c r="O959" s="136"/>
      <c r="P959" s="8">
        <f t="shared" si="199"/>
        <v>500780</v>
      </c>
      <c r="Q959" s="8">
        <v>501378</v>
      </c>
      <c r="R959" s="133">
        <f t="shared" si="187"/>
        <v>598</v>
      </c>
      <c r="S959" s="8">
        <f t="shared" si="196"/>
        <v>32606</v>
      </c>
      <c r="T959" s="8">
        <v>32632</v>
      </c>
      <c r="U959" s="133">
        <f t="shared" si="186"/>
        <v>26</v>
      </c>
      <c r="V959" s="8">
        <f t="shared" si="197"/>
        <v>533986</v>
      </c>
      <c r="W959" s="8">
        <v>533986</v>
      </c>
      <c r="X959" s="13">
        <f t="shared" si="191"/>
        <v>0</v>
      </c>
      <c r="Y959" s="8">
        <f t="shared" si="192"/>
        <v>35450</v>
      </c>
      <c r="Z959" s="8">
        <v>35466</v>
      </c>
      <c r="AA959" s="13">
        <f t="shared" si="184"/>
        <v>16</v>
      </c>
      <c r="AB959" s="8">
        <f t="shared" si="198"/>
        <v>243211</v>
      </c>
      <c r="AC959" s="8">
        <v>243286</v>
      </c>
      <c r="AD959" s="13">
        <f t="shared" si="185"/>
        <v>75</v>
      </c>
      <c r="AE959" s="135"/>
      <c r="AF959" s="135"/>
      <c r="AG959" s="135"/>
      <c r="AH959" s="136"/>
      <c r="AI959" s="50">
        <f t="shared" si="182"/>
        <v>640</v>
      </c>
    </row>
    <row r="960" spans="1:35">
      <c r="A960" s="12">
        <v>45335</v>
      </c>
      <c r="B960" s="8">
        <f t="shared" si="193"/>
        <v>1946228</v>
      </c>
      <c r="C960" s="8">
        <v>1946336</v>
      </c>
      <c r="D960" s="13">
        <f t="shared" si="188"/>
        <v>108</v>
      </c>
      <c r="E960" s="77">
        <f t="shared" si="190"/>
        <v>273363</v>
      </c>
      <c r="F960" s="69">
        <v>273363</v>
      </c>
      <c r="G960" s="133">
        <f t="shared" si="189"/>
        <v>0</v>
      </c>
      <c r="H960" s="8">
        <f t="shared" si="194"/>
        <v>331486</v>
      </c>
      <c r="I960" s="8">
        <v>331592</v>
      </c>
      <c r="J960" s="13">
        <f t="shared" si="200"/>
        <v>106</v>
      </c>
      <c r="K960" s="138"/>
      <c r="L960" s="8">
        <f t="shared" si="195"/>
        <v>917313</v>
      </c>
      <c r="M960" s="8">
        <v>918272</v>
      </c>
      <c r="N960" s="13">
        <f t="shared" si="183"/>
        <v>959</v>
      </c>
      <c r="O960" s="136"/>
      <c r="P960" s="8">
        <f t="shared" si="199"/>
        <v>501378</v>
      </c>
      <c r="Q960" s="8">
        <v>501894</v>
      </c>
      <c r="R960" s="133">
        <f t="shared" si="187"/>
        <v>516</v>
      </c>
      <c r="S960" s="8">
        <f t="shared" si="196"/>
        <v>32632</v>
      </c>
      <c r="T960" s="8">
        <v>32693</v>
      </c>
      <c r="U960" s="133">
        <f t="shared" si="186"/>
        <v>61</v>
      </c>
      <c r="V960" s="8">
        <f t="shared" si="197"/>
        <v>533986</v>
      </c>
      <c r="W960" s="8">
        <v>533986</v>
      </c>
      <c r="X960" s="13">
        <f t="shared" si="191"/>
        <v>0</v>
      </c>
      <c r="Y960" s="8">
        <f t="shared" si="192"/>
        <v>35466</v>
      </c>
      <c r="Z960" s="8">
        <v>35486</v>
      </c>
      <c r="AA960" s="13">
        <f t="shared" si="184"/>
        <v>20</v>
      </c>
      <c r="AB960" s="8">
        <f t="shared" si="198"/>
        <v>243286</v>
      </c>
      <c r="AC960" s="8">
        <v>243356</v>
      </c>
      <c r="AD960" s="13">
        <f t="shared" si="185"/>
        <v>70</v>
      </c>
      <c r="AE960" s="135"/>
      <c r="AF960" s="135"/>
      <c r="AG960" s="135"/>
      <c r="AH960" s="136"/>
      <c r="AI960" s="50">
        <f t="shared" si="182"/>
        <v>597</v>
      </c>
    </row>
    <row r="961" spans="1:35">
      <c r="A961" s="12">
        <v>45336</v>
      </c>
      <c r="B961" s="8">
        <f t="shared" si="193"/>
        <v>1946336</v>
      </c>
      <c r="C961" s="8">
        <v>1946336</v>
      </c>
      <c r="D961" s="13">
        <f t="shared" si="188"/>
        <v>0</v>
      </c>
      <c r="E961" s="77">
        <f t="shared" si="190"/>
        <v>273363</v>
      </c>
      <c r="F961" s="69">
        <v>273363</v>
      </c>
      <c r="G961" s="133">
        <f t="shared" si="189"/>
        <v>0</v>
      </c>
      <c r="H961" s="8">
        <f t="shared" si="194"/>
        <v>331592</v>
      </c>
      <c r="I961" s="8">
        <v>332286</v>
      </c>
      <c r="J961" s="13">
        <f t="shared" si="200"/>
        <v>694</v>
      </c>
      <c r="K961" s="138"/>
      <c r="L961" s="8">
        <f t="shared" si="195"/>
        <v>918272</v>
      </c>
      <c r="M961" s="8">
        <v>918754</v>
      </c>
      <c r="N961" s="13">
        <f t="shared" si="183"/>
        <v>482</v>
      </c>
      <c r="O961" s="136"/>
      <c r="P961" s="8">
        <f t="shared" si="199"/>
        <v>501894</v>
      </c>
      <c r="Q961" s="8">
        <v>502489</v>
      </c>
      <c r="R961" s="133">
        <f t="shared" si="187"/>
        <v>595</v>
      </c>
      <c r="S961" s="8">
        <f t="shared" si="196"/>
        <v>32693</v>
      </c>
      <c r="T961" s="8">
        <v>32755</v>
      </c>
      <c r="U961" s="133">
        <f t="shared" si="186"/>
        <v>62</v>
      </c>
      <c r="V961" s="8">
        <f t="shared" si="197"/>
        <v>533986</v>
      </c>
      <c r="W961" s="8">
        <v>533986</v>
      </c>
      <c r="X961" s="13">
        <f t="shared" si="191"/>
        <v>0</v>
      </c>
      <c r="Y961" s="8">
        <f t="shared" si="192"/>
        <v>35486</v>
      </c>
      <c r="Z961" s="8">
        <v>35499</v>
      </c>
      <c r="AA961" s="13">
        <f t="shared" si="184"/>
        <v>13</v>
      </c>
      <c r="AB961" s="8">
        <f t="shared" si="198"/>
        <v>243356</v>
      </c>
      <c r="AC961" s="8">
        <v>243384</v>
      </c>
      <c r="AD961" s="13">
        <f t="shared" si="185"/>
        <v>28</v>
      </c>
      <c r="AE961" s="135"/>
      <c r="AF961" s="135"/>
      <c r="AG961" s="135"/>
      <c r="AH961" s="136"/>
      <c r="AI961" s="50">
        <f t="shared" ref="AI961:AI1024" si="201">AA961+U961+R961+O961+X961</f>
        <v>670</v>
      </c>
    </row>
    <row r="962" spans="1:35">
      <c r="A962" s="12">
        <v>45337</v>
      </c>
      <c r="B962" s="8">
        <f t="shared" si="193"/>
        <v>1946336</v>
      </c>
      <c r="C962" s="8">
        <v>1946615</v>
      </c>
      <c r="D962" s="13">
        <f t="shared" si="188"/>
        <v>279</v>
      </c>
      <c r="E962" s="77">
        <f t="shared" si="190"/>
        <v>273363</v>
      </c>
      <c r="F962" s="69">
        <v>273363</v>
      </c>
      <c r="G962" s="133">
        <f t="shared" si="189"/>
        <v>0</v>
      </c>
      <c r="H962" s="8">
        <f t="shared" si="194"/>
        <v>332286</v>
      </c>
      <c r="I962" s="8">
        <v>333082</v>
      </c>
      <c r="J962" s="13">
        <f t="shared" si="200"/>
        <v>796</v>
      </c>
      <c r="K962" s="138"/>
      <c r="L962" s="8">
        <f t="shared" si="195"/>
        <v>918754</v>
      </c>
      <c r="M962" s="8">
        <v>919248</v>
      </c>
      <c r="N962" s="13">
        <f t="shared" ref="N962:N1025" si="202">M962-L962</f>
        <v>494</v>
      </c>
      <c r="O962" s="136"/>
      <c r="P962" s="8">
        <f t="shared" si="199"/>
        <v>502489</v>
      </c>
      <c r="Q962" s="8">
        <v>503108</v>
      </c>
      <c r="R962" s="133">
        <f t="shared" si="187"/>
        <v>619</v>
      </c>
      <c r="S962" s="8">
        <f t="shared" si="196"/>
        <v>32755</v>
      </c>
      <c r="T962" s="8">
        <v>32791</v>
      </c>
      <c r="U962" s="133">
        <f t="shared" si="186"/>
        <v>36</v>
      </c>
      <c r="V962" s="8">
        <f t="shared" si="197"/>
        <v>533986</v>
      </c>
      <c r="W962" s="8">
        <v>533986</v>
      </c>
      <c r="X962" s="13">
        <f t="shared" si="191"/>
        <v>0</v>
      </c>
      <c r="Y962" s="8">
        <f t="shared" si="192"/>
        <v>35499</v>
      </c>
      <c r="Z962" s="8">
        <v>35514</v>
      </c>
      <c r="AA962" s="13">
        <f t="shared" si="184"/>
        <v>15</v>
      </c>
      <c r="AB962" s="8">
        <f t="shared" si="198"/>
        <v>243384</v>
      </c>
      <c r="AC962" s="8">
        <v>243484</v>
      </c>
      <c r="AD962" s="13">
        <f t="shared" si="185"/>
        <v>100</v>
      </c>
      <c r="AE962" s="135"/>
      <c r="AF962" s="135"/>
      <c r="AG962" s="135"/>
      <c r="AH962" s="136"/>
      <c r="AI962" s="50">
        <f t="shared" si="201"/>
        <v>670</v>
      </c>
    </row>
    <row r="963" spans="1:35">
      <c r="A963" s="12">
        <v>45338</v>
      </c>
      <c r="B963" s="8">
        <f t="shared" si="193"/>
        <v>1946615</v>
      </c>
      <c r="C963" s="8">
        <v>1947209</v>
      </c>
      <c r="D963" s="13">
        <f t="shared" si="188"/>
        <v>594</v>
      </c>
      <c r="E963" s="77">
        <f t="shared" si="190"/>
        <v>273363</v>
      </c>
      <c r="F963" s="69">
        <v>273363</v>
      </c>
      <c r="G963" s="133">
        <f t="shared" si="189"/>
        <v>0</v>
      </c>
      <c r="H963" s="8">
        <f t="shared" si="194"/>
        <v>333082</v>
      </c>
      <c r="I963" s="8">
        <v>333213</v>
      </c>
      <c r="J963" s="13">
        <f t="shared" si="200"/>
        <v>131</v>
      </c>
      <c r="K963" s="138"/>
      <c r="L963" s="8">
        <f t="shared" si="195"/>
        <v>919248</v>
      </c>
      <c r="M963" s="8">
        <v>920303</v>
      </c>
      <c r="N963" s="13">
        <f t="shared" si="202"/>
        <v>1055</v>
      </c>
      <c r="O963" s="136"/>
      <c r="P963" s="8">
        <f t="shared" si="199"/>
        <v>503108</v>
      </c>
      <c r="Q963" s="8">
        <v>503396</v>
      </c>
      <c r="R963" s="133">
        <f t="shared" si="187"/>
        <v>288</v>
      </c>
      <c r="S963" s="8">
        <f t="shared" si="196"/>
        <v>32791</v>
      </c>
      <c r="T963" s="8">
        <v>32846</v>
      </c>
      <c r="U963" s="133">
        <f t="shared" si="186"/>
        <v>55</v>
      </c>
      <c r="V963" s="8">
        <f t="shared" si="197"/>
        <v>533986</v>
      </c>
      <c r="W963" s="8">
        <v>533986</v>
      </c>
      <c r="X963" s="13">
        <f t="shared" si="191"/>
        <v>0</v>
      </c>
      <c r="Y963" s="8">
        <f t="shared" si="192"/>
        <v>35514</v>
      </c>
      <c r="Z963" s="8">
        <v>35530</v>
      </c>
      <c r="AA963" s="13">
        <f t="shared" si="184"/>
        <v>16</v>
      </c>
      <c r="AB963" s="8">
        <f t="shared" si="198"/>
        <v>243484</v>
      </c>
      <c r="AC963" s="8">
        <v>243584</v>
      </c>
      <c r="AD963" s="13">
        <f t="shared" si="185"/>
        <v>100</v>
      </c>
      <c r="AE963" s="135"/>
      <c r="AF963" s="135"/>
      <c r="AG963" s="135"/>
      <c r="AH963" s="136"/>
      <c r="AI963" s="50">
        <f t="shared" si="201"/>
        <v>359</v>
      </c>
    </row>
    <row r="964" spans="1:35">
      <c r="A964" s="12">
        <v>45339</v>
      </c>
      <c r="B964" s="8">
        <f t="shared" si="193"/>
        <v>1947209</v>
      </c>
      <c r="C964" s="8">
        <v>1947678</v>
      </c>
      <c r="D964" s="13">
        <f t="shared" si="188"/>
        <v>469</v>
      </c>
      <c r="E964" s="77">
        <f t="shared" si="190"/>
        <v>273363</v>
      </c>
      <c r="F964" s="69">
        <v>273363</v>
      </c>
      <c r="G964" s="133">
        <f t="shared" si="189"/>
        <v>0</v>
      </c>
      <c r="H964" s="8">
        <f t="shared" si="194"/>
        <v>333213</v>
      </c>
      <c r="I964" s="8">
        <v>333213</v>
      </c>
      <c r="J964" s="13">
        <f t="shared" si="200"/>
        <v>0</v>
      </c>
      <c r="K964" s="138"/>
      <c r="L964" s="8">
        <f t="shared" si="195"/>
        <v>920303</v>
      </c>
      <c r="M964" s="8">
        <v>921657</v>
      </c>
      <c r="N964" s="13">
        <f t="shared" si="202"/>
        <v>1354</v>
      </c>
      <c r="O964" s="136"/>
      <c r="P964" s="8">
        <f t="shared" si="199"/>
        <v>503396</v>
      </c>
      <c r="Q964" s="8">
        <v>503517</v>
      </c>
      <c r="R964" s="133">
        <f t="shared" si="187"/>
        <v>121</v>
      </c>
      <c r="S964" s="8">
        <f t="shared" si="196"/>
        <v>32846</v>
      </c>
      <c r="T964" s="8">
        <v>32891</v>
      </c>
      <c r="U964" s="133">
        <f t="shared" si="186"/>
        <v>45</v>
      </c>
      <c r="V964" s="8">
        <f t="shared" si="197"/>
        <v>533986</v>
      </c>
      <c r="W964" s="8">
        <v>533986</v>
      </c>
      <c r="X964" s="13">
        <f t="shared" si="191"/>
        <v>0</v>
      </c>
      <c r="Y964" s="8">
        <f t="shared" si="192"/>
        <v>35530</v>
      </c>
      <c r="Z964" s="8">
        <v>35548</v>
      </c>
      <c r="AA964" s="13">
        <f t="shared" si="184"/>
        <v>18</v>
      </c>
      <c r="AB964" s="8">
        <f t="shared" si="198"/>
        <v>243584</v>
      </c>
      <c r="AC964" s="8">
        <v>243688</v>
      </c>
      <c r="AD964" s="13">
        <f t="shared" si="185"/>
        <v>104</v>
      </c>
      <c r="AE964" s="135"/>
      <c r="AF964" s="135"/>
      <c r="AG964" s="135"/>
      <c r="AH964" s="136"/>
      <c r="AI964" s="50">
        <f t="shared" si="201"/>
        <v>184</v>
      </c>
    </row>
    <row r="965" spans="1:35">
      <c r="A965" s="12">
        <v>45340</v>
      </c>
      <c r="B965" s="8">
        <f t="shared" si="193"/>
        <v>1947678</v>
      </c>
      <c r="C965" s="8">
        <v>1948109</v>
      </c>
      <c r="D965" s="13">
        <f t="shared" si="188"/>
        <v>431</v>
      </c>
      <c r="E965" s="77">
        <f t="shared" si="190"/>
        <v>273363</v>
      </c>
      <c r="F965" s="69">
        <v>273363</v>
      </c>
      <c r="G965" s="133">
        <f t="shared" si="189"/>
        <v>0</v>
      </c>
      <c r="H965" s="8">
        <f t="shared" si="194"/>
        <v>333213</v>
      </c>
      <c r="I965" s="8">
        <v>333419</v>
      </c>
      <c r="J965" s="13">
        <f t="shared" si="200"/>
        <v>206</v>
      </c>
      <c r="K965" s="138"/>
      <c r="L965" s="8">
        <f t="shared" si="195"/>
        <v>921657</v>
      </c>
      <c r="M965" s="8">
        <v>922590</v>
      </c>
      <c r="N965" s="13">
        <f t="shared" si="202"/>
        <v>933</v>
      </c>
      <c r="O965" s="136"/>
      <c r="P965" s="8">
        <f t="shared" si="199"/>
        <v>503517</v>
      </c>
      <c r="Q965" s="8">
        <v>503529</v>
      </c>
      <c r="R965" s="133">
        <f t="shared" si="187"/>
        <v>12</v>
      </c>
      <c r="S965" s="8">
        <f t="shared" si="196"/>
        <v>32891</v>
      </c>
      <c r="T965" s="8">
        <v>32969</v>
      </c>
      <c r="U965" s="133">
        <f t="shared" si="186"/>
        <v>78</v>
      </c>
      <c r="V965" s="8">
        <f t="shared" si="197"/>
        <v>533986</v>
      </c>
      <c r="W965" s="8">
        <v>533986</v>
      </c>
      <c r="X965" s="13">
        <f t="shared" si="191"/>
        <v>0</v>
      </c>
      <c r="Y965" s="8">
        <f t="shared" si="192"/>
        <v>35548</v>
      </c>
      <c r="Z965" s="8">
        <v>35563</v>
      </c>
      <c r="AA965" s="13">
        <f t="shared" ref="AA965:AA1028" si="203">Z965-Y965</f>
        <v>15</v>
      </c>
      <c r="AB965" s="8">
        <f t="shared" si="198"/>
        <v>243688</v>
      </c>
      <c r="AC965" s="8">
        <v>243744</v>
      </c>
      <c r="AD965" s="13">
        <f t="shared" si="185"/>
        <v>56</v>
      </c>
      <c r="AE965" s="135"/>
      <c r="AF965" s="135"/>
      <c r="AG965" s="135"/>
      <c r="AH965" s="136"/>
      <c r="AI965" s="50">
        <f t="shared" si="201"/>
        <v>105</v>
      </c>
    </row>
    <row r="966" spans="1:35">
      <c r="A966" s="12">
        <v>45341</v>
      </c>
      <c r="B966" s="8">
        <f t="shared" si="193"/>
        <v>1948109</v>
      </c>
      <c r="C966" s="8">
        <v>1948685</v>
      </c>
      <c r="D966" s="13">
        <f t="shared" si="188"/>
        <v>576</v>
      </c>
      <c r="E966" s="77">
        <f t="shared" si="190"/>
        <v>273363</v>
      </c>
      <c r="F966" s="69">
        <v>273363</v>
      </c>
      <c r="G966" s="133">
        <f t="shared" si="189"/>
        <v>0</v>
      </c>
      <c r="H966" s="8">
        <f t="shared" si="194"/>
        <v>333419</v>
      </c>
      <c r="I966" s="8">
        <v>333419</v>
      </c>
      <c r="J966" s="13">
        <f t="shared" si="200"/>
        <v>0</v>
      </c>
      <c r="K966" s="138"/>
      <c r="L966" s="8">
        <f t="shared" si="195"/>
        <v>922590</v>
      </c>
      <c r="M966" s="8">
        <v>923654</v>
      </c>
      <c r="N966" s="13">
        <f t="shared" si="202"/>
        <v>1064</v>
      </c>
      <c r="O966" s="136"/>
      <c r="P966" s="8">
        <f t="shared" si="199"/>
        <v>503529</v>
      </c>
      <c r="Q966" s="8">
        <v>503924</v>
      </c>
      <c r="R966" s="133">
        <f t="shared" si="187"/>
        <v>395</v>
      </c>
      <c r="S966" s="8">
        <f t="shared" si="196"/>
        <v>32969</v>
      </c>
      <c r="T966" s="8">
        <v>32992</v>
      </c>
      <c r="U966" s="133">
        <f t="shared" si="186"/>
        <v>23</v>
      </c>
      <c r="V966" s="8">
        <f t="shared" si="197"/>
        <v>533986</v>
      </c>
      <c r="W966" s="8">
        <v>533986</v>
      </c>
      <c r="X966" s="13">
        <f t="shared" si="191"/>
        <v>0</v>
      </c>
      <c r="Y966" s="8">
        <f t="shared" si="192"/>
        <v>35563</v>
      </c>
      <c r="Z966" s="8">
        <v>35582</v>
      </c>
      <c r="AA966" s="13">
        <f t="shared" si="203"/>
        <v>19</v>
      </c>
      <c r="AB966" s="8">
        <f t="shared" si="198"/>
        <v>243744</v>
      </c>
      <c r="AC966" s="8">
        <v>243828</v>
      </c>
      <c r="AD966" s="13">
        <f t="shared" si="185"/>
        <v>84</v>
      </c>
      <c r="AE966" s="135"/>
      <c r="AF966" s="135"/>
      <c r="AG966" s="135"/>
      <c r="AH966" s="136"/>
      <c r="AI966" s="50">
        <f t="shared" si="201"/>
        <v>437</v>
      </c>
    </row>
    <row r="967" spans="1:35">
      <c r="A967" s="12">
        <v>45342</v>
      </c>
      <c r="B967" s="8">
        <f t="shared" si="193"/>
        <v>1948685</v>
      </c>
      <c r="C967" s="8">
        <v>1949383</v>
      </c>
      <c r="D967" s="13">
        <f t="shared" si="188"/>
        <v>698</v>
      </c>
      <c r="E967" s="77">
        <f t="shared" si="190"/>
        <v>273363</v>
      </c>
      <c r="F967" s="69">
        <v>273363</v>
      </c>
      <c r="G967" s="133">
        <f t="shared" si="189"/>
        <v>0</v>
      </c>
      <c r="H967" s="8">
        <f t="shared" si="194"/>
        <v>333419</v>
      </c>
      <c r="I967" s="8">
        <v>333419</v>
      </c>
      <c r="J967" s="13">
        <f t="shared" si="200"/>
        <v>0</v>
      </c>
      <c r="K967" s="138"/>
      <c r="L967" s="8">
        <f t="shared" si="195"/>
        <v>923654</v>
      </c>
      <c r="M967" s="8">
        <v>924857</v>
      </c>
      <c r="N967" s="13">
        <f t="shared" si="202"/>
        <v>1203</v>
      </c>
      <c r="O967" s="136"/>
      <c r="P967" s="8">
        <f t="shared" si="199"/>
        <v>503924</v>
      </c>
      <c r="Q967" s="8">
        <v>504462</v>
      </c>
      <c r="R967" s="133">
        <f t="shared" si="187"/>
        <v>538</v>
      </c>
      <c r="S967" s="8">
        <f t="shared" si="196"/>
        <v>32992</v>
      </c>
      <c r="T967" s="8">
        <v>33042</v>
      </c>
      <c r="U967" s="133">
        <f t="shared" si="186"/>
        <v>50</v>
      </c>
      <c r="V967" s="8">
        <f t="shared" si="197"/>
        <v>533986</v>
      </c>
      <c r="W967" s="8">
        <v>533986</v>
      </c>
      <c r="X967" s="13">
        <f t="shared" si="191"/>
        <v>0</v>
      </c>
      <c r="Y967" s="8">
        <f t="shared" si="192"/>
        <v>35582</v>
      </c>
      <c r="Z967" s="8">
        <v>35599</v>
      </c>
      <c r="AA967" s="13">
        <f t="shared" si="203"/>
        <v>17</v>
      </c>
      <c r="AB967" s="8">
        <f>AC966</f>
        <v>243828</v>
      </c>
      <c r="AC967" s="8">
        <v>243928</v>
      </c>
      <c r="AD967" s="13">
        <f t="shared" si="185"/>
        <v>100</v>
      </c>
      <c r="AE967" s="135"/>
      <c r="AF967" s="135"/>
      <c r="AG967" s="135"/>
      <c r="AH967" s="136"/>
      <c r="AI967" s="50">
        <f t="shared" si="201"/>
        <v>605</v>
      </c>
    </row>
    <row r="968" spans="1:35">
      <c r="A968" s="12">
        <v>45343</v>
      </c>
      <c r="B968" s="8">
        <f t="shared" si="193"/>
        <v>1949383</v>
      </c>
      <c r="C968" s="8">
        <v>1949765</v>
      </c>
      <c r="D968" s="13">
        <f t="shared" si="188"/>
        <v>382</v>
      </c>
      <c r="E968" s="77">
        <f t="shared" si="190"/>
        <v>273363</v>
      </c>
      <c r="F968" s="69">
        <v>273363</v>
      </c>
      <c r="G968" s="133">
        <f t="shared" si="189"/>
        <v>0</v>
      </c>
      <c r="H968" s="8">
        <f t="shared" si="194"/>
        <v>333419</v>
      </c>
      <c r="I968" s="8">
        <v>333419</v>
      </c>
      <c r="J968" s="13">
        <f t="shared" si="200"/>
        <v>0</v>
      </c>
      <c r="K968" s="138"/>
      <c r="L968" s="8">
        <f t="shared" si="195"/>
        <v>924857</v>
      </c>
      <c r="M968" s="8">
        <v>926061</v>
      </c>
      <c r="N968" s="13">
        <f t="shared" si="202"/>
        <v>1204</v>
      </c>
      <c r="O968" s="136"/>
      <c r="P968" s="8">
        <f t="shared" si="199"/>
        <v>504462</v>
      </c>
      <c r="Q968" s="8">
        <v>505031</v>
      </c>
      <c r="R968" s="133">
        <f t="shared" si="187"/>
        <v>569</v>
      </c>
      <c r="S968" s="8">
        <f t="shared" si="196"/>
        <v>33042</v>
      </c>
      <c r="T968" s="8">
        <v>33084</v>
      </c>
      <c r="U968" s="133">
        <f t="shared" si="186"/>
        <v>42</v>
      </c>
      <c r="V968" s="8">
        <f t="shared" si="197"/>
        <v>533986</v>
      </c>
      <c r="W968" s="8">
        <v>533986</v>
      </c>
      <c r="X968" s="13">
        <f t="shared" si="191"/>
        <v>0</v>
      </c>
      <c r="Y968" s="8">
        <f t="shared" si="192"/>
        <v>35599</v>
      </c>
      <c r="Z968" s="8">
        <v>35625</v>
      </c>
      <c r="AA968" s="13">
        <f t="shared" si="203"/>
        <v>26</v>
      </c>
      <c r="AB968" s="8">
        <f t="shared" si="198"/>
        <v>243928</v>
      </c>
      <c r="AC968" s="8">
        <v>244022</v>
      </c>
      <c r="AD968" s="13">
        <f t="shared" ref="AD968:AD1031" si="204">AC968-AB968</f>
        <v>94</v>
      </c>
      <c r="AE968" s="135"/>
      <c r="AF968" s="135"/>
      <c r="AG968" s="135"/>
      <c r="AH968" s="136"/>
      <c r="AI968" s="50">
        <f t="shared" si="201"/>
        <v>637</v>
      </c>
    </row>
    <row r="969" spans="1:35">
      <c r="A969" s="12">
        <v>45344</v>
      </c>
      <c r="B969" s="8">
        <f t="shared" si="193"/>
        <v>1949765</v>
      </c>
      <c r="C969" s="8">
        <v>1950262</v>
      </c>
      <c r="D969" s="13">
        <f t="shared" si="188"/>
        <v>497</v>
      </c>
      <c r="E969" s="77">
        <f t="shared" si="190"/>
        <v>273363</v>
      </c>
      <c r="F969" s="69">
        <v>273363</v>
      </c>
      <c r="G969" s="133">
        <f t="shared" si="189"/>
        <v>0</v>
      </c>
      <c r="H969" s="8">
        <f t="shared" si="194"/>
        <v>333419</v>
      </c>
      <c r="I969" s="8">
        <v>333419</v>
      </c>
      <c r="J969" s="13">
        <f t="shared" si="200"/>
        <v>0</v>
      </c>
      <c r="K969" s="138"/>
      <c r="L969" s="8">
        <f t="shared" si="195"/>
        <v>926061</v>
      </c>
      <c r="M969" s="8">
        <v>927209</v>
      </c>
      <c r="N969" s="13">
        <f t="shared" si="202"/>
        <v>1148</v>
      </c>
      <c r="O969" s="136"/>
      <c r="P969" s="8">
        <f t="shared" si="199"/>
        <v>505031</v>
      </c>
      <c r="Q969" s="8">
        <v>505543</v>
      </c>
      <c r="R969" s="133">
        <f t="shared" si="187"/>
        <v>512</v>
      </c>
      <c r="S969" s="8">
        <f t="shared" si="196"/>
        <v>33084</v>
      </c>
      <c r="T969" s="8">
        <v>33128</v>
      </c>
      <c r="U969" s="133">
        <f t="shared" si="186"/>
        <v>44</v>
      </c>
      <c r="V969" s="8">
        <f t="shared" si="197"/>
        <v>533986</v>
      </c>
      <c r="W969" s="8">
        <v>533986</v>
      </c>
      <c r="X969" s="13">
        <f t="shared" si="191"/>
        <v>0</v>
      </c>
      <c r="Y969" s="8">
        <f t="shared" si="192"/>
        <v>35625</v>
      </c>
      <c r="Z969" s="8">
        <v>35691</v>
      </c>
      <c r="AA969" s="13">
        <f t="shared" si="203"/>
        <v>66</v>
      </c>
      <c r="AB969" s="8">
        <f t="shared" si="198"/>
        <v>244022</v>
      </c>
      <c r="AC969" s="8">
        <v>244125</v>
      </c>
      <c r="AD969" s="13">
        <f t="shared" si="204"/>
        <v>103</v>
      </c>
      <c r="AE969" s="135"/>
      <c r="AF969" s="135"/>
      <c r="AG969" s="135"/>
      <c r="AH969" s="136"/>
      <c r="AI969" s="50">
        <f t="shared" si="201"/>
        <v>622</v>
      </c>
    </row>
    <row r="970" spans="1:35">
      <c r="A970" s="12">
        <v>45345</v>
      </c>
      <c r="B970" s="8">
        <f t="shared" si="193"/>
        <v>1950262</v>
      </c>
      <c r="C970" s="8">
        <v>1950764</v>
      </c>
      <c r="D970" s="13">
        <f t="shared" si="188"/>
        <v>502</v>
      </c>
      <c r="E970" s="77">
        <f t="shared" si="190"/>
        <v>273363</v>
      </c>
      <c r="F970" s="69">
        <v>273363</v>
      </c>
      <c r="G970" s="133">
        <f t="shared" si="189"/>
        <v>0</v>
      </c>
      <c r="H970" s="8">
        <f t="shared" si="194"/>
        <v>333419</v>
      </c>
      <c r="I970" s="8">
        <v>333419</v>
      </c>
      <c r="J970" s="13">
        <f t="shared" si="200"/>
        <v>0</v>
      </c>
      <c r="K970" s="138"/>
      <c r="L970" s="8">
        <f t="shared" si="195"/>
        <v>927209</v>
      </c>
      <c r="M970" s="8">
        <v>928211</v>
      </c>
      <c r="N970" s="13">
        <f t="shared" si="202"/>
        <v>1002</v>
      </c>
      <c r="O970" s="136"/>
      <c r="P970" s="8">
        <f t="shared" si="199"/>
        <v>505543</v>
      </c>
      <c r="Q970" s="8">
        <v>506055</v>
      </c>
      <c r="R970" s="133">
        <f t="shared" si="187"/>
        <v>512</v>
      </c>
      <c r="S970" s="8">
        <f t="shared" si="196"/>
        <v>33128</v>
      </c>
      <c r="T970" s="8">
        <v>33182</v>
      </c>
      <c r="U970" s="133">
        <f t="shared" si="186"/>
        <v>54</v>
      </c>
      <c r="V970" s="8">
        <f t="shared" si="197"/>
        <v>533986</v>
      </c>
      <c r="W970" s="8">
        <v>533986</v>
      </c>
      <c r="X970" s="13">
        <f t="shared" si="191"/>
        <v>0</v>
      </c>
      <c r="Y970" s="8">
        <f t="shared" si="192"/>
        <v>35691</v>
      </c>
      <c r="Z970" s="8">
        <v>35740</v>
      </c>
      <c r="AA970" s="13">
        <f t="shared" si="203"/>
        <v>49</v>
      </c>
      <c r="AB970" s="8">
        <f t="shared" si="198"/>
        <v>244125</v>
      </c>
      <c r="AC970" s="8">
        <v>244215</v>
      </c>
      <c r="AD970" s="13">
        <f t="shared" si="204"/>
        <v>90</v>
      </c>
      <c r="AE970" s="135"/>
      <c r="AF970" s="135"/>
      <c r="AG970" s="135"/>
      <c r="AH970" s="136"/>
      <c r="AI970" s="50">
        <f t="shared" si="201"/>
        <v>615</v>
      </c>
    </row>
    <row r="971" spans="1:35">
      <c r="A971" s="12">
        <v>45346</v>
      </c>
      <c r="B971" s="8">
        <f t="shared" si="193"/>
        <v>1950764</v>
      </c>
      <c r="C971" s="8">
        <v>1950764</v>
      </c>
      <c r="D971" s="13">
        <f t="shared" si="188"/>
        <v>0</v>
      </c>
      <c r="E971" s="77">
        <f t="shared" si="190"/>
        <v>273363</v>
      </c>
      <c r="F971" s="69">
        <v>273363</v>
      </c>
      <c r="G971" s="133">
        <f t="shared" si="189"/>
        <v>0</v>
      </c>
      <c r="H971" s="8">
        <f t="shared" si="194"/>
        <v>333419</v>
      </c>
      <c r="I971" s="8">
        <v>334117</v>
      </c>
      <c r="J971" s="13">
        <f t="shared" si="200"/>
        <v>698</v>
      </c>
      <c r="K971" s="138"/>
      <c r="L971" s="8">
        <f t="shared" si="195"/>
        <v>928211</v>
      </c>
      <c r="M971" s="8">
        <v>928527</v>
      </c>
      <c r="N971" s="13">
        <f t="shared" si="202"/>
        <v>316</v>
      </c>
      <c r="O971" s="136"/>
      <c r="P971" s="8">
        <f t="shared" si="199"/>
        <v>506055</v>
      </c>
      <c r="Q971" s="8">
        <v>506603</v>
      </c>
      <c r="R971" s="133">
        <f t="shared" si="187"/>
        <v>548</v>
      </c>
      <c r="S971" s="8">
        <f t="shared" si="196"/>
        <v>33182</v>
      </c>
      <c r="T971" s="8">
        <v>33238</v>
      </c>
      <c r="U971" s="133">
        <f t="shared" si="186"/>
        <v>56</v>
      </c>
      <c r="V971" s="8">
        <f t="shared" si="197"/>
        <v>533986</v>
      </c>
      <c r="W971" s="8">
        <v>533986</v>
      </c>
      <c r="X971" s="13">
        <f t="shared" si="191"/>
        <v>0</v>
      </c>
      <c r="Y971" s="8">
        <f t="shared" si="192"/>
        <v>35740</v>
      </c>
      <c r="Z971" s="8">
        <v>35768</v>
      </c>
      <c r="AA971" s="13">
        <f t="shared" si="203"/>
        <v>28</v>
      </c>
      <c r="AB971" s="8">
        <f t="shared" si="198"/>
        <v>244215</v>
      </c>
      <c r="AC971" s="8">
        <v>244262</v>
      </c>
      <c r="AD971" s="13">
        <f t="shared" si="204"/>
        <v>47</v>
      </c>
      <c r="AE971" s="135"/>
      <c r="AF971" s="135"/>
      <c r="AG971" s="135"/>
      <c r="AH971" s="136"/>
      <c r="AI971" s="50">
        <f t="shared" si="201"/>
        <v>632</v>
      </c>
    </row>
    <row r="972" spans="1:35">
      <c r="A972" s="12">
        <v>45347</v>
      </c>
      <c r="B972" s="8">
        <f t="shared" si="193"/>
        <v>1950764</v>
      </c>
      <c r="C972" s="8">
        <v>1950811</v>
      </c>
      <c r="D972" s="13">
        <f t="shared" si="188"/>
        <v>47</v>
      </c>
      <c r="E972" s="77">
        <f t="shared" si="190"/>
        <v>273363</v>
      </c>
      <c r="F972" s="69">
        <v>273363</v>
      </c>
      <c r="G972" s="133">
        <f t="shared" si="189"/>
        <v>0</v>
      </c>
      <c r="H972" s="8">
        <f t="shared" si="194"/>
        <v>334117</v>
      </c>
      <c r="I972" s="8">
        <v>334792</v>
      </c>
      <c r="J972" s="13">
        <f t="shared" si="200"/>
        <v>675</v>
      </c>
      <c r="K972" s="138"/>
      <c r="L972" s="8">
        <f t="shared" si="195"/>
        <v>928527</v>
      </c>
      <c r="M972" s="8">
        <v>929010</v>
      </c>
      <c r="N972" s="13">
        <f t="shared" si="202"/>
        <v>483</v>
      </c>
      <c r="O972" s="136"/>
      <c r="P972" s="8">
        <f t="shared" si="199"/>
        <v>506603</v>
      </c>
      <c r="Q972" s="8">
        <v>507144</v>
      </c>
      <c r="R972" s="133">
        <f t="shared" si="187"/>
        <v>541</v>
      </c>
      <c r="S972" s="8">
        <f t="shared" si="196"/>
        <v>33238</v>
      </c>
      <c r="T972" s="8">
        <v>33263</v>
      </c>
      <c r="U972" s="133">
        <f t="shared" si="186"/>
        <v>25</v>
      </c>
      <c r="V972" s="8">
        <f t="shared" si="197"/>
        <v>533986</v>
      </c>
      <c r="W972" s="8">
        <v>533986</v>
      </c>
      <c r="X972" s="13">
        <f t="shared" si="191"/>
        <v>0</v>
      </c>
      <c r="Y972" s="8">
        <f t="shared" si="192"/>
        <v>35768</v>
      </c>
      <c r="Z972" s="8">
        <v>35910</v>
      </c>
      <c r="AA972" s="13">
        <f t="shared" si="203"/>
        <v>142</v>
      </c>
      <c r="AB972" s="8">
        <f t="shared" si="198"/>
        <v>244262</v>
      </c>
      <c r="AC972" s="8">
        <v>244319</v>
      </c>
      <c r="AD972" s="13">
        <f t="shared" si="204"/>
        <v>57</v>
      </c>
      <c r="AE972" s="135"/>
      <c r="AF972" s="135"/>
      <c r="AG972" s="135"/>
      <c r="AH972" s="136"/>
      <c r="AI972" s="50">
        <f t="shared" si="201"/>
        <v>708</v>
      </c>
    </row>
    <row r="973" spans="1:35">
      <c r="A973" s="12">
        <v>45348</v>
      </c>
      <c r="B973" s="8">
        <f t="shared" si="193"/>
        <v>1950811</v>
      </c>
      <c r="C973" s="8">
        <v>1950898</v>
      </c>
      <c r="D973" s="13">
        <f t="shared" si="188"/>
        <v>87</v>
      </c>
      <c r="E973" s="77">
        <f t="shared" si="190"/>
        <v>273363</v>
      </c>
      <c r="F973" s="69">
        <v>273363</v>
      </c>
      <c r="G973" s="133">
        <f t="shared" si="189"/>
        <v>0</v>
      </c>
      <c r="H973" s="8">
        <f t="shared" si="194"/>
        <v>334792</v>
      </c>
      <c r="I973" s="8">
        <v>335475</v>
      </c>
      <c r="J973" s="13">
        <f t="shared" si="200"/>
        <v>683</v>
      </c>
      <c r="K973" s="138"/>
      <c r="L973" s="8">
        <f t="shared" si="195"/>
        <v>929010</v>
      </c>
      <c r="M973" s="8">
        <v>929445</v>
      </c>
      <c r="N973" s="13">
        <f t="shared" si="202"/>
        <v>435</v>
      </c>
      <c r="O973" s="136"/>
      <c r="P973" s="8">
        <f t="shared" si="199"/>
        <v>507144</v>
      </c>
      <c r="Q973" s="8">
        <v>507636</v>
      </c>
      <c r="R973" s="133">
        <f t="shared" si="187"/>
        <v>492</v>
      </c>
      <c r="S973" s="8">
        <f t="shared" si="196"/>
        <v>33263</v>
      </c>
      <c r="T973" s="8">
        <v>33312</v>
      </c>
      <c r="U973" s="133">
        <f t="shared" ref="U973:U1016" si="205">T973-S973</f>
        <v>49</v>
      </c>
      <c r="V973" s="8">
        <f t="shared" si="197"/>
        <v>533986</v>
      </c>
      <c r="W973" s="8">
        <v>533986</v>
      </c>
      <c r="X973" s="13">
        <f t="shared" si="191"/>
        <v>0</v>
      </c>
      <c r="Y973" s="8">
        <f t="shared" si="192"/>
        <v>35910</v>
      </c>
      <c r="Z973" s="8">
        <v>35984</v>
      </c>
      <c r="AA973" s="13">
        <f t="shared" si="203"/>
        <v>74</v>
      </c>
      <c r="AB973" s="8">
        <f t="shared" si="198"/>
        <v>244319</v>
      </c>
      <c r="AC973" s="8">
        <v>244406</v>
      </c>
      <c r="AD973" s="13">
        <f t="shared" si="204"/>
        <v>87</v>
      </c>
      <c r="AE973" s="135"/>
      <c r="AF973" s="135"/>
      <c r="AG973" s="135"/>
      <c r="AH973" s="136"/>
      <c r="AI973" s="50">
        <f t="shared" si="201"/>
        <v>615</v>
      </c>
    </row>
    <row r="974" spans="1:35">
      <c r="A974" s="12">
        <v>45349</v>
      </c>
      <c r="B974" s="8">
        <f t="shared" si="193"/>
        <v>1950898</v>
      </c>
      <c r="C974" s="8">
        <v>1951052</v>
      </c>
      <c r="D974" s="13">
        <f t="shared" si="188"/>
        <v>154</v>
      </c>
      <c r="E974" s="77">
        <f t="shared" si="190"/>
        <v>273363</v>
      </c>
      <c r="F974" s="69">
        <v>273363</v>
      </c>
      <c r="G974" s="133">
        <f t="shared" si="189"/>
        <v>0</v>
      </c>
      <c r="H974" s="8">
        <f t="shared" si="194"/>
        <v>335475</v>
      </c>
      <c r="I974" s="8">
        <v>336182</v>
      </c>
      <c r="J974" s="13">
        <f t="shared" si="200"/>
        <v>707</v>
      </c>
      <c r="K974" s="138"/>
      <c r="L974" s="8">
        <f t="shared" si="195"/>
        <v>929445</v>
      </c>
      <c r="M974" s="8">
        <v>929908</v>
      </c>
      <c r="N974" s="13">
        <f t="shared" si="202"/>
        <v>463</v>
      </c>
      <c r="O974" s="136"/>
      <c r="P974" s="8">
        <f t="shared" si="199"/>
        <v>507636</v>
      </c>
      <c r="Q974" s="8">
        <v>508165</v>
      </c>
      <c r="R974" s="133">
        <f t="shared" si="187"/>
        <v>529</v>
      </c>
      <c r="S974" s="8">
        <f t="shared" si="196"/>
        <v>33312</v>
      </c>
      <c r="T974" s="8">
        <v>33344</v>
      </c>
      <c r="U974" s="133">
        <f t="shared" si="205"/>
        <v>32</v>
      </c>
      <c r="V974" s="8">
        <f t="shared" si="197"/>
        <v>533986</v>
      </c>
      <c r="W974" s="8">
        <v>533986</v>
      </c>
      <c r="X974" s="13">
        <f t="shared" si="191"/>
        <v>0</v>
      </c>
      <c r="Y974" s="8">
        <f t="shared" si="192"/>
        <v>35984</v>
      </c>
      <c r="Z974" s="8">
        <v>36001</v>
      </c>
      <c r="AA974" s="13">
        <f t="shared" si="203"/>
        <v>17</v>
      </c>
      <c r="AB974" s="8">
        <f t="shared" si="198"/>
        <v>244406</v>
      </c>
      <c r="AC974" s="8">
        <v>244446</v>
      </c>
      <c r="AD974" s="13">
        <f t="shared" si="204"/>
        <v>40</v>
      </c>
      <c r="AE974" s="135"/>
      <c r="AF974" s="135"/>
      <c r="AG974" s="135"/>
      <c r="AH974" s="136"/>
      <c r="AI974" s="50">
        <f t="shared" si="201"/>
        <v>578</v>
      </c>
    </row>
    <row r="975" spans="1:35">
      <c r="A975" s="12">
        <v>45350</v>
      </c>
      <c r="B975" s="8">
        <f t="shared" si="193"/>
        <v>1951052</v>
      </c>
      <c r="C975" s="8">
        <v>1951122</v>
      </c>
      <c r="D975" s="13">
        <f t="shared" si="188"/>
        <v>70</v>
      </c>
      <c r="E975" s="77">
        <f t="shared" si="190"/>
        <v>273363</v>
      </c>
      <c r="F975" s="69">
        <v>273363</v>
      </c>
      <c r="G975" s="133">
        <f t="shared" si="189"/>
        <v>0</v>
      </c>
      <c r="H975" s="8">
        <f t="shared" si="194"/>
        <v>336182</v>
      </c>
      <c r="I975" s="8">
        <v>336219</v>
      </c>
      <c r="J975" s="13">
        <f t="shared" si="200"/>
        <v>37</v>
      </c>
      <c r="K975" s="138"/>
      <c r="L975" s="8">
        <f t="shared" si="195"/>
        <v>929908</v>
      </c>
      <c r="M975" s="8">
        <v>931081</v>
      </c>
      <c r="N975" s="13">
        <f t="shared" si="202"/>
        <v>1173</v>
      </c>
      <c r="O975" s="136"/>
      <c r="P975" s="8">
        <f t="shared" si="199"/>
        <v>508165</v>
      </c>
      <c r="Q975" s="8">
        <v>508165</v>
      </c>
      <c r="R975" s="133">
        <f t="shared" si="187"/>
        <v>0</v>
      </c>
      <c r="S975" s="8">
        <f t="shared" si="196"/>
        <v>33344</v>
      </c>
      <c r="T975" s="8">
        <v>33381</v>
      </c>
      <c r="U975" s="133">
        <f t="shared" si="205"/>
        <v>37</v>
      </c>
      <c r="V975" s="8">
        <f t="shared" si="197"/>
        <v>533986</v>
      </c>
      <c r="W975" s="8">
        <v>533986</v>
      </c>
      <c r="X975" s="13">
        <f t="shared" si="191"/>
        <v>0</v>
      </c>
      <c r="Y975" s="8">
        <f t="shared" si="192"/>
        <v>36001</v>
      </c>
      <c r="Z975" s="8">
        <v>36014</v>
      </c>
      <c r="AA975" s="13">
        <f t="shared" si="203"/>
        <v>13</v>
      </c>
      <c r="AB975" s="8">
        <f>AC974</f>
        <v>244446</v>
      </c>
      <c r="AC975" s="8">
        <v>244484</v>
      </c>
      <c r="AD975" s="13">
        <f t="shared" si="204"/>
        <v>38</v>
      </c>
      <c r="AE975" s="135"/>
      <c r="AF975" s="135"/>
      <c r="AG975" s="135"/>
      <c r="AH975" s="136"/>
      <c r="AI975" s="50">
        <f t="shared" si="201"/>
        <v>50</v>
      </c>
    </row>
    <row r="976" spans="1:35">
      <c r="A976" s="12">
        <v>45351</v>
      </c>
      <c r="B976" s="8">
        <f t="shared" si="193"/>
        <v>1951122</v>
      </c>
      <c r="C976" s="8">
        <v>1951122</v>
      </c>
      <c r="D976" s="13">
        <f t="shared" si="188"/>
        <v>0</v>
      </c>
      <c r="E976" s="77">
        <f t="shared" si="190"/>
        <v>273363</v>
      </c>
      <c r="F976" s="69">
        <v>273363</v>
      </c>
      <c r="G976" s="133">
        <f t="shared" si="189"/>
        <v>0</v>
      </c>
      <c r="H976" s="8">
        <f t="shared" si="194"/>
        <v>336219</v>
      </c>
      <c r="I976" s="8">
        <v>336849</v>
      </c>
      <c r="J976" s="13">
        <f t="shared" si="200"/>
        <v>630</v>
      </c>
      <c r="K976" s="138"/>
      <c r="L976" s="8">
        <f t="shared" si="195"/>
        <v>931081</v>
      </c>
      <c r="M976" s="8">
        <v>931638</v>
      </c>
      <c r="N976" s="13">
        <f t="shared" si="202"/>
        <v>557</v>
      </c>
      <c r="O976" s="136"/>
      <c r="P976" s="8">
        <f t="shared" si="199"/>
        <v>508165</v>
      </c>
      <c r="Q976" s="8">
        <v>508700</v>
      </c>
      <c r="R976" s="133">
        <f t="shared" si="187"/>
        <v>535</v>
      </c>
      <c r="S976" s="8">
        <f t="shared" si="196"/>
        <v>33381</v>
      </c>
      <c r="T976" s="8">
        <v>33425</v>
      </c>
      <c r="U976" s="133">
        <f t="shared" si="205"/>
        <v>44</v>
      </c>
      <c r="V976" s="8">
        <f t="shared" si="197"/>
        <v>533986</v>
      </c>
      <c r="W976" s="8">
        <v>533986</v>
      </c>
      <c r="X976" s="13">
        <f t="shared" si="191"/>
        <v>0</v>
      </c>
      <c r="Y976" s="8">
        <f t="shared" si="192"/>
        <v>36014</v>
      </c>
      <c r="Z976" s="8">
        <v>36029</v>
      </c>
      <c r="AA976" s="13">
        <f t="shared" si="203"/>
        <v>15</v>
      </c>
      <c r="AB976" s="8">
        <f t="shared" si="198"/>
        <v>244484</v>
      </c>
      <c r="AC976" s="8">
        <v>244519</v>
      </c>
      <c r="AD976" s="13">
        <f t="shared" si="204"/>
        <v>35</v>
      </c>
      <c r="AE976" s="135"/>
      <c r="AF976" s="135"/>
      <c r="AG976" s="135"/>
      <c r="AH976" s="136"/>
      <c r="AI976" s="50">
        <f t="shared" si="201"/>
        <v>594</v>
      </c>
    </row>
    <row r="977" spans="1:35">
      <c r="A977" s="12">
        <v>45352</v>
      </c>
      <c r="B977" s="8">
        <f t="shared" si="193"/>
        <v>1951122</v>
      </c>
      <c r="C977" s="8">
        <v>1951122</v>
      </c>
      <c r="D977" s="13">
        <f t="shared" si="188"/>
        <v>0</v>
      </c>
      <c r="E977" s="77">
        <f t="shared" si="190"/>
        <v>273363</v>
      </c>
      <c r="F977" s="69">
        <v>273363</v>
      </c>
      <c r="G977" s="133">
        <f t="shared" si="189"/>
        <v>0</v>
      </c>
      <c r="H977" s="8">
        <f t="shared" si="194"/>
        <v>336849</v>
      </c>
      <c r="I977" s="8">
        <v>337532</v>
      </c>
      <c r="J977" s="13">
        <f t="shared" si="200"/>
        <v>683</v>
      </c>
      <c r="K977" s="138"/>
      <c r="L977" s="8">
        <f t="shared" si="195"/>
        <v>931638</v>
      </c>
      <c r="M977" s="8">
        <v>932121</v>
      </c>
      <c r="N977" s="13">
        <f t="shared" si="202"/>
        <v>483</v>
      </c>
      <c r="O977" s="136"/>
      <c r="P977" s="8">
        <f t="shared" si="199"/>
        <v>508700</v>
      </c>
      <c r="Q977" s="8">
        <v>508857</v>
      </c>
      <c r="R977" s="133">
        <f t="shared" si="187"/>
        <v>157</v>
      </c>
      <c r="S977" s="8">
        <f t="shared" si="196"/>
        <v>33425</v>
      </c>
      <c r="T977" s="8">
        <v>33470</v>
      </c>
      <c r="U977" s="133">
        <f t="shared" si="205"/>
        <v>45</v>
      </c>
      <c r="V977" s="8">
        <f t="shared" si="197"/>
        <v>533986</v>
      </c>
      <c r="W977" s="8">
        <v>533986</v>
      </c>
      <c r="X977" s="13">
        <f t="shared" si="191"/>
        <v>0</v>
      </c>
      <c r="Y977" s="8">
        <f t="shared" si="192"/>
        <v>36029</v>
      </c>
      <c r="Z977" s="8">
        <v>36042</v>
      </c>
      <c r="AA977" s="13">
        <f t="shared" si="203"/>
        <v>13</v>
      </c>
      <c r="AB977" s="8">
        <f t="shared" si="198"/>
        <v>244519</v>
      </c>
      <c r="AC977" s="8">
        <v>244519</v>
      </c>
      <c r="AD977" s="13">
        <f t="shared" si="204"/>
        <v>0</v>
      </c>
      <c r="AE977" s="135"/>
      <c r="AF977" s="135"/>
      <c r="AG977" s="135"/>
      <c r="AH977" s="136"/>
      <c r="AI977" s="50">
        <f t="shared" si="201"/>
        <v>215</v>
      </c>
    </row>
    <row r="978" spans="1:35">
      <c r="A978" s="12">
        <v>45353</v>
      </c>
      <c r="B978" s="8">
        <f t="shared" si="193"/>
        <v>1951122</v>
      </c>
      <c r="C978" s="8">
        <v>1951496</v>
      </c>
      <c r="D978" s="13">
        <f t="shared" si="188"/>
        <v>374</v>
      </c>
      <c r="E978" s="77">
        <f t="shared" si="190"/>
        <v>273363</v>
      </c>
      <c r="F978" s="69">
        <v>273363</v>
      </c>
      <c r="G978" s="133">
        <f t="shared" si="189"/>
        <v>0</v>
      </c>
      <c r="H978" s="8">
        <f t="shared" si="194"/>
        <v>337532</v>
      </c>
      <c r="I978" s="8">
        <v>338256</v>
      </c>
      <c r="J978" s="13">
        <f t="shared" si="200"/>
        <v>724</v>
      </c>
      <c r="K978" s="138"/>
      <c r="L978" s="8">
        <f t="shared" si="195"/>
        <v>932121</v>
      </c>
      <c r="M978" s="8">
        <v>932608</v>
      </c>
      <c r="N978" s="13">
        <f t="shared" si="202"/>
        <v>487</v>
      </c>
      <c r="O978" s="136"/>
      <c r="P978" s="8">
        <f t="shared" si="199"/>
        <v>508857</v>
      </c>
      <c r="Q978" s="8">
        <v>509455</v>
      </c>
      <c r="R978" s="133">
        <f t="shared" si="187"/>
        <v>598</v>
      </c>
      <c r="S978" s="8">
        <f t="shared" si="196"/>
        <v>33470</v>
      </c>
      <c r="T978" s="8">
        <v>33516</v>
      </c>
      <c r="U978" s="133">
        <f t="shared" si="205"/>
        <v>46</v>
      </c>
      <c r="V978" s="8">
        <f t="shared" si="197"/>
        <v>533986</v>
      </c>
      <c r="W978" s="8">
        <v>533986</v>
      </c>
      <c r="X978" s="13">
        <f t="shared" si="191"/>
        <v>0</v>
      </c>
      <c r="Y978" s="8">
        <f t="shared" si="192"/>
        <v>36042</v>
      </c>
      <c r="Z978" s="8">
        <v>36059</v>
      </c>
      <c r="AA978" s="13">
        <f t="shared" si="203"/>
        <v>17</v>
      </c>
      <c r="AB978" s="8">
        <f t="shared" si="198"/>
        <v>244519</v>
      </c>
      <c r="AC978" s="8">
        <v>244564</v>
      </c>
      <c r="AD978" s="13">
        <f t="shared" si="204"/>
        <v>45</v>
      </c>
      <c r="AE978" s="135"/>
      <c r="AF978" s="135"/>
      <c r="AG978" s="135"/>
      <c r="AH978" s="136"/>
      <c r="AI978" s="50">
        <f t="shared" si="201"/>
        <v>661</v>
      </c>
    </row>
    <row r="979" spans="1:35">
      <c r="A979" s="12">
        <v>45354</v>
      </c>
      <c r="B979" s="8">
        <f t="shared" si="193"/>
        <v>1951496</v>
      </c>
      <c r="C979" s="8">
        <v>1951496</v>
      </c>
      <c r="D979" s="13">
        <f t="shared" si="188"/>
        <v>0</v>
      </c>
      <c r="E979" s="77">
        <f t="shared" si="190"/>
        <v>273363</v>
      </c>
      <c r="F979" s="69">
        <v>273363</v>
      </c>
      <c r="G979" s="133">
        <f>F981-E979</f>
        <v>0</v>
      </c>
      <c r="H979" s="8">
        <f t="shared" si="194"/>
        <v>338256</v>
      </c>
      <c r="I979" s="8">
        <v>338342</v>
      </c>
      <c r="J979" s="13">
        <f t="shared" si="200"/>
        <v>86</v>
      </c>
      <c r="K979" s="138"/>
      <c r="L979" s="8">
        <f t="shared" si="195"/>
        <v>932608</v>
      </c>
      <c r="M979" s="8">
        <v>933585</v>
      </c>
      <c r="N979" s="13">
        <f t="shared" si="202"/>
        <v>977</v>
      </c>
      <c r="O979" s="136"/>
      <c r="P979" s="8">
        <f t="shared" si="199"/>
        <v>509455</v>
      </c>
      <c r="Q979" s="8">
        <v>510062</v>
      </c>
      <c r="R979" s="133">
        <f t="shared" si="187"/>
        <v>607</v>
      </c>
      <c r="S979" s="8">
        <f t="shared" si="196"/>
        <v>33516</v>
      </c>
      <c r="T979" s="8">
        <v>33525</v>
      </c>
      <c r="U979" s="133">
        <f t="shared" si="205"/>
        <v>9</v>
      </c>
      <c r="V979" s="8">
        <f t="shared" si="197"/>
        <v>533986</v>
      </c>
      <c r="W979" s="8">
        <v>533986</v>
      </c>
      <c r="X979" s="13">
        <f t="shared" si="191"/>
        <v>0</v>
      </c>
      <c r="Y979" s="8">
        <f t="shared" si="192"/>
        <v>36059</v>
      </c>
      <c r="Z979" s="8">
        <v>36083</v>
      </c>
      <c r="AA979" s="13">
        <f t="shared" si="203"/>
        <v>24</v>
      </c>
      <c r="AB979" s="8">
        <f t="shared" si="198"/>
        <v>244564</v>
      </c>
      <c r="AC979" s="8">
        <v>244589</v>
      </c>
      <c r="AD979" s="13">
        <f t="shared" si="204"/>
        <v>25</v>
      </c>
      <c r="AE979" s="135"/>
      <c r="AF979" s="135"/>
      <c r="AG979" s="135"/>
      <c r="AH979" s="136"/>
      <c r="AI979" s="50">
        <f t="shared" si="201"/>
        <v>640</v>
      </c>
    </row>
    <row r="980" spans="1:35">
      <c r="A980" s="12">
        <v>45355</v>
      </c>
      <c r="B980" s="8">
        <f t="shared" si="193"/>
        <v>1951496</v>
      </c>
      <c r="C980" s="8">
        <v>1952108</v>
      </c>
      <c r="D980" s="13">
        <f t="shared" si="188"/>
        <v>612</v>
      </c>
      <c r="E980" s="77">
        <f t="shared" si="190"/>
        <v>273363</v>
      </c>
      <c r="F980" s="69">
        <v>273363</v>
      </c>
      <c r="G980" s="133">
        <f t="shared" ref="G980:G986" si="206">F982-E980</f>
        <v>0</v>
      </c>
      <c r="H980" s="8">
        <f t="shared" si="194"/>
        <v>338342</v>
      </c>
      <c r="I980" s="8">
        <v>338342</v>
      </c>
      <c r="J980" s="13">
        <f t="shared" si="200"/>
        <v>0</v>
      </c>
      <c r="K980" s="138"/>
      <c r="L980" s="8">
        <f t="shared" si="195"/>
        <v>933585</v>
      </c>
      <c r="M980" s="8">
        <v>934789</v>
      </c>
      <c r="N980" s="13">
        <f t="shared" si="202"/>
        <v>1204</v>
      </c>
      <c r="O980" s="136"/>
      <c r="P980" s="8">
        <f t="shared" si="199"/>
        <v>510062</v>
      </c>
      <c r="Q980" s="8">
        <v>510120</v>
      </c>
      <c r="R980" s="133">
        <f t="shared" si="187"/>
        <v>58</v>
      </c>
      <c r="S980" s="8">
        <f t="shared" si="196"/>
        <v>33525</v>
      </c>
      <c r="T980" s="8">
        <v>33615</v>
      </c>
      <c r="U980" s="133">
        <f t="shared" si="205"/>
        <v>90</v>
      </c>
      <c r="V980" s="8">
        <f t="shared" si="197"/>
        <v>533986</v>
      </c>
      <c r="W980" s="8">
        <v>533986</v>
      </c>
      <c r="X980" s="13">
        <f t="shared" si="191"/>
        <v>0</v>
      </c>
      <c r="Y980" s="8">
        <f t="shared" si="192"/>
        <v>36083</v>
      </c>
      <c r="Z980" s="8">
        <v>36100</v>
      </c>
      <c r="AA980" s="13">
        <f t="shared" si="203"/>
        <v>17</v>
      </c>
      <c r="AB980" s="8">
        <f t="shared" si="198"/>
        <v>244589</v>
      </c>
      <c r="AC980" s="8">
        <v>244625</v>
      </c>
      <c r="AD980" s="13">
        <f t="shared" si="204"/>
        <v>36</v>
      </c>
      <c r="AE980" s="135"/>
      <c r="AF980" s="135"/>
      <c r="AG980" s="135"/>
      <c r="AH980" s="136"/>
      <c r="AI980" s="50">
        <f t="shared" si="201"/>
        <v>165</v>
      </c>
    </row>
    <row r="981" spans="1:35">
      <c r="A981" s="12">
        <v>45356</v>
      </c>
      <c r="B981" s="8">
        <f t="shared" si="193"/>
        <v>1952108</v>
      </c>
      <c r="C981" s="8">
        <v>1952799</v>
      </c>
      <c r="D981" s="13">
        <f t="shared" si="188"/>
        <v>691</v>
      </c>
      <c r="E981" s="77">
        <f t="shared" si="190"/>
        <v>273363</v>
      </c>
      <c r="F981" s="69">
        <v>273363</v>
      </c>
      <c r="G981" s="133">
        <f t="shared" si="206"/>
        <v>0</v>
      </c>
      <c r="H981" s="8">
        <f t="shared" si="194"/>
        <v>338342</v>
      </c>
      <c r="I981" s="8">
        <v>338342</v>
      </c>
      <c r="J981" s="13">
        <f>I982-H981</f>
        <v>0</v>
      </c>
      <c r="K981" s="138"/>
      <c r="L981" s="8">
        <f t="shared" si="195"/>
        <v>934789</v>
      </c>
      <c r="M981" s="8">
        <v>935971</v>
      </c>
      <c r="N981" s="13">
        <f t="shared" si="202"/>
        <v>1182</v>
      </c>
      <c r="O981" s="136"/>
      <c r="P981" s="8">
        <f t="shared" si="199"/>
        <v>510120</v>
      </c>
      <c r="Q981" s="8">
        <v>510610</v>
      </c>
      <c r="R981" s="133">
        <f t="shared" si="187"/>
        <v>490</v>
      </c>
      <c r="S981" s="8">
        <f t="shared" si="196"/>
        <v>33615</v>
      </c>
      <c r="T981" s="8">
        <v>33653</v>
      </c>
      <c r="U981" s="133">
        <f t="shared" si="205"/>
        <v>38</v>
      </c>
      <c r="V981" s="8">
        <f t="shared" si="197"/>
        <v>533986</v>
      </c>
      <c r="W981" s="8">
        <v>533986</v>
      </c>
      <c r="X981" s="13">
        <f t="shared" si="191"/>
        <v>0</v>
      </c>
      <c r="Y981" s="8">
        <f t="shared" si="192"/>
        <v>36100</v>
      </c>
      <c r="Z981" s="8">
        <v>36123</v>
      </c>
      <c r="AA981" s="13">
        <f t="shared" si="203"/>
        <v>23</v>
      </c>
      <c r="AB981" s="8">
        <f t="shared" si="198"/>
        <v>244625</v>
      </c>
      <c r="AC981" s="8">
        <v>244640</v>
      </c>
      <c r="AD981" s="13">
        <f t="shared" si="204"/>
        <v>15</v>
      </c>
      <c r="AE981" s="135"/>
      <c r="AF981" s="135"/>
      <c r="AG981" s="135"/>
      <c r="AH981" s="136"/>
      <c r="AI981" s="50">
        <f t="shared" si="201"/>
        <v>551</v>
      </c>
    </row>
    <row r="982" spans="1:35">
      <c r="A982" s="12">
        <v>45357</v>
      </c>
      <c r="B982" s="8">
        <f t="shared" si="193"/>
        <v>1952799</v>
      </c>
      <c r="C982" s="8">
        <v>1953182</v>
      </c>
      <c r="D982" s="13">
        <f t="shared" si="188"/>
        <v>383</v>
      </c>
      <c r="E982" s="77">
        <f t="shared" si="190"/>
        <v>273363</v>
      </c>
      <c r="F982" s="69">
        <v>273363</v>
      </c>
      <c r="G982" s="133">
        <f t="shared" si="206"/>
        <v>0</v>
      </c>
      <c r="H982" s="8">
        <f>I982</f>
        <v>338342</v>
      </c>
      <c r="I982" s="8">
        <v>338342</v>
      </c>
      <c r="J982" s="13">
        <v>0</v>
      </c>
      <c r="K982" s="138"/>
      <c r="L982" s="8">
        <f t="shared" si="195"/>
        <v>935971</v>
      </c>
      <c r="M982" s="8">
        <v>937157</v>
      </c>
      <c r="N982" s="13">
        <f t="shared" si="202"/>
        <v>1186</v>
      </c>
      <c r="O982" s="136"/>
      <c r="P982" s="8">
        <f t="shared" si="199"/>
        <v>510610</v>
      </c>
      <c r="Q982" s="8">
        <v>510834</v>
      </c>
      <c r="R982" s="133">
        <f t="shared" si="187"/>
        <v>224</v>
      </c>
      <c r="S982" s="8">
        <f t="shared" si="196"/>
        <v>33653</v>
      </c>
      <c r="T982" s="8">
        <v>33707</v>
      </c>
      <c r="U982" s="133">
        <f t="shared" si="205"/>
        <v>54</v>
      </c>
      <c r="V982" s="8">
        <f t="shared" si="197"/>
        <v>533986</v>
      </c>
      <c r="W982" s="8">
        <v>533986</v>
      </c>
      <c r="X982" s="13">
        <f t="shared" si="191"/>
        <v>0</v>
      </c>
      <c r="Y982" s="8">
        <f t="shared" si="192"/>
        <v>36123</v>
      </c>
      <c r="Z982" s="8">
        <v>36140</v>
      </c>
      <c r="AA982" s="13">
        <f t="shared" si="203"/>
        <v>17</v>
      </c>
      <c r="AB982" s="8">
        <f t="shared" si="198"/>
        <v>244640</v>
      </c>
      <c r="AC982" s="8">
        <v>244725</v>
      </c>
      <c r="AD982" s="13">
        <f t="shared" si="204"/>
        <v>85</v>
      </c>
      <c r="AE982" s="135"/>
      <c r="AF982" s="135"/>
      <c r="AG982" s="135"/>
      <c r="AH982" s="136"/>
      <c r="AI982" s="50">
        <f t="shared" si="201"/>
        <v>295</v>
      </c>
    </row>
    <row r="983" spans="1:35">
      <c r="A983" s="12">
        <v>45358</v>
      </c>
      <c r="B983" s="8">
        <f t="shared" si="193"/>
        <v>1953182</v>
      </c>
      <c r="C983" s="8">
        <v>1953654</v>
      </c>
      <c r="D983" s="13">
        <f t="shared" si="188"/>
        <v>472</v>
      </c>
      <c r="E983" s="77">
        <f t="shared" si="190"/>
        <v>273363</v>
      </c>
      <c r="F983" s="69">
        <v>273363</v>
      </c>
      <c r="G983" s="133">
        <f t="shared" si="206"/>
        <v>0</v>
      </c>
      <c r="H983" s="8">
        <v>338342</v>
      </c>
      <c r="I983" s="8">
        <v>338342</v>
      </c>
      <c r="J983" s="13">
        <v>0</v>
      </c>
      <c r="K983" s="138"/>
      <c r="L983" s="8">
        <f t="shared" si="195"/>
        <v>937157</v>
      </c>
      <c r="M983" s="8">
        <v>938286</v>
      </c>
      <c r="N983" s="13">
        <f t="shared" si="202"/>
        <v>1129</v>
      </c>
      <c r="O983" s="136"/>
      <c r="P983" s="8">
        <f t="shared" si="199"/>
        <v>510834</v>
      </c>
      <c r="Q983" s="8">
        <v>510952</v>
      </c>
      <c r="R983" s="133">
        <f t="shared" ref="R983:R1046" si="207">Q983-P983</f>
        <v>118</v>
      </c>
      <c r="S983" s="8">
        <f t="shared" si="196"/>
        <v>33707</v>
      </c>
      <c r="T983" s="8">
        <v>33758</v>
      </c>
      <c r="U983" s="133">
        <f t="shared" si="205"/>
        <v>51</v>
      </c>
      <c r="V983" s="8">
        <f t="shared" si="197"/>
        <v>533986</v>
      </c>
      <c r="W983" s="8">
        <v>533986</v>
      </c>
      <c r="X983" s="13">
        <f t="shared" si="191"/>
        <v>0</v>
      </c>
      <c r="Y983" s="8">
        <f t="shared" si="192"/>
        <v>36140</v>
      </c>
      <c r="Z983" s="8">
        <v>36156</v>
      </c>
      <c r="AA983" s="13">
        <f t="shared" si="203"/>
        <v>16</v>
      </c>
      <c r="AB983" s="8">
        <f t="shared" si="198"/>
        <v>244725</v>
      </c>
      <c r="AC983" s="8">
        <v>244795</v>
      </c>
      <c r="AD983" s="13">
        <f t="shared" si="204"/>
        <v>70</v>
      </c>
      <c r="AE983" s="135"/>
      <c r="AF983" s="135"/>
      <c r="AG983" s="135"/>
      <c r="AH983" s="136"/>
      <c r="AI983" s="50">
        <f t="shared" si="201"/>
        <v>185</v>
      </c>
    </row>
    <row r="984" spans="1:35">
      <c r="A984" s="12">
        <v>45359</v>
      </c>
      <c r="B984" s="8">
        <f>C983</f>
        <v>1953654</v>
      </c>
      <c r="C984" s="8">
        <v>1954355</v>
      </c>
      <c r="D984" s="13">
        <f t="shared" si="188"/>
        <v>701</v>
      </c>
      <c r="E984" s="77">
        <f t="shared" si="190"/>
        <v>273363</v>
      </c>
      <c r="F984" s="69">
        <v>273363</v>
      </c>
      <c r="G984" s="133">
        <f t="shared" si="206"/>
        <v>0</v>
      </c>
      <c r="H984" s="8">
        <f t="shared" si="194"/>
        <v>338342</v>
      </c>
      <c r="I984" s="8">
        <v>338342</v>
      </c>
      <c r="J984" s="13">
        <f t="shared" si="200"/>
        <v>0</v>
      </c>
      <c r="K984" s="138"/>
      <c r="L984" s="8">
        <f t="shared" si="195"/>
        <v>938286</v>
      </c>
      <c r="M984" s="8">
        <v>939471</v>
      </c>
      <c r="N984" s="13">
        <f t="shared" si="202"/>
        <v>1185</v>
      </c>
      <c r="O984" s="136"/>
      <c r="P984" s="8">
        <f t="shared" si="199"/>
        <v>510952</v>
      </c>
      <c r="Q984" s="8">
        <v>510982</v>
      </c>
      <c r="R984" s="133">
        <f t="shared" si="207"/>
        <v>30</v>
      </c>
      <c r="S984" s="8">
        <f t="shared" si="196"/>
        <v>33758</v>
      </c>
      <c r="T984" s="8">
        <v>33801</v>
      </c>
      <c r="U984" s="133">
        <f t="shared" si="205"/>
        <v>43</v>
      </c>
      <c r="V984" s="8">
        <f t="shared" si="197"/>
        <v>533986</v>
      </c>
      <c r="W984" s="8">
        <v>533986</v>
      </c>
      <c r="X984" s="13">
        <f t="shared" si="191"/>
        <v>0</v>
      </c>
      <c r="Y984" s="8">
        <f t="shared" si="192"/>
        <v>36156</v>
      </c>
      <c r="Z984" s="8">
        <v>36170</v>
      </c>
      <c r="AA984" s="13">
        <f t="shared" si="203"/>
        <v>14</v>
      </c>
      <c r="AB984" s="8">
        <f>AC983</f>
        <v>244795</v>
      </c>
      <c r="AC984" s="8">
        <v>244872</v>
      </c>
      <c r="AD984" s="13">
        <f t="shared" si="204"/>
        <v>77</v>
      </c>
      <c r="AE984" s="135"/>
      <c r="AF984" s="135"/>
      <c r="AG984" s="135"/>
      <c r="AH984" s="136"/>
      <c r="AI984" s="50">
        <f t="shared" si="201"/>
        <v>87</v>
      </c>
    </row>
    <row r="985" spans="1:35">
      <c r="A985" s="12">
        <v>45360</v>
      </c>
      <c r="B985" s="8">
        <f t="shared" ref="B985:B1014" si="208">C984</f>
        <v>1954355</v>
      </c>
      <c r="C985" s="8">
        <v>1954870</v>
      </c>
      <c r="D985" s="13">
        <f t="shared" si="188"/>
        <v>515</v>
      </c>
      <c r="E985" s="77">
        <f t="shared" si="190"/>
        <v>273363</v>
      </c>
      <c r="F985" s="69">
        <v>273363</v>
      </c>
      <c r="G985" s="133">
        <f t="shared" si="206"/>
        <v>0</v>
      </c>
      <c r="H985" s="8">
        <f t="shared" si="194"/>
        <v>338342</v>
      </c>
      <c r="I985" s="8">
        <v>338342</v>
      </c>
      <c r="J985" s="13">
        <f>I986-H985</f>
        <v>0</v>
      </c>
      <c r="K985" s="138"/>
      <c r="L985" s="8">
        <f t="shared" si="195"/>
        <v>939471</v>
      </c>
      <c r="M985" s="8">
        <v>940744</v>
      </c>
      <c r="N985" s="13">
        <f t="shared" si="202"/>
        <v>1273</v>
      </c>
      <c r="O985" s="136"/>
      <c r="P985" s="8">
        <f t="shared" si="199"/>
        <v>510982</v>
      </c>
      <c r="Q985" s="8">
        <v>511537</v>
      </c>
      <c r="R985" s="133">
        <f t="shared" si="207"/>
        <v>555</v>
      </c>
      <c r="S985" s="8">
        <f t="shared" si="196"/>
        <v>33801</v>
      </c>
      <c r="T985" s="8">
        <v>33858</v>
      </c>
      <c r="U985" s="133">
        <f t="shared" si="205"/>
        <v>57</v>
      </c>
      <c r="V985" s="8">
        <f t="shared" si="197"/>
        <v>533986</v>
      </c>
      <c r="W985" s="8">
        <v>533986</v>
      </c>
      <c r="X985" s="13">
        <f t="shared" si="191"/>
        <v>0</v>
      </c>
      <c r="Y985" s="8">
        <f t="shared" si="192"/>
        <v>36170</v>
      </c>
      <c r="Z985" s="8">
        <v>36188</v>
      </c>
      <c r="AA985" s="13">
        <f t="shared" si="203"/>
        <v>18</v>
      </c>
      <c r="AB985" s="8">
        <f t="shared" ref="AB985:AB1048" si="209">AC984</f>
        <v>244872</v>
      </c>
      <c r="AC985" s="8">
        <v>244941</v>
      </c>
      <c r="AD985" s="13">
        <f t="shared" si="204"/>
        <v>69</v>
      </c>
      <c r="AE985" s="135"/>
      <c r="AF985" s="135"/>
      <c r="AG985" s="135"/>
      <c r="AH985" s="136"/>
      <c r="AI985" s="50">
        <f t="shared" si="201"/>
        <v>630</v>
      </c>
    </row>
    <row r="986" spans="1:35">
      <c r="A986" s="12">
        <v>45361</v>
      </c>
      <c r="B986" s="8">
        <f t="shared" si="208"/>
        <v>1954870</v>
      </c>
      <c r="C986" s="8">
        <v>1955412</v>
      </c>
      <c r="D986" s="13">
        <f t="shared" si="188"/>
        <v>542</v>
      </c>
      <c r="E986" s="77">
        <f t="shared" si="190"/>
        <v>273363</v>
      </c>
      <c r="F986" s="69">
        <v>273363</v>
      </c>
      <c r="G986" s="133">
        <f t="shared" si="206"/>
        <v>0</v>
      </c>
      <c r="H986" s="8">
        <f>I986</f>
        <v>338342</v>
      </c>
      <c r="I986" s="8">
        <v>338342</v>
      </c>
      <c r="J986" s="13">
        <f>I987-H986</f>
        <v>0</v>
      </c>
      <c r="K986" s="138"/>
      <c r="L986" s="8">
        <f t="shared" si="195"/>
        <v>940744</v>
      </c>
      <c r="M986" s="8">
        <v>941709</v>
      </c>
      <c r="N986" s="13">
        <f t="shared" si="202"/>
        <v>965</v>
      </c>
      <c r="O986" s="136"/>
      <c r="P986" s="8">
        <f t="shared" si="199"/>
        <v>511537</v>
      </c>
      <c r="Q986" s="8">
        <v>511994</v>
      </c>
      <c r="R986" s="133">
        <f t="shared" si="207"/>
        <v>457</v>
      </c>
      <c r="S986" s="8">
        <f t="shared" si="196"/>
        <v>33858</v>
      </c>
      <c r="T986" s="8">
        <v>33891</v>
      </c>
      <c r="U986" s="133">
        <f t="shared" si="205"/>
        <v>33</v>
      </c>
      <c r="V986" s="8">
        <f t="shared" si="197"/>
        <v>533986</v>
      </c>
      <c r="W986" s="8">
        <v>533986</v>
      </c>
      <c r="X986" s="13">
        <f t="shared" si="191"/>
        <v>0</v>
      </c>
      <c r="Y986" s="8">
        <f t="shared" si="192"/>
        <v>36188</v>
      </c>
      <c r="Z986" s="8">
        <v>36204</v>
      </c>
      <c r="AA986" s="13">
        <f t="shared" si="203"/>
        <v>16</v>
      </c>
      <c r="AB986" s="8">
        <f t="shared" si="209"/>
        <v>244941</v>
      </c>
      <c r="AC986" s="8">
        <v>245000</v>
      </c>
      <c r="AD986" s="13">
        <f t="shared" si="204"/>
        <v>59</v>
      </c>
      <c r="AE986" s="135"/>
      <c r="AF986" s="135"/>
      <c r="AG986" s="135"/>
      <c r="AH986" s="136"/>
      <c r="AI986" s="50">
        <f t="shared" si="201"/>
        <v>506</v>
      </c>
    </row>
    <row r="987" spans="1:35">
      <c r="A987" s="12">
        <v>45362</v>
      </c>
      <c r="B987" s="8">
        <f t="shared" si="208"/>
        <v>1955412</v>
      </c>
      <c r="C987" s="8">
        <v>1955973</v>
      </c>
      <c r="D987" s="13">
        <f t="shared" ref="D987:D1014" si="210">C987-B987</f>
        <v>561</v>
      </c>
      <c r="E987" s="77">
        <f t="shared" si="190"/>
        <v>273363</v>
      </c>
      <c r="F987" s="69">
        <v>273363</v>
      </c>
      <c r="G987" s="133">
        <f t="shared" si="189"/>
        <v>0</v>
      </c>
      <c r="H987" s="8">
        <f>I987</f>
        <v>338342</v>
      </c>
      <c r="I987" s="8">
        <v>338342</v>
      </c>
      <c r="J987" s="13">
        <v>0</v>
      </c>
      <c r="K987" s="138"/>
      <c r="L987" s="8">
        <f t="shared" si="195"/>
        <v>941709</v>
      </c>
      <c r="M987" s="8">
        <v>943013</v>
      </c>
      <c r="N987" s="13">
        <f t="shared" si="202"/>
        <v>1304</v>
      </c>
      <c r="O987" s="136"/>
      <c r="P987" s="8">
        <f t="shared" si="199"/>
        <v>511994</v>
      </c>
      <c r="Q987" s="8">
        <v>512490</v>
      </c>
      <c r="R987" s="133">
        <f t="shared" si="207"/>
        <v>496</v>
      </c>
      <c r="S987" s="8">
        <f t="shared" si="196"/>
        <v>33891</v>
      </c>
      <c r="T987" s="8">
        <v>33931</v>
      </c>
      <c r="U987" s="133">
        <f t="shared" si="205"/>
        <v>40</v>
      </c>
      <c r="V987" s="8">
        <f t="shared" si="197"/>
        <v>533986</v>
      </c>
      <c r="W987" s="8">
        <v>533986</v>
      </c>
      <c r="X987" s="13">
        <f t="shared" si="191"/>
        <v>0</v>
      </c>
      <c r="Y987" s="8">
        <f t="shared" si="192"/>
        <v>36204</v>
      </c>
      <c r="Z987" s="8">
        <v>36221</v>
      </c>
      <c r="AA987" s="13">
        <f t="shared" si="203"/>
        <v>17</v>
      </c>
      <c r="AB987" s="8">
        <f t="shared" si="209"/>
        <v>245000</v>
      </c>
      <c r="AC987" s="8">
        <v>245093</v>
      </c>
      <c r="AD987" s="13">
        <f t="shared" si="204"/>
        <v>93</v>
      </c>
      <c r="AE987" s="135"/>
      <c r="AF987" s="135"/>
      <c r="AG987" s="135"/>
      <c r="AH987" s="136"/>
      <c r="AI987" s="50">
        <f t="shared" si="201"/>
        <v>553</v>
      </c>
    </row>
    <row r="988" spans="1:35">
      <c r="A988" s="12">
        <v>45363</v>
      </c>
      <c r="B988" s="8">
        <f t="shared" si="208"/>
        <v>1955973</v>
      </c>
      <c r="C988" s="8">
        <v>1956496</v>
      </c>
      <c r="D988" s="13">
        <f t="shared" si="210"/>
        <v>523</v>
      </c>
      <c r="E988" s="77">
        <f t="shared" si="190"/>
        <v>273363</v>
      </c>
      <c r="F988" s="69">
        <v>273363</v>
      </c>
      <c r="G988" s="133">
        <f t="shared" si="189"/>
        <v>0</v>
      </c>
      <c r="H988" s="8">
        <v>338342</v>
      </c>
      <c r="I988" s="8">
        <v>338342</v>
      </c>
      <c r="J988" s="13">
        <f t="shared" si="200"/>
        <v>0</v>
      </c>
      <c r="K988" s="138"/>
      <c r="L988" s="8">
        <f t="shared" si="195"/>
        <v>943013</v>
      </c>
      <c r="M988" s="8">
        <v>944182</v>
      </c>
      <c r="N988" s="13">
        <f t="shared" si="202"/>
        <v>1169</v>
      </c>
      <c r="O988" s="136"/>
      <c r="P988" s="8">
        <f t="shared" si="199"/>
        <v>512490</v>
      </c>
      <c r="Q988" s="8">
        <v>513012</v>
      </c>
      <c r="R988" s="133">
        <f t="shared" si="207"/>
        <v>522</v>
      </c>
      <c r="S988" s="8">
        <f t="shared" si="196"/>
        <v>33931</v>
      </c>
      <c r="T988" s="8">
        <v>33989</v>
      </c>
      <c r="U988" s="133">
        <f t="shared" si="205"/>
        <v>58</v>
      </c>
      <c r="V988" s="8">
        <f t="shared" si="197"/>
        <v>533986</v>
      </c>
      <c r="W988" s="8">
        <v>533986</v>
      </c>
      <c r="X988" s="13">
        <f t="shared" si="191"/>
        <v>0</v>
      </c>
      <c r="Y988" s="8">
        <f t="shared" si="192"/>
        <v>36221</v>
      </c>
      <c r="Z988" s="8">
        <v>36242</v>
      </c>
      <c r="AA988" s="13">
        <f t="shared" si="203"/>
        <v>21</v>
      </c>
      <c r="AB988" s="8">
        <f t="shared" si="209"/>
        <v>245093</v>
      </c>
      <c r="AC988" s="8">
        <v>245173</v>
      </c>
      <c r="AD988" s="13">
        <f t="shared" si="204"/>
        <v>80</v>
      </c>
      <c r="AE988" s="135"/>
      <c r="AF988" s="135"/>
      <c r="AG988" s="135"/>
      <c r="AH988" s="136"/>
      <c r="AI988" s="50">
        <f t="shared" si="201"/>
        <v>601</v>
      </c>
    </row>
    <row r="989" spans="1:35">
      <c r="A989" s="12">
        <v>45364</v>
      </c>
      <c r="B989" s="8">
        <f t="shared" si="208"/>
        <v>1956496</v>
      </c>
      <c r="C989" s="8">
        <v>1957080</v>
      </c>
      <c r="D989" s="13">
        <f t="shared" si="210"/>
        <v>584</v>
      </c>
      <c r="E989" s="77">
        <f t="shared" si="190"/>
        <v>273363</v>
      </c>
      <c r="F989" s="69">
        <v>273363</v>
      </c>
      <c r="G989" s="133">
        <f t="shared" si="189"/>
        <v>0</v>
      </c>
      <c r="H989" s="8">
        <f t="shared" si="194"/>
        <v>338342</v>
      </c>
      <c r="I989" s="8">
        <v>338342</v>
      </c>
      <c r="J989" s="13">
        <f t="shared" si="200"/>
        <v>0</v>
      </c>
      <c r="K989" s="138"/>
      <c r="L989" s="8">
        <f t="shared" si="195"/>
        <v>944182</v>
      </c>
      <c r="M989" s="8">
        <v>945458</v>
      </c>
      <c r="N989" s="13">
        <f t="shared" si="202"/>
        <v>1276</v>
      </c>
      <c r="O989" s="136"/>
      <c r="P989" s="8">
        <f t="shared" si="199"/>
        <v>513012</v>
      </c>
      <c r="Q989" s="8">
        <v>513573</v>
      </c>
      <c r="R989" s="133">
        <f t="shared" si="207"/>
        <v>561</v>
      </c>
      <c r="S989" s="8">
        <f t="shared" si="196"/>
        <v>33989</v>
      </c>
      <c r="T989" s="8">
        <v>34034</v>
      </c>
      <c r="U989" s="133">
        <f t="shared" si="205"/>
        <v>45</v>
      </c>
      <c r="V989" s="8">
        <f t="shared" si="197"/>
        <v>533986</v>
      </c>
      <c r="W989" s="8">
        <v>533986</v>
      </c>
      <c r="X989" s="13">
        <f t="shared" si="191"/>
        <v>0</v>
      </c>
      <c r="Y989" s="8">
        <f t="shared" si="192"/>
        <v>36242</v>
      </c>
      <c r="Z989" s="8">
        <v>36261</v>
      </c>
      <c r="AA989" s="13">
        <f t="shared" si="203"/>
        <v>19</v>
      </c>
      <c r="AB989" s="8">
        <f t="shared" si="209"/>
        <v>245173</v>
      </c>
      <c r="AC989" s="8">
        <v>245269</v>
      </c>
      <c r="AD989" s="13">
        <f t="shared" si="204"/>
        <v>96</v>
      </c>
      <c r="AE989" s="135"/>
      <c r="AF989" s="135"/>
      <c r="AG989" s="135"/>
      <c r="AH989" s="136"/>
      <c r="AI989" s="50">
        <f t="shared" si="201"/>
        <v>625</v>
      </c>
    </row>
    <row r="990" spans="1:35">
      <c r="A990" s="12">
        <v>45365</v>
      </c>
      <c r="B990" s="8">
        <f t="shared" si="208"/>
        <v>1957080</v>
      </c>
      <c r="C990" s="8">
        <v>1957802</v>
      </c>
      <c r="D990" s="13">
        <f t="shared" si="210"/>
        <v>722</v>
      </c>
      <c r="E990" s="77">
        <f t="shared" si="190"/>
        <v>273363</v>
      </c>
      <c r="F990" s="69">
        <v>273363</v>
      </c>
      <c r="G990" s="133">
        <f t="shared" si="189"/>
        <v>0</v>
      </c>
      <c r="H990" s="8">
        <f t="shared" si="194"/>
        <v>338342</v>
      </c>
      <c r="I990" s="8">
        <v>338342</v>
      </c>
      <c r="J990" s="13">
        <f t="shared" si="200"/>
        <v>0</v>
      </c>
      <c r="K990" s="138"/>
      <c r="L990" s="8">
        <f t="shared" si="195"/>
        <v>945458</v>
      </c>
      <c r="M990" s="8">
        <v>946654</v>
      </c>
      <c r="N990" s="13">
        <f t="shared" si="202"/>
        <v>1196</v>
      </c>
      <c r="O990" s="136"/>
      <c r="P990" s="8">
        <f t="shared" si="199"/>
        <v>513573</v>
      </c>
      <c r="Q990" s="8">
        <v>514094</v>
      </c>
      <c r="R990" s="133">
        <f t="shared" si="207"/>
        <v>521</v>
      </c>
      <c r="S990" s="8">
        <f t="shared" si="196"/>
        <v>34034</v>
      </c>
      <c r="T990" s="8">
        <v>34088</v>
      </c>
      <c r="U990" s="133">
        <f t="shared" si="205"/>
        <v>54</v>
      </c>
      <c r="V990" s="8">
        <f t="shared" si="197"/>
        <v>533986</v>
      </c>
      <c r="W990" s="8">
        <v>533986</v>
      </c>
      <c r="X990" s="13">
        <f t="shared" si="191"/>
        <v>0</v>
      </c>
      <c r="Y990" s="8">
        <f t="shared" si="192"/>
        <v>36261</v>
      </c>
      <c r="Z990" s="8">
        <v>36277</v>
      </c>
      <c r="AA990" s="13">
        <f t="shared" si="203"/>
        <v>16</v>
      </c>
      <c r="AB990" s="8">
        <f t="shared" si="209"/>
        <v>245269</v>
      </c>
      <c r="AC990" s="8">
        <v>245359</v>
      </c>
      <c r="AD990" s="13">
        <f t="shared" si="204"/>
        <v>90</v>
      </c>
      <c r="AE990" s="135"/>
      <c r="AF990" s="135"/>
      <c r="AG990" s="135"/>
      <c r="AH990" s="136"/>
      <c r="AI990" s="50">
        <f t="shared" si="201"/>
        <v>591</v>
      </c>
    </row>
    <row r="991" spans="1:35">
      <c r="A991" s="12">
        <v>45366</v>
      </c>
      <c r="B991" s="8">
        <f t="shared" si="208"/>
        <v>1957802</v>
      </c>
      <c r="C991" s="8">
        <v>1958370</v>
      </c>
      <c r="D991" s="13">
        <f t="shared" si="210"/>
        <v>568</v>
      </c>
      <c r="E991" s="77">
        <f t="shared" si="190"/>
        <v>273363</v>
      </c>
      <c r="F991" s="69">
        <v>273363</v>
      </c>
      <c r="G991" s="133">
        <f t="shared" si="189"/>
        <v>0</v>
      </c>
      <c r="H991" s="8">
        <f t="shared" si="194"/>
        <v>338342</v>
      </c>
      <c r="I991" s="8">
        <v>338342</v>
      </c>
      <c r="J991" s="13">
        <f t="shared" si="200"/>
        <v>0</v>
      </c>
      <c r="K991" s="138"/>
      <c r="L991" s="8">
        <f t="shared" si="195"/>
        <v>946654</v>
      </c>
      <c r="M991" s="8">
        <v>948007</v>
      </c>
      <c r="N991" s="13">
        <f t="shared" si="202"/>
        <v>1353</v>
      </c>
      <c r="O991" s="136"/>
      <c r="P991" s="8">
        <f t="shared" si="199"/>
        <v>514094</v>
      </c>
      <c r="Q991" s="8">
        <v>514775</v>
      </c>
      <c r="R991" s="133">
        <f t="shared" si="207"/>
        <v>681</v>
      </c>
      <c r="S991" s="8">
        <f t="shared" si="196"/>
        <v>34088</v>
      </c>
      <c r="T991" s="8">
        <v>34156</v>
      </c>
      <c r="U991" s="133">
        <f t="shared" si="205"/>
        <v>68</v>
      </c>
      <c r="V991" s="8">
        <f t="shared" si="197"/>
        <v>533986</v>
      </c>
      <c r="W991" s="8">
        <v>533986</v>
      </c>
      <c r="X991" s="13">
        <f t="shared" si="191"/>
        <v>0</v>
      </c>
      <c r="Y991" s="8">
        <f t="shared" si="192"/>
        <v>36277</v>
      </c>
      <c r="Z991" s="8">
        <v>36291</v>
      </c>
      <c r="AA991" s="13">
        <f t="shared" si="203"/>
        <v>14</v>
      </c>
      <c r="AB991" s="8">
        <f t="shared" si="209"/>
        <v>245359</v>
      </c>
      <c r="AC991" s="8">
        <v>245462</v>
      </c>
      <c r="AD991" s="13">
        <f t="shared" si="204"/>
        <v>103</v>
      </c>
      <c r="AE991" s="135"/>
      <c r="AF991" s="135"/>
      <c r="AG991" s="135"/>
      <c r="AH991" s="136"/>
      <c r="AI991" s="50">
        <f t="shared" si="201"/>
        <v>763</v>
      </c>
    </row>
    <row r="992" spans="1:35">
      <c r="A992" s="12">
        <v>45367</v>
      </c>
      <c r="B992" s="8">
        <f t="shared" si="208"/>
        <v>1958370</v>
      </c>
      <c r="C992" s="8">
        <v>1958825</v>
      </c>
      <c r="D992" s="13">
        <f t="shared" si="210"/>
        <v>455</v>
      </c>
      <c r="E992" s="77">
        <f t="shared" si="190"/>
        <v>273363</v>
      </c>
      <c r="F992" s="69">
        <v>273363</v>
      </c>
      <c r="G992" s="133">
        <f t="shared" si="189"/>
        <v>0</v>
      </c>
      <c r="H992" s="8">
        <f t="shared" si="194"/>
        <v>338342</v>
      </c>
      <c r="I992" s="8">
        <v>338342</v>
      </c>
      <c r="J992" s="13">
        <f t="shared" si="200"/>
        <v>0</v>
      </c>
      <c r="K992" s="138"/>
      <c r="L992" s="8">
        <f t="shared" si="195"/>
        <v>948007</v>
      </c>
      <c r="M992" s="8">
        <v>949448</v>
      </c>
      <c r="N992" s="13">
        <f t="shared" si="202"/>
        <v>1441</v>
      </c>
      <c r="O992" s="136"/>
      <c r="P992" s="8">
        <f t="shared" si="199"/>
        <v>514775</v>
      </c>
      <c r="Q992" s="8">
        <v>515312</v>
      </c>
      <c r="R992" s="133">
        <f t="shared" si="207"/>
        <v>537</v>
      </c>
      <c r="S992" s="8">
        <f t="shared" si="196"/>
        <v>34156</v>
      </c>
      <c r="T992" s="8">
        <v>34200</v>
      </c>
      <c r="U992" s="133">
        <f t="shared" si="205"/>
        <v>44</v>
      </c>
      <c r="V992" s="8">
        <f t="shared" si="197"/>
        <v>533986</v>
      </c>
      <c r="W992" s="8">
        <v>533986</v>
      </c>
      <c r="X992" s="13">
        <f t="shared" si="191"/>
        <v>0</v>
      </c>
      <c r="Y992" s="8">
        <f t="shared" si="192"/>
        <v>36291</v>
      </c>
      <c r="Z992" s="8">
        <v>36309</v>
      </c>
      <c r="AA992" s="13">
        <f t="shared" si="203"/>
        <v>18</v>
      </c>
      <c r="AB992" s="8">
        <f t="shared" si="209"/>
        <v>245462</v>
      </c>
      <c r="AC992" s="8">
        <v>245551</v>
      </c>
      <c r="AD992" s="13">
        <f t="shared" si="204"/>
        <v>89</v>
      </c>
      <c r="AE992" s="135"/>
      <c r="AF992" s="135"/>
      <c r="AG992" s="135"/>
      <c r="AH992" s="136"/>
      <c r="AI992" s="50">
        <f t="shared" si="201"/>
        <v>599</v>
      </c>
    </row>
    <row r="993" spans="1:35">
      <c r="A993" s="12">
        <v>45368</v>
      </c>
      <c r="B993" s="8">
        <f t="shared" si="208"/>
        <v>1958825</v>
      </c>
      <c r="C993" s="8">
        <v>1959432</v>
      </c>
      <c r="D993" s="13">
        <f t="shared" si="210"/>
        <v>607</v>
      </c>
      <c r="E993" s="77">
        <f t="shared" si="190"/>
        <v>273363</v>
      </c>
      <c r="F993" s="69">
        <v>273363</v>
      </c>
      <c r="G993" s="133">
        <f t="shared" ref="G993:G1056" si="211">F994-E993</f>
        <v>0</v>
      </c>
      <c r="H993" s="8">
        <f t="shared" si="194"/>
        <v>338342</v>
      </c>
      <c r="I993" s="8">
        <v>338342</v>
      </c>
      <c r="J993" s="13">
        <f t="shared" si="200"/>
        <v>0</v>
      </c>
      <c r="K993" s="138"/>
      <c r="L993" s="8">
        <f t="shared" si="195"/>
        <v>949448</v>
      </c>
      <c r="M993" s="8">
        <v>950545</v>
      </c>
      <c r="N993" s="13">
        <f t="shared" si="202"/>
        <v>1097</v>
      </c>
      <c r="O993" s="136"/>
      <c r="P993" s="8">
        <f t="shared" si="199"/>
        <v>515312</v>
      </c>
      <c r="Q993" s="8">
        <v>515953</v>
      </c>
      <c r="R993" s="133">
        <f t="shared" si="207"/>
        <v>641</v>
      </c>
      <c r="S993" s="8">
        <f t="shared" si="196"/>
        <v>34200</v>
      </c>
      <c r="T993" s="8">
        <v>34253</v>
      </c>
      <c r="U993" s="133">
        <f t="shared" si="205"/>
        <v>53</v>
      </c>
      <c r="V993" s="8">
        <f t="shared" si="197"/>
        <v>533986</v>
      </c>
      <c r="W993" s="8">
        <v>533986</v>
      </c>
      <c r="X993" s="13">
        <f t="shared" si="191"/>
        <v>0</v>
      </c>
      <c r="Y993" s="8">
        <f t="shared" si="192"/>
        <v>36309</v>
      </c>
      <c r="Z993" s="8">
        <v>36335</v>
      </c>
      <c r="AA993" s="13">
        <f t="shared" si="203"/>
        <v>26</v>
      </c>
      <c r="AB993" s="8">
        <f t="shared" si="209"/>
        <v>245551</v>
      </c>
      <c r="AC993" s="8">
        <v>245606</v>
      </c>
      <c r="AD993" s="13">
        <f t="shared" si="204"/>
        <v>55</v>
      </c>
      <c r="AE993" s="135"/>
      <c r="AF993" s="135"/>
      <c r="AG993" s="135"/>
      <c r="AH993" s="136"/>
      <c r="AI993" s="50">
        <f t="shared" si="201"/>
        <v>720</v>
      </c>
    </row>
    <row r="994" spans="1:35">
      <c r="A994" s="12">
        <v>45369</v>
      </c>
      <c r="B994" s="8">
        <f t="shared" si="208"/>
        <v>1959432</v>
      </c>
      <c r="C994" s="8">
        <v>1960048</v>
      </c>
      <c r="D994" s="13">
        <f t="shared" si="210"/>
        <v>616</v>
      </c>
      <c r="E994" s="77">
        <f t="shared" si="190"/>
        <v>273363</v>
      </c>
      <c r="F994" s="69">
        <v>273363</v>
      </c>
      <c r="G994" s="133">
        <f t="shared" si="211"/>
        <v>0</v>
      </c>
      <c r="H994" s="8">
        <f t="shared" si="194"/>
        <v>338342</v>
      </c>
      <c r="I994" s="8">
        <v>338342</v>
      </c>
      <c r="J994" s="13">
        <f t="shared" si="200"/>
        <v>0</v>
      </c>
      <c r="K994" s="138"/>
      <c r="L994" s="8">
        <f t="shared" si="195"/>
        <v>950545</v>
      </c>
      <c r="M994" s="8">
        <v>951723</v>
      </c>
      <c r="N994" s="13">
        <f t="shared" si="202"/>
        <v>1178</v>
      </c>
      <c r="O994" s="136"/>
      <c r="P994" s="8">
        <f t="shared" si="199"/>
        <v>515953</v>
      </c>
      <c r="Q994" s="8">
        <v>516460</v>
      </c>
      <c r="R994" s="133">
        <f t="shared" si="207"/>
        <v>507</v>
      </c>
      <c r="S994" s="8">
        <f t="shared" si="196"/>
        <v>34253</v>
      </c>
      <c r="T994" s="8">
        <v>34301</v>
      </c>
      <c r="U994" s="133">
        <f t="shared" si="205"/>
        <v>48</v>
      </c>
      <c r="V994" s="8">
        <f t="shared" si="197"/>
        <v>533986</v>
      </c>
      <c r="W994" s="8">
        <v>533986</v>
      </c>
      <c r="X994" s="13">
        <f t="shared" si="191"/>
        <v>0</v>
      </c>
      <c r="Y994" s="8">
        <f t="shared" si="192"/>
        <v>36335</v>
      </c>
      <c r="Z994" s="8">
        <v>36354</v>
      </c>
      <c r="AA994" s="13">
        <f t="shared" si="203"/>
        <v>19</v>
      </c>
      <c r="AB994" s="8">
        <f t="shared" si="209"/>
        <v>245606</v>
      </c>
      <c r="AC994" s="8">
        <v>245697</v>
      </c>
      <c r="AD994" s="13">
        <f t="shared" si="204"/>
        <v>91</v>
      </c>
      <c r="AE994" s="135"/>
      <c r="AF994" s="135"/>
      <c r="AG994" s="135"/>
      <c r="AH994" s="136"/>
      <c r="AI994" s="50">
        <f t="shared" si="201"/>
        <v>574</v>
      </c>
    </row>
    <row r="995" spans="1:35">
      <c r="A995" s="12">
        <v>45370</v>
      </c>
      <c r="B995" s="8">
        <f t="shared" si="208"/>
        <v>1960048</v>
      </c>
      <c r="C995" s="8">
        <v>1960494</v>
      </c>
      <c r="D995" s="13">
        <f t="shared" si="210"/>
        <v>446</v>
      </c>
      <c r="E995" s="77">
        <f t="shared" si="190"/>
        <v>273363</v>
      </c>
      <c r="F995" s="69">
        <v>273363</v>
      </c>
      <c r="G995" s="133">
        <f t="shared" si="211"/>
        <v>0</v>
      </c>
      <c r="H995" s="8">
        <f t="shared" si="194"/>
        <v>338342</v>
      </c>
      <c r="I995" s="8">
        <v>338342</v>
      </c>
      <c r="J995" s="13">
        <f t="shared" si="200"/>
        <v>0</v>
      </c>
      <c r="K995" s="138"/>
      <c r="L995" s="8">
        <f t="shared" si="195"/>
        <v>951723</v>
      </c>
      <c r="M995" s="8">
        <v>952943</v>
      </c>
      <c r="N995" s="13">
        <f t="shared" si="202"/>
        <v>1220</v>
      </c>
      <c r="O995" s="136"/>
      <c r="P995" s="8">
        <f t="shared" si="199"/>
        <v>516460</v>
      </c>
      <c r="Q995" s="8">
        <v>516998</v>
      </c>
      <c r="R995" s="133">
        <f t="shared" si="207"/>
        <v>538</v>
      </c>
      <c r="S995" s="8">
        <f t="shared" si="196"/>
        <v>34301</v>
      </c>
      <c r="T995" s="8">
        <v>34351</v>
      </c>
      <c r="U995" s="133">
        <f t="shared" si="205"/>
        <v>50</v>
      </c>
      <c r="V995" s="8">
        <f t="shared" si="197"/>
        <v>533986</v>
      </c>
      <c r="W995" s="8">
        <v>533986</v>
      </c>
      <c r="X995" s="13">
        <f t="shared" si="191"/>
        <v>0</v>
      </c>
      <c r="Y995" s="8">
        <f t="shared" si="192"/>
        <v>36354</v>
      </c>
      <c r="Z995" s="8">
        <v>36370</v>
      </c>
      <c r="AA995" s="13">
        <f t="shared" si="203"/>
        <v>16</v>
      </c>
      <c r="AB995" s="8">
        <f t="shared" si="209"/>
        <v>245697</v>
      </c>
      <c r="AC995" s="8">
        <v>245794</v>
      </c>
      <c r="AD995" s="13">
        <f t="shared" si="204"/>
        <v>97</v>
      </c>
      <c r="AE995" s="135"/>
      <c r="AF995" s="135"/>
      <c r="AG995" s="135"/>
      <c r="AH995" s="136"/>
      <c r="AI995" s="50">
        <f t="shared" si="201"/>
        <v>604</v>
      </c>
    </row>
    <row r="996" spans="1:35">
      <c r="A996" s="12">
        <v>45371</v>
      </c>
      <c r="B996" s="8">
        <f t="shared" si="208"/>
        <v>1960494</v>
      </c>
      <c r="C996" s="8">
        <v>1960658</v>
      </c>
      <c r="D996" s="13">
        <f t="shared" si="210"/>
        <v>164</v>
      </c>
      <c r="E996" s="77">
        <f t="shared" si="190"/>
        <v>273363</v>
      </c>
      <c r="F996" s="69">
        <v>273363</v>
      </c>
      <c r="G996" s="133">
        <f t="shared" si="211"/>
        <v>0</v>
      </c>
      <c r="H996" s="8">
        <f t="shared" si="194"/>
        <v>338342</v>
      </c>
      <c r="I996" s="8">
        <v>338342</v>
      </c>
      <c r="J996" s="13">
        <v>0</v>
      </c>
      <c r="K996" s="138"/>
      <c r="L996" s="8">
        <f t="shared" si="195"/>
        <v>952943</v>
      </c>
      <c r="M996" s="8">
        <v>954007</v>
      </c>
      <c r="N996" s="13">
        <f t="shared" si="202"/>
        <v>1064</v>
      </c>
      <c r="O996" s="136"/>
      <c r="P996" s="8">
        <f t="shared" si="199"/>
        <v>516998</v>
      </c>
      <c r="Q996" s="8">
        <v>517390</v>
      </c>
      <c r="R996" s="133">
        <f t="shared" si="207"/>
        <v>392</v>
      </c>
      <c r="S996" s="8">
        <f t="shared" si="196"/>
        <v>34351</v>
      </c>
      <c r="T996" s="8">
        <v>34404</v>
      </c>
      <c r="U996" s="133">
        <f t="shared" si="205"/>
        <v>53</v>
      </c>
      <c r="V996" s="8">
        <f t="shared" si="197"/>
        <v>533986</v>
      </c>
      <c r="W996" s="8">
        <v>533986</v>
      </c>
      <c r="X996" s="13">
        <f t="shared" si="191"/>
        <v>0</v>
      </c>
      <c r="Y996" s="8">
        <f t="shared" si="192"/>
        <v>36370</v>
      </c>
      <c r="Z996" s="8">
        <v>36389</v>
      </c>
      <c r="AA996" s="13">
        <f t="shared" si="203"/>
        <v>19</v>
      </c>
      <c r="AB996" s="8">
        <f t="shared" si="209"/>
        <v>245794</v>
      </c>
      <c r="AC996" s="8">
        <v>245868</v>
      </c>
      <c r="AD996" s="13">
        <f t="shared" si="204"/>
        <v>74</v>
      </c>
      <c r="AE996" s="135"/>
      <c r="AF996" s="135"/>
      <c r="AG996" s="135"/>
      <c r="AH996" s="136"/>
      <c r="AI996" s="50">
        <f t="shared" si="201"/>
        <v>464</v>
      </c>
    </row>
    <row r="997" spans="1:35">
      <c r="A997" s="12">
        <v>45372</v>
      </c>
      <c r="B997" s="8">
        <f t="shared" si="208"/>
        <v>1960658</v>
      </c>
      <c r="C997" s="8">
        <v>1960891</v>
      </c>
      <c r="D997" s="13">
        <f t="shared" si="210"/>
        <v>233</v>
      </c>
      <c r="E997" s="77">
        <f t="shared" si="190"/>
        <v>273363</v>
      </c>
      <c r="F997" s="69">
        <v>273363</v>
      </c>
      <c r="G997" s="133">
        <f t="shared" si="211"/>
        <v>0</v>
      </c>
      <c r="H997" s="8">
        <v>338342</v>
      </c>
      <c r="I997" s="8">
        <v>339014</v>
      </c>
      <c r="J997" s="13">
        <v>672</v>
      </c>
      <c r="K997" s="138"/>
      <c r="L997" s="8">
        <f t="shared" si="195"/>
        <v>954007</v>
      </c>
      <c r="M997" s="8">
        <v>954649</v>
      </c>
      <c r="N997" s="13">
        <f t="shared" si="202"/>
        <v>642</v>
      </c>
      <c r="O997" s="136"/>
      <c r="P997" s="8">
        <f t="shared" si="199"/>
        <v>517390</v>
      </c>
      <c r="Q997" s="8">
        <v>518013</v>
      </c>
      <c r="R997" s="133">
        <f t="shared" si="207"/>
        <v>623</v>
      </c>
      <c r="S997" s="8">
        <f t="shared" si="196"/>
        <v>34404</v>
      </c>
      <c r="T997" s="8">
        <v>34468</v>
      </c>
      <c r="U997" s="133">
        <f t="shared" si="205"/>
        <v>64</v>
      </c>
      <c r="V997" s="8">
        <f t="shared" si="197"/>
        <v>533986</v>
      </c>
      <c r="W997" s="8">
        <v>533986</v>
      </c>
      <c r="X997" s="13">
        <f t="shared" si="191"/>
        <v>0</v>
      </c>
      <c r="Y997" s="8">
        <f t="shared" si="192"/>
        <v>36389</v>
      </c>
      <c r="Z997" s="8">
        <v>36406</v>
      </c>
      <c r="AA997" s="13">
        <f t="shared" si="203"/>
        <v>17</v>
      </c>
      <c r="AB997" s="8">
        <f t="shared" si="209"/>
        <v>245868</v>
      </c>
      <c r="AC997" s="8">
        <v>245945</v>
      </c>
      <c r="AD997" s="13">
        <f t="shared" si="204"/>
        <v>77</v>
      </c>
      <c r="AE997" s="135"/>
      <c r="AF997" s="135"/>
      <c r="AG997" s="135"/>
      <c r="AH997" s="136"/>
      <c r="AI997" s="50">
        <f t="shared" si="201"/>
        <v>704</v>
      </c>
    </row>
    <row r="998" spans="1:35">
      <c r="A998" s="12">
        <v>45373</v>
      </c>
      <c r="B998" s="8">
        <f t="shared" si="208"/>
        <v>1960891</v>
      </c>
      <c r="C998" s="8">
        <v>1961133</v>
      </c>
      <c r="D998" s="13">
        <f t="shared" si="210"/>
        <v>242</v>
      </c>
      <c r="E998" s="77">
        <f t="shared" si="190"/>
        <v>273363</v>
      </c>
      <c r="F998" s="69">
        <v>273363</v>
      </c>
      <c r="G998" s="133">
        <f t="shared" si="211"/>
        <v>0</v>
      </c>
      <c r="H998" s="8">
        <v>339014</v>
      </c>
      <c r="I998" s="8">
        <v>339014</v>
      </c>
      <c r="J998" s="13">
        <v>0</v>
      </c>
      <c r="K998" s="138"/>
      <c r="L998" s="8">
        <f t="shared" si="195"/>
        <v>954649</v>
      </c>
      <c r="M998" s="8">
        <v>955942</v>
      </c>
      <c r="N998" s="13">
        <f t="shared" si="202"/>
        <v>1293</v>
      </c>
      <c r="O998" s="136"/>
      <c r="P998" s="8">
        <f t="shared" si="199"/>
        <v>518013</v>
      </c>
      <c r="Q998" s="8">
        <v>518018</v>
      </c>
      <c r="R998" s="133">
        <f t="shared" si="207"/>
        <v>5</v>
      </c>
      <c r="S998" s="8">
        <f t="shared" si="196"/>
        <v>34468</v>
      </c>
      <c r="T998" s="8">
        <v>34494</v>
      </c>
      <c r="U998" s="133">
        <f t="shared" si="205"/>
        <v>26</v>
      </c>
      <c r="V998" s="8">
        <f t="shared" si="197"/>
        <v>533986</v>
      </c>
      <c r="W998" s="8">
        <v>533986</v>
      </c>
      <c r="X998" s="13">
        <f t="shared" si="191"/>
        <v>0</v>
      </c>
      <c r="Y998" s="8">
        <f t="shared" si="192"/>
        <v>36406</v>
      </c>
      <c r="Z998" s="8">
        <v>36422</v>
      </c>
      <c r="AA998" s="13">
        <f t="shared" si="203"/>
        <v>16</v>
      </c>
      <c r="AB998" s="8">
        <f t="shared" si="209"/>
        <v>245945</v>
      </c>
      <c r="AC998" s="8">
        <v>246041</v>
      </c>
      <c r="AD998" s="13">
        <f t="shared" si="204"/>
        <v>96</v>
      </c>
      <c r="AE998" s="135"/>
      <c r="AF998" s="135"/>
      <c r="AG998" s="135"/>
      <c r="AH998" s="136"/>
      <c r="AI998" s="50">
        <f t="shared" si="201"/>
        <v>47</v>
      </c>
    </row>
    <row r="999" spans="1:35">
      <c r="A999" s="12">
        <v>45374</v>
      </c>
      <c r="B999" s="8">
        <f t="shared" si="208"/>
        <v>1961133</v>
      </c>
      <c r="C999" s="8">
        <v>1961286</v>
      </c>
      <c r="D999" s="13">
        <f t="shared" si="210"/>
        <v>153</v>
      </c>
      <c r="E999" s="77">
        <f t="shared" si="190"/>
        <v>273363</v>
      </c>
      <c r="F999" s="69">
        <v>273363</v>
      </c>
      <c r="G999" s="133">
        <f t="shared" si="211"/>
        <v>0</v>
      </c>
      <c r="H999" s="8">
        <f t="shared" si="194"/>
        <v>339014</v>
      </c>
      <c r="I999" s="8">
        <v>339717</v>
      </c>
      <c r="J999" s="13">
        <f t="shared" si="200"/>
        <v>703</v>
      </c>
      <c r="K999" s="138"/>
      <c r="L999" s="8">
        <f t="shared" si="195"/>
        <v>955942</v>
      </c>
      <c r="M999" s="8">
        <v>956432</v>
      </c>
      <c r="N999" s="13">
        <f t="shared" si="202"/>
        <v>490</v>
      </c>
      <c r="O999" s="136"/>
      <c r="P999" s="8">
        <f t="shared" si="199"/>
        <v>518018</v>
      </c>
      <c r="Q999" s="8">
        <v>518118</v>
      </c>
      <c r="R999" s="133">
        <f t="shared" si="207"/>
        <v>100</v>
      </c>
      <c r="S999" s="8">
        <f t="shared" si="196"/>
        <v>34494</v>
      </c>
      <c r="T999" s="8">
        <v>34562</v>
      </c>
      <c r="U999" s="133">
        <f t="shared" si="205"/>
        <v>68</v>
      </c>
      <c r="V999" s="8">
        <f t="shared" si="197"/>
        <v>533986</v>
      </c>
      <c r="W999" s="8">
        <v>533986</v>
      </c>
      <c r="X999" s="13">
        <f t="shared" si="191"/>
        <v>0</v>
      </c>
      <c r="Y999" s="8">
        <f t="shared" si="192"/>
        <v>36422</v>
      </c>
      <c r="Z999" s="8">
        <v>36441</v>
      </c>
      <c r="AA999" s="13">
        <f t="shared" si="203"/>
        <v>19</v>
      </c>
      <c r="AB999" s="8">
        <f t="shared" si="209"/>
        <v>246041</v>
      </c>
      <c r="AC999" s="8">
        <v>246126</v>
      </c>
      <c r="AD999" s="13">
        <f t="shared" si="204"/>
        <v>85</v>
      </c>
      <c r="AE999" s="135"/>
      <c r="AF999" s="135"/>
      <c r="AG999" s="135"/>
      <c r="AH999" s="136"/>
      <c r="AI999" s="50">
        <f t="shared" si="201"/>
        <v>187</v>
      </c>
    </row>
    <row r="1000" spans="1:35">
      <c r="A1000" s="12">
        <v>45375</v>
      </c>
      <c r="B1000" s="8">
        <f t="shared" si="208"/>
        <v>1961286</v>
      </c>
      <c r="C1000" s="8">
        <v>1961543</v>
      </c>
      <c r="D1000" s="13">
        <f t="shared" si="210"/>
        <v>257</v>
      </c>
      <c r="E1000" s="77">
        <f t="shared" si="190"/>
        <v>273363</v>
      </c>
      <c r="F1000" s="69">
        <v>273363</v>
      </c>
      <c r="G1000" s="133">
        <f>F1002-E1000</f>
        <v>0</v>
      </c>
      <c r="H1000" s="8">
        <f t="shared" si="194"/>
        <v>339717</v>
      </c>
      <c r="I1000" s="8">
        <v>340481</v>
      </c>
      <c r="J1000" s="13">
        <f t="shared" si="200"/>
        <v>764</v>
      </c>
      <c r="K1000" s="138"/>
      <c r="L1000" s="8">
        <f t="shared" si="195"/>
        <v>956432</v>
      </c>
      <c r="M1000" s="8">
        <v>957011</v>
      </c>
      <c r="N1000" s="13">
        <f t="shared" si="202"/>
        <v>579</v>
      </c>
      <c r="O1000" s="136"/>
      <c r="P1000" s="8">
        <f t="shared" si="199"/>
        <v>518118</v>
      </c>
      <c r="Q1000" s="8">
        <v>518150</v>
      </c>
      <c r="R1000" s="133">
        <f t="shared" si="207"/>
        <v>32</v>
      </c>
      <c r="S1000" s="8">
        <f t="shared" si="196"/>
        <v>34562</v>
      </c>
      <c r="T1000" s="8">
        <v>34604</v>
      </c>
      <c r="U1000" s="133">
        <f t="shared" si="205"/>
        <v>42</v>
      </c>
      <c r="V1000" s="8">
        <f t="shared" si="197"/>
        <v>533986</v>
      </c>
      <c r="W1000" s="8">
        <v>533986</v>
      </c>
      <c r="X1000" s="13">
        <f t="shared" si="191"/>
        <v>0</v>
      </c>
      <c r="Y1000" s="8">
        <f t="shared" si="192"/>
        <v>36441</v>
      </c>
      <c r="Z1000" s="8">
        <v>36456</v>
      </c>
      <c r="AA1000" s="13">
        <f t="shared" si="203"/>
        <v>15</v>
      </c>
      <c r="AB1000" s="8">
        <f t="shared" si="209"/>
        <v>246126</v>
      </c>
      <c r="AC1000" s="8">
        <v>246208</v>
      </c>
      <c r="AD1000" s="13">
        <f t="shared" si="204"/>
        <v>82</v>
      </c>
      <c r="AE1000" s="135"/>
      <c r="AF1000" s="135"/>
      <c r="AG1000" s="135"/>
      <c r="AH1000" s="136"/>
      <c r="AI1000" s="50">
        <f t="shared" si="201"/>
        <v>89</v>
      </c>
    </row>
    <row r="1001" spans="1:35">
      <c r="A1001" s="12">
        <v>45376</v>
      </c>
      <c r="B1001" s="8">
        <f t="shared" si="208"/>
        <v>1961543</v>
      </c>
      <c r="C1001" s="8">
        <v>1962230</v>
      </c>
      <c r="D1001" s="13">
        <f t="shared" si="210"/>
        <v>687</v>
      </c>
      <c r="E1001" s="77">
        <f t="shared" si="190"/>
        <v>273363</v>
      </c>
      <c r="F1001" s="69">
        <v>273363</v>
      </c>
      <c r="G1001" s="133">
        <v>0</v>
      </c>
      <c r="H1001" s="8">
        <f t="shared" si="194"/>
        <v>340481</v>
      </c>
      <c r="I1001" s="8">
        <v>340481</v>
      </c>
      <c r="J1001" s="13">
        <f>I1002-H1001</f>
        <v>0</v>
      </c>
      <c r="K1001" s="138"/>
      <c r="L1001" s="8">
        <f t="shared" si="195"/>
        <v>957011</v>
      </c>
      <c r="M1001" s="8">
        <v>958080</v>
      </c>
      <c r="N1001" s="13">
        <f t="shared" si="202"/>
        <v>1069</v>
      </c>
      <c r="O1001" s="136"/>
      <c r="P1001" s="8">
        <f t="shared" si="199"/>
        <v>518150</v>
      </c>
      <c r="Q1001" s="8">
        <v>518172</v>
      </c>
      <c r="R1001" s="133">
        <f t="shared" si="207"/>
        <v>22</v>
      </c>
      <c r="S1001" s="8">
        <f t="shared" si="196"/>
        <v>34604</v>
      </c>
      <c r="T1001" s="8">
        <v>34667</v>
      </c>
      <c r="U1001" s="133">
        <f t="shared" si="205"/>
        <v>63</v>
      </c>
      <c r="V1001" s="8">
        <f t="shared" si="197"/>
        <v>533986</v>
      </c>
      <c r="W1001" s="8">
        <v>533986</v>
      </c>
      <c r="X1001" s="13">
        <f t="shared" si="191"/>
        <v>0</v>
      </c>
      <c r="Y1001" s="8">
        <f t="shared" si="192"/>
        <v>36456</v>
      </c>
      <c r="Z1001" s="8">
        <v>36475</v>
      </c>
      <c r="AA1001" s="13">
        <f t="shared" si="203"/>
        <v>19</v>
      </c>
      <c r="AB1001" s="8">
        <f t="shared" si="209"/>
        <v>246208</v>
      </c>
      <c r="AC1001" s="8">
        <v>246287</v>
      </c>
      <c r="AD1001" s="13">
        <f t="shared" si="204"/>
        <v>79</v>
      </c>
      <c r="AE1001" s="135"/>
      <c r="AF1001" s="135"/>
      <c r="AG1001" s="135"/>
      <c r="AH1001" s="136"/>
      <c r="AI1001" s="50">
        <f t="shared" si="201"/>
        <v>104</v>
      </c>
    </row>
    <row r="1002" spans="1:35">
      <c r="A1002" s="12">
        <v>45377</v>
      </c>
      <c r="B1002" s="8">
        <f t="shared" si="208"/>
        <v>1962230</v>
      </c>
      <c r="C1002" s="8">
        <v>1962855</v>
      </c>
      <c r="D1002" s="13">
        <f>C1002-B1002</f>
        <v>625</v>
      </c>
      <c r="E1002" s="77">
        <f>F1002</f>
        <v>273363</v>
      </c>
      <c r="F1002" s="69">
        <v>273363</v>
      </c>
      <c r="G1002" s="133">
        <f t="shared" si="211"/>
        <v>0</v>
      </c>
      <c r="H1002" s="8">
        <f>I1002</f>
        <v>340481</v>
      </c>
      <c r="I1002" s="8">
        <v>340481</v>
      </c>
      <c r="J1002" s="13">
        <v>0</v>
      </c>
      <c r="K1002" s="138"/>
      <c r="L1002" s="8">
        <f t="shared" si="195"/>
        <v>958080</v>
      </c>
      <c r="M1002" s="8">
        <v>959374</v>
      </c>
      <c r="N1002" s="13">
        <f t="shared" si="202"/>
        <v>1294</v>
      </c>
      <c r="O1002" s="136"/>
      <c r="P1002" s="8">
        <f t="shared" si="199"/>
        <v>518172</v>
      </c>
      <c r="Q1002" s="8">
        <v>518773</v>
      </c>
      <c r="R1002" s="133">
        <f t="shared" si="207"/>
        <v>601</v>
      </c>
      <c r="S1002" s="8">
        <f t="shared" si="196"/>
        <v>34667</v>
      </c>
      <c r="T1002" s="8">
        <v>34695</v>
      </c>
      <c r="U1002" s="133">
        <f t="shared" si="205"/>
        <v>28</v>
      </c>
      <c r="V1002" s="8">
        <f t="shared" si="197"/>
        <v>533986</v>
      </c>
      <c r="W1002" s="8">
        <v>533986</v>
      </c>
      <c r="X1002" s="13">
        <f t="shared" ref="X1002:X1024" si="212">W1002-V1002</f>
        <v>0</v>
      </c>
      <c r="Y1002" s="8">
        <f t="shared" ref="Y1002:Y1065" si="213">Z1001</f>
        <v>36475</v>
      </c>
      <c r="Z1002" s="8">
        <v>36490</v>
      </c>
      <c r="AA1002" s="13">
        <f t="shared" si="203"/>
        <v>15</v>
      </c>
      <c r="AB1002" s="8">
        <f t="shared" si="209"/>
        <v>246287</v>
      </c>
      <c r="AC1002" s="8">
        <v>246388</v>
      </c>
      <c r="AD1002" s="13">
        <f t="shared" si="204"/>
        <v>101</v>
      </c>
      <c r="AE1002" s="135"/>
      <c r="AF1002" s="135"/>
      <c r="AG1002" s="135"/>
      <c r="AH1002" s="136"/>
      <c r="AI1002" s="50">
        <f t="shared" si="201"/>
        <v>644</v>
      </c>
    </row>
    <row r="1003" spans="1:35">
      <c r="A1003" s="12">
        <v>45378</v>
      </c>
      <c r="B1003" s="8">
        <f t="shared" si="208"/>
        <v>1962855</v>
      </c>
      <c r="C1003" s="8">
        <v>1963420</v>
      </c>
      <c r="D1003" s="13">
        <f t="shared" si="210"/>
        <v>565</v>
      </c>
      <c r="E1003" s="77">
        <v>273363</v>
      </c>
      <c r="F1003" s="69">
        <v>273363</v>
      </c>
      <c r="G1003" s="133">
        <v>0</v>
      </c>
      <c r="H1003" s="8">
        <v>340481</v>
      </c>
      <c r="I1003" s="8">
        <v>340481</v>
      </c>
      <c r="J1003" s="13">
        <v>0</v>
      </c>
      <c r="K1003" s="138"/>
      <c r="L1003" s="8">
        <f t="shared" si="195"/>
        <v>959374</v>
      </c>
      <c r="M1003" s="8">
        <v>960630</v>
      </c>
      <c r="N1003" s="13">
        <f t="shared" si="202"/>
        <v>1256</v>
      </c>
      <c r="O1003" s="136"/>
      <c r="P1003" s="8">
        <f t="shared" si="199"/>
        <v>518773</v>
      </c>
      <c r="Q1003" s="8">
        <v>519385</v>
      </c>
      <c r="R1003" s="133">
        <f t="shared" si="207"/>
        <v>612</v>
      </c>
      <c r="S1003" s="8">
        <f t="shared" si="196"/>
        <v>34695</v>
      </c>
      <c r="T1003" s="8">
        <v>34755</v>
      </c>
      <c r="U1003" s="133">
        <f t="shared" si="205"/>
        <v>60</v>
      </c>
      <c r="V1003" s="8">
        <f t="shared" si="197"/>
        <v>533986</v>
      </c>
      <c r="W1003" s="8">
        <v>533986</v>
      </c>
      <c r="X1003" s="13">
        <f t="shared" si="212"/>
        <v>0</v>
      </c>
      <c r="Y1003" s="8">
        <f t="shared" si="213"/>
        <v>36490</v>
      </c>
      <c r="Z1003" s="8">
        <v>36509</v>
      </c>
      <c r="AA1003" s="13">
        <f t="shared" si="203"/>
        <v>19</v>
      </c>
      <c r="AB1003" s="8">
        <f t="shared" si="209"/>
        <v>246388</v>
      </c>
      <c r="AC1003" s="8">
        <v>246470</v>
      </c>
      <c r="AD1003" s="13">
        <f t="shared" si="204"/>
        <v>82</v>
      </c>
      <c r="AE1003" s="135"/>
      <c r="AF1003" s="135"/>
      <c r="AG1003" s="135"/>
      <c r="AH1003" s="136"/>
      <c r="AI1003" s="50">
        <f t="shared" si="201"/>
        <v>691</v>
      </c>
    </row>
    <row r="1004" spans="1:35">
      <c r="A1004" s="12">
        <v>45379</v>
      </c>
      <c r="B1004" s="8">
        <f t="shared" si="208"/>
        <v>1963420</v>
      </c>
      <c r="C1004" s="8">
        <v>1963984</v>
      </c>
      <c r="D1004" s="13">
        <f t="shared" si="210"/>
        <v>564</v>
      </c>
      <c r="E1004" s="77">
        <f t="shared" ref="E1004:E1067" si="214">F1003</f>
        <v>273363</v>
      </c>
      <c r="F1004" s="69">
        <v>273363</v>
      </c>
      <c r="G1004" s="133">
        <v>686</v>
      </c>
      <c r="H1004" s="8">
        <f t="shared" si="194"/>
        <v>340481</v>
      </c>
      <c r="I1004" s="8">
        <v>340481</v>
      </c>
      <c r="J1004" s="13">
        <f t="shared" si="200"/>
        <v>0</v>
      </c>
      <c r="K1004" s="138"/>
      <c r="L1004" s="8">
        <f t="shared" si="195"/>
        <v>960630</v>
      </c>
      <c r="M1004" s="8">
        <v>961933</v>
      </c>
      <c r="N1004" s="13">
        <f t="shared" si="202"/>
        <v>1303</v>
      </c>
      <c r="O1004" s="136"/>
      <c r="P1004" s="8">
        <f t="shared" si="199"/>
        <v>519385</v>
      </c>
      <c r="Q1004" s="8">
        <v>520008</v>
      </c>
      <c r="R1004" s="133">
        <f t="shared" si="207"/>
        <v>623</v>
      </c>
      <c r="S1004" s="8">
        <f t="shared" si="196"/>
        <v>34755</v>
      </c>
      <c r="T1004" s="8">
        <v>34808</v>
      </c>
      <c r="U1004" s="133">
        <f t="shared" si="205"/>
        <v>53</v>
      </c>
      <c r="V1004" s="8">
        <f t="shared" si="197"/>
        <v>533986</v>
      </c>
      <c r="W1004" s="8">
        <v>533986</v>
      </c>
      <c r="X1004" s="13">
        <f t="shared" si="212"/>
        <v>0</v>
      </c>
      <c r="Y1004" s="8">
        <f t="shared" si="213"/>
        <v>36509</v>
      </c>
      <c r="Z1004" s="8">
        <v>36525</v>
      </c>
      <c r="AA1004" s="13">
        <f t="shared" si="203"/>
        <v>16</v>
      </c>
      <c r="AB1004" s="8">
        <f t="shared" si="209"/>
        <v>246470</v>
      </c>
      <c r="AC1004" s="8">
        <v>246587</v>
      </c>
      <c r="AD1004" s="13">
        <f t="shared" si="204"/>
        <v>117</v>
      </c>
      <c r="AE1004" s="135"/>
      <c r="AF1004" s="135"/>
      <c r="AG1004" s="135"/>
      <c r="AH1004" s="136"/>
      <c r="AI1004" s="50">
        <f t="shared" si="201"/>
        <v>692</v>
      </c>
    </row>
    <row r="1005" spans="1:35">
      <c r="A1005" s="12">
        <v>45380</v>
      </c>
      <c r="B1005" s="8">
        <f t="shared" si="208"/>
        <v>1963984</v>
      </c>
      <c r="C1005" s="8">
        <v>1964512</v>
      </c>
      <c r="D1005" s="13">
        <f t="shared" si="210"/>
        <v>528</v>
      </c>
      <c r="E1005" s="77">
        <f t="shared" si="214"/>
        <v>273363</v>
      </c>
      <c r="F1005" s="69">
        <v>273363</v>
      </c>
      <c r="G1005" s="133">
        <v>686</v>
      </c>
      <c r="H1005" s="8">
        <f t="shared" si="194"/>
        <v>340481</v>
      </c>
      <c r="I1005" s="8">
        <v>340481</v>
      </c>
      <c r="J1005" s="13">
        <f t="shared" si="200"/>
        <v>0</v>
      </c>
      <c r="K1005" s="138"/>
      <c r="L1005" s="8">
        <f t="shared" si="195"/>
        <v>961933</v>
      </c>
      <c r="M1005" s="8">
        <v>963187</v>
      </c>
      <c r="N1005" s="13">
        <f t="shared" si="202"/>
        <v>1254</v>
      </c>
      <c r="O1005" s="136"/>
      <c r="P1005" s="8">
        <f t="shared" si="199"/>
        <v>520008</v>
      </c>
      <c r="Q1005" s="8">
        <v>520620</v>
      </c>
      <c r="R1005" s="133">
        <f t="shared" si="207"/>
        <v>612</v>
      </c>
      <c r="S1005" s="8">
        <f t="shared" si="196"/>
        <v>34808</v>
      </c>
      <c r="T1005" s="8">
        <v>34855</v>
      </c>
      <c r="U1005" s="133">
        <f t="shared" si="205"/>
        <v>47</v>
      </c>
      <c r="V1005" s="8">
        <f t="shared" si="197"/>
        <v>533986</v>
      </c>
      <c r="W1005" s="8">
        <v>533986</v>
      </c>
      <c r="X1005" s="13">
        <f t="shared" si="212"/>
        <v>0</v>
      </c>
      <c r="Y1005" s="8">
        <f t="shared" si="213"/>
        <v>36525</v>
      </c>
      <c r="Z1005" s="8">
        <v>36544</v>
      </c>
      <c r="AA1005" s="13">
        <f t="shared" si="203"/>
        <v>19</v>
      </c>
      <c r="AB1005" s="8">
        <f t="shared" si="209"/>
        <v>246587</v>
      </c>
      <c r="AC1005" s="8">
        <v>246680</v>
      </c>
      <c r="AD1005" s="13">
        <f t="shared" si="204"/>
        <v>93</v>
      </c>
      <c r="AE1005" s="135"/>
      <c r="AF1005" s="135"/>
      <c r="AG1005" s="135"/>
      <c r="AH1005" s="136"/>
      <c r="AI1005" s="50">
        <f t="shared" si="201"/>
        <v>678</v>
      </c>
    </row>
    <row r="1006" spans="1:35">
      <c r="A1006" s="12">
        <v>45381</v>
      </c>
      <c r="B1006" s="8">
        <f t="shared" si="208"/>
        <v>1964512</v>
      </c>
      <c r="C1006" s="8">
        <v>1965115</v>
      </c>
      <c r="D1006" s="13">
        <f t="shared" si="210"/>
        <v>603</v>
      </c>
      <c r="E1006" s="77">
        <f t="shared" si="214"/>
        <v>273363</v>
      </c>
      <c r="F1006" s="69">
        <v>273363</v>
      </c>
      <c r="G1006" s="133">
        <v>689</v>
      </c>
      <c r="H1006" s="8">
        <f t="shared" ref="H1006:H1069" si="215">I1005</f>
        <v>340481</v>
      </c>
      <c r="I1006" s="8">
        <v>340481</v>
      </c>
      <c r="J1006" s="13">
        <f t="shared" si="200"/>
        <v>0</v>
      </c>
      <c r="K1006" s="138"/>
      <c r="L1006" s="8">
        <f t="shared" ref="L1006:L1069" si="216">M1005</f>
        <v>963187</v>
      </c>
      <c r="M1006" s="8">
        <v>964425</v>
      </c>
      <c r="N1006" s="13">
        <f t="shared" si="202"/>
        <v>1238</v>
      </c>
      <c r="O1006" s="136"/>
      <c r="P1006" s="8">
        <f t="shared" si="199"/>
        <v>520620</v>
      </c>
      <c r="Q1006" s="8">
        <v>521159</v>
      </c>
      <c r="R1006" s="133">
        <f t="shared" si="207"/>
        <v>539</v>
      </c>
      <c r="S1006" s="8">
        <f t="shared" ref="S1006:S1072" si="217">T1005</f>
        <v>34855</v>
      </c>
      <c r="T1006" s="8">
        <v>34912</v>
      </c>
      <c r="U1006" s="133">
        <f t="shared" si="205"/>
        <v>57</v>
      </c>
      <c r="V1006" s="8">
        <f t="shared" ref="V1006:V1069" si="218">W1005</f>
        <v>533986</v>
      </c>
      <c r="W1006" s="8">
        <v>533986</v>
      </c>
      <c r="X1006" s="13">
        <f t="shared" si="212"/>
        <v>0</v>
      </c>
      <c r="Y1006" s="8">
        <f t="shared" si="213"/>
        <v>36544</v>
      </c>
      <c r="Z1006" s="8">
        <v>36562</v>
      </c>
      <c r="AA1006" s="13">
        <f t="shared" si="203"/>
        <v>18</v>
      </c>
      <c r="AB1006" s="8">
        <f t="shared" si="209"/>
        <v>246680</v>
      </c>
      <c r="AC1006" s="8">
        <v>246765</v>
      </c>
      <c r="AD1006" s="13">
        <f t="shared" si="204"/>
        <v>85</v>
      </c>
      <c r="AE1006" s="135"/>
      <c r="AF1006" s="135"/>
      <c r="AG1006" s="135"/>
      <c r="AH1006" s="136"/>
      <c r="AI1006" s="50">
        <f t="shared" si="201"/>
        <v>614</v>
      </c>
    </row>
    <row r="1007" spans="1:35">
      <c r="A1007" s="12">
        <v>45382</v>
      </c>
      <c r="B1007" s="8">
        <f t="shared" si="208"/>
        <v>1965115</v>
      </c>
      <c r="C1007" s="8">
        <v>1965602</v>
      </c>
      <c r="D1007" s="13">
        <f t="shared" si="210"/>
        <v>487</v>
      </c>
      <c r="E1007" s="77">
        <f t="shared" si="214"/>
        <v>273363</v>
      </c>
      <c r="F1007" s="69">
        <v>273363</v>
      </c>
      <c r="G1007" s="133">
        <v>707</v>
      </c>
      <c r="H1007" s="8">
        <f t="shared" si="215"/>
        <v>340481</v>
      </c>
      <c r="I1007" s="8">
        <v>340481</v>
      </c>
      <c r="J1007" s="13">
        <f t="shared" si="200"/>
        <v>0</v>
      </c>
      <c r="K1007" s="138"/>
      <c r="L1007" s="8">
        <f t="shared" si="216"/>
        <v>964425</v>
      </c>
      <c r="M1007" s="8">
        <v>965554</v>
      </c>
      <c r="N1007" s="13">
        <f t="shared" si="202"/>
        <v>1129</v>
      </c>
      <c r="O1007" s="136"/>
      <c r="P1007" s="8">
        <f t="shared" si="199"/>
        <v>521159</v>
      </c>
      <c r="Q1007" s="8">
        <v>521696</v>
      </c>
      <c r="R1007" s="133">
        <f t="shared" si="207"/>
        <v>537</v>
      </c>
      <c r="S1007" s="8">
        <f t="shared" si="217"/>
        <v>34912</v>
      </c>
      <c r="T1007" s="8">
        <v>34931</v>
      </c>
      <c r="U1007" s="133">
        <f t="shared" si="205"/>
        <v>19</v>
      </c>
      <c r="V1007" s="8">
        <f t="shared" si="218"/>
        <v>533986</v>
      </c>
      <c r="W1007" s="8">
        <v>533986</v>
      </c>
      <c r="X1007" s="13">
        <f t="shared" si="212"/>
        <v>0</v>
      </c>
      <c r="Y1007" s="8">
        <f t="shared" si="213"/>
        <v>36562</v>
      </c>
      <c r="Z1007" s="8">
        <v>36579</v>
      </c>
      <c r="AA1007" s="13">
        <f t="shared" si="203"/>
        <v>17</v>
      </c>
      <c r="AB1007" s="8">
        <f t="shared" si="209"/>
        <v>246765</v>
      </c>
      <c r="AC1007" s="8">
        <v>246861</v>
      </c>
      <c r="AD1007" s="13">
        <f t="shared" si="204"/>
        <v>96</v>
      </c>
      <c r="AE1007" s="135"/>
      <c r="AF1007" s="135"/>
      <c r="AG1007" s="135"/>
      <c r="AH1007" s="136"/>
      <c r="AI1007" s="50">
        <f t="shared" si="201"/>
        <v>573</v>
      </c>
    </row>
    <row r="1008" spans="1:35">
      <c r="A1008" s="12">
        <v>45383</v>
      </c>
      <c r="B1008" s="8">
        <f t="shared" si="208"/>
        <v>1965602</v>
      </c>
      <c r="C1008" s="8">
        <v>1965823</v>
      </c>
      <c r="D1008" s="13">
        <f t="shared" si="210"/>
        <v>221</v>
      </c>
      <c r="E1008" s="77">
        <f t="shared" si="214"/>
        <v>273363</v>
      </c>
      <c r="F1008" s="69">
        <v>273363</v>
      </c>
      <c r="G1008" s="133">
        <v>645</v>
      </c>
      <c r="H1008" s="8">
        <f t="shared" si="215"/>
        <v>340481</v>
      </c>
      <c r="I1008" s="8">
        <v>340481</v>
      </c>
      <c r="J1008" s="13">
        <f t="shared" si="200"/>
        <v>0</v>
      </c>
      <c r="K1008" s="138"/>
      <c r="L1008" s="8">
        <f t="shared" si="216"/>
        <v>965554</v>
      </c>
      <c r="M1008" s="8">
        <v>966776</v>
      </c>
      <c r="N1008" s="13">
        <f t="shared" si="202"/>
        <v>1222</v>
      </c>
      <c r="O1008" s="136"/>
      <c r="P1008" s="8">
        <f t="shared" ref="P1008:P1072" si="219">Q1007</f>
        <v>521696</v>
      </c>
      <c r="Q1008" s="8">
        <v>522291</v>
      </c>
      <c r="R1008" s="133">
        <f t="shared" si="207"/>
        <v>595</v>
      </c>
      <c r="S1008" s="8">
        <f t="shared" si="217"/>
        <v>34931</v>
      </c>
      <c r="T1008" s="8">
        <v>34993</v>
      </c>
      <c r="U1008" s="133">
        <f t="shared" si="205"/>
        <v>62</v>
      </c>
      <c r="V1008" s="8">
        <f t="shared" si="218"/>
        <v>533986</v>
      </c>
      <c r="W1008" s="8">
        <v>533986</v>
      </c>
      <c r="X1008" s="13">
        <f t="shared" si="212"/>
        <v>0</v>
      </c>
      <c r="Y1008" s="8">
        <f t="shared" si="213"/>
        <v>36579</v>
      </c>
      <c r="Z1008" s="8">
        <v>36597</v>
      </c>
      <c r="AA1008" s="13">
        <f t="shared" si="203"/>
        <v>18</v>
      </c>
      <c r="AB1008" s="8">
        <f t="shared" si="209"/>
        <v>246861</v>
      </c>
      <c r="AC1008" s="8">
        <v>246931</v>
      </c>
      <c r="AD1008" s="13">
        <f t="shared" si="204"/>
        <v>70</v>
      </c>
      <c r="AE1008" s="135"/>
      <c r="AF1008" s="135"/>
      <c r="AG1008" s="135"/>
      <c r="AH1008" s="136"/>
      <c r="AI1008" s="50">
        <f t="shared" si="201"/>
        <v>675</v>
      </c>
    </row>
    <row r="1009" spans="1:35">
      <c r="A1009" s="12">
        <v>45384</v>
      </c>
      <c r="B1009" s="8">
        <f t="shared" si="208"/>
        <v>1965823</v>
      </c>
      <c r="C1009" s="8">
        <v>1966118</v>
      </c>
      <c r="D1009" s="13">
        <f t="shared" si="210"/>
        <v>295</v>
      </c>
      <c r="E1009" s="77">
        <f t="shared" si="214"/>
        <v>273363</v>
      </c>
      <c r="F1009" s="69">
        <v>273363</v>
      </c>
      <c r="G1009" s="133">
        <v>661</v>
      </c>
      <c r="H1009" s="8">
        <f t="shared" si="215"/>
        <v>340481</v>
      </c>
      <c r="I1009" s="8">
        <v>340481</v>
      </c>
      <c r="J1009" s="13">
        <f t="shared" si="200"/>
        <v>0</v>
      </c>
      <c r="K1009" s="138"/>
      <c r="L1009" s="8">
        <f t="shared" si="216"/>
        <v>966776</v>
      </c>
      <c r="M1009" s="8">
        <v>967800</v>
      </c>
      <c r="N1009" s="13">
        <f t="shared" si="202"/>
        <v>1024</v>
      </c>
      <c r="O1009" s="136"/>
      <c r="P1009" s="8">
        <f t="shared" si="219"/>
        <v>522291</v>
      </c>
      <c r="Q1009" s="8">
        <v>522794</v>
      </c>
      <c r="R1009" s="133">
        <f t="shared" si="207"/>
        <v>503</v>
      </c>
      <c r="S1009" s="8">
        <f t="shared" si="217"/>
        <v>34993</v>
      </c>
      <c r="T1009" s="8">
        <v>35030</v>
      </c>
      <c r="U1009" s="133">
        <f t="shared" si="205"/>
        <v>37</v>
      </c>
      <c r="V1009" s="8">
        <f t="shared" si="218"/>
        <v>533986</v>
      </c>
      <c r="W1009" s="8">
        <v>533986</v>
      </c>
      <c r="X1009" s="13">
        <f t="shared" si="212"/>
        <v>0</v>
      </c>
      <c r="Y1009" s="8">
        <f t="shared" si="213"/>
        <v>36597</v>
      </c>
      <c r="Z1009" s="8">
        <v>36613</v>
      </c>
      <c r="AA1009" s="13">
        <f t="shared" si="203"/>
        <v>16</v>
      </c>
      <c r="AB1009" s="8">
        <f t="shared" si="209"/>
        <v>246931</v>
      </c>
      <c r="AC1009" s="8">
        <v>246975</v>
      </c>
      <c r="AD1009" s="13">
        <f t="shared" si="204"/>
        <v>44</v>
      </c>
      <c r="AE1009" s="135"/>
      <c r="AF1009" s="135"/>
      <c r="AG1009" s="135"/>
      <c r="AH1009" s="136"/>
      <c r="AI1009" s="50">
        <f t="shared" si="201"/>
        <v>556</v>
      </c>
    </row>
    <row r="1010" spans="1:35">
      <c r="A1010" s="12">
        <v>45385</v>
      </c>
      <c r="B1010" s="8">
        <f t="shared" si="208"/>
        <v>1966118</v>
      </c>
      <c r="C1010" s="8">
        <v>1966290</v>
      </c>
      <c r="D1010" s="13">
        <f t="shared" si="210"/>
        <v>172</v>
      </c>
      <c r="E1010" s="77">
        <f t="shared" si="214"/>
        <v>273363</v>
      </c>
      <c r="F1010" s="69">
        <v>273363</v>
      </c>
      <c r="G1010" s="133">
        <v>755</v>
      </c>
      <c r="H1010" s="8">
        <f t="shared" si="215"/>
        <v>340481</v>
      </c>
      <c r="I1010" s="8">
        <v>340481</v>
      </c>
      <c r="J1010" s="13">
        <f t="shared" si="200"/>
        <v>0</v>
      </c>
      <c r="K1010" s="138"/>
      <c r="L1010" s="8">
        <f t="shared" si="216"/>
        <v>967800</v>
      </c>
      <c r="M1010" s="8">
        <v>968917</v>
      </c>
      <c r="N1010" s="13">
        <f t="shared" si="202"/>
        <v>1117</v>
      </c>
      <c r="O1010" s="136"/>
      <c r="P1010" s="8">
        <f t="shared" si="219"/>
        <v>522794</v>
      </c>
      <c r="Q1010" s="8">
        <v>523290</v>
      </c>
      <c r="R1010" s="133">
        <f t="shared" si="207"/>
        <v>496</v>
      </c>
      <c r="S1010" s="8">
        <f t="shared" si="217"/>
        <v>35030</v>
      </c>
      <c r="T1010" s="8">
        <v>35098</v>
      </c>
      <c r="U1010" s="133">
        <f t="shared" si="205"/>
        <v>68</v>
      </c>
      <c r="V1010" s="8">
        <f>W1009</f>
        <v>533986</v>
      </c>
      <c r="W1010" s="8">
        <v>533986</v>
      </c>
      <c r="X1010" s="13">
        <f t="shared" si="212"/>
        <v>0</v>
      </c>
      <c r="Y1010" s="8">
        <f t="shared" si="213"/>
        <v>36613</v>
      </c>
      <c r="Z1010" s="8">
        <v>36634</v>
      </c>
      <c r="AA1010" s="13">
        <f t="shared" si="203"/>
        <v>21</v>
      </c>
      <c r="AB1010" s="8">
        <f t="shared" si="209"/>
        <v>246975</v>
      </c>
      <c r="AC1010" s="8">
        <v>247050</v>
      </c>
      <c r="AD1010" s="13">
        <f t="shared" si="204"/>
        <v>75</v>
      </c>
      <c r="AE1010" s="135"/>
      <c r="AF1010" s="135"/>
      <c r="AG1010" s="135"/>
      <c r="AH1010" s="136"/>
      <c r="AI1010" s="50">
        <f t="shared" si="201"/>
        <v>585</v>
      </c>
    </row>
    <row r="1011" spans="1:35">
      <c r="A1011" s="12">
        <v>45386</v>
      </c>
      <c r="B1011" s="8">
        <f t="shared" si="208"/>
        <v>1966290</v>
      </c>
      <c r="C1011" s="8">
        <v>1966529</v>
      </c>
      <c r="D1011" s="13">
        <f t="shared" si="210"/>
        <v>239</v>
      </c>
      <c r="E1011" s="77">
        <f t="shared" si="214"/>
        <v>273363</v>
      </c>
      <c r="F1011" s="69">
        <v>273363</v>
      </c>
      <c r="G1011" s="133">
        <v>555</v>
      </c>
      <c r="H1011" s="8">
        <f t="shared" si="215"/>
        <v>340481</v>
      </c>
      <c r="I1011" s="8">
        <v>340481</v>
      </c>
      <c r="J1011" s="13">
        <f t="shared" si="200"/>
        <v>0</v>
      </c>
      <c r="K1011" s="138"/>
      <c r="L1011" s="8">
        <f t="shared" si="216"/>
        <v>968917</v>
      </c>
      <c r="M1011" s="8">
        <v>969773</v>
      </c>
      <c r="N1011" s="13">
        <f t="shared" si="202"/>
        <v>856</v>
      </c>
      <c r="O1011" s="136"/>
      <c r="P1011" s="8">
        <f t="shared" si="219"/>
        <v>523290</v>
      </c>
      <c r="Q1011" s="8">
        <v>523548</v>
      </c>
      <c r="R1011" s="133">
        <f t="shared" si="207"/>
        <v>258</v>
      </c>
      <c r="S1011" s="8">
        <f t="shared" si="217"/>
        <v>35098</v>
      </c>
      <c r="T1011" s="8">
        <v>35137</v>
      </c>
      <c r="U1011" s="133">
        <f t="shared" si="205"/>
        <v>39</v>
      </c>
      <c r="V1011" s="8">
        <f t="shared" si="218"/>
        <v>533986</v>
      </c>
      <c r="W1011" s="8">
        <v>533986</v>
      </c>
      <c r="X1011" s="13">
        <f t="shared" si="212"/>
        <v>0</v>
      </c>
      <c r="Y1011" s="8">
        <f t="shared" si="213"/>
        <v>36634</v>
      </c>
      <c r="Z1011" s="8">
        <v>36651</v>
      </c>
      <c r="AA1011" s="13">
        <f t="shared" si="203"/>
        <v>17</v>
      </c>
      <c r="AB1011" s="8">
        <f t="shared" si="209"/>
        <v>247050</v>
      </c>
      <c r="AC1011" s="8">
        <v>247109</v>
      </c>
      <c r="AD1011" s="13">
        <f t="shared" si="204"/>
        <v>59</v>
      </c>
      <c r="AE1011" s="135"/>
      <c r="AF1011" s="135"/>
      <c r="AG1011" s="135"/>
      <c r="AH1011" s="136"/>
      <c r="AI1011" s="50">
        <f t="shared" si="201"/>
        <v>314</v>
      </c>
    </row>
    <row r="1012" spans="1:35">
      <c r="A1012" s="12">
        <v>45387</v>
      </c>
      <c r="B1012" s="8">
        <f t="shared" si="208"/>
        <v>1966529</v>
      </c>
      <c r="C1012" s="8">
        <v>1966942</v>
      </c>
      <c r="D1012" s="13">
        <f t="shared" si="210"/>
        <v>413</v>
      </c>
      <c r="E1012" s="77">
        <f t="shared" si="214"/>
        <v>273363</v>
      </c>
      <c r="F1012" s="69">
        <v>273363</v>
      </c>
      <c r="G1012" s="133">
        <v>679</v>
      </c>
      <c r="H1012" s="8">
        <f t="shared" si="215"/>
        <v>340481</v>
      </c>
      <c r="I1012" s="8">
        <v>340481</v>
      </c>
      <c r="J1012" s="13">
        <f t="shared" si="200"/>
        <v>0</v>
      </c>
      <c r="K1012" s="138"/>
      <c r="L1012" s="8">
        <f t="shared" si="216"/>
        <v>969773</v>
      </c>
      <c r="M1012" s="8">
        <v>970873</v>
      </c>
      <c r="N1012" s="13">
        <f t="shared" si="202"/>
        <v>1100</v>
      </c>
      <c r="O1012" s="136"/>
      <c r="P1012" s="8">
        <f t="shared" si="219"/>
        <v>523548</v>
      </c>
      <c r="Q1012" s="8">
        <v>524014</v>
      </c>
      <c r="R1012" s="133">
        <f t="shared" si="207"/>
        <v>466</v>
      </c>
      <c r="S1012" s="8">
        <f t="shared" si="217"/>
        <v>35137</v>
      </c>
      <c r="T1012" s="8">
        <v>35187</v>
      </c>
      <c r="U1012" s="133">
        <f t="shared" si="205"/>
        <v>50</v>
      </c>
      <c r="V1012" s="8">
        <f t="shared" si="218"/>
        <v>533986</v>
      </c>
      <c r="W1012" s="8">
        <v>533986</v>
      </c>
      <c r="X1012" s="13">
        <f t="shared" si="212"/>
        <v>0</v>
      </c>
      <c r="Y1012" s="8">
        <f t="shared" si="213"/>
        <v>36651</v>
      </c>
      <c r="Z1012" s="8">
        <v>36667</v>
      </c>
      <c r="AA1012" s="13">
        <f t="shared" si="203"/>
        <v>16</v>
      </c>
      <c r="AB1012" s="8">
        <f t="shared" si="209"/>
        <v>247109</v>
      </c>
      <c r="AC1012" s="8">
        <v>247189</v>
      </c>
      <c r="AD1012" s="13">
        <f t="shared" si="204"/>
        <v>80</v>
      </c>
      <c r="AE1012" s="135"/>
      <c r="AF1012" s="135"/>
      <c r="AG1012" s="135"/>
      <c r="AH1012" s="136"/>
      <c r="AI1012" s="50">
        <f t="shared" si="201"/>
        <v>532</v>
      </c>
    </row>
    <row r="1013" spans="1:35">
      <c r="A1013" s="12">
        <v>45388</v>
      </c>
      <c r="B1013" s="8">
        <f t="shared" si="208"/>
        <v>1966942</v>
      </c>
      <c r="C1013" s="8">
        <v>1967546</v>
      </c>
      <c r="D1013" s="13">
        <f t="shared" si="210"/>
        <v>604</v>
      </c>
      <c r="E1013" s="77">
        <f t="shared" si="214"/>
        <v>273363</v>
      </c>
      <c r="F1013" s="69">
        <v>273363</v>
      </c>
      <c r="G1013" s="133">
        <v>746</v>
      </c>
      <c r="H1013" s="8">
        <f t="shared" si="215"/>
        <v>340481</v>
      </c>
      <c r="I1013" s="8">
        <v>340481</v>
      </c>
      <c r="J1013" s="13">
        <f t="shared" si="200"/>
        <v>0</v>
      </c>
      <c r="K1013" s="138"/>
      <c r="L1013" s="8">
        <f t="shared" si="216"/>
        <v>970873</v>
      </c>
      <c r="M1013" s="8">
        <v>972022</v>
      </c>
      <c r="N1013" s="13">
        <f t="shared" si="202"/>
        <v>1149</v>
      </c>
      <c r="O1013" s="136"/>
      <c r="P1013" s="8">
        <f t="shared" si="219"/>
        <v>524014</v>
      </c>
      <c r="Q1013" s="8">
        <v>524540</v>
      </c>
      <c r="R1013" s="133">
        <f t="shared" si="207"/>
        <v>526</v>
      </c>
      <c r="S1013" s="8">
        <f t="shared" si="217"/>
        <v>35187</v>
      </c>
      <c r="T1013" s="8">
        <v>35238</v>
      </c>
      <c r="U1013" s="133">
        <f t="shared" si="205"/>
        <v>51</v>
      </c>
      <c r="V1013" s="8">
        <f t="shared" si="218"/>
        <v>533986</v>
      </c>
      <c r="W1013" s="8">
        <v>533986</v>
      </c>
      <c r="X1013" s="13">
        <f t="shared" si="212"/>
        <v>0</v>
      </c>
      <c r="Y1013" s="8">
        <f t="shared" si="213"/>
        <v>36667</v>
      </c>
      <c r="Z1013" s="8">
        <v>36686</v>
      </c>
      <c r="AA1013" s="13">
        <f t="shared" si="203"/>
        <v>19</v>
      </c>
      <c r="AB1013" s="8">
        <f t="shared" si="209"/>
        <v>247189</v>
      </c>
      <c r="AC1013" s="8">
        <v>247250</v>
      </c>
      <c r="AD1013" s="13">
        <f t="shared" si="204"/>
        <v>61</v>
      </c>
      <c r="AE1013" s="135"/>
      <c r="AF1013" s="135"/>
      <c r="AG1013" s="135"/>
      <c r="AH1013" s="136"/>
      <c r="AI1013" s="50">
        <f t="shared" si="201"/>
        <v>596</v>
      </c>
    </row>
    <row r="1014" spans="1:35">
      <c r="A1014" s="12">
        <v>45389</v>
      </c>
      <c r="B1014" s="8">
        <f t="shared" si="208"/>
        <v>1967546</v>
      </c>
      <c r="C1014" s="8">
        <v>1968210</v>
      </c>
      <c r="D1014" s="13">
        <f t="shared" si="210"/>
        <v>664</v>
      </c>
      <c r="E1014" s="77">
        <f t="shared" si="214"/>
        <v>273363</v>
      </c>
      <c r="F1014" s="69">
        <v>273363</v>
      </c>
      <c r="G1014" s="133">
        <v>609</v>
      </c>
      <c r="H1014" s="8">
        <f t="shared" si="215"/>
        <v>340481</v>
      </c>
      <c r="I1014" s="8">
        <v>340481</v>
      </c>
      <c r="J1014" s="13">
        <f>I1015-H1014</f>
        <v>0</v>
      </c>
      <c r="K1014" s="138"/>
      <c r="L1014" s="8">
        <f t="shared" si="216"/>
        <v>972022</v>
      </c>
      <c r="M1014" s="8">
        <v>973029</v>
      </c>
      <c r="N1014" s="13">
        <f t="shared" si="202"/>
        <v>1007</v>
      </c>
      <c r="O1014" s="136"/>
      <c r="P1014" s="8">
        <f t="shared" si="219"/>
        <v>524540</v>
      </c>
      <c r="Q1014" s="8">
        <v>524949</v>
      </c>
      <c r="R1014" s="133">
        <f t="shared" si="207"/>
        <v>409</v>
      </c>
      <c r="S1014" s="8">
        <f t="shared" si="217"/>
        <v>35238</v>
      </c>
      <c r="T1014" s="8">
        <v>35260</v>
      </c>
      <c r="U1014" s="133">
        <f t="shared" si="205"/>
        <v>22</v>
      </c>
      <c r="V1014" s="8">
        <f t="shared" si="218"/>
        <v>533986</v>
      </c>
      <c r="W1014" s="8">
        <v>533986</v>
      </c>
      <c r="X1014" s="13">
        <f t="shared" si="212"/>
        <v>0</v>
      </c>
      <c r="Y1014" s="8">
        <f t="shared" si="213"/>
        <v>36686</v>
      </c>
      <c r="Z1014" s="8">
        <v>36705</v>
      </c>
      <c r="AA1014" s="13">
        <f t="shared" si="203"/>
        <v>19</v>
      </c>
      <c r="AB1014" s="8">
        <f t="shared" si="209"/>
        <v>247250</v>
      </c>
      <c r="AC1014" s="8">
        <v>247298</v>
      </c>
      <c r="AD1014" s="13">
        <f t="shared" si="204"/>
        <v>48</v>
      </c>
      <c r="AE1014" s="135"/>
      <c r="AF1014" s="135"/>
      <c r="AG1014" s="135"/>
      <c r="AH1014" s="136"/>
      <c r="AI1014" s="50">
        <f t="shared" si="201"/>
        <v>450</v>
      </c>
    </row>
    <row r="1015" spans="1:35">
      <c r="A1015" s="12">
        <v>45390</v>
      </c>
      <c r="B1015" s="8">
        <f t="shared" ref="B1015:B1078" si="220">C1014</f>
        <v>1968210</v>
      </c>
      <c r="C1015" s="8">
        <v>1968760</v>
      </c>
      <c r="D1015" s="13">
        <f t="shared" ref="D1015:D1024" si="221">C1015-B1015</f>
        <v>550</v>
      </c>
      <c r="E1015" s="77">
        <f t="shared" si="214"/>
        <v>273363</v>
      </c>
      <c r="F1015" s="69">
        <v>273363</v>
      </c>
      <c r="G1015" s="133">
        <v>675</v>
      </c>
      <c r="H1015" s="8">
        <f>I1015</f>
        <v>340481</v>
      </c>
      <c r="I1015" s="8">
        <v>340481</v>
      </c>
      <c r="J1015" s="13">
        <v>0</v>
      </c>
      <c r="K1015" s="138"/>
      <c r="L1015" s="8">
        <f t="shared" si="216"/>
        <v>973029</v>
      </c>
      <c r="M1015" s="8">
        <v>974152</v>
      </c>
      <c r="N1015" s="13">
        <f t="shared" si="202"/>
        <v>1123</v>
      </c>
      <c r="O1015" s="136"/>
      <c r="P1015" s="8">
        <f t="shared" si="219"/>
        <v>524949</v>
      </c>
      <c r="Q1015" s="8">
        <v>525421</v>
      </c>
      <c r="R1015" s="133">
        <f t="shared" si="207"/>
        <v>472</v>
      </c>
      <c r="S1015" s="8">
        <f t="shared" si="217"/>
        <v>35260</v>
      </c>
      <c r="T1015" s="8">
        <v>35302</v>
      </c>
      <c r="U1015" s="133">
        <f t="shared" si="205"/>
        <v>42</v>
      </c>
      <c r="V1015" s="8">
        <f t="shared" si="218"/>
        <v>533986</v>
      </c>
      <c r="W1015" s="8">
        <v>533986</v>
      </c>
      <c r="X1015" s="13">
        <f t="shared" si="212"/>
        <v>0</v>
      </c>
      <c r="Y1015" s="8">
        <f t="shared" si="213"/>
        <v>36705</v>
      </c>
      <c r="Z1015" s="8">
        <v>36721</v>
      </c>
      <c r="AA1015" s="13">
        <f t="shared" si="203"/>
        <v>16</v>
      </c>
      <c r="AB1015" s="8">
        <f t="shared" si="209"/>
        <v>247298</v>
      </c>
      <c r="AC1015" s="8">
        <v>247390</v>
      </c>
      <c r="AD1015" s="13">
        <f t="shared" si="204"/>
        <v>92</v>
      </c>
      <c r="AE1015" s="135"/>
      <c r="AF1015" s="135"/>
      <c r="AG1015" s="135"/>
      <c r="AH1015" s="136"/>
      <c r="AI1015" s="50">
        <f t="shared" si="201"/>
        <v>530</v>
      </c>
    </row>
    <row r="1016" spans="1:35">
      <c r="A1016" s="12">
        <v>45391</v>
      </c>
      <c r="B1016" s="8">
        <f t="shared" si="220"/>
        <v>1968760</v>
      </c>
      <c r="C1016" s="8">
        <v>1969448</v>
      </c>
      <c r="D1016" s="13">
        <f t="shared" si="221"/>
        <v>688</v>
      </c>
      <c r="E1016" s="77">
        <f t="shared" si="214"/>
        <v>273363</v>
      </c>
      <c r="F1016" s="69">
        <v>273363</v>
      </c>
      <c r="G1016" s="133">
        <v>591</v>
      </c>
      <c r="H1016" s="8">
        <v>340481</v>
      </c>
      <c r="I1016" s="8">
        <v>340481</v>
      </c>
      <c r="J1016" s="13">
        <v>0</v>
      </c>
      <c r="K1016" s="138"/>
      <c r="L1016" s="8">
        <f t="shared" si="216"/>
        <v>974152</v>
      </c>
      <c r="M1016" s="8">
        <v>975271</v>
      </c>
      <c r="N1016" s="13">
        <f t="shared" si="202"/>
        <v>1119</v>
      </c>
      <c r="O1016" s="136"/>
      <c r="P1016" s="8">
        <f t="shared" si="219"/>
        <v>525421</v>
      </c>
      <c r="Q1016" s="8">
        <v>525942</v>
      </c>
      <c r="R1016" s="133">
        <f t="shared" si="207"/>
        <v>521</v>
      </c>
      <c r="S1016" s="8">
        <f t="shared" si="217"/>
        <v>35302</v>
      </c>
      <c r="T1016" s="8">
        <v>35348</v>
      </c>
      <c r="U1016" s="133">
        <f t="shared" si="205"/>
        <v>46</v>
      </c>
      <c r="V1016" s="8">
        <f t="shared" si="218"/>
        <v>533986</v>
      </c>
      <c r="W1016" s="8">
        <v>533986</v>
      </c>
      <c r="X1016" s="13">
        <f t="shared" si="212"/>
        <v>0</v>
      </c>
      <c r="Y1016" s="8">
        <f t="shared" si="213"/>
        <v>36721</v>
      </c>
      <c r="Z1016" s="8">
        <v>36738</v>
      </c>
      <c r="AA1016" s="13">
        <f t="shared" si="203"/>
        <v>17</v>
      </c>
      <c r="AB1016" s="8">
        <f t="shared" si="209"/>
        <v>247390</v>
      </c>
      <c r="AC1016" s="8">
        <v>247456</v>
      </c>
      <c r="AD1016" s="13">
        <f t="shared" si="204"/>
        <v>66</v>
      </c>
      <c r="AE1016" s="135"/>
      <c r="AF1016" s="135"/>
      <c r="AG1016" s="135"/>
      <c r="AH1016" s="136"/>
      <c r="AI1016" s="50">
        <f t="shared" si="201"/>
        <v>584</v>
      </c>
    </row>
    <row r="1017" spans="1:35">
      <c r="A1017" s="12">
        <v>45392</v>
      </c>
      <c r="B1017" s="8">
        <f t="shared" si="220"/>
        <v>1969448</v>
      </c>
      <c r="C1017" s="8">
        <v>1970128</v>
      </c>
      <c r="D1017" s="13">
        <f t="shared" si="221"/>
        <v>680</v>
      </c>
      <c r="E1017" s="77">
        <f t="shared" si="214"/>
        <v>273363</v>
      </c>
      <c r="F1017" s="69">
        <v>273363</v>
      </c>
      <c r="G1017" s="133">
        <v>302</v>
      </c>
      <c r="H1017" s="8">
        <f t="shared" si="215"/>
        <v>340481</v>
      </c>
      <c r="I1017" s="8">
        <v>340481</v>
      </c>
      <c r="J1017" s="13">
        <f t="shared" si="200"/>
        <v>0</v>
      </c>
      <c r="K1017" s="138"/>
      <c r="L1017" s="8">
        <f t="shared" si="216"/>
        <v>975271</v>
      </c>
      <c r="M1017" s="8">
        <v>976510</v>
      </c>
      <c r="N1017" s="13">
        <f t="shared" si="202"/>
        <v>1239</v>
      </c>
      <c r="O1017" s="136"/>
      <c r="P1017" s="8">
        <f t="shared" si="219"/>
        <v>525942</v>
      </c>
      <c r="Q1017" s="8">
        <v>526435</v>
      </c>
      <c r="R1017" s="133">
        <f t="shared" si="207"/>
        <v>493</v>
      </c>
      <c r="S1017" s="8">
        <f t="shared" si="217"/>
        <v>35348</v>
      </c>
      <c r="T1017" s="8">
        <v>35398</v>
      </c>
      <c r="U1017" s="133">
        <f t="shared" ref="U1017:U1080" si="222">T1017-S1017</f>
        <v>50</v>
      </c>
      <c r="V1017" s="8">
        <f t="shared" si="218"/>
        <v>533986</v>
      </c>
      <c r="W1017" s="8">
        <v>533986</v>
      </c>
      <c r="X1017" s="13">
        <f t="shared" si="212"/>
        <v>0</v>
      </c>
      <c r="Y1017" s="8">
        <f t="shared" si="213"/>
        <v>36738</v>
      </c>
      <c r="Z1017" s="8">
        <v>36751</v>
      </c>
      <c r="AA1017" s="13">
        <f t="shared" si="203"/>
        <v>13</v>
      </c>
      <c r="AB1017" s="8">
        <f t="shared" si="209"/>
        <v>247456</v>
      </c>
      <c r="AC1017" s="8">
        <v>247529</v>
      </c>
      <c r="AD1017" s="13">
        <f t="shared" si="204"/>
        <v>73</v>
      </c>
      <c r="AE1017" s="135"/>
      <c r="AF1017" s="135"/>
      <c r="AG1017" s="135"/>
      <c r="AH1017" s="136"/>
      <c r="AI1017" s="50">
        <f t="shared" si="201"/>
        <v>556</v>
      </c>
    </row>
    <row r="1018" spans="1:35">
      <c r="A1018" s="12">
        <v>45393</v>
      </c>
      <c r="B1018" s="8">
        <f t="shared" si="220"/>
        <v>1970128</v>
      </c>
      <c r="C1018" s="8">
        <v>1971064</v>
      </c>
      <c r="D1018" s="13">
        <f t="shared" si="221"/>
        <v>936</v>
      </c>
      <c r="E1018" s="77">
        <f t="shared" si="214"/>
        <v>273363</v>
      </c>
      <c r="F1018" s="69">
        <v>273363</v>
      </c>
      <c r="G1018" s="133">
        <v>406</v>
      </c>
      <c r="H1018" s="8">
        <f t="shared" si="215"/>
        <v>340481</v>
      </c>
      <c r="I1018" s="8">
        <v>340481</v>
      </c>
      <c r="J1018" s="13">
        <f t="shared" si="200"/>
        <v>0</v>
      </c>
      <c r="K1018" s="138"/>
      <c r="L1018" s="8">
        <f t="shared" si="216"/>
        <v>976510</v>
      </c>
      <c r="M1018" s="8">
        <v>977683</v>
      </c>
      <c r="N1018" s="13">
        <f t="shared" si="202"/>
        <v>1173</v>
      </c>
      <c r="O1018" s="136">
        <f>(D1018+G1018+J1018+AD1018)-(U1018+R1018)</f>
        <v>882</v>
      </c>
      <c r="P1018" s="8">
        <f t="shared" si="219"/>
        <v>526435</v>
      </c>
      <c r="Q1018" s="8">
        <v>526941</v>
      </c>
      <c r="R1018" s="133">
        <f t="shared" si="207"/>
        <v>506</v>
      </c>
      <c r="S1018" s="8">
        <f t="shared" si="217"/>
        <v>35398</v>
      </c>
      <c r="T1018" s="8">
        <v>35420</v>
      </c>
      <c r="U1018" s="133">
        <f t="shared" si="222"/>
        <v>22</v>
      </c>
      <c r="V1018" s="8">
        <f t="shared" si="218"/>
        <v>533986</v>
      </c>
      <c r="W1018" s="8">
        <v>533986</v>
      </c>
      <c r="X1018" s="13">
        <f t="shared" si="212"/>
        <v>0</v>
      </c>
      <c r="Y1018" s="8">
        <f t="shared" si="213"/>
        <v>36751</v>
      </c>
      <c r="Z1018" s="8">
        <v>36765</v>
      </c>
      <c r="AA1018" s="13">
        <f t="shared" si="203"/>
        <v>14</v>
      </c>
      <c r="AB1018" s="8">
        <f t="shared" si="209"/>
        <v>247529</v>
      </c>
      <c r="AC1018" s="8">
        <v>247597</v>
      </c>
      <c r="AD1018" s="13">
        <f t="shared" si="204"/>
        <v>68</v>
      </c>
      <c r="AE1018" s="135"/>
      <c r="AF1018" s="135"/>
      <c r="AG1018" s="135"/>
      <c r="AH1018" s="136"/>
      <c r="AI1018" s="50">
        <f t="shared" si="201"/>
        <v>1424</v>
      </c>
    </row>
    <row r="1019" spans="1:35">
      <c r="A1019" s="12">
        <v>45394</v>
      </c>
      <c r="B1019" s="8">
        <f t="shared" si="220"/>
        <v>1971064</v>
      </c>
      <c r="C1019" s="8">
        <v>1972068</v>
      </c>
      <c r="D1019" s="13">
        <f t="shared" si="221"/>
        <v>1004</v>
      </c>
      <c r="E1019" s="77">
        <f t="shared" si="214"/>
        <v>273363</v>
      </c>
      <c r="F1019" s="69">
        <v>273363</v>
      </c>
      <c r="G1019" s="133">
        <v>159</v>
      </c>
      <c r="H1019" s="8">
        <f t="shared" si="215"/>
        <v>340481</v>
      </c>
      <c r="I1019" s="8">
        <v>340481</v>
      </c>
      <c r="J1019" s="13">
        <f t="shared" si="200"/>
        <v>0</v>
      </c>
      <c r="K1019" s="138"/>
      <c r="L1019" s="8">
        <f t="shared" si="216"/>
        <v>977683</v>
      </c>
      <c r="M1019" s="8">
        <v>978777</v>
      </c>
      <c r="N1019" s="13">
        <f t="shared" si="202"/>
        <v>1094</v>
      </c>
      <c r="O1019" s="136">
        <f t="shared" ref="O1019:O1082" si="223">(D1019+G1019+J1019+AD1019)-(U1019+R1019)</f>
        <v>642</v>
      </c>
      <c r="P1019" s="8">
        <f t="shared" si="219"/>
        <v>526941</v>
      </c>
      <c r="Q1019" s="8">
        <v>527448</v>
      </c>
      <c r="R1019" s="133">
        <f t="shared" si="207"/>
        <v>507</v>
      </c>
      <c r="S1019" s="8">
        <f t="shared" si="217"/>
        <v>35420</v>
      </c>
      <c r="T1019" s="8">
        <v>35460</v>
      </c>
      <c r="U1019" s="133">
        <f t="shared" si="222"/>
        <v>40</v>
      </c>
      <c r="V1019" s="8">
        <f t="shared" si="218"/>
        <v>533986</v>
      </c>
      <c r="W1019" s="8">
        <v>533986</v>
      </c>
      <c r="X1019" s="13">
        <f t="shared" si="212"/>
        <v>0</v>
      </c>
      <c r="Y1019" s="8">
        <f t="shared" si="213"/>
        <v>36765</v>
      </c>
      <c r="Z1019" s="8">
        <v>36779</v>
      </c>
      <c r="AA1019" s="13">
        <f t="shared" si="203"/>
        <v>14</v>
      </c>
      <c r="AB1019" s="8">
        <f t="shared" si="209"/>
        <v>247597</v>
      </c>
      <c r="AC1019" s="8">
        <v>247623</v>
      </c>
      <c r="AD1019" s="13">
        <f t="shared" si="204"/>
        <v>26</v>
      </c>
      <c r="AE1019" s="135"/>
      <c r="AF1019" s="135"/>
      <c r="AG1019" s="135"/>
      <c r="AH1019" s="136"/>
      <c r="AI1019" s="50">
        <f t="shared" si="201"/>
        <v>1203</v>
      </c>
    </row>
    <row r="1020" spans="1:35">
      <c r="A1020" s="12">
        <v>45395</v>
      </c>
      <c r="B1020" s="8">
        <f t="shared" si="220"/>
        <v>1972068</v>
      </c>
      <c r="C1020" s="8">
        <v>1972698</v>
      </c>
      <c r="D1020" s="13">
        <f t="shared" si="221"/>
        <v>630</v>
      </c>
      <c r="E1020" s="77">
        <f t="shared" si="214"/>
        <v>273363</v>
      </c>
      <c r="F1020" s="69">
        <v>273363</v>
      </c>
      <c r="G1020" s="133">
        <v>486</v>
      </c>
      <c r="H1020" s="8">
        <f t="shared" si="215"/>
        <v>340481</v>
      </c>
      <c r="I1020" s="8">
        <v>340481</v>
      </c>
      <c r="J1020" s="13">
        <f t="shared" ref="J1020:J1083" si="224">I1020-H1020</f>
        <v>0</v>
      </c>
      <c r="K1020" s="138"/>
      <c r="L1020" s="8">
        <f t="shared" si="216"/>
        <v>978777</v>
      </c>
      <c r="M1020" s="8">
        <v>979821</v>
      </c>
      <c r="N1020" s="13">
        <f t="shared" si="202"/>
        <v>1044</v>
      </c>
      <c r="O1020" s="136">
        <f t="shared" si="223"/>
        <v>660</v>
      </c>
      <c r="P1020" s="8">
        <f t="shared" si="219"/>
        <v>527448</v>
      </c>
      <c r="Q1020" s="8">
        <v>527903</v>
      </c>
      <c r="R1020" s="133">
        <f t="shared" si="207"/>
        <v>455</v>
      </c>
      <c r="S1020" s="8">
        <f t="shared" si="217"/>
        <v>35460</v>
      </c>
      <c r="T1020" s="8">
        <v>35518</v>
      </c>
      <c r="U1020" s="133">
        <f t="shared" si="222"/>
        <v>58</v>
      </c>
      <c r="V1020" s="8">
        <f t="shared" si="218"/>
        <v>533986</v>
      </c>
      <c r="W1020" s="8">
        <v>533986</v>
      </c>
      <c r="X1020" s="13">
        <f t="shared" si="212"/>
        <v>0</v>
      </c>
      <c r="Y1020" s="8">
        <f t="shared" si="213"/>
        <v>36779</v>
      </c>
      <c r="Z1020" s="8">
        <v>36798</v>
      </c>
      <c r="AA1020" s="13">
        <f t="shared" si="203"/>
        <v>19</v>
      </c>
      <c r="AB1020" s="8">
        <f t="shared" si="209"/>
        <v>247623</v>
      </c>
      <c r="AC1020" s="8">
        <v>247680</v>
      </c>
      <c r="AD1020" s="13">
        <f t="shared" si="204"/>
        <v>57</v>
      </c>
      <c r="AE1020" s="135"/>
      <c r="AF1020" s="135"/>
      <c r="AG1020" s="135"/>
      <c r="AH1020" s="136"/>
      <c r="AI1020" s="50">
        <f t="shared" si="201"/>
        <v>1192</v>
      </c>
    </row>
    <row r="1021" spans="1:35">
      <c r="A1021" s="12">
        <v>45396</v>
      </c>
      <c r="B1021" s="8">
        <f t="shared" si="220"/>
        <v>1972698</v>
      </c>
      <c r="C1021" s="8">
        <v>1973460</v>
      </c>
      <c r="D1021" s="13">
        <f t="shared" si="221"/>
        <v>762</v>
      </c>
      <c r="E1021" s="77">
        <f t="shared" si="214"/>
        <v>273363</v>
      </c>
      <c r="F1021" s="69">
        <v>273363</v>
      </c>
      <c r="G1021" s="133">
        <v>523</v>
      </c>
      <c r="H1021" s="8">
        <f t="shared" si="215"/>
        <v>340481</v>
      </c>
      <c r="I1021" s="8">
        <v>340481</v>
      </c>
      <c r="J1021" s="13">
        <f t="shared" si="224"/>
        <v>0</v>
      </c>
      <c r="K1021" s="138"/>
      <c r="L1021" s="8">
        <f t="shared" si="216"/>
        <v>979821</v>
      </c>
      <c r="M1021" s="8">
        <v>981010</v>
      </c>
      <c r="N1021" s="13">
        <f t="shared" si="202"/>
        <v>1189</v>
      </c>
      <c r="O1021" s="136">
        <f t="shared" si="223"/>
        <v>790</v>
      </c>
      <c r="P1021" s="8">
        <f t="shared" si="219"/>
        <v>527903</v>
      </c>
      <c r="Q1021" s="8">
        <v>528418</v>
      </c>
      <c r="R1021" s="133">
        <f t="shared" si="207"/>
        <v>515</v>
      </c>
      <c r="S1021" s="8">
        <f t="shared" si="217"/>
        <v>35518</v>
      </c>
      <c r="T1021" s="8">
        <v>35555</v>
      </c>
      <c r="U1021" s="133">
        <f t="shared" si="222"/>
        <v>37</v>
      </c>
      <c r="V1021" s="8">
        <f t="shared" si="218"/>
        <v>533986</v>
      </c>
      <c r="W1021" s="8">
        <v>533986</v>
      </c>
      <c r="X1021" s="13">
        <f t="shared" si="212"/>
        <v>0</v>
      </c>
      <c r="Y1021" s="8">
        <f t="shared" si="213"/>
        <v>36798</v>
      </c>
      <c r="Z1021" s="8">
        <v>36811</v>
      </c>
      <c r="AA1021" s="13">
        <f t="shared" si="203"/>
        <v>13</v>
      </c>
      <c r="AB1021" s="8">
        <f t="shared" si="209"/>
        <v>247680</v>
      </c>
      <c r="AC1021" s="8">
        <v>247737</v>
      </c>
      <c r="AD1021" s="13">
        <f t="shared" si="204"/>
        <v>57</v>
      </c>
      <c r="AE1021" s="135"/>
      <c r="AF1021" s="135"/>
      <c r="AG1021" s="135"/>
      <c r="AH1021" s="136"/>
      <c r="AI1021" s="50">
        <f t="shared" si="201"/>
        <v>1355</v>
      </c>
    </row>
    <row r="1022" spans="1:35">
      <c r="A1022" s="12">
        <v>45397</v>
      </c>
      <c r="B1022" s="8">
        <f t="shared" si="220"/>
        <v>1973460</v>
      </c>
      <c r="C1022" s="8">
        <v>1974303</v>
      </c>
      <c r="D1022" s="13">
        <f t="shared" si="221"/>
        <v>843</v>
      </c>
      <c r="E1022" s="77">
        <f t="shared" si="214"/>
        <v>273363</v>
      </c>
      <c r="F1022" s="69">
        <v>273363</v>
      </c>
      <c r="G1022" s="133">
        <v>80</v>
      </c>
      <c r="H1022" s="8">
        <f t="shared" si="215"/>
        <v>340481</v>
      </c>
      <c r="I1022" s="8">
        <v>340481</v>
      </c>
      <c r="J1022" s="13">
        <f t="shared" si="224"/>
        <v>0</v>
      </c>
      <c r="K1022" s="138"/>
      <c r="L1022" s="8">
        <f t="shared" si="216"/>
        <v>981010</v>
      </c>
      <c r="M1022" s="8">
        <v>982158</v>
      </c>
      <c r="N1022" s="13">
        <f t="shared" si="202"/>
        <v>1148</v>
      </c>
      <c r="O1022" s="136">
        <f t="shared" si="223"/>
        <v>452</v>
      </c>
      <c r="P1022" s="8">
        <f t="shared" si="219"/>
        <v>528418</v>
      </c>
      <c r="Q1022" s="8">
        <v>528939</v>
      </c>
      <c r="R1022" s="133">
        <f t="shared" si="207"/>
        <v>521</v>
      </c>
      <c r="S1022" s="8">
        <f t="shared" si="217"/>
        <v>35555</v>
      </c>
      <c r="T1022" s="8">
        <v>35572</v>
      </c>
      <c r="U1022" s="133">
        <f t="shared" si="222"/>
        <v>17</v>
      </c>
      <c r="V1022" s="8">
        <f t="shared" si="218"/>
        <v>533986</v>
      </c>
      <c r="W1022" s="8">
        <v>533986</v>
      </c>
      <c r="X1022" s="13">
        <f t="shared" si="212"/>
        <v>0</v>
      </c>
      <c r="Y1022" s="8">
        <f t="shared" si="213"/>
        <v>36811</v>
      </c>
      <c r="Z1022" s="8">
        <v>36826</v>
      </c>
      <c r="AA1022" s="13">
        <f t="shared" si="203"/>
        <v>15</v>
      </c>
      <c r="AB1022" s="8">
        <f t="shared" si="209"/>
        <v>247737</v>
      </c>
      <c r="AC1022" s="8">
        <v>247804</v>
      </c>
      <c r="AD1022" s="13">
        <f t="shared" si="204"/>
        <v>67</v>
      </c>
      <c r="AE1022" s="135"/>
      <c r="AF1022" s="135"/>
      <c r="AG1022" s="135"/>
      <c r="AH1022" s="136"/>
      <c r="AI1022" s="50">
        <f t="shared" si="201"/>
        <v>1005</v>
      </c>
    </row>
    <row r="1023" spans="1:35">
      <c r="A1023" s="12">
        <v>45398</v>
      </c>
      <c r="B1023" s="8">
        <f t="shared" si="220"/>
        <v>1974303</v>
      </c>
      <c r="C1023" s="8">
        <v>1975188</v>
      </c>
      <c r="D1023" s="13">
        <f t="shared" si="221"/>
        <v>885</v>
      </c>
      <c r="E1023" s="77">
        <f t="shared" si="214"/>
        <v>273363</v>
      </c>
      <c r="F1023" s="69">
        <v>273363</v>
      </c>
      <c r="G1023" s="133">
        <v>398</v>
      </c>
      <c r="H1023" s="8">
        <f t="shared" si="215"/>
        <v>340481</v>
      </c>
      <c r="I1023" s="8">
        <v>340481</v>
      </c>
      <c r="J1023" s="13">
        <f t="shared" si="224"/>
        <v>0</v>
      </c>
      <c r="K1023" s="138"/>
      <c r="L1023" s="8">
        <f t="shared" si="216"/>
        <v>982158</v>
      </c>
      <c r="M1023" s="8">
        <v>983410</v>
      </c>
      <c r="N1023" s="13">
        <f t="shared" si="202"/>
        <v>1252</v>
      </c>
      <c r="O1023" s="136">
        <f t="shared" si="223"/>
        <v>773</v>
      </c>
      <c r="P1023" s="8">
        <f t="shared" si="219"/>
        <v>528939</v>
      </c>
      <c r="Q1023" s="8">
        <v>529469</v>
      </c>
      <c r="R1023" s="133">
        <f t="shared" si="207"/>
        <v>530</v>
      </c>
      <c r="S1023" s="8">
        <f t="shared" si="217"/>
        <v>35572</v>
      </c>
      <c r="T1023" s="8">
        <v>35622</v>
      </c>
      <c r="U1023" s="133">
        <f t="shared" si="222"/>
        <v>50</v>
      </c>
      <c r="V1023" s="8">
        <f t="shared" si="218"/>
        <v>533986</v>
      </c>
      <c r="W1023" s="8">
        <v>533986</v>
      </c>
      <c r="X1023" s="13">
        <f t="shared" si="212"/>
        <v>0</v>
      </c>
      <c r="Y1023" s="8">
        <f t="shared" si="213"/>
        <v>36826</v>
      </c>
      <c r="Z1023" s="8">
        <v>36842</v>
      </c>
      <c r="AA1023" s="13">
        <f t="shared" si="203"/>
        <v>16</v>
      </c>
      <c r="AB1023" s="8">
        <f t="shared" si="209"/>
        <v>247804</v>
      </c>
      <c r="AC1023" s="8">
        <v>247874</v>
      </c>
      <c r="AD1023" s="13">
        <f t="shared" si="204"/>
        <v>70</v>
      </c>
      <c r="AE1023" s="135"/>
      <c r="AF1023" s="135"/>
      <c r="AG1023" s="135"/>
      <c r="AH1023" s="136"/>
      <c r="AI1023" s="50">
        <f t="shared" si="201"/>
        <v>1369</v>
      </c>
    </row>
    <row r="1024" spans="1:35">
      <c r="A1024" s="12">
        <v>45399</v>
      </c>
      <c r="B1024" s="8">
        <f t="shared" si="220"/>
        <v>1975188</v>
      </c>
      <c r="C1024" s="8">
        <v>1975926</v>
      </c>
      <c r="D1024" s="13">
        <f t="shared" si="221"/>
        <v>738</v>
      </c>
      <c r="E1024" s="77">
        <f t="shared" si="214"/>
        <v>273363</v>
      </c>
      <c r="F1024" s="69">
        <v>273363</v>
      </c>
      <c r="G1024" s="133">
        <v>386</v>
      </c>
      <c r="H1024" s="8">
        <f t="shared" si="215"/>
        <v>340481</v>
      </c>
      <c r="I1024" s="8">
        <v>340481</v>
      </c>
      <c r="J1024" s="13">
        <f t="shared" si="224"/>
        <v>0</v>
      </c>
      <c r="K1024" s="138"/>
      <c r="L1024" s="8">
        <f t="shared" si="216"/>
        <v>983410</v>
      </c>
      <c r="M1024" s="8">
        <v>984540</v>
      </c>
      <c r="N1024" s="13">
        <f t="shared" si="202"/>
        <v>1130</v>
      </c>
      <c r="O1024" s="136">
        <f t="shared" si="223"/>
        <v>591</v>
      </c>
      <c r="P1024" s="8">
        <f t="shared" si="219"/>
        <v>529469</v>
      </c>
      <c r="Q1024" s="8">
        <v>530014</v>
      </c>
      <c r="R1024" s="133">
        <f t="shared" si="207"/>
        <v>545</v>
      </c>
      <c r="S1024" s="8">
        <f t="shared" si="217"/>
        <v>35622</v>
      </c>
      <c r="T1024" s="8">
        <v>35679</v>
      </c>
      <c r="U1024" s="133">
        <f t="shared" si="222"/>
        <v>57</v>
      </c>
      <c r="V1024" s="8">
        <f t="shared" si="218"/>
        <v>533986</v>
      </c>
      <c r="W1024" s="8">
        <v>533986</v>
      </c>
      <c r="X1024" s="13">
        <f t="shared" si="212"/>
        <v>0</v>
      </c>
      <c r="Y1024" s="8">
        <f t="shared" si="213"/>
        <v>36842</v>
      </c>
      <c r="Z1024" s="8">
        <v>36856</v>
      </c>
      <c r="AA1024" s="13">
        <f t="shared" si="203"/>
        <v>14</v>
      </c>
      <c r="AB1024" s="8">
        <f t="shared" si="209"/>
        <v>247874</v>
      </c>
      <c r="AC1024" s="8">
        <v>247943</v>
      </c>
      <c r="AD1024" s="13">
        <f t="shared" si="204"/>
        <v>69</v>
      </c>
      <c r="AE1024" s="135"/>
      <c r="AF1024" s="135"/>
      <c r="AG1024" s="135"/>
      <c r="AH1024" s="136"/>
      <c r="AI1024" s="50">
        <f t="shared" si="201"/>
        <v>1207</v>
      </c>
    </row>
    <row r="1025" spans="1:35">
      <c r="A1025" s="12">
        <v>45400</v>
      </c>
      <c r="B1025" s="8">
        <f t="shared" si="220"/>
        <v>1975926</v>
      </c>
      <c r="C1025" s="8">
        <v>1976733</v>
      </c>
      <c r="D1025" s="13">
        <f t="shared" ref="D1025:D1088" si="225">C1025-B1025</f>
        <v>807</v>
      </c>
      <c r="E1025" s="77">
        <f>F1024</f>
        <v>273363</v>
      </c>
      <c r="F1025" s="69">
        <v>273363</v>
      </c>
      <c r="G1025" s="133">
        <v>136</v>
      </c>
      <c r="H1025" s="8">
        <f t="shared" si="215"/>
        <v>340481</v>
      </c>
      <c r="I1025" s="8">
        <v>340481</v>
      </c>
      <c r="J1025" s="13">
        <f t="shared" si="224"/>
        <v>0</v>
      </c>
      <c r="K1025" s="138"/>
      <c r="L1025" s="8">
        <f t="shared" si="216"/>
        <v>984540</v>
      </c>
      <c r="M1025" s="8">
        <v>985598</v>
      </c>
      <c r="N1025" s="13">
        <f t="shared" si="202"/>
        <v>1058</v>
      </c>
      <c r="O1025" s="136">
        <f t="shared" si="223"/>
        <v>463</v>
      </c>
      <c r="P1025" s="8">
        <f t="shared" si="219"/>
        <v>530014</v>
      </c>
      <c r="Q1025" s="8">
        <v>530520</v>
      </c>
      <c r="R1025" s="133">
        <f t="shared" si="207"/>
        <v>506</v>
      </c>
      <c r="S1025" s="8">
        <f t="shared" si="217"/>
        <v>35679</v>
      </c>
      <c r="T1025" s="8">
        <v>35713</v>
      </c>
      <c r="U1025" s="133">
        <f t="shared" si="222"/>
        <v>34</v>
      </c>
      <c r="V1025" s="8">
        <f t="shared" si="218"/>
        <v>533986</v>
      </c>
      <c r="W1025" s="8">
        <v>533986</v>
      </c>
      <c r="X1025" s="13">
        <f>W1025-V1025</f>
        <v>0</v>
      </c>
      <c r="Y1025" s="8">
        <f t="shared" si="213"/>
        <v>36856</v>
      </c>
      <c r="Z1025" s="8">
        <v>36874</v>
      </c>
      <c r="AA1025" s="13">
        <f t="shared" si="203"/>
        <v>18</v>
      </c>
      <c r="AB1025" s="8">
        <f t="shared" si="209"/>
        <v>247943</v>
      </c>
      <c r="AC1025" s="8">
        <v>248003</v>
      </c>
      <c r="AD1025" s="13">
        <f t="shared" si="204"/>
        <v>60</v>
      </c>
      <c r="AE1025" s="135"/>
      <c r="AF1025" s="135"/>
      <c r="AG1025" s="135"/>
      <c r="AH1025" s="136"/>
      <c r="AI1025" s="50">
        <f t="shared" ref="AI1025:AI1088" si="226">AA1025+U1025+R1025+O1025+X1025</f>
        <v>1021</v>
      </c>
    </row>
    <row r="1026" spans="1:35">
      <c r="A1026" s="12">
        <v>45401</v>
      </c>
      <c r="B1026" s="8">
        <f t="shared" si="220"/>
        <v>1976733</v>
      </c>
      <c r="C1026" s="8">
        <v>1977602</v>
      </c>
      <c r="D1026" s="13">
        <f t="shared" si="225"/>
        <v>869</v>
      </c>
      <c r="E1026" s="77">
        <f>F1025</f>
        <v>273363</v>
      </c>
      <c r="F1026" s="69">
        <v>273363</v>
      </c>
      <c r="G1026" s="133">
        <f t="shared" si="211"/>
        <v>0</v>
      </c>
      <c r="H1026" s="8">
        <f t="shared" si="215"/>
        <v>340481</v>
      </c>
      <c r="I1026" s="8">
        <v>340481</v>
      </c>
      <c r="J1026" s="13">
        <f t="shared" si="224"/>
        <v>0</v>
      </c>
      <c r="K1026" s="138"/>
      <c r="L1026" s="8">
        <f t="shared" si="216"/>
        <v>985598</v>
      </c>
      <c r="M1026" s="8">
        <v>986723</v>
      </c>
      <c r="N1026" s="13">
        <f t="shared" ref="N1026:N1089" si="227">M1026-L1026</f>
        <v>1125</v>
      </c>
      <c r="O1026" s="136">
        <f t="shared" si="223"/>
        <v>392</v>
      </c>
      <c r="P1026" s="8">
        <f t="shared" si="219"/>
        <v>530520</v>
      </c>
      <c r="Q1026" s="8">
        <v>531009</v>
      </c>
      <c r="R1026" s="133">
        <f t="shared" si="207"/>
        <v>489</v>
      </c>
      <c r="S1026" s="8">
        <f>T1025</f>
        <v>35713</v>
      </c>
      <c r="T1026" s="8">
        <v>35768</v>
      </c>
      <c r="U1026" s="133">
        <f t="shared" si="222"/>
        <v>55</v>
      </c>
      <c r="V1026" s="8">
        <f t="shared" si="218"/>
        <v>533986</v>
      </c>
      <c r="W1026" s="8">
        <v>533986</v>
      </c>
      <c r="X1026" s="13">
        <f t="shared" ref="X1026:X1089" si="228">W1026-V1026</f>
        <v>0</v>
      </c>
      <c r="Y1026" s="8">
        <f t="shared" si="213"/>
        <v>36874</v>
      </c>
      <c r="Z1026" s="8">
        <v>36889</v>
      </c>
      <c r="AA1026" s="13">
        <f t="shared" si="203"/>
        <v>15</v>
      </c>
      <c r="AB1026" s="8">
        <f t="shared" si="209"/>
        <v>248003</v>
      </c>
      <c r="AC1026" s="8">
        <v>248070</v>
      </c>
      <c r="AD1026" s="13">
        <f t="shared" si="204"/>
        <v>67</v>
      </c>
      <c r="AE1026" s="135"/>
      <c r="AF1026" s="135"/>
      <c r="AG1026" s="135"/>
      <c r="AH1026" s="136"/>
      <c r="AI1026" s="50">
        <f t="shared" si="226"/>
        <v>951</v>
      </c>
    </row>
    <row r="1027" spans="1:35">
      <c r="A1027" s="12">
        <v>45402</v>
      </c>
      <c r="B1027" s="8">
        <f t="shared" si="220"/>
        <v>1977602</v>
      </c>
      <c r="C1027" s="8">
        <v>1978374</v>
      </c>
      <c r="D1027" s="13">
        <f t="shared" si="225"/>
        <v>772</v>
      </c>
      <c r="E1027" s="77">
        <f>F1026</f>
        <v>273363</v>
      </c>
      <c r="F1027" s="69">
        <v>273363</v>
      </c>
      <c r="G1027" s="133">
        <f t="shared" si="211"/>
        <v>0</v>
      </c>
      <c r="H1027" s="8">
        <f t="shared" si="215"/>
        <v>340481</v>
      </c>
      <c r="I1027" s="8">
        <v>340481</v>
      </c>
      <c r="J1027" s="13">
        <f t="shared" si="224"/>
        <v>0</v>
      </c>
      <c r="K1027" s="138"/>
      <c r="L1027" s="8">
        <f t="shared" si="216"/>
        <v>986723</v>
      </c>
      <c r="M1027" s="8">
        <v>987900</v>
      </c>
      <c r="N1027" s="13">
        <f t="shared" si="227"/>
        <v>1177</v>
      </c>
      <c r="O1027" s="136">
        <f t="shared" si="223"/>
        <v>342</v>
      </c>
      <c r="P1027" s="8">
        <f t="shared" si="219"/>
        <v>531009</v>
      </c>
      <c r="Q1027" s="8">
        <v>531484</v>
      </c>
      <c r="R1027" s="133">
        <f t="shared" si="207"/>
        <v>475</v>
      </c>
      <c r="S1027" s="8">
        <f t="shared" si="217"/>
        <v>35768</v>
      </c>
      <c r="T1027" s="8">
        <v>35814</v>
      </c>
      <c r="U1027" s="133">
        <f t="shared" si="222"/>
        <v>46</v>
      </c>
      <c r="V1027" s="8">
        <f t="shared" si="218"/>
        <v>533986</v>
      </c>
      <c r="W1027" s="8">
        <v>533986</v>
      </c>
      <c r="X1027" s="13">
        <f t="shared" si="228"/>
        <v>0</v>
      </c>
      <c r="Y1027" s="8">
        <f t="shared" si="213"/>
        <v>36889</v>
      </c>
      <c r="Z1027" s="8">
        <v>36902</v>
      </c>
      <c r="AA1027" s="13">
        <f t="shared" si="203"/>
        <v>13</v>
      </c>
      <c r="AB1027" s="8">
        <f t="shared" si="209"/>
        <v>248070</v>
      </c>
      <c r="AC1027" s="8">
        <v>248161</v>
      </c>
      <c r="AD1027" s="13">
        <f t="shared" si="204"/>
        <v>91</v>
      </c>
      <c r="AE1027" s="135"/>
      <c r="AF1027" s="135"/>
      <c r="AG1027" s="135"/>
      <c r="AH1027" s="136"/>
      <c r="AI1027" s="50">
        <f t="shared" si="226"/>
        <v>876</v>
      </c>
    </row>
    <row r="1028" spans="1:35">
      <c r="A1028" s="12">
        <v>45403</v>
      </c>
      <c r="B1028" s="8">
        <f t="shared" si="220"/>
        <v>1978374</v>
      </c>
      <c r="C1028" s="8">
        <v>1979105</v>
      </c>
      <c r="D1028" s="13">
        <f t="shared" si="225"/>
        <v>731</v>
      </c>
      <c r="E1028" s="77">
        <f t="shared" si="214"/>
        <v>273363</v>
      </c>
      <c r="F1028" s="69">
        <v>273363</v>
      </c>
      <c r="G1028" s="133">
        <f t="shared" si="211"/>
        <v>0</v>
      </c>
      <c r="H1028" s="8">
        <f t="shared" si="215"/>
        <v>340481</v>
      </c>
      <c r="I1028" s="8">
        <v>340481</v>
      </c>
      <c r="J1028" s="13">
        <f t="shared" si="224"/>
        <v>0</v>
      </c>
      <c r="K1028" s="138"/>
      <c r="L1028" s="8">
        <f t="shared" si="216"/>
        <v>987900</v>
      </c>
      <c r="M1028" s="8">
        <v>988888</v>
      </c>
      <c r="N1028" s="13">
        <f t="shared" si="227"/>
        <v>988</v>
      </c>
      <c r="O1028" s="136">
        <f t="shared" si="223"/>
        <v>393</v>
      </c>
      <c r="P1028" s="8">
        <f t="shared" si="219"/>
        <v>531484</v>
      </c>
      <c r="Q1028" s="8">
        <v>531862</v>
      </c>
      <c r="R1028" s="133">
        <f t="shared" si="207"/>
        <v>378</v>
      </c>
      <c r="S1028" s="8">
        <f t="shared" si="217"/>
        <v>35814</v>
      </c>
      <c r="T1028" s="8">
        <v>35835</v>
      </c>
      <c r="U1028" s="133">
        <f t="shared" si="222"/>
        <v>21</v>
      </c>
      <c r="V1028" s="8">
        <f t="shared" si="218"/>
        <v>533986</v>
      </c>
      <c r="W1028" s="8">
        <v>533986</v>
      </c>
      <c r="X1028" s="13">
        <f t="shared" si="228"/>
        <v>0</v>
      </c>
      <c r="Y1028" s="8">
        <f t="shared" si="213"/>
        <v>36902</v>
      </c>
      <c r="Z1028" s="8">
        <v>36979</v>
      </c>
      <c r="AA1028" s="13">
        <f t="shared" si="203"/>
        <v>77</v>
      </c>
      <c r="AB1028" s="8">
        <f t="shared" si="209"/>
        <v>248161</v>
      </c>
      <c r="AC1028" s="8">
        <v>248222</v>
      </c>
      <c r="AD1028" s="13">
        <f t="shared" si="204"/>
        <v>61</v>
      </c>
      <c r="AE1028" s="135"/>
      <c r="AF1028" s="135"/>
      <c r="AG1028" s="135"/>
      <c r="AH1028" s="136"/>
      <c r="AI1028" s="50">
        <f t="shared" si="226"/>
        <v>869</v>
      </c>
    </row>
    <row r="1029" spans="1:35">
      <c r="A1029" s="12">
        <v>45404</v>
      </c>
      <c r="B1029" s="8">
        <f t="shared" si="220"/>
        <v>1979105</v>
      </c>
      <c r="C1029" s="8">
        <v>1979267</v>
      </c>
      <c r="D1029" s="13">
        <f t="shared" si="225"/>
        <v>162</v>
      </c>
      <c r="E1029" s="77">
        <f t="shared" si="214"/>
        <v>273363</v>
      </c>
      <c r="F1029" s="69">
        <v>273363</v>
      </c>
      <c r="G1029" s="133">
        <f t="shared" si="211"/>
        <v>0</v>
      </c>
      <c r="H1029" s="8">
        <f t="shared" si="215"/>
        <v>340481</v>
      </c>
      <c r="I1029" s="8">
        <v>340481</v>
      </c>
      <c r="J1029" s="13">
        <f t="shared" si="224"/>
        <v>0</v>
      </c>
      <c r="K1029" s="138"/>
      <c r="L1029" s="8">
        <f t="shared" si="216"/>
        <v>988888</v>
      </c>
      <c r="M1029" s="8">
        <v>989980</v>
      </c>
      <c r="N1029" s="13">
        <f t="shared" si="227"/>
        <v>1092</v>
      </c>
      <c r="O1029" s="136">
        <f t="shared" si="223"/>
        <v>-326</v>
      </c>
      <c r="P1029" s="8">
        <f t="shared" si="219"/>
        <v>531862</v>
      </c>
      <c r="Q1029" s="8">
        <v>532366</v>
      </c>
      <c r="R1029" s="133">
        <f t="shared" si="207"/>
        <v>504</v>
      </c>
      <c r="S1029" s="8">
        <f t="shared" si="217"/>
        <v>35835</v>
      </c>
      <c r="T1029" s="8">
        <v>35888</v>
      </c>
      <c r="U1029" s="133">
        <f t="shared" si="222"/>
        <v>53</v>
      </c>
      <c r="V1029" s="8">
        <f t="shared" si="218"/>
        <v>533986</v>
      </c>
      <c r="W1029" s="8">
        <v>533986</v>
      </c>
      <c r="X1029" s="13">
        <f t="shared" si="228"/>
        <v>0</v>
      </c>
      <c r="Y1029" s="8">
        <f t="shared" si="213"/>
        <v>36979</v>
      </c>
      <c r="Z1029" s="8">
        <v>36996</v>
      </c>
      <c r="AA1029" s="13">
        <f t="shared" ref="AA1029:AA1092" si="229">Z1029-Y1029</f>
        <v>17</v>
      </c>
      <c r="AB1029" s="8">
        <f t="shared" si="209"/>
        <v>248222</v>
      </c>
      <c r="AC1029" s="8">
        <v>248291</v>
      </c>
      <c r="AD1029" s="13">
        <f t="shared" si="204"/>
        <v>69</v>
      </c>
      <c r="AE1029" s="135"/>
      <c r="AF1029" s="135"/>
      <c r="AG1029" s="135"/>
      <c r="AH1029" s="136"/>
      <c r="AI1029" s="50">
        <f t="shared" si="226"/>
        <v>248</v>
      </c>
    </row>
    <row r="1030" spans="1:35">
      <c r="A1030" s="12">
        <v>45405</v>
      </c>
      <c r="B1030" s="8">
        <f t="shared" si="220"/>
        <v>1979267</v>
      </c>
      <c r="C1030" s="8">
        <v>1979267</v>
      </c>
      <c r="D1030" s="13">
        <f t="shared" si="225"/>
        <v>0</v>
      </c>
      <c r="E1030" s="77">
        <f t="shared" si="214"/>
        <v>273363</v>
      </c>
      <c r="F1030" s="69">
        <v>273363</v>
      </c>
      <c r="G1030" s="133">
        <f>F1031-E1030</f>
        <v>0</v>
      </c>
      <c r="H1030" s="8">
        <f t="shared" si="215"/>
        <v>340481</v>
      </c>
      <c r="I1030" s="8">
        <v>340481</v>
      </c>
      <c r="J1030" s="13">
        <f t="shared" si="224"/>
        <v>0</v>
      </c>
      <c r="K1030" s="138"/>
      <c r="L1030" s="8">
        <f t="shared" si="216"/>
        <v>989980</v>
      </c>
      <c r="M1030" s="8">
        <v>990502</v>
      </c>
      <c r="N1030" s="13">
        <f t="shared" si="227"/>
        <v>522</v>
      </c>
      <c r="O1030" s="136">
        <f t="shared" si="223"/>
        <v>-274</v>
      </c>
      <c r="P1030" s="8">
        <f t="shared" si="219"/>
        <v>532366</v>
      </c>
      <c r="Q1030" s="8">
        <v>532606</v>
      </c>
      <c r="R1030" s="133">
        <f t="shared" si="207"/>
        <v>240</v>
      </c>
      <c r="S1030" s="8">
        <f t="shared" si="217"/>
        <v>35888</v>
      </c>
      <c r="T1030" s="8">
        <v>35928</v>
      </c>
      <c r="U1030" s="133">
        <f t="shared" si="222"/>
        <v>40</v>
      </c>
      <c r="V1030" s="8">
        <f t="shared" si="218"/>
        <v>533986</v>
      </c>
      <c r="W1030" s="8">
        <v>533986</v>
      </c>
      <c r="X1030" s="13">
        <f t="shared" si="228"/>
        <v>0</v>
      </c>
      <c r="Y1030" s="8">
        <f t="shared" si="213"/>
        <v>36996</v>
      </c>
      <c r="Z1030" s="8">
        <v>37012</v>
      </c>
      <c r="AA1030" s="13">
        <f t="shared" si="229"/>
        <v>16</v>
      </c>
      <c r="AB1030" s="8">
        <f t="shared" si="209"/>
        <v>248291</v>
      </c>
      <c r="AC1030" s="8">
        <v>248297</v>
      </c>
      <c r="AD1030" s="13">
        <f t="shared" si="204"/>
        <v>6</v>
      </c>
      <c r="AE1030" s="135"/>
      <c r="AF1030" s="135"/>
      <c r="AG1030" s="135"/>
      <c r="AH1030" s="136"/>
      <c r="AI1030" s="50">
        <f t="shared" si="226"/>
        <v>22</v>
      </c>
    </row>
    <row r="1031" spans="1:35">
      <c r="A1031" s="12">
        <v>45406</v>
      </c>
      <c r="B1031" s="8">
        <f t="shared" si="220"/>
        <v>1979267</v>
      </c>
      <c r="C1031" s="8">
        <v>1979267</v>
      </c>
      <c r="D1031" s="13">
        <f t="shared" si="225"/>
        <v>0</v>
      </c>
      <c r="E1031" s="77">
        <f t="shared" si="214"/>
        <v>273363</v>
      </c>
      <c r="F1031" s="69">
        <v>273363</v>
      </c>
      <c r="G1031" s="133">
        <f>F1032-E1031</f>
        <v>0</v>
      </c>
      <c r="H1031" s="8">
        <f t="shared" si="215"/>
        <v>340481</v>
      </c>
      <c r="I1031" s="8">
        <v>341190</v>
      </c>
      <c r="J1031" s="13">
        <f t="shared" si="224"/>
        <v>709</v>
      </c>
      <c r="K1031" s="138"/>
      <c r="L1031" s="8">
        <f t="shared" si="216"/>
        <v>990502</v>
      </c>
      <c r="M1031" s="8">
        <v>991049</v>
      </c>
      <c r="N1031" s="13">
        <f t="shared" si="227"/>
        <v>547</v>
      </c>
      <c r="O1031" s="136">
        <f t="shared" si="223"/>
        <v>180</v>
      </c>
      <c r="P1031" s="8">
        <f t="shared" si="219"/>
        <v>532606</v>
      </c>
      <c r="Q1031" s="8">
        <v>533088</v>
      </c>
      <c r="R1031" s="133">
        <f t="shared" si="207"/>
        <v>482</v>
      </c>
      <c r="S1031" s="8">
        <f t="shared" si="217"/>
        <v>35928</v>
      </c>
      <c r="T1031" s="8">
        <v>35975</v>
      </c>
      <c r="U1031" s="133">
        <f t="shared" si="222"/>
        <v>47</v>
      </c>
      <c r="V1031" s="8">
        <f t="shared" si="218"/>
        <v>533986</v>
      </c>
      <c r="W1031" s="8">
        <v>533986</v>
      </c>
      <c r="X1031" s="13">
        <f t="shared" si="228"/>
        <v>0</v>
      </c>
      <c r="Y1031" s="8">
        <f t="shared" si="213"/>
        <v>37012</v>
      </c>
      <c r="Z1031" s="8">
        <v>37021</v>
      </c>
      <c r="AA1031" s="13">
        <f t="shared" si="229"/>
        <v>9</v>
      </c>
      <c r="AB1031" s="8">
        <v>248297</v>
      </c>
      <c r="AC1031" s="8">
        <v>248297</v>
      </c>
      <c r="AD1031" s="13">
        <f t="shared" si="204"/>
        <v>0</v>
      </c>
      <c r="AE1031" s="135"/>
      <c r="AF1031" s="135"/>
      <c r="AG1031" s="135"/>
      <c r="AH1031" s="136"/>
      <c r="AI1031" s="50">
        <f t="shared" si="226"/>
        <v>718</v>
      </c>
    </row>
    <row r="1032" spans="1:35">
      <c r="A1032" s="12">
        <v>45407</v>
      </c>
      <c r="B1032" s="8">
        <f t="shared" si="220"/>
        <v>1979267</v>
      </c>
      <c r="C1032" s="8">
        <v>1979277</v>
      </c>
      <c r="D1032" s="13">
        <f t="shared" si="225"/>
        <v>10</v>
      </c>
      <c r="E1032" s="77">
        <f>F1031</f>
        <v>273363</v>
      </c>
      <c r="F1032" s="69">
        <v>273363</v>
      </c>
      <c r="G1032" s="133">
        <f t="shared" si="211"/>
        <v>0</v>
      </c>
      <c r="H1032" s="8">
        <f t="shared" si="215"/>
        <v>341190</v>
      </c>
      <c r="I1032" s="8">
        <v>341389</v>
      </c>
      <c r="J1032" s="13">
        <f t="shared" si="224"/>
        <v>199</v>
      </c>
      <c r="K1032" s="138"/>
      <c r="L1032" s="8">
        <f t="shared" si="216"/>
        <v>991049</v>
      </c>
      <c r="M1032" s="8">
        <v>991319</v>
      </c>
      <c r="N1032" s="13">
        <f t="shared" si="227"/>
        <v>270</v>
      </c>
      <c r="O1032" s="136">
        <f t="shared" si="223"/>
        <v>22</v>
      </c>
      <c r="P1032" s="8">
        <f t="shared" si="219"/>
        <v>533088</v>
      </c>
      <c r="Q1032" s="8">
        <v>533247</v>
      </c>
      <c r="R1032" s="133">
        <f t="shared" si="207"/>
        <v>159</v>
      </c>
      <c r="S1032" s="8">
        <f t="shared" si="217"/>
        <v>35975</v>
      </c>
      <c r="T1032" s="8">
        <v>36003</v>
      </c>
      <c r="U1032" s="133">
        <f t="shared" si="222"/>
        <v>28</v>
      </c>
      <c r="V1032" s="8">
        <f t="shared" si="218"/>
        <v>533986</v>
      </c>
      <c r="W1032" s="8">
        <v>533986</v>
      </c>
      <c r="X1032" s="13">
        <f t="shared" si="228"/>
        <v>0</v>
      </c>
      <c r="Y1032" s="8">
        <f t="shared" si="213"/>
        <v>37021</v>
      </c>
      <c r="Z1032" s="8">
        <v>37030</v>
      </c>
      <c r="AA1032" s="13">
        <f t="shared" si="229"/>
        <v>9</v>
      </c>
      <c r="AB1032" s="8">
        <v>248297</v>
      </c>
      <c r="AC1032" s="8">
        <v>248297</v>
      </c>
      <c r="AD1032" s="13">
        <f t="shared" ref="AD1032:AD1080" si="230">AC1032-AB1032</f>
        <v>0</v>
      </c>
      <c r="AE1032" s="135"/>
      <c r="AF1032" s="135"/>
      <c r="AG1032" s="135"/>
      <c r="AH1032" s="136"/>
      <c r="AI1032" s="50">
        <f t="shared" si="226"/>
        <v>218</v>
      </c>
    </row>
    <row r="1033" spans="1:35">
      <c r="A1033" s="12">
        <v>45408</v>
      </c>
      <c r="B1033" s="8">
        <f t="shared" si="220"/>
        <v>1979277</v>
      </c>
      <c r="C1033" s="8">
        <v>1979298</v>
      </c>
      <c r="D1033" s="13">
        <f t="shared" si="225"/>
        <v>21</v>
      </c>
      <c r="E1033" s="77">
        <f>F1032</f>
        <v>273363</v>
      </c>
      <c r="F1033" s="69">
        <v>273363</v>
      </c>
      <c r="G1033" s="133">
        <f t="shared" si="211"/>
        <v>0</v>
      </c>
      <c r="H1033" s="8">
        <f t="shared" si="215"/>
        <v>341389</v>
      </c>
      <c r="I1033" s="8">
        <v>342057</v>
      </c>
      <c r="J1033" s="13">
        <f t="shared" si="224"/>
        <v>668</v>
      </c>
      <c r="K1033" s="138"/>
      <c r="L1033" s="8">
        <f t="shared" si="216"/>
        <v>991319</v>
      </c>
      <c r="M1033" s="8">
        <v>991639</v>
      </c>
      <c r="N1033" s="13">
        <f t="shared" si="227"/>
        <v>320</v>
      </c>
      <c r="O1033" s="136">
        <f t="shared" si="223"/>
        <v>140</v>
      </c>
      <c r="P1033" s="8">
        <f t="shared" si="219"/>
        <v>533247</v>
      </c>
      <c r="Q1033" s="8">
        <v>533744</v>
      </c>
      <c r="R1033" s="133">
        <f t="shared" si="207"/>
        <v>497</v>
      </c>
      <c r="S1033" s="8">
        <f t="shared" si="217"/>
        <v>36003</v>
      </c>
      <c r="T1033" s="8">
        <v>36055</v>
      </c>
      <c r="U1033" s="133">
        <f t="shared" si="222"/>
        <v>52</v>
      </c>
      <c r="V1033" s="8">
        <f t="shared" si="218"/>
        <v>533986</v>
      </c>
      <c r="W1033" s="8">
        <v>533986</v>
      </c>
      <c r="X1033" s="13">
        <f t="shared" si="228"/>
        <v>0</v>
      </c>
      <c r="Y1033" s="8">
        <f t="shared" si="213"/>
        <v>37030</v>
      </c>
      <c r="Z1033" s="8">
        <v>37042</v>
      </c>
      <c r="AA1033" s="13">
        <f t="shared" si="229"/>
        <v>12</v>
      </c>
      <c r="AB1033" s="8">
        <v>248297</v>
      </c>
      <c r="AC1033" s="8">
        <v>248297</v>
      </c>
      <c r="AD1033" s="13">
        <f t="shared" si="230"/>
        <v>0</v>
      </c>
      <c r="AE1033" s="135"/>
      <c r="AF1033" s="135"/>
      <c r="AG1033" s="135"/>
      <c r="AH1033" s="136"/>
      <c r="AI1033" s="50">
        <f t="shared" si="226"/>
        <v>701</v>
      </c>
    </row>
    <row r="1034" spans="1:35">
      <c r="A1034" s="12">
        <v>45409</v>
      </c>
      <c r="B1034" s="8">
        <f t="shared" si="220"/>
        <v>1979298</v>
      </c>
      <c r="C1034" s="8">
        <v>1979714</v>
      </c>
      <c r="D1034" s="13">
        <f t="shared" si="225"/>
        <v>416</v>
      </c>
      <c r="E1034" s="77">
        <f t="shared" si="214"/>
        <v>273363</v>
      </c>
      <c r="F1034" s="69">
        <v>273363</v>
      </c>
      <c r="G1034" s="133">
        <f t="shared" si="211"/>
        <v>0</v>
      </c>
      <c r="H1034" s="8">
        <f t="shared" si="215"/>
        <v>342057</v>
      </c>
      <c r="I1034" s="8">
        <v>342602</v>
      </c>
      <c r="J1034" s="13">
        <f t="shared" si="224"/>
        <v>545</v>
      </c>
      <c r="K1034" s="138"/>
      <c r="L1034" s="8">
        <f t="shared" si="216"/>
        <v>991639</v>
      </c>
      <c r="M1034" s="8">
        <v>992156</v>
      </c>
      <c r="N1034" s="13">
        <f t="shared" si="227"/>
        <v>517</v>
      </c>
      <c r="O1034" s="136">
        <f t="shared" si="223"/>
        <v>533</v>
      </c>
      <c r="P1034" s="8">
        <f t="shared" si="219"/>
        <v>533744</v>
      </c>
      <c r="Q1034" s="8">
        <v>534128</v>
      </c>
      <c r="R1034" s="133">
        <f t="shared" si="207"/>
        <v>384</v>
      </c>
      <c r="S1034" s="8">
        <f t="shared" si="217"/>
        <v>36055</v>
      </c>
      <c r="T1034" s="8">
        <v>36099</v>
      </c>
      <c r="U1034" s="133">
        <f t="shared" si="222"/>
        <v>44</v>
      </c>
      <c r="V1034" s="8">
        <f t="shared" si="218"/>
        <v>533986</v>
      </c>
      <c r="W1034" s="8">
        <v>533986</v>
      </c>
      <c r="X1034" s="13">
        <f t="shared" si="228"/>
        <v>0</v>
      </c>
      <c r="Y1034" s="8">
        <f t="shared" si="213"/>
        <v>37042</v>
      </c>
      <c r="Z1034" s="8">
        <v>37056</v>
      </c>
      <c r="AA1034" s="13">
        <f t="shared" si="229"/>
        <v>14</v>
      </c>
      <c r="AB1034" s="8">
        <v>248297</v>
      </c>
      <c r="AC1034" s="8">
        <v>248297</v>
      </c>
      <c r="AD1034" s="13">
        <f t="shared" si="230"/>
        <v>0</v>
      </c>
      <c r="AE1034" s="135"/>
      <c r="AF1034" s="135"/>
      <c r="AG1034" s="135"/>
      <c r="AH1034" s="136"/>
      <c r="AI1034" s="50">
        <f t="shared" si="226"/>
        <v>975</v>
      </c>
    </row>
    <row r="1035" spans="1:35">
      <c r="A1035" s="12">
        <v>45410</v>
      </c>
      <c r="B1035" s="8">
        <f t="shared" si="220"/>
        <v>1979714</v>
      </c>
      <c r="C1035" s="8">
        <v>1980374</v>
      </c>
      <c r="D1035" s="13">
        <f t="shared" si="225"/>
        <v>660</v>
      </c>
      <c r="E1035" s="77">
        <f t="shared" si="214"/>
        <v>273363</v>
      </c>
      <c r="F1035" s="69">
        <v>273363</v>
      </c>
      <c r="G1035" s="133">
        <f>F1036-E1035</f>
        <v>0</v>
      </c>
      <c r="H1035" s="8">
        <f t="shared" si="215"/>
        <v>342602</v>
      </c>
      <c r="I1035" s="8">
        <v>342867</v>
      </c>
      <c r="J1035" s="13">
        <f t="shared" si="224"/>
        <v>265</v>
      </c>
      <c r="K1035" s="138"/>
      <c r="L1035" s="8">
        <f t="shared" si="216"/>
        <v>992156</v>
      </c>
      <c r="M1035" s="8">
        <v>992900</v>
      </c>
      <c r="N1035" s="13">
        <f t="shared" si="227"/>
        <v>744</v>
      </c>
      <c r="O1035" s="136">
        <f t="shared" si="223"/>
        <v>656</v>
      </c>
      <c r="P1035" s="8">
        <f t="shared" si="219"/>
        <v>534128</v>
      </c>
      <c r="Q1035" s="8">
        <v>534371</v>
      </c>
      <c r="R1035" s="133">
        <f t="shared" si="207"/>
        <v>243</v>
      </c>
      <c r="S1035" s="8">
        <f t="shared" si="217"/>
        <v>36099</v>
      </c>
      <c r="T1035" s="8">
        <v>36125</v>
      </c>
      <c r="U1035" s="133">
        <f t="shared" si="222"/>
        <v>26</v>
      </c>
      <c r="V1035" s="8">
        <f t="shared" si="218"/>
        <v>533986</v>
      </c>
      <c r="W1035" s="8">
        <v>533986</v>
      </c>
      <c r="X1035" s="13">
        <f t="shared" si="228"/>
        <v>0</v>
      </c>
      <c r="Y1035" s="8">
        <f t="shared" si="213"/>
        <v>37056</v>
      </c>
      <c r="Z1035" s="8">
        <v>37076</v>
      </c>
      <c r="AA1035" s="13">
        <f t="shared" si="229"/>
        <v>20</v>
      </c>
      <c r="AB1035" s="8">
        <f t="shared" si="209"/>
        <v>248297</v>
      </c>
      <c r="AC1035" s="8">
        <v>248297</v>
      </c>
      <c r="AD1035" s="13">
        <f t="shared" si="230"/>
        <v>0</v>
      </c>
      <c r="AE1035" s="135"/>
      <c r="AF1035" s="135"/>
      <c r="AG1035" s="135"/>
      <c r="AH1035" s="136"/>
      <c r="AI1035" s="50">
        <f t="shared" si="226"/>
        <v>945</v>
      </c>
    </row>
    <row r="1036" spans="1:35">
      <c r="A1036" s="12">
        <v>45411</v>
      </c>
      <c r="B1036" s="8">
        <f t="shared" si="220"/>
        <v>1980374</v>
      </c>
      <c r="C1036" s="8">
        <v>1981000</v>
      </c>
      <c r="D1036" s="13">
        <f t="shared" si="225"/>
        <v>626</v>
      </c>
      <c r="E1036" s="77">
        <f t="shared" si="214"/>
        <v>273363</v>
      </c>
      <c r="F1036" s="69">
        <v>273363</v>
      </c>
      <c r="G1036" s="133">
        <f>F1037-E1036</f>
        <v>0</v>
      </c>
      <c r="H1036" s="8">
        <f t="shared" si="215"/>
        <v>342867</v>
      </c>
      <c r="I1036" s="8">
        <v>342867</v>
      </c>
      <c r="J1036" s="13">
        <f t="shared" si="224"/>
        <v>0</v>
      </c>
      <c r="K1036" s="138"/>
      <c r="L1036" s="8">
        <f t="shared" si="216"/>
        <v>992900</v>
      </c>
      <c r="M1036" s="8">
        <v>993900</v>
      </c>
      <c r="N1036" s="13">
        <f t="shared" si="227"/>
        <v>1000</v>
      </c>
      <c r="O1036" s="136">
        <f t="shared" si="223"/>
        <v>291</v>
      </c>
      <c r="P1036" s="8">
        <f t="shared" si="219"/>
        <v>534371</v>
      </c>
      <c r="Q1036" s="8">
        <v>534697</v>
      </c>
      <c r="R1036" s="133">
        <f t="shared" si="207"/>
        <v>326</v>
      </c>
      <c r="S1036" s="8">
        <f t="shared" si="217"/>
        <v>36125</v>
      </c>
      <c r="T1036" s="8">
        <v>36187</v>
      </c>
      <c r="U1036" s="133">
        <f t="shared" si="222"/>
        <v>62</v>
      </c>
      <c r="V1036" s="8">
        <f t="shared" si="218"/>
        <v>533986</v>
      </c>
      <c r="W1036" s="8">
        <v>533986</v>
      </c>
      <c r="X1036" s="13">
        <f t="shared" si="228"/>
        <v>0</v>
      </c>
      <c r="Y1036" s="8">
        <f t="shared" si="213"/>
        <v>37076</v>
      </c>
      <c r="Z1036" s="8">
        <v>37090</v>
      </c>
      <c r="AA1036" s="13">
        <f t="shared" si="229"/>
        <v>14</v>
      </c>
      <c r="AB1036" s="8">
        <f t="shared" si="209"/>
        <v>248297</v>
      </c>
      <c r="AC1036" s="8">
        <v>248350</v>
      </c>
      <c r="AD1036" s="13">
        <f t="shared" si="230"/>
        <v>53</v>
      </c>
      <c r="AE1036" s="135"/>
      <c r="AF1036" s="135"/>
      <c r="AG1036" s="135"/>
      <c r="AH1036" s="136"/>
      <c r="AI1036" s="50">
        <f t="shared" si="226"/>
        <v>693</v>
      </c>
    </row>
    <row r="1037" spans="1:35">
      <c r="A1037" s="12">
        <v>45412</v>
      </c>
      <c r="B1037" s="8">
        <f t="shared" si="220"/>
        <v>1981000</v>
      </c>
      <c r="C1037" s="8">
        <v>1981706</v>
      </c>
      <c r="D1037" s="13">
        <f t="shared" si="225"/>
        <v>706</v>
      </c>
      <c r="E1037" s="77">
        <f>F1036</f>
        <v>273363</v>
      </c>
      <c r="F1037" s="69">
        <v>273363</v>
      </c>
      <c r="G1037" s="133">
        <f t="shared" si="211"/>
        <v>0</v>
      </c>
      <c r="H1037" s="8">
        <f t="shared" si="215"/>
        <v>342867</v>
      </c>
      <c r="I1037" s="8">
        <v>342867</v>
      </c>
      <c r="J1037" s="13">
        <f t="shared" si="224"/>
        <v>0</v>
      </c>
      <c r="K1037" s="138"/>
      <c r="L1037" s="8">
        <f t="shared" si="216"/>
        <v>993900</v>
      </c>
      <c r="M1037" s="8">
        <v>994826</v>
      </c>
      <c r="N1037" s="13">
        <f t="shared" si="227"/>
        <v>926</v>
      </c>
      <c r="O1037" s="136">
        <f t="shared" si="223"/>
        <v>295</v>
      </c>
      <c r="P1037" s="8">
        <f t="shared" si="219"/>
        <v>534697</v>
      </c>
      <c r="Q1037" s="8">
        <v>535114</v>
      </c>
      <c r="R1037" s="133">
        <f t="shared" si="207"/>
        <v>417</v>
      </c>
      <c r="S1037" s="8">
        <f t="shared" si="217"/>
        <v>36187</v>
      </c>
      <c r="T1037" s="8">
        <v>36229</v>
      </c>
      <c r="U1037" s="133">
        <f t="shared" si="222"/>
        <v>42</v>
      </c>
      <c r="V1037" s="8">
        <f t="shared" si="218"/>
        <v>533986</v>
      </c>
      <c r="W1037" s="8">
        <v>533986</v>
      </c>
      <c r="X1037" s="13">
        <f t="shared" si="228"/>
        <v>0</v>
      </c>
      <c r="Y1037" s="8">
        <f t="shared" si="213"/>
        <v>37090</v>
      </c>
      <c r="Z1037" s="8">
        <v>37105</v>
      </c>
      <c r="AA1037" s="13">
        <f t="shared" si="229"/>
        <v>15</v>
      </c>
      <c r="AB1037" s="8">
        <f t="shared" si="209"/>
        <v>248350</v>
      </c>
      <c r="AC1037" s="8">
        <v>248398</v>
      </c>
      <c r="AD1037" s="13">
        <f t="shared" si="230"/>
        <v>48</v>
      </c>
      <c r="AE1037" s="135"/>
      <c r="AF1037" s="135"/>
      <c r="AG1037" s="135"/>
      <c r="AH1037" s="136"/>
      <c r="AI1037" s="50">
        <f t="shared" si="226"/>
        <v>769</v>
      </c>
    </row>
    <row r="1038" spans="1:35">
      <c r="A1038" s="12">
        <v>45413</v>
      </c>
      <c r="B1038" s="8">
        <f t="shared" si="220"/>
        <v>1981706</v>
      </c>
      <c r="C1038" s="8">
        <v>1982389</v>
      </c>
      <c r="D1038" s="13">
        <f t="shared" si="225"/>
        <v>683</v>
      </c>
      <c r="E1038" s="77">
        <f>F1037</f>
        <v>273363</v>
      </c>
      <c r="F1038" s="69">
        <v>273363</v>
      </c>
      <c r="G1038" s="133">
        <v>54</v>
      </c>
      <c r="H1038" s="8">
        <f t="shared" si="215"/>
        <v>342867</v>
      </c>
      <c r="I1038" s="8">
        <v>342867</v>
      </c>
      <c r="J1038" s="13">
        <f t="shared" si="224"/>
        <v>0</v>
      </c>
      <c r="K1038" s="138"/>
      <c r="L1038" s="8">
        <f t="shared" si="216"/>
        <v>994826</v>
      </c>
      <c r="M1038" s="8">
        <v>995539</v>
      </c>
      <c r="N1038" s="13">
        <f t="shared" si="227"/>
        <v>713</v>
      </c>
      <c r="O1038" s="136">
        <f t="shared" si="223"/>
        <v>500</v>
      </c>
      <c r="P1038" s="8">
        <f t="shared" si="219"/>
        <v>535114</v>
      </c>
      <c r="Q1038" s="8">
        <v>535367</v>
      </c>
      <c r="R1038" s="133">
        <f t="shared" si="207"/>
        <v>253</v>
      </c>
      <c r="S1038" s="8">
        <f t="shared" si="217"/>
        <v>36229</v>
      </c>
      <c r="T1038" s="8">
        <v>36269</v>
      </c>
      <c r="U1038" s="133">
        <f t="shared" si="222"/>
        <v>40</v>
      </c>
      <c r="V1038" s="8">
        <f t="shared" si="218"/>
        <v>533986</v>
      </c>
      <c r="W1038" s="8">
        <v>533986</v>
      </c>
      <c r="X1038" s="13">
        <f t="shared" si="228"/>
        <v>0</v>
      </c>
      <c r="Y1038" s="8">
        <f t="shared" si="213"/>
        <v>37105</v>
      </c>
      <c r="Z1038" s="8">
        <v>37124</v>
      </c>
      <c r="AA1038" s="13">
        <f t="shared" si="229"/>
        <v>19</v>
      </c>
      <c r="AB1038" s="8">
        <f t="shared" si="209"/>
        <v>248398</v>
      </c>
      <c r="AC1038" s="8">
        <v>248454</v>
      </c>
      <c r="AD1038" s="13">
        <f t="shared" si="230"/>
        <v>56</v>
      </c>
      <c r="AE1038" s="135"/>
      <c r="AF1038" s="135"/>
      <c r="AG1038" s="135"/>
      <c r="AH1038" s="136"/>
      <c r="AI1038" s="50">
        <f t="shared" si="226"/>
        <v>812</v>
      </c>
    </row>
    <row r="1039" spans="1:35">
      <c r="A1039" s="12">
        <v>45414</v>
      </c>
      <c r="B1039" s="8">
        <f t="shared" si="220"/>
        <v>1982389</v>
      </c>
      <c r="C1039" s="8">
        <v>1982845</v>
      </c>
      <c r="D1039" s="13">
        <f t="shared" si="225"/>
        <v>456</v>
      </c>
      <c r="E1039" s="77">
        <f t="shared" si="214"/>
        <v>273363</v>
      </c>
      <c r="F1039" s="69">
        <v>273363</v>
      </c>
      <c r="G1039" s="133">
        <f t="shared" si="211"/>
        <v>0</v>
      </c>
      <c r="H1039" s="8">
        <f t="shared" si="215"/>
        <v>342867</v>
      </c>
      <c r="I1039" s="8">
        <v>342867</v>
      </c>
      <c r="J1039" s="13">
        <f t="shared" si="224"/>
        <v>0</v>
      </c>
      <c r="K1039" s="138"/>
      <c r="L1039" s="8">
        <f t="shared" si="216"/>
        <v>995539</v>
      </c>
      <c r="M1039" s="8">
        <v>996080</v>
      </c>
      <c r="N1039" s="13">
        <f t="shared" si="227"/>
        <v>541</v>
      </c>
      <c r="O1039" s="136">
        <f t="shared" si="223"/>
        <v>413</v>
      </c>
      <c r="P1039" s="8">
        <f t="shared" si="219"/>
        <v>535367</v>
      </c>
      <c r="Q1039" s="8">
        <v>535424</v>
      </c>
      <c r="R1039" s="133">
        <f t="shared" si="207"/>
        <v>57</v>
      </c>
      <c r="S1039" s="8">
        <f t="shared" si="217"/>
        <v>36269</v>
      </c>
      <c r="T1039" s="8">
        <v>36299</v>
      </c>
      <c r="U1039" s="133">
        <f t="shared" si="222"/>
        <v>30</v>
      </c>
      <c r="V1039" s="8">
        <f t="shared" si="218"/>
        <v>533986</v>
      </c>
      <c r="W1039" s="8">
        <v>533986</v>
      </c>
      <c r="X1039" s="13">
        <f t="shared" si="228"/>
        <v>0</v>
      </c>
      <c r="Y1039" s="8">
        <f t="shared" si="213"/>
        <v>37124</v>
      </c>
      <c r="Z1039" s="8">
        <v>37139</v>
      </c>
      <c r="AA1039" s="13">
        <f t="shared" si="229"/>
        <v>15</v>
      </c>
      <c r="AB1039" s="8">
        <f t="shared" si="209"/>
        <v>248454</v>
      </c>
      <c r="AC1039" s="8">
        <v>248498</v>
      </c>
      <c r="AD1039" s="13">
        <f t="shared" si="230"/>
        <v>44</v>
      </c>
      <c r="AE1039" s="135"/>
      <c r="AF1039" s="135"/>
      <c r="AG1039" s="135"/>
      <c r="AH1039" s="136"/>
      <c r="AI1039" s="50">
        <f t="shared" si="226"/>
        <v>515</v>
      </c>
    </row>
    <row r="1040" spans="1:35">
      <c r="A1040" s="12">
        <v>45415</v>
      </c>
      <c r="B1040" s="8">
        <f t="shared" si="220"/>
        <v>1982845</v>
      </c>
      <c r="C1040" s="8">
        <v>1983472</v>
      </c>
      <c r="D1040" s="13">
        <f t="shared" si="225"/>
        <v>627</v>
      </c>
      <c r="E1040" s="77">
        <f t="shared" si="214"/>
        <v>273363</v>
      </c>
      <c r="F1040" s="69">
        <v>273363</v>
      </c>
      <c r="G1040" s="133">
        <f t="shared" si="211"/>
        <v>0</v>
      </c>
      <c r="H1040" s="8">
        <f t="shared" si="215"/>
        <v>342867</v>
      </c>
      <c r="I1040" s="8">
        <v>342867</v>
      </c>
      <c r="J1040" s="13">
        <f t="shared" si="224"/>
        <v>0</v>
      </c>
      <c r="K1040" s="138"/>
      <c r="L1040" s="8">
        <f t="shared" si="216"/>
        <v>996080</v>
      </c>
      <c r="M1040" s="8">
        <v>997000</v>
      </c>
      <c r="N1040" s="13">
        <f t="shared" si="227"/>
        <v>920</v>
      </c>
      <c r="O1040" s="136">
        <f t="shared" si="223"/>
        <v>297</v>
      </c>
      <c r="P1040" s="8">
        <f t="shared" si="219"/>
        <v>535424</v>
      </c>
      <c r="Q1040" s="8">
        <v>535781</v>
      </c>
      <c r="R1040" s="133">
        <f t="shared" si="207"/>
        <v>357</v>
      </c>
      <c r="S1040" s="8">
        <f t="shared" si="217"/>
        <v>36299</v>
      </c>
      <c r="T1040" s="8">
        <v>36338</v>
      </c>
      <c r="U1040" s="133">
        <f t="shared" si="222"/>
        <v>39</v>
      </c>
      <c r="V1040" s="8">
        <f t="shared" si="218"/>
        <v>533986</v>
      </c>
      <c r="W1040" s="8">
        <v>533986</v>
      </c>
      <c r="X1040" s="13">
        <f t="shared" si="228"/>
        <v>0</v>
      </c>
      <c r="Y1040" s="8">
        <f t="shared" si="213"/>
        <v>37139</v>
      </c>
      <c r="Z1040" s="8">
        <v>37156</v>
      </c>
      <c r="AA1040" s="13">
        <f t="shared" si="229"/>
        <v>17</v>
      </c>
      <c r="AB1040" s="8">
        <f t="shared" si="209"/>
        <v>248498</v>
      </c>
      <c r="AC1040" s="8">
        <v>248564</v>
      </c>
      <c r="AD1040" s="13">
        <f t="shared" si="230"/>
        <v>66</v>
      </c>
      <c r="AE1040" s="135"/>
      <c r="AF1040" s="135"/>
      <c r="AG1040" s="135"/>
      <c r="AH1040" s="136"/>
      <c r="AI1040" s="50">
        <f t="shared" si="226"/>
        <v>710</v>
      </c>
    </row>
    <row r="1041" spans="1:35">
      <c r="A1041" s="12">
        <v>45416</v>
      </c>
      <c r="B1041" s="8">
        <f t="shared" si="220"/>
        <v>1983472</v>
      </c>
      <c r="C1041" s="8">
        <v>1983625</v>
      </c>
      <c r="D1041" s="13">
        <f t="shared" si="225"/>
        <v>153</v>
      </c>
      <c r="E1041" s="77">
        <f t="shared" si="214"/>
        <v>273363</v>
      </c>
      <c r="F1041" s="69">
        <v>273363</v>
      </c>
      <c r="G1041" s="133">
        <f t="shared" si="211"/>
        <v>0</v>
      </c>
      <c r="H1041" s="8">
        <f t="shared" si="215"/>
        <v>342867</v>
      </c>
      <c r="I1041" s="8">
        <v>342867</v>
      </c>
      <c r="J1041" s="13">
        <f t="shared" si="224"/>
        <v>0</v>
      </c>
      <c r="K1041" s="138"/>
      <c r="L1041" s="8">
        <f t="shared" si="216"/>
        <v>997000</v>
      </c>
      <c r="M1041" s="8">
        <v>997288</v>
      </c>
      <c r="N1041" s="13">
        <f t="shared" si="227"/>
        <v>288</v>
      </c>
      <c r="O1041" s="136">
        <f t="shared" si="223"/>
        <v>59</v>
      </c>
      <c r="P1041" s="8">
        <f t="shared" si="219"/>
        <v>535781</v>
      </c>
      <c r="Q1041" s="8">
        <v>535883</v>
      </c>
      <c r="R1041" s="133">
        <f t="shared" si="207"/>
        <v>102</v>
      </c>
      <c r="S1041" s="8">
        <f t="shared" si="217"/>
        <v>36338</v>
      </c>
      <c r="T1041" s="8">
        <v>36370</v>
      </c>
      <c r="U1041" s="133">
        <f t="shared" si="222"/>
        <v>32</v>
      </c>
      <c r="V1041" s="8">
        <f t="shared" si="218"/>
        <v>533986</v>
      </c>
      <c r="W1041" s="8">
        <v>533986</v>
      </c>
      <c r="X1041" s="13">
        <f>W1041-V1041</f>
        <v>0</v>
      </c>
      <c r="Y1041" s="8">
        <f t="shared" si="213"/>
        <v>37156</v>
      </c>
      <c r="Z1041" s="8">
        <v>37166</v>
      </c>
      <c r="AA1041" s="13">
        <f t="shared" si="229"/>
        <v>10</v>
      </c>
      <c r="AB1041" s="8">
        <f t="shared" si="209"/>
        <v>248564</v>
      </c>
      <c r="AC1041" s="8">
        <v>248604</v>
      </c>
      <c r="AD1041" s="13">
        <f t="shared" si="230"/>
        <v>40</v>
      </c>
      <c r="AE1041" s="135"/>
      <c r="AF1041" s="135"/>
      <c r="AG1041" s="135"/>
      <c r="AH1041" s="136"/>
      <c r="AI1041" s="50">
        <f t="shared" si="226"/>
        <v>203</v>
      </c>
    </row>
    <row r="1042" spans="1:35">
      <c r="A1042" s="12">
        <v>45417</v>
      </c>
      <c r="B1042" s="8">
        <f t="shared" si="220"/>
        <v>1983625</v>
      </c>
      <c r="C1042" s="8">
        <v>1983625</v>
      </c>
      <c r="D1042" s="13">
        <f t="shared" si="225"/>
        <v>0</v>
      </c>
      <c r="E1042" s="77">
        <f t="shared" si="214"/>
        <v>273363</v>
      </c>
      <c r="F1042" s="69">
        <v>273363</v>
      </c>
      <c r="G1042" s="133">
        <f t="shared" si="211"/>
        <v>0</v>
      </c>
      <c r="H1042" s="8">
        <f t="shared" si="215"/>
        <v>342867</v>
      </c>
      <c r="I1042" s="8">
        <v>343302</v>
      </c>
      <c r="J1042" s="13">
        <f t="shared" si="224"/>
        <v>435</v>
      </c>
      <c r="K1042" s="138"/>
      <c r="L1042" s="8">
        <f t="shared" si="216"/>
        <v>997288</v>
      </c>
      <c r="M1042" s="8">
        <v>997839</v>
      </c>
      <c r="N1042" s="13">
        <f t="shared" si="227"/>
        <v>551</v>
      </c>
      <c r="O1042" s="136">
        <f t="shared" si="223"/>
        <v>20</v>
      </c>
      <c r="P1042" s="8">
        <f t="shared" si="219"/>
        <v>535883</v>
      </c>
      <c r="Q1042" s="8">
        <v>536229</v>
      </c>
      <c r="R1042" s="133">
        <f t="shared" si="207"/>
        <v>346</v>
      </c>
      <c r="S1042" s="8">
        <f t="shared" si="217"/>
        <v>36370</v>
      </c>
      <c r="T1042" s="8">
        <v>36439</v>
      </c>
      <c r="U1042" s="133">
        <f t="shared" si="222"/>
        <v>69</v>
      </c>
      <c r="V1042" s="8">
        <f>W1041</f>
        <v>533986</v>
      </c>
      <c r="W1042" s="8">
        <v>533986</v>
      </c>
      <c r="X1042" s="13">
        <f>W1042-V1042</f>
        <v>0</v>
      </c>
      <c r="Y1042" s="8">
        <f t="shared" si="213"/>
        <v>37166</v>
      </c>
      <c r="Z1042" s="8">
        <v>37168</v>
      </c>
      <c r="AA1042" s="13">
        <f t="shared" si="229"/>
        <v>2</v>
      </c>
      <c r="AB1042" s="8">
        <f t="shared" si="209"/>
        <v>248604</v>
      </c>
      <c r="AC1042" s="8">
        <v>248604</v>
      </c>
      <c r="AD1042" s="13">
        <f t="shared" si="230"/>
        <v>0</v>
      </c>
      <c r="AE1042" s="135"/>
      <c r="AF1042" s="135"/>
      <c r="AG1042" s="135"/>
      <c r="AH1042" s="136"/>
      <c r="AI1042" s="50">
        <f t="shared" si="226"/>
        <v>437</v>
      </c>
    </row>
    <row r="1043" spans="1:35">
      <c r="A1043" s="12">
        <v>45418</v>
      </c>
      <c r="B1043" s="8">
        <f t="shared" si="220"/>
        <v>1983625</v>
      </c>
      <c r="C1043" s="8">
        <v>1983762</v>
      </c>
      <c r="D1043" s="13">
        <f t="shared" si="225"/>
        <v>137</v>
      </c>
      <c r="E1043" s="77">
        <f t="shared" si="214"/>
        <v>273363</v>
      </c>
      <c r="F1043" s="69">
        <v>273363</v>
      </c>
      <c r="G1043" s="133">
        <f t="shared" si="211"/>
        <v>0</v>
      </c>
      <c r="H1043" s="8">
        <f t="shared" si="215"/>
        <v>343302</v>
      </c>
      <c r="I1043" s="8">
        <v>343446</v>
      </c>
      <c r="J1043" s="13">
        <f t="shared" si="224"/>
        <v>144</v>
      </c>
      <c r="K1043" s="138"/>
      <c r="L1043" s="8">
        <f t="shared" si="216"/>
        <v>997839</v>
      </c>
      <c r="M1043" s="8">
        <v>998379</v>
      </c>
      <c r="N1043" s="13">
        <f t="shared" si="227"/>
        <v>540</v>
      </c>
      <c r="O1043" s="136">
        <f t="shared" si="223"/>
        <v>-145</v>
      </c>
      <c r="P1043" s="8">
        <f t="shared" si="219"/>
        <v>536229</v>
      </c>
      <c r="Q1043" s="8">
        <v>536633</v>
      </c>
      <c r="R1043" s="133">
        <f t="shared" si="207"/>
        <v>404</v>
      </c>
      <c r="S1043" s="8">
        <f t="shared" si="217"/>
        <v>36439</v>
      </c>
      <c r="T1043" s="8">
        <v>36461</v>
      </c>
      <c r="U1043" s="133">
        <f t="shared" si="222"/>
        <v>22</v>
      </c>
      <c r="V1043" s="8">
        <f>W1042</f>
        <v>533986</v>
      </c>
      <c r="W1043" s="8">
        <v>533986</v>
      </c>
      <c r="X1043" s="13">
        <f t="shared" si="228"/>
        <v>0</v>
      </c>
      <c r="Y1043" s="8">
        <f t="shared" si="213"/>
        <v>37168</v>
      </c>
      <c r="Z1043" s="8">
        <v>37181</v>
      </c>
      <c r="AA1043" s="13">
        <f t="shared" si="229"/>
        <v>13</v>
      </c>
      <c r="AB1043" s="8">
        <f t="shared" si="209"/>
        <v>248604</v>
      </c>
      <c r="AC1043" s="8">
        <v>248604</v>
      </c>
      <c r="AD1043" s="13">
        <f t="shared" si="230"/>
        <v>0</v>
      </c>
      <c r="AE1043" s="135"/>
      <c r="AF1043" s="135"/>
      <c r="AG1043" s="135"/>
      <c r="AH1043" s="136"/>
      <c r="AI1043" s="50">
        <f t="shared" si="226"/>
        <v>294</v>
      </c>
    </row>
    <row r="1044" spans="1:35">
      <c r="A1044" s="12">
        <v>45419</v>
      </c>
      <c r="B1044" s="8">
        <f t="shared" si="220"/>
        <v>1983762</v>
      </c>
      <c r="C1044" s="8">
        <v>1984206</v>
      </c>
      <c r="D1044" s="13">
        <f t="shared" si="225"/>
        <v>444</v>
      </c>
      <c r="E1044" s="77">
        <f t="shared" si="214"/>
        <v>273363</v>
      </c>
      <c r="F1044" s="69">
        <v>273363</v>
      </c>
      <c r="G1044" s="133">
        <f t="shared" si="211"/>
        <v>0</v>
      </c>
      <c r="H1044" s="8">
        <f t="shared" si="215"/>
        <v>343446</v>
      </c>
      <c r="I1044" s="8">
        <v>343446</v>
      </c>
      <c r="J1044" s="13">
        <f t="shared" si="224"/>
        <v>0</v>
      </c>
      <c r="K1044" s="138"/>
      <c r="L1044" s="8">
        <f t="shared" si="216"/>
        <v>998379</v>
      </c>
      <c r="M1044" s="8">
        <v>999572</v>
      </c>
      <c r="N1044" s="13">
        <f t="shared" si="227"/>
        <v>1193</v>
      </c>
      <c r="O1044" s="136">
        <f t="shared" si="223"/>
        <v>-45</v>
      </c>
      <c r="P1044" s="8">
        <f t="shared" si="219"/>
        <v>536633</v>
      </c>
      <c r="Q1044" s="8">
        <v>537131</v>
      </c>
      <c r="R1044" s="133">
        <f t="shared" si="207"/>
        <v>498</v>
      </c>
      <c r="S1044" s="8">
        <f t="shared" si="217"/>
        <v>36461</v>
      </c>
      <c r="T1044" s="8">
        <v>36497</v>
      </c>
      <c r="U1044" s="133">
        <f t="shared" si="222"/>
        <v>36</v>
      </c>
      <c r="V1044" s="8">
        <f t="shared" si="218"/>
        <v>533986</v>
      </c>
      <c r="W1044" s="8">
        <v>533986</v>
      </c>
      <c r="X1044" s="13">
        <f t="shared" si="228"/>
        <v>0</v>
      </c>
      <c r="Y1044" s="8">
        <f t="shared" si="213"/>
        <v>37181</v>
      </c>
      <c r="Z1044" s="8">
        <v>37206</v>
      </c>
      <c r="AA1044" s="13">
        <f t="shared" si="229"/>
        <v>25</v>
      </c>
      <c r="AB1044" s="8">
        <f t="shared" si="209"/>
        <v>248604</v>
      </c>
      <c r="AC1044" s="8">
        <v>248649</v>
      </c>
      <c r="AD1044" s="13">
        <f t="shared" si="230"/>
        <v>45</v>
      </c>
      <c r="AE1044" s="135"/>
      <c r="AF1044" s="135"/>
      <c r="AG1044" s="135"/>
      <c r="AH1044" s="136"/>
      <c r="AI1044" s="50">
        <f t="shared" si="226"/>
        <v>514</v>
      </c>
    </row>
    <row r="1045" spans="1:35">
      <c r="A1045" s="12">
        <v>45420</v>
      </c>
      <c r="B1045" s="8">
        <f t="shared" si="220"/>
        <v>1984206</v>
      </c>
      <c r="C1045" s="8">
        <v>1984611</v>
      </c>
      <c r="D1045" s="13">
        <f t="shared" si="225"/>
        <v>405</v>
      </c>
      <c r="E1045" s="77">
        <f t="shared" si="214"/>
        <v>273363</v>
      </c>
      <c r="F1045" s="69">
        <v>273363</v>
      </c>
      <c r="G1045" s="133">
        <f>F1046-E1045</f>
        <v>0</v>
      </c>
      <c r="H1045" s="8">
        <f t="shared" si="215"/>
        <v>343446</v>
      </c>
      <c r="I1045" s="8">
        <v>343978</v>
      </c>
      <c r="J1045" s="13">
        <f t="shared" si="224"/>
        <v>532</v>
      </c>
      <c r="K1045" s="138"/>
      <c r="L1045" s="8">
        <f t="shared" si="216"/>
        <v>999572</v>
      </c>
      <c r="M1045" s="8">
        <v>1000181</v>
      </c>
      <c r="N1045" s="13">
        <f t="shared" si="227"/>
        <v>609</v>
      </c>
      <c r="O1045" s="136">
        <f t="shared" si="223"/>
        <v>389</v>
      </c>
      <c r="P1045" s="8">
        <f t="shared" si="219"/>
        <v>537131</v>
      </c>
      <c r="Q1045" s="8">
        <v>537660</v>
      </c>
      <c r="R1045" s="133">
        <f t="shared" si="207"/>
        <v>529</v>
      </c>
      <c r="S1045" s="8">
        <f t="shared" si="217"/>
        <v>36497</v>
      </c>
      <c r="T1045" s="8">
        <v>36570</v>
      </c>
      <c r="U1045" s="133">
        <f t="shared" si="222"/>
        <v>73</v>
      </c>
      <c r="V1045" s="8">
        <f t="shared" si="218"/>
        <v>533986</v>
      </c>
      <c r="W1045" s="8">
        <v>533986</v>
      </c>
      <c r="X1045" s="13">
        <f t="shared" si="228"/>
        <v>0</v>
      </c>
      <c r="Y1045" s="8">
        <f t="shared" si="213"/>
        <v>37206</v>
      </c>
      <c r="Z1045" s="8">
        <v>37221</v>
      </c>
      <c r="AA1045" s="13">
        <f t="shared" si="229"/>
        <v>15</v>
      </c>
      <c r="AB1045" s="8">
        <f t="shared" si="209"/>
        <v>248649</v>
      </c>
      <c r="AC1045" s="8">
        <v>248703</v>
      </c>
      <c r="AD1045" s="13">
        <f t="shared" si="230"/>
        <v>54</v>
      </c>
      <c r="AE1045" s="135"/>
      <c r="AF1045" s="135"/>
      <c r="AG1045" s="135"/>
      <c r="AH1045" s="136"/>
      <c r="AI1045" s="50">
        <f t="shared" si="226"/>
        <v>1006</v>
      </c>
    </row>
    <row r="1046" spans="1:35">
      <c r="A1046" s="12">
        <v>45421</v>
      </c>
      <c r="B1046" s="8">
        <f t="shared" si="220"/>
        <v>1984611</v>
      </c>
      <c r="C1046" s="8">
        <v>1985130</v>
      </c>
      <c r="D1046" s="13">
        <f t="shared" si="225"/>
        <v>519</v>
      </c>
      <c r="E1046" s="77">
        <f t="shared" si="214"/>
        <v>273363</v>
      </c>
      <c r="F1046" s="69">
        <v>273363</v>
      </c>
      <c r="G1046" s="133">
        <f>F1047-E1046</f>
        <v>0</v>
      </c>
      <c r="H1046" s="8">
        <f t="shared" si="215"/>
        <v>343978</v>
      </c>
      <c r="I1046" s="8">
        <v>344468</v>
      </c>
      <c r="J1046" s="13">
        <f t="shared" si="224"/>
        <v>490</v>
      </c>
      <c r="K1046" s="138"/>
      <c r="L1046" s="8">
        <f t="shared" si="216"/>
        <v>1000181</v>
      </c>
      <c r="M1046" s="8">
        <v>1000681</v>
      </c>
      <c r="N1046" s="13">
        <f t="shared" si="227"/>
        <v>500</v>
      </c>
      <c r="O1046" s="136">
        <f t="shared" si="223"/>
        <v>670</v>
      </c>
      <c r="P1046" s="8">
        <f t="shared" si="219"/>
        <v>537660</v>
      </c>
      <c r="Q1046" s="8">
        <v>538018</v>
      </c>
      <c r="R1046" s="133">
        <f t="shared" si="207"/>
        <v>358</v>
      </c>
      <c r="S1046" s="8">
        <f t="shared" si="217"/>
        <v>36570</v>
      </c>
      <c r="T1046" s="8">
        <v>36613</v>
      </c>
      <c r="U1046" s="133">
        <f t="shared" si="222"/>
        <v>43</v>
      </c>
      <c r="V1046" s="8">
        <f t="shared" si="218"/>
        <v>533986</v>
      </c>
      <c r="W1046" s="8">
        <v>533986</v>
      </c>
      <c r="X1046" s="13">
        <f t="shared" si="228"/>
        <v>0</v>
      </c>
      <c r="Y1046" s="8">
        <f t="shared" si="213"/>
        <v>37221</v>
      </c>
      <c r="Z1046" s="8">
        <v>37237</v>
      </c>
      <c r="AA1046" s="13">
        <f t="shared" si="229"/>
        <v>16</v>
      </c>
      <c r="AB1046" s="8">
        <f t="shared" si="209"/>
        <v>248703</v>
      </c>
      <c r="AC1046" s="8">
        <v>248765</v>
      </c>
      <c r="AD1046" s="13">
        <f t="shared" si="230"/>
        <v>62</v>
      </c>
      <c r="AE1046" s="135"/>
      <c r="AF1046" s="135"/>
      <c r="AG1046" s="135"/>
      <c r="AH1046" s="136"/>
      <c r="AI1046" s="50">
        <f t="shared" si="226"/>
        <v>1087</v>
      </c>
    </row>
    <row r="1047" spans="1:35">
      <c r="A1047" s="12">
        <v>45422</v>
      </c>
      <c r="B1047" s="8">
        <f t="shared" si="220"/>
        <v>1985130</v>
      </c>
      <c r="C1047" s="8">
        <v>1985851</v>
      </c>
      <c r="D1047" s="13">
        <f t="shared" si="225"/>
        <v>721</v>
      </c>
      <c r="E1047" s="77">
        <f>F1046</f>
        <v>273363</v>
      </c>
      <c r="F1047" s="69">
        <v>273363</v>
      </c>
      <c r="G1047" s="133">
        <f t="shared" si="211"/>
        <v>0</v>
      </c>
      <c r="H1047" s="8">
        <f t="shared" si="215"/>
        <v>344468</v>
      </c>
      <c r="I1047" s="8">
        <v>344468</v>
      </c>
      <c r="J1047" s="13">
        <f t="shared" si="224"/>
        <v>0</v>
      </c>
      <c r="K1047" s="138"/>
      <c r="L1047" s="8">
        <f t="shared" si="216"/>
        <v>1000681</v>
      </c>
      <c r="M1047" s="8">
        <v>1001777</v>
      </c>
      <c r="N1047" s="13">
        <f t="shared" si="227"/>
        <v>1096</v>
      </c>
      <c r="O1047" s="136">
        <f t="shared" si="223"/>
        <v>194</v>
      </c>
      <c r="P1047" s="8">
        <f t="shared" si="219"/>
        <v>538018</v>
      </c>
      <c r="Q1047" s="8">
        <v>538578</v>
      </c>
      <c r="R1047" s="133">
        <f t="shared" ref="R1047:R1111" si="231">Q1047-P1047</f>
        <v>560</v>
      </c>
      <c r="S1047" s="8">
        <f t="shared" si="217"/>
        <v>36613</v>
      </c>
      <c r="T1047" s="8">
        <v>36668</v>
      </c>
      <c r="U1047" s="133">
        <f t="shared" si="222"/>
        <v>55</v>
      </c>
      <c r="V1047" s="8">
        <f t="shared" si="218"/>
        <v>533986</v>
      </c>
      <c r="W1047" s="8">
        <v>533986</v>
      </c>
      <c r="X1047" s="13">
        <f t="shared" si="228"/>
        <v>0</v>
      </c>
      <c r="Y1047" s="8">
        <f t="shared" si="213"/>
        <v>37237</v>
      </c>
      <c r="Z1047" s="8">
        <v>37252</v>
      </c>
      <c r="AA1047" s="13">
        <f>Z1047-Y1047</f>
        <v>15</v>
      </c>
      <c r="AB1047" s="8">
        <f t="shared" si="209"/>
        <v>248765</v>
      </c>
      <c r="AC1047" s="8">
        <v>248853</v>
      </c>
      <c r="AD1047" s="13">
        <f t="shared" si="230"/>
        <v>88</v>
      </c>
      <c r="AE1047" s="135"/>
      <c r="AF1047" s="135"/>
      <c r="AG1047" s="135"/>
      <c r="AH1047" s="136"/>
      <c r="AI1047" s="50">
        <f t="shared" si="226"/>
        <v>824</v>
      </c>
    </row>
    <row r="1048" spans="1:35">
      <c r="A1048" s="12">
        <v>45423</v>
      </c>
      <c r="B1048" s="8">
        <f t="shared" si="220"/>
        <v>1985851</v>
      </c>
      <c r="C1048" s="8">
        <v>1986125</v>
      </c>
      <c r="D1048" s="13">
        <f t="shared" si="225"/>
        <v>274</v>
      </c>
      <c r="E1048" s="77">
        <f>F1047</f>
        <v>273363</v>
      </c>
      <c r="F1048" s="69">
        <v>273363</v>
      </c>
      <c r="G1048" s="133">
        <f t="shared" si="211"/>
        <v>0</v>
      </c>
      <c r="H1048" s="8">
        <f t="shared" si="215"/>
        <v>344468</v>
      </c>
      <c r="I1048" s="8">
        <v>344468</v>
      </c>
      <c r="J1048" s="13">
        <f t="shared" si="224"/>
        <v>0</v>
      </c>
      <c r="K1048" s="138"/>
      <c r="L1048" s="8">
        <f t="shared" si="216"/>
        <v>1001777</v>
      </c>
      <c r="M1048" s="8">
        <v>1002860</v>
      </c>
      <c r="N1048" s="13">
        <f t="shared" si="227"/>
        <v>1083</v>
      </c>
      <c r="O1048" s="136">
        <f t="shared" si="223"/>
        <v>-186</v>
      </c>
      <c r="P1048" s="8">
        <f t="shared" si="219"/>
        <v>538578</v>
      </c>
      <c r="Q1048" s="8">
        <v>539074</v>
      </c>
      <c r="R1048" s="133">
        <f t="shared" si="231"/>
        <v>496</v>
      </c>
      <c r="S1048" s="8">
        <f t="shared" si="217"/>
        <v>36668</v>
      </c>
      <c r="T1048" s="8">
        <v>36709</v>
      </c>
      <c r="U1048" s="133">
        <f t="shared" si="222"/>
        <v>41</v>
      </c>
      <c r="V1048" s="8">
        <f t="shared" si="218"/>
        <v>533986</v>
      </c>
      <c r="W1048" s="8">
        <v>533986</v>
      </c>
      <c r="X1048" s="13">
        <f t="shared" si="228"/>
        <v>0</v>
      </c>
      <c r="Y1048" s="8">
        <f t="shared" si="213"/>
        <v>37252</v>
      </c>
      <c r="Z1048" s="8">
        <v>37267</v>
      </c>
      <c r="AA1048" s="13">
        <f t="shared" si="229"/>
        <v>15</v>
      </c>
      <c r="AB1048" s="8">
        <f t="shared" si="209"/>
        <v>248853</v>
      </c>
      <c r="AC1048" s="8">
        <v>248930</v>
      </c>
      <c r="AD1048" s="13">
        <f t="shared" si="230"/>
        <v>77</v>
      </c>
      <c r="AE1048" s="135"/>
      <c r="AF1048" s="135"/>
      <c r="AG1048" s="135"/>
      <c r="AH1048" s="136"/>
      <c r="AI1048" s="50">
        <f t="shared" si="226"/>
        <v>366</v>
      </c>
    </row>
    <row r="1049" spans="1:35">
      <c r="A1049" s="12">
        <v>45424</v>
      </c>
      <c r="B1049" s="8">
        <f t="shared" si="220"/>
        <v>1986125</v>
      </c>
      <c r="C1049" s="8">
        <v>1986473</v>
      </c>
      <c r="D1049" s="13">
        <f t="shared" si="225"/>
        <v>348</v>
      </c>
      <c r="E1049" s="77">
        <f t="shared" si="214"/>
        <v>273363</v>
      </c>
      <c r="F1049" s="69">
        <v>273363</v>
      </c>
      <c r="G1049" s="133">
        <f t="shared" si="211"/>
        <v>0</v>
      </c>
      <c r="H1049" s="8">
        <f t="shared" si="215"/>
        <v>344468</v>
      </c>
      <c r="I1049" s="8">
        <v>344468</v>
      </c>
      <c r="J1049" s="13">
        <f t="shared" si="224"/>
        <v>0</v>
      </c>
      <c r="K1049" s="138"/>
      <c r="L1049" s="8">
        <f t="shared" si="216"/>
        <v>1002860</v>
      </c>
      <c r="M1049" s="8">
        <v>1003760</v>
      </c>
      <c r="N1049" s="13">
        <f t="shared" si="227"/>
        <v>900</v>
      </c>
      <c r="O1049" s="136">
        <f t="shared" si="223"/>
        <v>-105</v>
      </c>
      <c r="P1049" s="8">
        <f t="shared" si="219"/>
        <v>539074</v>
      </c>
      <c r="Q1049" s="8">
        <v>539536</v>
      </c>
      <c r="R1049" s="133">
        <f t="shared" si="231"/>
        <v>462</v>
      </c>
      <c r="S1049" s="8">
        <f t="shared" si="217"/>
        <v>36709</v>
      </c>
      <c r="T1049" s="8">
        <v>36768</v>
      </c>
      <c r="U1049" s="133">
        <f t="shared" si="222"/>
        <v>59</v>
      </c>
      <c r="V1049" s="8">
        <f t="shared" si="218"/>
        <v>533986</v>
      </c>
      <c r="W1049" s="8">
        <v>533986</v>
      </c>
      <c r="X1049" s="13">
        <f t="shared" si="228"/>
        <v>0</v>
      </c>
      <c r="Y1049" s="8">
        <f t="shared" si="213"/>
        <v>37267</v>
      </c>
      <c r="Z1049" s="8">
        <v>37355</v>
      </c>
      <c r="AA1049" s="13">
        <f t="shared" si="229"/>
        <v>88</v>
      </c>
      <c r="AB1049" s="8">
        <f t="shared" ref="AB1049:AB1112" si="232">AC1048</f>
        <v>248930</v>
      </c>
      <c r="AC1049" s="8">
        <v>248998</v>
      </c>
      <c r="AD1049" s="13">
        <f t="shared" si="230"/>
        <v>68</v>
      </c>
      <c r="AE1049" s="135"/>
      <c r="AF1049" s="135"/>
      <c r="AG1049" s="135"/>
      <c r="AH1049" s="136"/>
      <c r="AI1049" s="50">
        <f t="shared" si="226"/>
        <v>504</v>
      </c>
    </row>
    <row r="1050" spans="1:35">
      <c r="A1050" s="12">
        <v>45425</v>
      </c>
      <c r="B1050" s="8">
        <f t="shared" si="220"/>
        <v>1986473</v>
      </c>
      <c r="C1050" s="8">
        <v>1986995</v>
      </c>
      <c r="D1050" s="13">
        <f t="shared" si="225"/>
        <v>522</v>
      </c>
      <c r="E1050" s="77">
        <f t="shared" si="214"/>
        <v>273363</v>
      </c>
      <c r="F1050" s="69">
        <v>273363</v>
      </c>
      <c r="G1050" s="133">
        <f t="shared" si="211"/>
        <v>0</v>
      </c>
      <c r="H1050" s="8">
        <f t="shared" si="215"/>
        <v>344468</v>
      </c>
      <c r="I1050" s="8">
        <v>344468</v>
      </c>
      <c r="J1050" s="13">
        <f t="shared" si="224"/>
        <v>0</v>
      </c>
      <c r="K1050" s="138"/>
      <c r="L1050" s="8">
        <f t="shared" si="216"/>
        <v>1003760</v>
      </c>
      <c r="M1050" s="8">
        <v>1004762</v>
      </c>
      <c r="N1050" s="13">
        <f t="shared" si="227"/>
        <v>1002</v>
      </c>
      <c r="O1050" s="136">
        <f t="shared" si="223"/>
        <v>111</v>
      </c>
      <c r="P1050" s="8">
        <f t="shared" si="219"/>
        <v>539536</v>
      </c>
      <c r="Q1050" s="8">
        <v>539985</v>
      </c>
      <c r="R1050" s="133">
        <f t="shared" si="231"/>
        <v>449</v>
      </c>
      <c r="S1050" s="8">
        <f t="shared" si="217"/>
        <v>36768</v>
      </c>
      <c r="T1050" s="8">
        <v>36826</v>
      </c>
      <c r="U1050" s="133">
        <f t="shared" si="222"/>
        <v>58</v>
      </c>
      <c r="V1050" s="8">
        <f t="shared" si="218"/>
        <v>533986</v>
      </c>
      <c r="W1050" s="8">
        <v>533986</v>
      </c>
      <c r="X1050" s="13">
        <f t="shared" si="228"/>
        <v>0</v>
      </c>
      <c r="Y1050" s="8">
        <f t="shared" si="213"/>
        <v>37355</v>
      </c>
      <c r="Z1050" s="8">
        <v>37372</v>
      </c>
      <c r="AA1050" s="13">
        <f t="shared" si="229"/>
        <v>17</v>
      </c>
      <c r="AB1050" s="8">
        <f t="shared" si="232"/>
        <v>248998</v>
      </c>
      <c r="AC1050" s="8">
        <v>249094</v>
      </c>
      <c r="AD1050" s="13">
        <f t="shared" si="230"/>
        <v>96</v>
      </c>
      <c r="AE1050" s="135"/>
      <c r="AF1050" s="135"/>
      <c r="AG1050" s="135"/>
      <c r="AH1050" s="136"/>
      <c r="AI1050" s="50">
        <f t="shared" si="226"/>
        <v>635</v>
      </c>
    </row>
    <row r="1051" spans="1:35">
      <c r="A1051" s="12">
        <v>45426</v>
      </c>
      <c r="B1051" s="8">
        <f t="shared" si="220"/>
        <v>1986995</v>
      </c>
      <c r="C1051" s="8">
        <v>1987953</v>
      </c>
      <c r="D1051" s="13">
        <f t="shared" si="225"/>
        <v>958</v>
      </c>
      <c r="E1051" s="77">
        <f t="shared" si="214"/>
        <v>273363</v>
      </c>
      <c r="F1051" s="69">
        <v>273363</v>
      </c>
      <c r="G1051" s="133">
        <f t="shared" si="211"/>
        <v>0</v>
      </c>
      <c r="H1051" s="8">
        <f t="shared" si="215"/>
        <v>344468</v>
      </c>
      <c r="I1051" s="8">
        <v>344468</v>
      </c>
      <c r="J1051" s="13">
        <f t="shared" si="224"/>
        <v>0</v>
      </c>
      <c r="K1051" s="138"/>
      <c r="L1051" s="8">
        <f t="shared" si="216"/>
        <v>1004762</v>
      </c>
      <c r="M1051" s="8">
        <v>1005876</v>
      </c>
      <c r="N1051" s="13">
        <f t="shared" si="227"/>
        <v>1114</v>
      </c>
      <c r="O1051" s="136">
        <f t="shared" si="223"/>
        <v>537</v>
      </c>
      <c r="P1051" s="8">
        <f t="shared" si="219"/>
        <v>539985</v>
      </c>
      <c r="Q1051" s="8">
        <v>540470</v>
      </c>
      <c r="R1051" s="133">
        <f t="shared" si="231"/>
        <v>485</v>
      </c>
      <c r="S1051" s="8">
        <f t="shared" si="217"/>
        <v>36826</v>
      </c>
      <c r="T1051" s="8">
        <v>36868</v>
      </c>
      <c r="U1051" s="133">
        <f t="shared" si="222"/>
        <v>42</v>
      </c>
      <c r="V1051" s="8">
        <f t="shared" si="218"/>
        <v>533986</v>
      </c>
      <c r="W1051" s="8">
        <v>533986</v>
      </c>
      <c r="X1051" s="13">
        <f t="shared" si="228"/>
        <v>0</v>
      </c>
      <c r="Y1051" s="8">
        <f t="shared" si="213"/>
        <v>37372</v>
      </c>
      <c r="Z1051" s="8">
        <v>37391</v>
      </c>
      <c r="AA1051" s="13">
        <f t="shared" si="229"/>
        <v>19</v>
      </c>
      <c r="AB1051" s="8">
        <f t="shared" si="232"/>
        <v>249094</v>
      </c>
      <c r="AC1051" s="8">
        <v>249200</v>
      </c>
      <c r="AD1051" s="13">
        <f t="shared" si="230"/>
        <v>106</v>
      </c>
      <c r="AE1051" s="135"/>
      <c r="AF1051" s="135"/>
      <c r="AG1051" s="135"/>
      <c r="AH1051" s="136"/>
      <c r="AI1051" s="50">
        <f t="shared" si="226"/>
        <v>1083</v>
      </c>
    </row>
    <row r="1052" spans="1:35">
      <c r="A1052" s="12">
        <v>45427</v>
      </c>
      <c r="B1052" s="8">
        <f t="shared" si="220"/>
        <v>1987953</v>
      </c>
      <c r="C1052" s="8">
        <v>1989210</v>
      </c>
      <c r="D1052" s="13">
        <f t="shared" si="225"/>
        <v>1257</v>
      </c>
      <c r="E1052" s="77">
        <f t="shared" si="214"/>
        <v>273363</v>
      </c>
      <c r="F1052" s="69">
        <v>273363</v>
      </c>
      <c r="G1052" s="133">
        <f t="shared" si="211"/>
        <v>0</v>
      </c>
      <c r="H1052" s="8">
        <f t="shared" si="215"/>
        <v>344468</v>
      </c>
      <c r="I1052" s="8">
        <v>344468</v>
      </c>
      <c r="J1052" s="13">
        <f t="shared" si="224"/>
        <v>0</v>
      </c>
      <c r="K1052" s="138"/>
      <c r="L1052" s="8">
        <f t="shared" si="216"/>
        <v>1005876</v>
      </c>
      <c r="M1052" s="8">
        <v>1007147</v>
      </c>
      <c r="N1052" s="13">
        <f t="shared" si="227"/>
        <v>1271</v>
      </c>
      <c r="O1052" s="136">
        <f t="shared" si="223"/>
        <v>704</v>
      </c>
      <c r="P1052" s="8">
        <f t="shared" si="219"/>
        <v>540470</v>
      </c>
      <c r="Q1052" s="8">
        <v>541034</v>
      </c>
      <c r="R1052" s="133">
        <f t="shared" si="231"/>
        <v>564</v>
      </c>
      <c r="S1052" s="8">
        <f t="shared" si="217"/>
        <v>36868</v>
      </c>
      <c r="T1052" s="8">
        <v>36929</v>
      </c>
      <c r="U1052" s="133">
        <f t="shared" si="222"/>
        <v>61</v>
      </c>
      <c r="V1052" s="8">
        <f t="shared" si="218"/>
        <v>533986</v>
      </c>
      <c r="W1052" s="8">
        <v>533986</v>
      </c>
      <c r="X1052" s="13">
        <f t="shared" si="228"/>
        <v>0</v>
      </c>
      <c r="Y1052" s="8">
        <f t="shared" si="213"/>
        <v>37391</v>
      </c>
      <c r="Z1052" s="8">
        <v>37411</v>
      </c>
      <c r="AA1052" s="13">
        <f t="shared" si="229"/>
        <v>20</v>
      </c>
      <c r="AB1052" s="8">
        <f t="shared" si="232"/>
        <v>249200</v>
      </c>
      <c r="AC1052" s="8">
        <v>249272</v>
      </c>
      <c r="AD1052" s="13">
        <f t="shared" si="230"/>
        <v>72</v>
      </c>
      <c r="AE1052" s="135"/>
      <c r="AF1052" s="135"/>
      <c r="AG1052" s="135"/>
      <c r="AH1052" s="136"/>
      <c r="AI1052" s="50">
        <f t="shared" si="226"/>
        <v>1349</v>
      </c>
    </row>
    <row r="1053" spans="1:35">
      <c r="A1053" s="12">
        <v>45428</v>
      </c>
      <c r="B1053" s="8">
        <f t="shared" si="220"/>
        <v>1989210</v>
      </c>
      <c r="C1053" s="8">
        <v>1990319</v>
      </c>
      <c r="D1053" s="13">
        <f t="shared" si="225"/>
        <v>1109</v>
      </c>
      <c r="E1053" s="77">
        <f t="shared" si="214"/>
        <v>273363</v>
      </c>
      <c r="F1053" s="69">
        <v>273363</v>
      </c>
      <c r="G1053" s="133">
        <f t="shared" si="211"/>
        <v>0</v>
      </c>
      <c r="H1053" s="8">
        <f t="shared" si="215"/>
        <v>344468</v>
      </c>
      <c r="I1053" s="8">
        <v>344468</v>
      </c>
      <c r="J1053" s="13">
        <f t="shared" si="224"/>
        <v>0</v>
      </c>
      <c r="K1053" s="138"/>
      <c r="L1053" s="8">
        <f t="shared" si="216"/>
        <v>1007147</v>
      </c>
      <c r="M1053" s="8">
        <v>1008179</v>
      </c>
      <c r="N1053" s="13">
        <f t="shared" si="227"/>
        <v>1032</v>
      </c>
      <c r="O1053" s="136">
        <f t="shared" si="223"/>
        <v>660</v>
      </c>
      <c r="P1053" s="8">
        <f t="shared" si="219"/>
        <v>541034</v>
      </c>
      <c r="Q1053" s="8">
        <v>541502</v>
      </c>
      <c r="R1053" s="133">
        <f t="shared" si="231"/>
        <v>468</v>
      </c>
      <c r="S1053" s="8">
        <f t="shared" si="217"/>
        <v>36929</v>
      </c>
      <c r="T1053" s="8">
        <v>36979</v>
      </c>
      <c r="U1053" s="133">
        <f t="shared" si="222"/>
        <v>50</v>
      </c>
      <c r="V1053" s="8">
        <f t="shared" si="218"/>
        <v>533986</v>
      </c>
      <c r="W1053" s="8">
        <v>533986</v>
      </c>
      <c r="X1053" s="13">
        <f t="shared" si="228"/>
        <v>0</v>
      </c>
      <c r="Y1053" s="8">
        <f t="shared" si="213"/>
        <v>37411</v>
      </c>
      <c r="Z1053" s="8">
        <v>37429</v>
      </c>
      <c r="AA1053" s="13">
        <f t="shared" si="229"/>
        <v>18</v>
      </c>
      <c r="AB1053" s="8">
        <f t="shared" si="232"/>
        <v>249272</v>
      </c>
      <c r="AC1053" s="8">
        <v>249341</v>
      </c>
      <c r="AD1053" s="13">
        <f t="shared" si="230"/>
        <v>69</v>
      </c>
      <c r="AE1053" s="135"/>
      <c r="AF1053" s="135"/>
      <c r="AG1053" s="135"/>
      <c r="AH1053" s="136"/>
      <c r="AI1053" s="50">
        <f t="shared" si="226"/>
        <v>1196</v>
      </c>
    </row>
    <row r="1054" spans="1:35">
      <c r="A1054" s="12">
        <v>45429</v>
      </c>
      <c r="B1054" s="8">
        <f t="shared" si="220"/>
        <v>1990319</v>
      </c>
      <c r="C1054" s="8">
        <v>1991440</v>
      </c>
      <c r="D1054" s="13">
        <f t="shared" si="225"/>
        <v>1121</v>
      </c>
      <c r="E1054" s="77">
        <f t="shared" si="214"/>
        <v>273363</v>
      </c>
      <c r="F1054" s="69">
        <v>273363</v>
      </c>
      <c r="G1054" s="133">
        <f t="shared" si="211"/>
        <v>0</v>
      </c>
      <c r="H1054" s="8">
        <f t="shared" si="215"/>
        <v>344468</v>
      </c>
      <c r="I1054" s="8">
        <v>344468</v>
      </c>
      <c r="J1054" s="13">
        <f t="shared" si="224"/>
        <v>0</v>
      </c>
      <c r="K1054" s="138"/>
      <c r="L1054" s="8">
        <f t="shared" si="216"/>
        <v>1008179</v>
      </c>
      <c r="M1054" s="8">
        <v>1009444</v>
      </c>
      <c r="N1054" s="13">
        <f t="shared" si="227"/>
        <v>1265</v>
      </c>
      <c r="O1054" s="136">
        <f t="shared" si="223"/>
        <v>630</v>
      </c>
      <c r="P1054" s="8">
        <f t="shared" si="219"/>
        <v>541502</v>
      </c>
      <c r="Q1054" s="8">
        <v>542080</v>
      </c>
      <c r="R1054" s="133">
        <f t="shared" si="231"/>
        <v>578</v>
      </c>
      <c r="S1054" s="8">
        <f t="shared" si="217"/>
        <v>36979</v>
      </c>
      <c r="T1054" s="8">
        <v>37014</v>
      </c>
      <c r="U1054" s="133">
        <f t="shared" si="222"/>
        <v>35</v>
      </c>
      <c r="V1054" s="8">
        <f t="shared" si="218"/>
        <v>533986</v>
      </c>
      <c r="W1054" s="8">
        <v>533986</v>
      </c>
      <c r="X1054" s="13">
        <f t="shared" si="228"/>
        <v>0</v>
      </c>
      <c r="Y1054" s="8">
        <f t="shared" si="213"/>
        <v>37429</v>
      </c>
      <c r="Z1054" s="8">
        <v>37459</v>
      </c>
      <c r="AA1054" s="13">
        <v>15</v>
      </c>
      <c r="AB1054" s="8">
        <f t="shared" si="232"/>
        <v>249341</v>
      </c>
      <c r="AC1054" s="8">
        <v>249463</v>
      </c>
      <c r="AD1054" s="13">
        <f t="shared" si="230"/>
        <v>122</v>
      </c>
      <c r="AE1054" s="135"/>
      <c r="AF1054" s="135"/>
      <c r="AG1054" s="135"/>
      <c r="AH1054" s="136"/>
      <c r="AI1054" s="50">
        <f t="shared" si="226"/>
        <v>1258</v>
      </c>
    </row>
    <row r="1055" spans="1:35">
      <c r="A1055" s="12">
        <v>45430</v>
      </c>
      <c r="B1055" s="8">
        <f t="shared" si="220"/>
        <v>1991440</v>
      </c>
      <c r="C1055" s="8">
        <v>1992600</v>
      </c>
      <c r="D1055" s="13">
        <f t="shared" si="225"/>
        <v>1160</v>
      </c>
      <c r="E1055" s="77">
        <f t="shared" si="214"/>
        <v>273363</v>
      </c>
      <c r="F1055" s="69">
        <v>273363</v>
      </c>
      <c r="G1055" s="133">
        <f t="shared" si="211"/>
        <v>0</v>
      </c>
      <c r="H1055" s="8">
        <f t="shared" si="215"/>
        <v>344468</v>
      </c>
      <c r="I1055" s="8">
        <v>344468</v>
      </c>
      <c r="J1055" s="13">
        <f t="shared" si="224"/>
        <v>0</v>
      </c>
      <c r="K1055" s="138"/>
      <c r="L1055" s="8">
        <f t="shared" si="216"/>
        <v>1009444</v>
      </c>
      <c r="M1055" s="8">
        <v>1010522</v>
      </c>
      <c r="N1055" s="13">
        <f t="shared" si="227"/>
        <v>1078</v>
      </c>
      <c r="O1055" s="136">
        <f t="shared" si="223"/>
        <v>687</v>
      </c>
      <c r="P1055" s="8">
        <f t="shared" si="219"/>
        <v>542080</v>
      </c>
      <c r="Q1055" s="8">
        <v>542574</v>
      </c>
      <c r="R1055" s="133">
        <f t="shared" si="231"/>
        <v>494</v>
      </c>
      <c r="S1055" s="8">
        <f t="shared" si="217"/>
        <v>37014</v>
      </c>
      <c r="T1055" s="8">
        <v>37069</v>
      </c>
      <c r="U1055" s="133">
        <f t="shared" si="222"/>
        <v>55</v>
      </c>
      <c r="V1055" s="8">
        <f t="shared" si="218"/>
        <v>533986</v>
      </c>
      <c r="W1055" s="8">
        <v>533986</v>
      </c>
      <c r="X1055" s="13">
        <f t="shared" si="228"/>
        <v>0</v>
      </c>
      <c r="Y1055" s="8">
        <f t="shared" si="213"/>
        <v>37459</v>
      </c>
      <c r="Z1055" s="8">
        <v>37468</v>
      </c>
      <c r="AA1055" s="13">
        <v>18</v>
      </c>
      <c r="AB1055" s="8">
        <f t="shared" si="232"/>
        <v>249463</v>
      </c>
      <c r="AC1055" s="8">
        <v>249539</v>
      </c>
      <c r="AD1055" s="13">
        <f t="shared" si="230"/>
        <v>76</v>
      </c>
      <c r="AE1055" s="135"/>
      <c r="AF1055" s="135"/>
      <c r="AG1055" s="135"/>
      <c r="AH1055" s="136"/>
      <c r="AI1055" s="50">
        <f t="shared" si="226"/>
        <v>1254</v>
      </c>
    </row>
    <row r="1056" spans="1:35">
      <c r="A1056" s="12">
        <v>45431</v>
      </c>
      <c r="B1056" s="8">
        <f t="shared" si="220"/>
        <v>1992600</v>
      </c>
      <c r="C1056" s="8">
        <v>1993642</v>
      </c>
      <c r="D1056" s="13">
        <f t="shared" si="225"/>
        <v>1042</v>
      </c>
      <c r="E1056" s="77">
        <f t="shared" si="214"/>
        <v>273363</v>
      </c>
      <c r="F1056" s="69">
        <v>273363</v>
      </c>
      <c r="G1056" s="133">
        <f t="shared" si="211"/>
        <v>0</v>
      </c>
      <c r="H1056" s="8">
        <f t="shared" si="215"/>
        <v>344468</v>
      </c>
      <c r="I1056" s="8">
        <v>344468</v>
      </c>
      <c r="J1056" s="13">
        <f t="shared" si="224"/>
        <v>0</v>
      </c>
      <c r="K1056" s="138"/>
      <c r="L1056" s="8">
        <f t="shared" si="216"/>
        <v>1010522</v>
      </c>
      <c r="M1056" s="8">
        <v>1011570</v>
      </c>
      <c r="N1056" s="13">
        <f t="shared" si="227"/>
        <v>1048</v>
      </c>
      <c r="O1056" s="136">
        <f t="shared" si="223"/>
        <v>590</v>
      </c>
      <c r="P1056" s="8">
        <f t="shared" si="219"/>
        <v>542574</v>
      </c>
      <c r="Q1056" s="8">
        <v>543045</v>
      </c>
      <c r="R1056" s="133">
        <f t="shared" si="231"/>
        <v>471</v>
      </c>
      <c r="S1056" s="8">
        <f t="shared" si="217"/>
        <v>37069</v>
      </c>
      <c r="T1056" s="8">
        <v>37116</v>
      </c>
      <c r="U1056" s="133">
        <f t="shared" si="222"/>
        <v>47</v>
      </c>
      <c r="V1056" s="8">
        <f t="shared" si="218"/>
        <v>533986</v>
      </c>
      <c r="W1056" s="8">
        <v>533986</v>
      </c>
      <c r="X1056" s="13">
        <f t="shared" si="228"/>
        <v>0</v>
      </c>
      <c r="Y1056" s="8">
        <f t="shared" si="213"/>
        <v>37468</v>
      </c>
      <c r="Z1056" s="8">
        <v>37482</v>
      </c>
      <c r="AA1056" s="13">
        <f t="shared" si="229"/>
        <v>14</v>
      </c>
      <c r="AB1056" s="8">
        <f t="shared" si="232"/>
        <v>249539</v>
      </c>
      <c r="AC1056" s="8">
        <v>249605</v>
      </c>
      <c r="AD1056" s="13">
        <f t="shared" si="230"/>
        <v>66</v>
      </c>
      <c r="AE1056" s="135"/>
      <c r="AF1056" s="135"/>
      <c r="AG1056" s="135"/>
      <c r="AH1056" s="136"/>
      <c r="AI1056" s="50">
        <f t="shared" si="226"/>
        <v>1122</v>
      </c>
    </row>
    <row r="1057" spans="1:35">
      <c r="A1057" s="12">
        <v>45432</v>
      </c>
      <c r="B1057" s="8">
        <f t="shared" si="220"/>
        <v>1993642</v>
      </c>
      <c r="C1057" s="8">
        <v>1994042</v>
      </c>
      <c r="D1057" s="13">
        <f t="shared" si="225"/>
        <v>400</v>
      </c>
      <c r="E1057" s="77">
        <f t="shared" si="214"/>
        <v>273363</v>
      </c>
      <c r="F1057" s="69">
        <v>273363</v>
      </c>
      <c r="G1057" s="133">
        <f t="shared" ref="G1057:G1119" si="233">F1058-E1057</f>
        <v>0</v>
      </c>
      <c r="H1057" s="8">
        <f t="shared" si="215"/>
        <v>344468</v>
      </c>
      <c r="I1057" s="8">
        <v>344468</v>
      </c>
      <c r="J1057" s="13">
        <f t="shared" si="224"/>
        <v>0</v>
      </c>
      <c r="K1057" s="138"/>
      <c r="L1057" s="8">
        <f t="shared" si="216"/>
        <v>1011570</v>
      </c>
      <c r="M1057" s="8">
        <v>1012647</v>
      </c>
      <c r="N1057" s="13">
        <f t="shared" si="227"/>
        <v>1077</v>
      </c>
      <c r="O1057" s="136">
        <f t="shared" si="223"/>
        <v>-74</v>
      </c>
      <c r="P1057" s="8">
        <f t="shared" si="219"/>
        <v>543045</v>
      </c>
      <c r="Q1057" s="8">
        <v>543536</v>
      </c>
      <c r="R1057" s="133">
        <f t="shared" si="231"/>
        <v>491</v>
      </c>
      <c r="S1057" s="8">
        <f t="shared" si="217"/>
        <v>37116</v>
      </c>
      <c r="T1057" s="8">
        <v>37169</v>
      </c>
      <c r="U1057" s="133">
        <f t="shared" si="222"/>
        <v>53</v>
      </c>
      <c r="V1057" s="8">
        <f t="shared" si="218"/>
        <v>533986</v>
      </c>
      <c r="W1057" s="8">
        <v>533986</v>
      </c>
      <c r="X1057" s="13">
        <f t="shared" si="228"/>
        <v>0</v>
      </c>
      <c r="Y1057" s="8">
        <f t="shared" si="213"/>
        <v>37482</v>
      </c>
      <c r="Z1057" s="8">
        <v>37549</v>
      </c>
      <c r="AA1057" s="13">
        <f t="shared" si="229"/>
        <v>67</v>
      </c>
      <c r="AB1057" s="8">
        <f t="shared" si="232"/>
        <v>249605</v>
      </c>
      <c r="AC1057" s="8">
        <v>249675</v>
      </c>
      <c r="AD1057" s="13">
        <f t="shared" si="230"/>
        <v>70</v>
      </c>
      <c r="AE1057" s="135"/>
      <c r="AF1057" s="135"/>
      <c r="AG1057" s="135"/>
      <c r="AH1057" s="136"/>
      <c r="AI1057" s="50">
        <f t="shared" si="226"/>
        <v>537</v>
      </c>
    </row>
    <row r="1058" spans="1:35">
      <c r="A1058" s="12">
        <v>45433</v>
      </c>
      <c r="B1058" s="8">
        <f t="shared" si="220"/>
        <v>1994042</v>
      </c>
      <c r="C1058" s="8">
        <v>1994194</v>
      </c>
      <c r="D1058" s="13">
        <f t="shared" si="225"/>
        <v>152</v>
      </c>
      <c r="E1058" s="77">
        <f t="shared" si="214"/>
        <v>273363</v>
      </c>
      <c r="F1058" s="69">
        <v>273363</v>
      </c>
      <c r="G1058" s="133">
        <f t="shared" si="233"/>
        <v>0</v>
      </c>
      <c r="H1058" s="8">
        <f t="shared" si="215"/>
        <v>344468</v>
      </c>
      <c r="I1058" s="8">
        <v>344468</v>
      </c>
      <c r="J1058" s="13">
        <f t="shared" si="224"/>
        <v>0</v>
      </c>
      <c r="K1058" s="138"/>
      <c r="L1058" s="8">
        <f t="shared" si="216"/>
        <v>1012647</v>
      </c>
      <c r="M1058" s="8">
        <v>1013391</v>
      </c>
      <c r="N1058" s="13">
        <f t="shared" si="227"/>
        <v>744</v>
      </c>
      <c r="O1058" s="136">
        <f t="shared" si="223"/>
        <v>-166</v>
      </c>
      <c r="P1058" s="8">
        <f t="shared" si="219"/>
        <v>543536</v>
      </c>
      <c r="Q1058" s="8">
        <v>543883</v>
      </c>
      <c r="R1058" s="133">
        <f t="shared" si="231"/>
        <v>347</v>
      </c>
      <c r="S1058" s="8">
        <f t="shared" si="217"/>
        <v>37169</v>
      </c>
      <c r="T1058" s="8">
        <v>37183</v>
      </c>
      <c r="U1058" s="133">
        <f t="shared" si="222"/>
        <v>14</v>
      </c>
      <c r="V1058" s="8">
        <f t="shared" si="218"/>
        <v>533986</v>
      </c>
      <c r="W1058" s="8">
        <v>533986</v>
      </c>
      <c r="X1058" s="13">
        <f t="shared" si="228"/>
        <v>0</v>
      </c>
      <c r="Y1058" s="8">
        <f t="shared" si="213"/>
        <v>37549</v>
      </c>
      <c r="Z1058" s="8">
        <v>37565</v>
      </c>
      <c r="AA1058" s="13">
        <f t="shared" si="229"/>
        <v>16</v>
      </c>
      <c r="AB1058" s="8">
        <f t="shared" si="232"/>
        <v>249675</v>
      </c>
      <c r="AC1058" s="8">
        <v>249718</v>
      </c>
      <c r="AD1058" s="13">
        <f t="shared" si="230"/>
        <v>43</v>
      </c>
      <c r="AE1058" s="135"/>
      <c r="AF1058" s="135"/>
      <c r="AG1058" s="135"/>
      <c r="AH1058" s="136"/>
      <c r="AI1058" s="50">
        <f t="shared" si="226"/>
        <v>211</v>
      </c>
    </row>
    <row r="1059" spans="1:35">
      <c r="A1059" s="12">
        <v>45434</v>
      </c>
      <c r="B1059" s="8">
        <f t="shared" si="220"/>
        <v>1994194</v>
      </c>
      <c r="C1059" s="8">
        <v>1994965</v>
      </c>
      <c r="D1059" s="13">
        <f t="shared" si="225"/>
        <v>771</v>
      </c>
      <c r="E1059" s="77">
        <f t="shared" si="214"/>
        <v>273363</v>
      </c>
      <c r="F1059" s="69">
        <v>273363</v>
      </c>
      <c r="G1059" s="133">
        <f t="shared" si="233"/>
        <v>0</v>
      </c>
      <c r="H1059" s="8">
        <f t="shared" si="215"/>
        <v>344468</v>
      </c>
      <c r="I1059" s="8">
        <v>345135</v>
      </c>
      <c r="J1059" s="13">
        <f t="shared" si="224"/>
        <v>667</v>
      </c>
      <c r="K1059" s="138"/>
      <c r="L1059" s="8">
        <f t="shared" si="216"/>
        <v>1013391</v>
      </c>
      <c r="M1059" s="8">
        <v>1013845</v>
      </c>
      <c r="N1059" s="13">
        <f t="shared" si="227"/>
        <v>454</v>
      </c>
      <c r="O1059" s="136">
        <f t="shared" si="223"/>
        <v>835</v>
      </c>
      <c r="P1059" s="8">
        <f t="shared" si="219"/>
        <v>543883</v>
      </c>
      <c r="Q1059" s="8">
        <v>544457</v>
      </c>
      <c r="R1059" s="133">
        <f t="shared" si="231"/>
        <v>574</v>
      </c>
      <c r="S1059" s="8">
        <f t="shared" si="217"/>
        <v>37183</v>
      </c>
      <c r="T1059" s="8">
        <v>37233</v>
      </c>
      <c r="U1059" s="133">
        <f t="shared" si="222"/>
        <v>50</v>
      </c>
      <c r="V1059" s="8">
        <f t="shared" si="218"/>
        <v>533986</v>
      </c>
      <c r="W1059" s="8">
        <v>533986</v>
      </c>
      <c r="X1059" s="13">
        <f t="shared" si="228"/>
        <v>0</v>
      </c>
      <c r="Y1059" s="8">
        <f t="shared" si="213"/>
        <v>37565</v>
      </c>
      <c r="Z1059" s="8">
        <v>37581</v>
      </c>
      <c r="AA1059" s="13">
        <f t="shared" si="229"/>
        <v>16</v>
      </c>
      <c r="AB1059" s="8">
        <f t="shared" si="232"/>
        <v>249718</v>
      </c>
      <c r="AC1059" s="8">
        <v>249739</v>
      </c>
      <c r="AD1059" s="13">
        <f t="shared" si="230"/>
        <v>21</v>
      </c>
      <c r="AE1059" s="135"/>
      <c r="AF1059" s="135"/>
      <c r="AG1059" s="135"/>
      <c r="AH1059" s="136"/>
      <c r="AI1059" s="50">
        <f t="shared" si="226"/>
        <v>1475</v>
      </c>
    </row>
    <row r="1060" spans="1:35">
      <c r="A1060" s="12">
        <v>45435</v>
      </c>
      <c r="B1060" s="8">
        <f t="shared" si="220"/>
        <v>1994965</v>
      </c>
      <c r="C1060" s="8">
        <v>1995251</v>
      </c>
      <c r="D1060" s="13">
        <f t="shared" si="225"/>
        <v>286</v>
      </c>
      <c r="E1060" s="77">
        <f t="shared" si="214"/>
        <v>273363</v>
      </c>
      <c r="F1060" s="69">
        <v>273363</v>
      </c>
      <c r="G1060" s="133">
        <f t="shared" si="233"/>
        <v>0</v>
      </c>
      <c r="H1060" s="8">
        <f t="shared" si="215"/>
        <v>345135</v>
      </c>
      <c r="I1060" s="8">
        <v>345504</v>
      </c>
      <c r="J1060" s="13">
        <f t="shared" si="224"/>
        <v>369</v>
      </c>
      <c r="K1060" s="138"/>
      <c r="L1060" s="8">
        <f t="shared" si="216"/>
        <v>1013845</v>
      </c>
      <c r="M1060" s="8">
        <v>1014359</v>
      </c>
      <c r="N1060" s="13">
        <f t="shared" si="227"/>
        <v>514</v>
      </c>
      <c r="O1060" s="136">
        <f t="shared" si="223"/>
        <v>376</v>
      </c>
      <c r="P1060" s="8">
        <f t="shared" si="219"/>
        <v>544457</v>
      </c>
      <c r="Q1060" s="8">
        <v>544734</v>
      </c>
      <c r="R1060" s="133">
        <f t="shared" si="231"/>
        <v>277</v>
      </c>
      <c r="S1060" s="8">
        <f t="shared" si="217"/>
        <v>37233</v>
      </c>
      <c r="T1060" s="8">
        <v>37277</v>
      </c>
      <c r="U1060" s="133">
        <f t="shared" si="222"/>
        <v>44</v>
      </c>
      <c r="V1060" s="8">
        <f t="shared" si="218"/>
        <v>533986</v>
      </c>
      <c r="W1060" s="8">
        <v>533986</v>
      </c>
      <c r="X1060" s="13">
        <f t="shared" si="228"/>
        <v>0</v>
      </c>
      <c r="Y1060" s="8">
        <f t="shared" si="213"/>
        <v>37581</v>
      </c>
      <c r="Z1060" s="8">
        <v>37595</v>
      </c>
      <c r="AA1060" s="13">
        <f t="shared" si="229"/>
        <v>14</v>
      </c>
      <c r="AB1060" s="8">
        <f t="shared" si="232"/>
        <v>249739</v>
      </c>
      <c r="AC1060" s="8">
        <v>249781</v>
      </c>
      <c r="AD1060" s="13">
        <f t="shared" si="230"/>
        <v>42</v>
      </c>
      <c r="AE1060" s="135"/>
      <c r="AF1060" s="135"/>
      <c r="AG1060" s="135"/>
      <c r="AH1060" s="136"/>
      <c r="AI1060" s="50">
        <f t="shared" si="226"/>
        <v>711</v>
      </c>
    </row>
    <row r="1061" spans="1:35">
      <c r="A1061" s="12">
        <v>45436</v>
      </c>
      <c r="B1061" s="8">
        <f t="shared" si="220"/>
        <v>1995251</v>
      </c>
      <c r="C1061" s="8">
        <v>1995508</v>
      </c>
      <c r="D1061" s="13">
        <f t="shared" si="225"/>
        <v>257</v>
      </c>
      <c r="E1061" s="77">
        <f t="shared" si="214"/>
        <v>273363</v>
      </c>
      <c r="F1061" s="69">
        <v>273363</v>
      </c>
      <c r="G1061" s="133">
        <f t="shared" si="233"/>
        <v>0</v>
      </c>
      <c r="H1061" s="8">
        <f t="shared" si="215"/>
        <v>345504</v>
      </c>
      <c r="I1061" s="8">
        <v>345504</v>
      </c>
      <c r="J1061" s="13">
        <f t="shared" si="224"/>
        <v>0</v>
      </c>
      <c r="K1061" s="138"/>
      <c r="L1061" s="8">
        <f t="shared" si="216"/>
        <v>1014359</v>
      </c>
      <c r="M1061" s="8">
        <v>1015635</v>
      </c>
      <c r="N1061" s="13">
        <f t="shared" si="227"/>
        <v>1276</v>
      </c>
      <c r="O1061" s="136">
        <f t="shared" si="223"/>
        <v>-272</v>
      </c>
      <c r="P1061" s="8">
        <f t="shared" si="219"/>
        <v>544734</v>
      </c>
      <c r="Q1061" s="8">
        <v>545235</v>
      </c>
      <c r="R1061" s="133">
        <f t="shared" si="231"/>
        <v>501</v>
      </c>
      <c r="S1061" s="8">
        <f t="shared" si="217"/>
        <v>37277</v>
      </c>
      <c r="T1061" s="8">
        <v>37323</v>
      </c>
      <c r="U1061" s="133">
        <f t="shared" si="222"/>
        <v>46</v>
      </c>
      <c r="V1061" s="8">
        <f t="shared" si="218"/>
        <v>533986</v>
      </c>
      <c r="W1061" s="8">
        <v>533986</v>
      </c>
      <c r="X1061" s="13">
        <f t="shared" si="228"/>
        <v>0</v>
      </c>
      <c r="Y1061" s="8">
        <f t="shared" si="213"/>
        <v>37595</v>
      </c>
      <c r="Z1061" s="8">
        <v>37615</v>
      </c>
      <c r="AA1061" s="13">
        <f t="shared" si="229"/>
        <v>20</v>
      </c>
      <c r="AB1061" s="8">
        <f t="shared" si="232"/>
        <v>249781</v>
      </c>
      <c r="AC1061" s="8">
        <v>249799</v>
      </c>
      <c r="AD1061" s="13">
        <f t="shared" si="230"/>
        <v>18</v>
      </c>
      <c r="AE1061" s="135"/>
      <c r="AF1061" s="135"/>
      <c r="AG1061" s="135"/>
      <c r="AH1061" s="136"/>
      <c r="AI1061" s="50">
        <f t="shared" si="226"/>
        <v>295</v>
      </c>
    </row>
    <row r="1062" spans="1:35">
      <c r="A1062" s="12">
        <v>45437</v>
      </c>
      <c r="B1062" s="8">
        <f t="shared" si="220"/>
        <v>1995508</v>
      </c>
      <c r="C1062" s="8">
        <v>1995532</v>
      </c>
      <c r="D1062" s="13">
        <f t="shared" si="225"/>
        <v>24</v>
      </c>
      <c r="E1062" s="77">
        <f t="shared" si="214"/>
        <v>273363</v>
      </c>
      <c r="F1062" s="69">
        <v>273363</v>
      </c>
      <c r="G1062" s="133">
        <f t="shared" si="233"/>
        <v>0</v>
      </c>
      <c r="H1062" s="8">
        <f t="shared" si="215"/>
        <v>345504</v>
      </c>
      <c r="I1062" s="8">
        <v>345982</v>
      </c>
      <c r="J1062" s="13">
        <f t="shared" si="224"/>
        <v>478</v>
      </c>
      <c r="K1062" s="138"/>
      <c r="L1062" s="8">
        <f t="shared" si="216"/>
        <v>1015635</v>
      </c>
      <c r="M1062" s="8">
        <v>1016121</v>
      </c>
      <c r="N1062" s="13">
        <f t="shared" si="227"/>
        <v>486</v>
      </c>
      <c r="O1062" s="136">
        <f t="shared" si="223"/>
        <v>-26</v>
      </c>
      <c r="P1062" s="8">
        <f t="shared" si="219"/>
        <v>545235</v>
      </c>
      <c r="Q1062" s="8">
        <v>545735</v>
      </c>
      <c r="R1062" s="133">
        <f t="shared" si="231"/>
        <v>500</v>
      </c>
      <c r="S1062" s="8">
        <f t="shared" si="217"/>
        <v>37323</v>
      </c>
      <c r="T1062" s="8">
        <v>37360</v>
      </c>
      <c r="U1062" s="133">
        <f t="shared" si="222"/>
        <v>37</v>
      </c>
      <c r="V1062" s="8">
        <f t="shared" si="218"/>
        <v>533986</v>
      </c>
      <c r="W1062" s="8">
        <v>533986</v>
      </c>
      <c r="X1062" s="13">
        <f t="shared" si="228"/>
        <v>0</v>
      </c>
      <c r="Y1062" s="8">
        <f t="shared" si="213"/>
        <v>37615</v>
      </c>
      <c r="Z1062" s="8">
        <v>37630</v>
      </c>
      <c r="AA1062" s="13">
        <f t="shared" si="229"/>
        <v>15</v>
      </c>
      <c r="AB1062" s="8">
        <f t="shared" si="232"/>
        <v>249799</v>
      </c>
      <c r="AC1062" s="8">
        <v>249808</v>
      </c>
      <c r="AD1062" s="13">
        <f t="shared" si="230"/>
        <v>9</v>
      </c>
      <c r="AE1062" s="135"/>
      <c r="AF1062" s="135"/>
      <c r="AG1062" s="135"/>
      <c r="AH1062" s="136"/>
      <c r="AI1062" s="50">
        <f t="shared" si="226"/>
        <v>526</v>
      </c>
    </row>
    <row r="1063" spans="1:35">
      <c r="A1063" s="12">
        <v>45438</v>
      </c>
      <c r="B1063" s="8">
        <f t="shared" si="220"/>
        <v>1995532</v>
      </c>
      <c r="C1063" s="8">
        <v>1995570</v>
      </c>
      <c r="D1063" s="13">
        <f t="shared" si="225"/>
        <v>38</v>
      </c>
      <c r="E1063" s="77">
        <f t="shared" si="214"/>
        <v>273363</v>
      </c>
      <c r="F1063" s="69">
        <v>273363</v>
      </c>
      <c r="G1063" s="133">
        <f t="shared" si="233"/>
        <v>0</v>
      </c>
      <c r="H1063" s="8">
        <f t="shared" si="215"/>
        <v>345982</v>
      </c>
      <c r="I1063" s="8">
        <v>346571</v>
      </c>
      <c r="J1063" s="13">
        <f t="shared" si="224"/>
        <v>589</v>
      </c>
      <c r="K1063" s="138"/>
      <c r="L1063" s="8">
        <f t="shared" si="216"/>
        <v>1016121</v>
      </c>
      <c r="M1063" s="8">
        <v>1016413</v>
      </c>
      <c r="N1063" s="13">
        <f t="shared" si="227"/>
        <v>292</v>
      </c>
      <c r="O1063" s="136">
        <f t="shared" si="223"/>
        <v>13</v>
      </c>
      <c r="P1063" s="8">
        <f t="shared" si="219"/>
        <v>545735</v>
      </c>
      <c r="Q1063" s="8">
        <v>546300</v>
      </c>
      <c r="R1063" s="133">
        <f t="shared" si="231"/>
        <v>565</v>
      </c>
      <c r="S1063" s="8">
        <f t="shared" si="217"/>
        <v>37360</v>
      </c>
      <c r="T1063" s="8">
        <v>37412</v>
      </c>
      <c r="U1063" s="133">
        <f t="shared" si="222"/>
        <v>52</v>
      </c>
      <c r="V1063" s="8">
        <f t="shared" si="218"/>
        <v>533986</v>
      </c>
      <c r="W1063" s="8">
        <v>533986</v>
      </c>
      <c r="X1063" s="13">
        <f t="shared" si="228"/>
        <v>0</v>
      </c>
      <c r="Y1063" s="8">
        <f t="shared" si="213"/>
        <v>37630</v>
      </c>
      <c r="Z1063" s="8">
        <v>37638</v>
      </c>
      <c r="AA1063" s="13">
        <f t="shared" si="229"/>
        <v>8</v>
      </c>
      <c r="AB1063" s="8">
        <f t="shared" si="232"/>
        <v>249808</v>
      </c>
      <c r="AC1063" s="8">
        <v>249811</v>
      </c>
      <c r="AD1063" s="13">
        <f t="shared" si="230"/>
        <v>3</v>
      </c>
      <c r="AE1063" s="135"/>
      <c r="AF1063" s="135"/>
      <c r="AG1063" s="135"/>
      <c r="AH1063" s="136"/>
      <c r="AI1063" s="50">
        <f t="shared" si="226"/>
        <v>638</v>
      </c>
    </row>
    <row r="1064" spans="1:35">
      <c r="A1064" s="12">
        <v>45439</v>
      </c>
      <c r="B1064" s="8">
        <f t="shared" si="220"/>
        <v>1995570</v>
      </c>
      <c r="C1064" s="8">
        <v>1995685</v>
      </c>
      <c r="D1064" s="13">
        <f t="shared" si="225"/>
        <v>115</v>
      </c>
      <c r="E1064" s="77">
        <f t="shared" si="214"/>
        <v>273363</v>
      </c>
      <c r="F1064" s="69">
        <v>273363</v>
      </c>
      <c r="G1064" s="133">
        <f t="shared" si="233"/>
        <v>0</v>
      </c>
      <c r="H1064" s="8">
        <f t="shared" si="215"/>
        <v>346571</v>
      </c>
      <c r="I1064" s="8">
        <v>347351</v>
      </c>
      <c r="J1064" s="13">
        <f t="shared" si="224"/>
        <v>780</v>
      </c>
      <c r="K1064" s="138"/>
      <c r="L1064" s="8">
        <f t="shared" si="216"/>
        <v>1016413</v>
      </c>
      <c r="M1064" s="8">
        <v>1016950</v>
      </c>
      <c r="N1064" s="13">
        <f t="shared" si="227"/>
        <v>537</v>
      </c>
      <c r="O1064" s="136">
        <f t="shared" si="223"/>
        <v>322</v>
      </c>
      <c r="P1064" s="8">
        <f t="shared" si="219"/>
        <v>546300</v>
      </c>
      <c r="Q1064" s="8">
        <v>546899</v>
      </c>
      <c r="R1064" s="133">
        <f t="shared" si="231"/>
        <v>599</v>
      </c>
      <c r="S1064" s="8">
        <f t="shared" si="217"/>
        <v>37412</v>
      </c>
      <c r="T1064" s="8">
        <v>37470</v>
      </c>
      <c r="U1064" s="133">
        <f t="shared" si="222"/>
        <v>58</v>
      </c>
      <c r="V1064" s="8">
        <f t="shared" si="218"/>
        <v>533986</v>
      </c>
      <c r="W1064" s="8">
        <v>533986</v>
      </c>
      <c r="X1064" s="13">
        <f t="shared" si="228"/>
        <v>0</v>
      </c>
      <c r="Y1064" s="8">
        <f t="shared" si="213"/>
        <v>37638</v>
      </c>
      <c r="Z1064" s="8">
        <v>37646</v>
      </c>
      <c r="AA1064" s="13">
        <f t="shared" si="229"/>
        <v>8</v>
      </c>
      <c r="AB1064" s="8">
        <f t="shared" si="232"/>
        <v>249811</v>
      </c>
      <c r="AC1064" s="8">
        <v>249895</v>
      </c>
      <c r="AD1064" s="13">
        <f t="shared" si="230"/>
        <v>84</v>
      </c>
      <c r="AE1064" s="135"/>
      <c r="AF1064" s="135"/>
      <c r="AG1064" s="135"/>
      <c r="AH1064" s="136"/>
      <c r="AI1064" s="50">
        <f t="shared" si="226"/>
        <v>987</v>
      </c>
    </row>
    <row r="1065" spans="1:35">
      <c r="A1065" s="12">
        <v>45440</v>
      </c>
      <c r="B1065" s="8">
        <f t="shared" si="220"/>
        <v>1995685</v>
      </c>
      <c r="C1065" s="8">
        <v>1995686</v>
      </c>
      <c r="D1065" s="13">
        <f t="shared" si="225"/>
        <v>1</v>
      </c>
      <c r="E1065" s="77">
        <f t="shared" si="214"/>
        <v>273363</v>
      </c>
      <c r="F1065" s="69">
        <v>273363</v>
      </c>
      <c r="G1065" s="133">
        <f t="shared" si="233"/>
        <v>0</v>
      </c>
      <c r="H1065" s="8">
        <f t="shared" si="215"/>
        <v>347351</v>
      </c>
      <c r="I1065" s="8">
        <v>347517</v>
      </c>
      <c r="J1065" s="13">
        <f t="shared" si="224"/>
        <v>166</v>
      </c>
      <c r="K1065" s="138"/>
      <c r="L1065" s="8">
        <f t="shared" si="216"/>
        <v>1016950</v>
      </c>
      <c r="M1065" s="8">
        <v>1017845</v>
      </c>
      <c r="N1065" s="13">
        <f t="shared" si="227"/>
        <v>895</v>
      </c>
      <c r="O1065" s="136">
        <f t="shared" si="223"/>
        <v>-414</v>
      </c>
      <c r="P1065" s="8">
        <f t="shared" si="219"/>
        <v>546899</v>
      </c>
      <c r="Q1065" s="8">
        <v>547487</v>
      </c>
      <c r="R1065" s="133">
        <f t="shared" si="231"/>
        <v>588</v>
      </c>
      <c r="S1065" s="8">
        <f t="shared" si="217"/>
        <v>37470</v>
      </c>
      <c r="T1065" s="8">
        <v>37513</v>
      </c>
      <c r="U1065" s="133">
        <f t="shared" si="222"/>
        <v>43</v>
      </c>
      <c r="V1065" s="8">
        <f t="shared" si="218"/>
        <v>533986</v>
      </c>
      <c r="W1065" s="8">
        <v>533986</v>
      </c>
      <c r="X1065" s="13">
        <f t="shared" si="228"/>
        <v>0</v>
      </c>
      <c r="Y1065" s="8">
        <f t="shared" si="213"/>
        <v>37646</v>
      </c>
      <c r="Z1065" s="8">
        <v>37665</v>
      </c>
      <c r="AA1065" s="13">
        <f t="shared" si="229"/>
        <v>19</v>
      </c>
      <c r="AB1065" s="8">
        <f t="shared" si="232"/>
        <v>249895</v>
      </c>
      <c r="AC1065" s="8">
        <v>249945</v>
      </c>
      <c r="AD1065" s="13">
        <f t="shared" si="230"/>
        <v>50</v>
      </c>
      <c r="AE1065" s="135"/>
      <c r="AF1065" s="135"/>
      <c r="AG1065" s="135"/>
      <c r="AH1065" s="136"/>
      <c r="AI1065" s="50">
        <f t="shared" si="226"/>
        <v>236</v>
      </c>
    </row>
    <row r="1066" spans="1:35">
      <c r="A1066" s="12">
        <v>45441</v>
      </c>
      <c r="B1066" s="8">
        <f t="shared" si="220"/>
        <v>1995686</v>
      </c>
      <c r="C1066" s="8">
        <v>1995972</v>
      </c>
      <c r="D1066" s="13">
        <f t="shared" si="225"/>
        <v>286</v>
      </c>
      <c r="E1066" s="77">
        <f t="shared" si="214"/>
        <v>273363</v>
      </c>
      <c r="F1066" s="69">
        <v>273363</v>
      </c>
      <c r="G1066" s="133">
        <f t="shared" si="233"/>
        <v>0</v>
      </c>
      <c r="H1066" s="8">
        <f t="shared" si="215"/>
        <v>347517</v>
      </c>
      <c r="I1066" s="8">
        <v>348257</v>
      </c>
      <c r="J1066" s="13">
        <f t="shared" si="224"/>
        <v>740</v>
      </c>
      <c r="K1066" s="138"/>
      <c r="L1066" s="8">
        <f t="shared" si="216"/>
        <v>1017845</v>
      </c>
      <c r="M1066" s="8">
        <v>1018410</v>
      </c>
      <c r="N1066" s="13">
        <f t="shared" si="227"/>
        <v>565</v>
      </c>
      <c r="O1066" s="136">
        <f t="shared" si="223"/>
        <v>543</v>
      </c>
      <c r="P1066" s="8">
        <f t="shared" si="219"/>
        <v>547487</v>
      </c>
      <c r="Q1066" s="8">
        <v>547998</v>
      </c>
      <c r="R1066" s="133">
        <f t="shared" si="231"/>
        <v>511</v>
      </c>
      <c r="S1066" s="8">
        <f t="shared" si="217"/>
        <v>37513</v>
      </c>
      <c r="T1066" s="8">
        <v>37576</v>
      </c>
      <c r="U1066" s="133">
        <f t="shared" si="222"/>
        <v>63</v>
      </c>
      <c r="V1066" s="8">
        <f t="shared" si="218"/>
        <v>533986</v>
      </c>
      <c r="W1066" s="8">
        <v>533986</v>
      </c>
      <c r="X1066" s="13">
        <f t="shared" si="228"/>
        <v>0</v>
      </c>
      <c r="Y1066" s="8">
        <f t="shared" ref="Y1066:Y1129" si="234">Z1065</f>
        <v>37665</v>
      </c>
      <c r="Z1066" s="8">
        <v>37679</v>
      </c>
      <c r="AA1066" s="13">
        <f t="shared" si="229"/>
        <v>14</v>
      </c>
      <c r="AB1066" s="8">
        <f t="shared" si="232"/>
        <v>249945</v>
      </c>
      <c r="AC1066" s="8">
        <v>250036</v>
      </c>
      <c r="AD1066" s="13">
        <f t="shared" si="230"/>
        <v>91</v>
      </c>
      <c r="AE1066" s="135"/>
      <c r="AF1066" s="135"/>
      <c r="AG1066" s="135"/>
      <c r="AH1066" s="136"/>
      <c r="AI1066" s="50">
        <f t="shared" si="226"/>
        <v>1131</v>
      </c>
    </row>
    <row r="1067" spans="1:35">
      <c r="A1067" s="12">
        <v>45442</v>
      </c>
      <c r="B1067" s="8">
        <f t="shared" si="220"/>
        <v>1995972</v>
      </c>
      <c r="C1067" s="8">
        <v>1996333</v>
      </c>
      <c r="D1067" s="13">
        <f t="shared" si="225"/>
        <v>361</v>
      </c>
      <c r="E1067" s="77">
        <f t="shared" si="214"/>
        <v>273363</v>
      </c>
      <c r="F1067" s="69">
        <v>273363</v>
      </c>
      <c r="G1067" s="133">
        <f t="shared" si="233"/>
        <v>0</v>
      </c>
      <c r="H1067" s="8">
        <f t="shared" si="215"/>
        <v>348257</v>
      </c>
      <c r="I1067" s="8">
        <v>348927</v>
      </c>
      <c r="J1067" s="13">
        <f t="shared" si="224"/>
        <v>670</v>
      </c>
      <c r="K1067" s="138"/>
      <c r="L1067" s="8">
        <f t="shared" si="216"/>
        <v>1018410</v>
      </c>
      <c r="M1067" s="8">
        <v>1018995</v>
      </c>
      <c r="N1067" s="13">
        <f t="shared" si="227"/>
        <v>585</v>
      </c>
      <c r="O1067" s="136">
        <f t="shared" si="223"/>
        <v>569</v>
      </c>
      <c r="P1067" s="8">
        <f t="shared" si="219"/>
        <v>547998</v>
      </c>
      <c r="Q1067" s="8">
        <v>548498</v>
      </c>
      <c r="R1067" s="133">
        <f t="shared" si="231"/>
        <v>500</v>
      </c>
      <c r="S1067" s="8">
        <f t="shared" si="217"/>
        <v>37576</v>
      </c>
      <c r="T1067" s="8">
        <v>37627</v>
      </c>
      <c r="U1067" s="133">
        <f t="shared" si="222"/>
        <v>51</v>
      </c>
      <c r="V1067" s="8">
        <f t="shared" si="218"/>
        <v>533986</v>
      </c>
      <c r="W1067" s="8">
        <v>533986</v>
      </c>
      <c r="X1067" s="13">
        <f t="shared" si="228"/>
        <v>0</v>
      </c>
      <c r="Y1067" s="8">
        <f t="shared" si="234"/>
        <v>37679</v>
      </c>
      <c r="Z1067" s="8">
        <v>37690</v>
      </c>
      <c r="AA1067" s="13">
        <f t="shared" si="229"/>
        <v>11</v>
      </c>
      <c r="AB1067" s="8">
        <f t="shared" si="232"/>
        <v>250036</v>
      </c>
      <c r="AC1067" s="8">
        <v>250125</v>
      </c>
      <c r="AD1067" s="13">
        <f t="shared" si="230"/>
        <v>89</v>
      </c>
      <c r="AE1067" s="135"/>
      <c r="AF1067" s="135"/>
      <c r="AG1067" s="135"/>
      <c r="AH1067" s="136"/>
      <c r="AI1067" s="50">
        <f t="shared" si="226"/>
        <v>1131</v>
      </c>
    </row>
    <row r="1068" spans="1:35">
      <c r="A1068" s="12">
        <v>45443</v>
      </c>
      <c r="B1068" s="8">
        <f t="shared" si="220"/>
        <v>1996333</v>
      </c>
      <c r="C1068" s="8">
        <v>1996709</v>
      </c>
      <c r="D1068" s="13">
        <f t="shared" si="225"/>
        <v>376</v>
      </c>
      <c r="E1068" s="77">
        <f t="shared" ref="E1068:E1131" si="235">F1067</f>
        <v>273363</v>
      </c>
      <c r="F1068" s="69">
        <v>273363</v>
      </c>
      <c r="G1068" s="133">
        <f t="shared" si="233"/>
        <v>0</v>
      </c>
      <c r="H1068" s="8">
        <f t="shared" si="215"/>
        <v>348927</v>
      </c>
      <c r="I1068" s="8">
        <v>349168</v>
      </c>
      <c r="J1068" s="13">
        <f t="shared" si="224"/>
        <v>241</v>
      </c>
      <c r="K1068" s="138"/>
      <c r="L1068" s="8">
        <f t="shared" si="216"/>
        <v>1018995</v>
      </c>
      <c r="M1068" s="8">
        <v>1019880</v>
      </c>
      <c r="N1068" s="13">
        <f t="shared" si="227"/>
        <v>885</v>
      </c>
      <c r="O1068" s="136">
        <f t="shared" si="223"/>
        <v>4377</v>
      </c>
      <c r="P1068" s="8">
        <f t="shared" si="219"/>
        <v>548498</v>
      </c>
      <c r="Q1068" s="8">
        <v>544787</v>
      </c>
      <c r="R1068" s="133">
        <f t="shared" si="231"/>
        <v>-3711</v>
      </c>
      <c r="S1068" s="8">
        <f t="shared" si="217"/>
        <v>37627</v>
      </c>
      <c r="T1068" s="8">
        <v>37671</v>
      </c>
      <c r="U1068" s="133">
        <f t="shared" si="222"/>
        <v>44</v>
      </c>
      <c r="V1068" s="8">
        <f t="shared" si="218"/>
        <v>533986</v>
      </c>
      <c r="W1068" s="8">
        <v>533986</v>
      </c>
      <c r="X1068" s="13">
        <f t="shared" si="228"/>
        <v>0</v>
      </c>
      <c r="Y1068" s="8">
        <f t="shared" si="234"/>
        <v>37690</v>
      </c>
      <c r="Z1068" s="8">
        <v>37710</v>
      </c>
      <c r="AA1068" s="13">
        <f t="shared" si="229"/>
        <v>20</v>
      </c>
      <c r="AB1068" s="8">
        <f t="shared" si="232"/>
        <v>250125</v>
      </c>
      <c r="AC1068" s="8">
        <v>250218</v>
      </c>
      <c r="AD1068" s="13">
        <f t="shared" si="230"/>
        <v>93</v>
      </c>
      <c r="AE1068" s="135"/>
      <c r="AF1068" s="135"/>
      <c r="AG1068" s="135"/>
      <c r="AH1068" s="136"/>
      <c r="AI1068" s="50">
        <f t="shared" si="226"/>
        <v>730</v>
      </c>
    </row>
    <row r="1069" spans="1:35">
      <c r="A1069" s="12">
        <v>45444</v>
      </c>
      <c r="B1069" s="8">
        <f t="shared" si="220"/>
        <v>1996709</v>
      </c>
      <c r="C1069" s="8">
        <v>1996982</v>
      </c>
      <c r="D1069" s="13">
        <f t="shared" si="225"/>
        <v>273</v>
      </c>
      <c r="E1069" s="77">
        <f t="shared" si="235"/>
        <v>273363</v>
      </c>
      <c r="F1069" s="69">
        <v>273363</v>
      </c>
      <c r="G1069" s="133">
        <f t="shared" si="233"/>
        <v>0</v>
      </c>
      <c r="H1069" s="8">
        <f t="shared" si="215"/>
        <v>349168</v>
      </c>
      <c r="I1069" s="8">
        <v>349168</v>
      </c>
      <c r="J1069" s="13">
        <f t="shared" si="224"/>
        <v>0</v>
      </c>
      <c r="K1069" s="138"/>
      <c r="L1069" s="8">
        <f t="shared" si="216"/>
        <v>1019880</v>
      </c>
      <c r="M1069" s="8">
        <v>1020777</v>
      </c>
      <c r="N1069" s="13">
        <f t="shared" si="227"/>
        <v>897</v>
      </c>
      <c r="O1069" s="136">
        <f t="shared" si="223"/>
        <v>-128</v>
      </c>
      <c r="P1069" s="8">
        <f t="shared" si="219"/>
        <v>544787</v>
      </c>
      <c r="Q1069" s="8">
        <v>544787</v>
      </c>
      <c r="R1069" s="133">
        <v>458</v>
      </c>
      <c r="S1069" s="8">
        <f t="shared" si="217"/>
        <v>37671</v>
      </c>
      <c r="T1069" s="8">
        <v>37700</v>
      </c>
      <c r="U1069" s="133">
        <f t="shared" si="222"/>
        <v>29</v>
      </c>
      <c r="V1069" s="8">
        <f t="shared" si="218"/>
        <v>533986</v>
      </c>
      <c r="W1069" s="8">
        <v>533986</v>
      </c>
      <c r="X1069" s="13">
        <f t="shared" si="228"/>
        <v>0</v>
      </c>
      <c r="Y1069" s="8">
        <f t="shared" si="234"/>
        <v>37710</v>
      </c>
      <c r="Z1069" s="8">
        <v>37722</v>
      </c>
      <c r="AA1069" s="13">
        <f t="shared" si="229"/>
        <v>12</v>
      </c>
      <c r="AB1069" s="8">
        <f t="shared" si="232"/>
        <v>250218</v>
      </c>
      <c r="AC1069" s="8">
        <v>250304</v>
      </c>
      <c r="AD1069" s="13">
        <f t="shared" si="230"/>
        <v>86</v>
      </c>
      <c r="AE1069" s="135"/>
      <c r="AF1069" s="135"/>
      <c r="AG1069" s="135"/>
      <c r="AH1069" s="136"/>
      <c r="AI1069" s="50">
        <f t="shared" si="226"/>
        <v>371</v>
      </c>
    </row>
    <row r="1070" spans="1:35">
      <c r="A1070" s="12">
        <v>45445</v>
      </c>
      <c r="B1070" s="8">
        <f t="shared" si="220"/>
        <v>1996982</v>
      </c>
      <c r="C1070" s="8">
        <v>1997282</v>
      </c>
      <c r="D1070" s="13">
        <f t="shared" si="225"/>
        <v>300</v>
      </c>
      <c r="E1070" s="77">
        <f t="shared" si="235"/>
        <v>273363</v>
      </c>
      <c r="F1070" s="69">
        <v>273363</v>
      </c>
      <c r="G1070" s="133">
        <f t="shared" si="233"/>
        <v>0</v>
      </c>
      <c r="H1070" s="8">
        <f t="shared" ref="H1070:H1133" si="236">I1069</f>
        <v>349168</v>
      </c>
      <c r="I1070" s="8">
        <v>349880</v>
      </c>
      <c r="J1070" s="13">
        <f t="shared" si="224"/>
        <v>712</v>
      </c>
      <c r="K1070" s="138"/>
      <c r="L1070" s="8">
        <f t="shared" ref="L1070:L1133" si="237">M1069</f>
        <v>1020777</v>
      </c>
      <c r="M1070" s="8">
        <v>1021562</v>
      </c>
      <c r="N1070" s="13">
        <f t="shared" si="227"/>
        <v>785</v>
      </c>
      <c r="O1070" s="136">
        <f t="shared" si="223"/>
        <v>1016</v>
      </c>
      <c r="P1070" s="8">
        <f t="shared" si="219"/>
        <v>544787</v>
      </c>
      <c r="Q1070" s="8">
        <v>544787</v>
      </c>
      <c r="R1070" s="133">
        <f t="shared" si="231"/>
        <v>0</v>
      </c>
      <c r="S1070" s="8">
        <f>T1069</f>
        <v>37700</v>
      </c>
      <c r="T1070" s="8">
        <v>37786</v>
      </c>
      <c r="U1070" s="133">
        <f t="shared" si="222"/>
        <v>86</v>
      </c>
      <c r="V1070" s="8">
        <f t="shared" ref="V1070:V1133" si="238">W1069</f>
        <v>533986</v>
      </c>
      <c r="W1070" s="8">
        <v>533986</v>
      </c>
      <c r="X1070" s="13">
        <f t="shared" si="228"/>
        <v>0</v>
      </c>
      <c r="Y1070" s="8">
        <f t="shared" si="234"/>
        <v>37722</v>
      </c>
      <c r="Z1070" s="8">
        <v>37738</v>
      </c>
      <c r="AA1070" s="13">
        <f t="shared" si="229"/>
        <v>16</v>
      </c>
      <c r="AB1070" s="8">
        <f t="shared" si="232"/>
        <v>250304</v>
      </c>
      <c r="AC1070" s="8">
        <v>250394</v>
      </c>
      <c r="AD1070" s="13">
        <f t="shared" si="230"/>
        <v>90</v>
      </c>
      <c r="AE1070" s="135"/>
      <c r="AF1070" s="135"/>
      <c r="AG1070" s="135"/>
      <c r="AH1070" s="136"/>
      <c r="AI1070" s="50">
        <f t="shared" si="226"/>
        <v>1118</v>
      </c>
    </row>
    <row r="1071" spans="1:35">
      <c r="A1071" s="12">
        <v>45446</v>
      </c>
      <c r="B1071" s="8">
        <f t="shared" si="220"/>
        <v>1997282</v>
      </c>
      <c r="C1071" s="8">
        <v>1997727</v>
      </c>
      <c r="D1071" s="13">
        <f t="shared" si="225"/>
        <v>445</v>
      </c>
      <c r="E1071" s="77">
        <f t="shared" si="235"/>
        <v>273363</v>
      </c>
      <c r="F1071" s="69">
        <v>273363</v>
      </c>
      <c r="G1071" s="133">
        <f t="shared" si="233"/>
        <v>0</v>
      </c>
      <c r="H1071" s="8">
        <f t="shared" si="236"/>
        <v>349880</v>
      </c>
      <c r="I1071" s="8">
        <v>350620</v>
      </c>
      <c r="J1071" s="13">
        <f t="shared" si="224"/>
        <v>740</v>
      </c>
      <c r="K1071" s="138"/>
      <c r="L1071" s="8">
        <f t="shared" si="237"/>
        <v>1021562</v>
      </c>
      <c r="M1071" s="8">
        <v>1022349</v>
      </c>
      <c r="N1071" s="13">
        <f t="shared" si="227"/>
        <v>787</v>
      </c>
      <c r="O1071" s="136">
        <f t="shared" si="223"/>
        <v>1215</v>
      </c>
      <c r="P1071" s="8">
        <f t="shared" si="219"/>
        <v>544787</v>
      </c>
      <c r="Q1071" s="8">
        <v>544787</v>
      </c>
      <c r="R1071" s="133">
        <f t="shared" si="231"/>
        <v>0</v>
      </c>
      <c r="S1071" s="8">
        <f t="shared" si="217"/>
        <v>37786</v>
      </c>
      <c r="T1071" s="8">
        <v>37845</v>
      </c>
      <c r="U1071" s="133">
        <f t="shared" si="222"/>
        <v>59</v>
      </c>
      <c r="V1071" s="8">
        <f t="shared" si="238"/>
        <v>533986</v>
      </c>
      <c r="W1071" s="8">
        <v>533986</v>
      </c>
      <c r="X1071" s="13">
        <f t="shared" si="228"/>
        <v>0</v>
      </c>
      <c r="Y1071" s="8">
        <f t="shared" si="234"/>
        <v>37738</v>
      </c>
      <c r="Z1071" s="8">
        <v>37755</v>
      </c>
      <c r="AA1071" s="13">
        <f t="shared" si="229"/>
        <v>17</v>
      </c>
      <c r="AB1071" s="8">
        <f t="shared" si="232"/>
        <v>250394</v>
      </c>
      <c r="AC1071" s="8">
        <v>250483</v>
      </c>
      <c r="AD1071" s="13">
        <f t="shared" si="230"/>
        <v>89</v>
      </c>
      <c r="AE1071" s="135"/>
      <c r="AF1071" s="135"/>
      <c r="AG1071" s="135"/>
      <c r="AH1071" s="136"/>
      <c r="AI1071" s="50">
        <f t="shared" si="226"/>
        <v>1291</v>
      </c>
    </row>
    <row r="1072" spans="1:35">
      <c r="A1072" s="12">
        <v>45447</v>
      </c>
      <c r="B1072" s="8">
        <f t="shared" si="220"/>
        <v>1997727</v>
      </c>
      <c r="C1072" s="8">
        <v>1997926</v>
      </c>
      <c r="D1072" s="13">
        <f t="shared" si="225"/>
        <v>199</v>
      </c>
      <c r="E1072" s="77">
        <f t="shared" si="235"/>
        <v>273363</v>
      </c>
      <c r="F1072" s="69">
        <v>273363</v>
      </c>
      <c r="G1072" s="133">
        <f t="shared" si="233"/>
        <v>0</v>
      </c>
      <c r="H1072" s="8">
        <f t="shared" si="236"/>
        <v>350620</v>
      </c>
      <c r="I1072" s="8">
        <v>351233</v>
      </c>
      <c r="J1072" s="13">
        <f t="shared" si="224"/>
        <v>613</v>
      </c>
      <c r="K1072" s="138"/>
      <c r="L1072" s="8">
        <f t="shared" si="237"/>
        <v>1022349</v>
      </c>
      <c r="M1072" s="8">
        <v>1022568</v>
      </c>
      <c r="N1072" s="13">
        <f t="shared" si="227"/>
        <v>219</v>
      </c>
      <c r="O1072" s="136">
        <f t="shared" si="223"/>
        <v>822</v>
      </c>
      <c r="P1072" s="8">
        <f t="shared" si="219"/>
        <v>544787</v>
      </c>
      <c r="Q1072" s="8">
        <v>544787</v>
      </c>
      <c r="R1072" s="133">
        <f t="shared" si="231"/>
        <v>0</v>
      </c>
      <c r="S1072" s="8">
        <f t="shared" si="217"/>
        <v>37845</v>
      </c>
      <c r="T1072" s="8">
        <v>37893</v>
      </c>
      <c r="U1072" s="133">
        <f t="shared" si="222"/>
        <v>48</v>
      </c>
      <c r="V1072" s="8">
        <f t="shared" si="238"/>
        <v>533986</v>
      </c>
      <c r="W1072" s="8">
        <v>533986</v>
      </c>
      <c r="X1072" s="13">
        <f t="shared" si="228"/>
        <v>0</v>
      </c>
      <c r="Y1072" s="8">
        <f t="shared" si="234"/>
        <v>37755</v>
      </c>
      <c r="Z1072" s="8">
        <v>37769</v>
      </c>
      <c r="AA1072" s="13">
        <f t="shared" si="229"/>
        <v>14</v>
      </c>
      <c r="AB1072" s="8">
        <f t="shared" si="232"/>
        <v>250483</v>
      </c>
      <c r="AC1072" s="8">
        <v>250541</v>
      </c>
      <c r="AD1072" s="13">
        <f t="shared" si="230"/>
        <v>58</v>
      </c>
      <c r="AE1072" s="135"/>
      <c r="AF1072" s="135"/>
      <c r="AG1072" s="135"/>
      <c r="AH1072" s="136"/>
      <c r="AI1072" s="50">
        <f t="shared" si="226"/>
        <v>884</v>
      </c>
    </row>
    <row r="1073" spans="1:35">
      <c r="A1073" s="12">
        <v>45448</v>
      </c>
      <c r="B1073" s="8">
        <f t="shared" si="220"/>
        <v>1997926</v>
      </c>
      <c r="C1073" s="8">
        <v>1998334</v>
      </c>
      <c r="D1073" s="13">
        <f t="shared" si="225"/>
        <v>408</v>
      </c>
      <c r="E1073" s="77">
        <f t="shared" si="235"/>
        <v>273363</v>
      </c>
      <c r="F1073" s="69">
        <v>273363</v>
      </c>
      <c r="G1073" s="133">
        <f t="shared" si="233"/>
        <v>0</v>
      </c>
      <c r="H1073" s="8">
        <f t="shared" si="236"/>
        <v>351233</v>
      </c>
      <c r="I1073" s="8">
        <v>351484</v>
      </c>
      <c r="J1073" s="13">
        <f t="shared" si="224"/>
        <v>251</v>
      </c>
      <c r="K1073" s="138"/>
      <c r="L1073" s="8">
        <f t="shared" si="237"/>
        <v>1022568</v>
      </c>
      <c r="M1073" s="8">
        <v>1023378</v>
      </c>
      <c r="N1073" s="13">
        <f t="shared" si="227"/>
        <v>810</v>
      </c>
      <c r="O1073" s="136">
        <f t="shared" si="223"/>
        <v>198</v>
      </c>
      <c r="P1073" s="8">
        <f t="shared" ref="P1073:P1136" si="239">Q1072</f>
        <v>544787</v>
      </c>
      <c r="Q1073" s="8">
        <v>545289</v>
      </c>
      <c r="R1073" s="133">
        <f t="shared" si="231"/>
        <v>502</v>
      </c>
      <c r="S1073" s="8">
        <f t="shared" ref="S1073:S1136" si="240">T1072</f>
        <v>37893</v>
      </c>
      <c r="T1073" s="8">
        <v>37927</v>
      </c>
      <c r="U1073" s="133">
        <f t="shared" si="222"/>
        <v>34</v>
      </c>
      <c r="V1073" s="8">
        <f t="shared" si="238"/>
        <v>533986</v>
      </c>
      <c r="W1073" s="8">
        <v>533986</v>
      </c>
      <c r="X1073" s="13">
        <f t="shared" si="228"/>
        <v>0</v>
      </c>
      <c r="Y1073" s="8">
        <f t="shared" si="234"/>
        <v>37769</v>
      </c>
      <c r="Z1073" s="8">
        <v>37817</v>
      </c>
      <c r="AA1073" s="13">
        <f t="shared" si="229"/>
        <v>48</v>
      </c>
      <c r="AB1073" s="8">
        <f t="shared" si="232"/>
        <v>250541</v>
      </c>
      <c r="AC1073" s="8">
        <v>250616</v>
      </c>
      <c r="AD1073" s="13">
        <f t="shared" si="230"/>
        <v>75</v>
      </c>
      <c r="AE1073" s="135"/>
      <c r="AF1073" s="135"/>
      <c r="AG1073" s="135"/>
      <c r="AH1073" s="136"/>
      <c r="AI1073" s="50">
        <f t="shared" si="226"/>
        <v>782</v>
      </c>
    </row>
    <row r="1074" spans="1:35">
      <c r="A1074" s="12">
        <v>45449</v>
      </c>
      <c r="B1074" s="8">
        <f t="shared" si="220"/>
        <v>1998334</v>
      </c>
      <c r="C1074" s="8">
        <v>1998775</v>
      </c>
      <c r="D1074" s="13">
        <f t="shared" si="225"/>
        <v>441</v>
      </c>
      <c r="E1074" s="77">
        <f t="shared" si="235"/>
        <v>273363</v>
      </c>
      <c r="F1074" s="69">
        <v>273363</v>
      </c>
      <c r="G1074" s="133">
        <f t="shared" si="233"/>
        <v>0</v>
      </c>
      <c r="H1074" s="8">
        <f t="shared" si="236"/>
        <v>351484</v>
      </c>
      <c r="I1074" s="8">
        <v>351484</v>
      </c>
      <c r="J1074" s="13">
        <f t="shared" si="224"/>
        <v>0</v>
      </c>
      <c r="K1074" s="138"/>
      <c r="L1074" s="8">
        <f t="shared" si="237"/>
        <v>1023378</v>
      </c>
      <c r="M1074" s="8">
        <v>1024471</v>
      </c>
      <c r="N1074" s="13">
        <f t="shared" si="227"/>
        <v>1093</v>
      </c>
      <c r="O1074" s="136">
        <f t="shared" si="223"/>
        <v>-89</v>
      </c>
      <c r="P1074" s="8">
        <f t="shared" si="239"/>
        <v>545289</v>
      </c>
      <c r="Q1074" s="8">
        <v>545856</v>
      </c>
      <c r="R1074" s="133">
        <f t="shared" si="231"/>
        <v>567</v>
      </c>
      <c r="S1074" s="8">
        <f t="shared" si="240"/>
        <v>37927</v>
      </c>
      <c r="T1074" s="8">
        <v>37974</v>
      </c>
      <c r="U1074" s="133">
        <f t="shared" si="222"/>
        <v>47</v>
      </c>
      <c r="V1074" s="8">
        <f t="shared" si="238"/>
        <v>533986</v>
      </c>
      <c r="W1074" s="8">
        <v>533986</v>
      </c>
      <c r="X1074" s="13">
        <f t="shared" si="228"/>
        <v>0</v>
      </c>
      <c r="Y1074" s="8">
        <f t="shared" si="234"/>
        <v>37817</v>
      </c>
      <c r="Z1074" s="8">
        <v>37835</v>
      </c>
      <c r="AA1074" s="13">
        <f t="shared" si="229"/>
        <v>18</v>
      </c>
      <c r="AB1074" s="8">
        <f t="shared" si="232"/>
        <v>250616</v>
      </c>
      <c r="AC1074" s="8">
        <v>250700</v>
      </c>
      <c r="AD1074" s="13">
        <f t="shared" si="230"/>
        <v>84</v>
      </c>
      <c r="AE1074" s="135"/>
      <c r="AF1074" s="135"/>
      <c r="AG1074" s="135"/>
      <c r="AH1074" s="136"/>
      <c r="AI1074" s="50">
        <f t="shared" si="226"/>
        <v>543</v>
      </c>
    </row>
    <row r="1075" spans="1:35">
      <c r="A1075" s="12">
        <v>45450</v>
      </c>
      <c r="B1075" s="8">
        <f t="shared" si="220"/>
        <v>1998775</v>
      </c>
      <c r="C1075" s="8">
        <v>1998819</v>
      </c>
      <c r="D1075" s="13">
        <f t="shared" si="225"/>
        <v>44</v>
      </c>
      <c r="E1075" s="77">
        <f t="shared" si="235"/>
        <v>273363</v>
      </c>
      <c r="F1075" s="69">
        <v>273363</v>
      </c>
      <c r="G1075" s="133">
        <f t="shared" si="233"/>
        <v>0</v>
      </c>
      <c r="H1075" s="8">
        <f t="shared" si="236"/>
        <v>351484</v>
      </c>
      <c r="I1075" s="8">
        <v>351484</v>
      </c>
      <c r="J1075" s="13">
        <f t="shared" si="224"/>
        <v>0</v>
      </c>
      <c r="K1075" s="138"/>
      <c r="L1075" s="8">
        <f t="shared" si="237"/>
        <v>1024471</v>
      </c>
      <c r="M1075" s="8">
        <v>1025642</v>
      </c>
      <c r="N1075" s="13">
        <f t="shared" si="227"/>
        <v>1171</v>
      </c>
      <c r="O1075" s="136">
        <f t="shared" si="223"/>
        <v>-516</v>
      </c>
      <c r="P1075" s="8">
        <f t="shared" si="239"/>
        <v>545856</v>
      </c>
      <c r="Q1075" s="8">
        <v>546408</v>
      </c>
      <c r="R1075" s="133">
        <f t="shared" si="231"/>
        <v>552</v>
      </c>
      <c r="S1075" s="8">
        <f t="shared" si="240"/>
        <v>37974</v>
      </c>
      <c r="T1075" s="8">
        <v>38026</v>
      </c>
      <c r="U1075" s="133">
        <f t="shared" si="222"/>
        <v>52</v>
      </c>
      <c r="V1075" s="8">
        <f t="shared" si="238"/>
        <v>533986</v>
      </c>
      <c r="W1075" s="8">
        <v>533986</v>
      </c>
      <c r="X1075" s="13">
        <f t="shared" si="228"/>
        <v>0</v>
      </c>
      <c r="Y1075" s="8">
        <f t="shared" si="234"/>
        <v>37835</v>
      </c>
      <c r="Z1075" s="8">
        <v>37849</v>
      </c>
      <c r="AA1075" s="13">
        <f t="shared" si="229"/>
        <v>14</v>
      </c>
      <c r="AB1075" s="8">
        <f t="shared" si="232"/>
        <v>250700</v>
      </c>
      <c r="AC1075" s="8">
        <v>250744</v>
      </c>
      <c r="AD1075" s="13">
        <f t="shared" si="230"/>
        <v>44</v>
      </c>
      <c r="AE1075" s="135"/>
      <c r="AF1075" s="135"/>
      <c r="AG1075" s="135"/>
      <c r="AH1075" s="136"/>
      <c r="AI1075" s="50">
        <f t="shared" si="226"/>
        <v>102</v>
      </c>
    </row>
    <row r="1076" spans="1:35">
      <c r="A1076" s="12">
        <v>45451</v>
      </c>
      <c r="B1076" s="8">
        <f t="shared" si="220"/>
        <v>1998819</v>
      </c>
      <c r="C1076" s="8">
        <v>1998819</v>
      </c>
      <c r="D1076" s="13">
        <f t="shared" si="225"/>
        <v>0</v>
      </c>
      <c r="E1076" s="77">
        <f t="shared" si="235"/>
        <v>273363</v>
      </c>
      <c r="F1076" s="69">
        <v>273363</v>
      </c>
      <c r="G1076" s="133">
        <f t="shared" si="233"/>
        <v>0</v>
      </c>
      <c r="H1076" s="8">
        <f t="shared" si="236"/>
        <v>351484</v>
      </c>
      <c r="I1076" s="8">
        <v>351974</v>
      </c>
      <c r="J1076" s="13">
        <f t="shared" si="224"/>
        <v>490</v>
      </c>
      <c r="K1076" s="138"/>
      <c r="L1076" s="8">
        <f t="shared" si="237"/>
        <v>1025642</v>
      </c>
      <c r="M1076" s="8">
        <v>1026083</v>
      </c>
      <c r="N1076" s="13">
        <f t="shared" si="227"/>
        <v>441</v>
      </c>
      <c r="O1076" s="136">
        <f t="shared" si="223"/>
        <v>91</v>
      </c>
      <c r="P1076" s="8">
        <f t="shared" si="239"/>
        <v>546408</v>
      </c>
      <c r="Q1076" s="8">
        <v>546787</v>
      </c>
      <c r="R1076" s="133">
        <f t="shared" si="231"/>
        <v>379</v>
      </c>
      <c r="S1076" s="8">
        <f t="shared" si="240"/>
        <v>38026</v>
      </c>
      <c r="T1076" s="8">
        <v>38070</v>
      </c>
      <c r="U1076" s="133">
        <f t="shared" si="222"/>
        <v>44</v>
      </c>
      <c r="V1076" s="8">
        <f t="shared" si="238"/>
        <v>533986</v>
      </c>
      <c r="W1076" s="8">
        <v>533986</v>
      </c>
      <c r="X1076" s="13">
        <f t="shared" si="228"/>
        <v>0</v>
      </c>
      <c r="Y1076" s="8">
        <f t="shared" si="234"/>
        <v>37849</v>
      </c>
      <c r="Z1076" s="8">
        <v>37862</v>
      </c>
      <c r="AA1076" s="13">
        <f t="shared" si="229"/>
        <v>13</v>
      </c>
      <c r="AB1076" s="8">
        <f t="shared" si="232"/>
        <v>250744</v>
      </c>
      <c r="AC1076" s="8">
        <v>250768</v>
      </c>
      <c r="AD1076" s="13">
        <f t="shared" si="230"/>
        <v>24</v>
      </c>
      <c r="AE1076" s="135"/>
      <c r="AF1076" s="135"/>
      <c r="AG1076" s="135"/>
      <c r="AH1076" s="136"/>
      <c r="AI1076" s="50">
        <f t="shared" si="226"/>
        <v>527</v>
      </c>
    </row>
    <row r="1077" spans="1:35">
      <c r="A1077" s="12">
        <v>45452</v>
      </c>
      <c r="B1077" s="8">
        <f t="shared" si="220"/>
        <v>1998819</v>
      </c>
      <c r="C1077" s="8">
        <v>1999027</v>
      </c>
      <c r="D1077" s="13">
        <f t="shared" si="225"/>
        <v>208</v>
      </c>
      <c r="E1077" s="77">
        <f t="shared" si="235"/>
        <v>273363</v>
      </c>
      <c r="F1077" s="69">
        <v>273363</v>
      </c>
      <c r="G1077" s="133">
        <f t="shared" si="233"/>
        <v>0</v>
      </c>
      <c r="H1077" s="8">
        <f t="shared" si="236"/>
        <v>351974</v>
      </c>
      <c r="I1077" s="8">
        <v>352690</v>
      </c>
      <c r="J1077" s="13">
        <f t="shared" si="224"/>
        <v>716</v>
      </c>
      <c r="K1077" s="138"/>
      <c r="L1077" s="8">
        <f t="shared" si="237"/>
        <v>1026083</v>
      </c>
      <c r="M1077" s="8">
        <v>1026567</v>
      </c>
      <c r="N1077" s="13">
        <f t="shared" si="227"/>
        <v>484</v>
      </c>
      <c r="O1077" s="136">
        <f t="shared" si="223"/>
        <v>339</v>
      </c>
      <c r="P1077" s="8">
        <f t="shared" si="239"/>
        <v>546787</v>
      </c>
      <c r="Q1077" s="8">
        <v>547387</v>
      </c>
      <c r="R1077" s="133">
        <f t="shared" si="231"/>
        <v>600</v>
      </c>
      <c r="S1077" s="8">
        <f t="shared" si="240"/>
        <v>38070</v>
      </c>
      <c r="T1077" s="8">
        <v>38121</v>
      </c>
      <c r="U1077" s="133">
        <f t="shared" si="222"/>
        <v>51</v>
      </c>
      <c r="V1077" s="8">
        <f t="shared" si="238"/>
        <v>533986</v>
      </c>
      <c r="W1077" s="8">
        <v>533986</v>
      </c>
      <c r="X1077" s="13">
        <f t="shared" si="228"/>
        <v>0</v>
      </c>
      <c r="Y1077" s="8">
        <f t="shared" si="234"/>
        <v>37862</v>
      </c>
      <c r="Z1077" s="8">
        <v>37891</v>
      </c>
      <c r="AA1077" s="13">
        <f t="shared" si="229"/>
        <v>29</v>
      </c>
      <c r="AB1077" s="8">
        <f t="shared" si="232"/>
        <v>250768</v>
      </c>
      <c r="AC1077" s="8">
        <v>250834</v>
      </c>
      <c r="AD1077" s="13">
        <f t="shared" si="230"/>
        <v>66</v>
      </c>
      <c r="AE1077" s="135"/>
      <c r="AF1077" s="135"/>
      <c r="AG1077" s="135"/>
      <c r="AH1077" s="136"/>
      <c r="AI1077" s="50">
        <f t="shared" si="226"/>
        <v>1019</v>
      </c>
    </row>
    <row r="1078" spans="1:35">
      <c r="A1078" s="12">
        <v>45453</v>
      </c>
      <c r="B1078" s="8">
        <f t="shared" si="220"/>
        <v>1999027</v>
      </c>
      <c r="C1078" s="8">
        <v>1999126</v>
      </c>
      <c r="D1078" s="13">
        <f t="shared" si="225"/>
        <v>99</v>
      </c>
      <c r="E1078" s="77">
        <f t="shared" si="235"/>
        <v>273363</v>
      </c>
      <c r="F1078" s="69">
        <v>273363</v>
      </c>
      <c r="G1078" s="133">
        <f t="shared" si="233"/>
        <v>0</v>
      </c>
      <c r="H1078" s="8">
        <f t="shared" si="236"/>
        <v>352690</v>
      </c>
      <c r="I1078" s="8">
        <v>353257</v>
      </c>
      <c r="J1078" s="13">
        <f t="shared" si="224"/>
        <v>567</v>
      </c>
      <c r="K1078" s="138"/>
      <c r="L1078" s="8">
        <f t="shared" si="237"/>
        <v>1026567</v>
      </c>
      <c r="M1078" s="8">
        <v>1027114</v>
      </c>
      <c r="N1078" s="13">
        <f t="shared" si="227"/>
        <v>547</v>
      </c>
      <c r="O1078" s="136">
        <f t="shared" si="223"/>
        <v>243</v>
      </c>
      <c r="P1078" s="8">
        <f t="shared" si="239"/>
        <v>547387</v>
      </c>
      <c r="Q1078" s="8">
        <v>547824</v>
      </c>
      <c r="R1078" s="133">
        <f t="shared" si="231"/>
        <v>437</v>
      </c>
      <c r="S1078" s="8">
        <f t="shared" si="240"/>
        <v>38121</v>
      </c>
      <c r="T1078" s="8">
        <v>38185</v>
      </c>
      <c r="U1078" s="133">
        <f t="shared" si="222"/>
        <v>64</v>
      </c>
      <c r="V1078" s="8">
        <f t="shared" si="238"/>
        <v>533986</v>
      </c>
      <c r="W1078" s="8">
        <v>533986</v>
      </c>
      <c r="X1078" s="13">
        <f t="shared" si="228"/>
        <v>0</v>
      </c>
      <c r="Y1078" s="8">
        <f t="shared" si="234"/>
        <v>37891</v>
      </c>
      <c r="Z1078" s="8">
        <v>37916</v>
      </c>
      <c r="AA1078" s="13">
        <f t="shared" si="229"/>
        <v>25</v>
      </c>
      <c r="AB1078" s="8">
        <f t="shared" si="232"/>
        <v>250834</v>
      </c>
      <c r="AC1078" s="8">
        <v>250912</v>
      </c>
      <c r="AD1078" s="13">
        <f t="shared" si="230"/>
        <v>78</v>
      </c>
      <c r="AE1078" s="135"/>
      <c r="AF1078" s="135"/>
      <c r="AG1078" s="135"/>
      <c r="AH1078" s="136"/>
      <c r="AI1078" s="50">
        <f t="shared" si="226"/>
        <v>769</v>
      </c>
    </row>
    <row r="1079" spans="1:35">
      <c r="A1079" s="12">
        <v>45454</v>
      </c>
      <c r="B1079" s="8">
        <f t="shared" ref="B1079:B1142" si="241">C1078</f>
        <v>1999126</v>
      </c>
      <c r="C1079" s="8">
        <v>1999408</v>
      </c>
      <c r="D1079" s="13">
        <f t="shared" si="225"/>
        <v>282</v>
      </c>
      <c r="E1079" s="77">
        <f t="shared" si="235"/>
        <v>273363</v>
      </c>
      <c r="F1079" s="69">
        <v>273363</v>
      </c>
      <c r="G1079" s="133">
        <f t="shared" si="233"/>
        <v>0</v>
      </c>
      <c r="H1079" s="8">
        <f t="shared" si="236"/>
        <v>353257</v>
      </c>
      <c r="I1079" s="8">
        <v>353948</v>
      </c>
      <c r="J1079" s="13">
        <f t="shared" si="224"/>
        <v>691</v>
      </c>
      <c r="K1079" s="138"/>
      <c r="L1079" s="8">
        <f t="shared" si="237"/>
        <v>1027114</v>
      </c>
      <c r="M1079" s="8">
        <v>1027613</v>
      </c>
      <c r="N1079" s="13">
        <f t="shared" si="227"/>
        <v>499</v>
      </c>
      <c r="O1079" s="136">
        <f t="shared" si="223"/>
        <v>355</v>
      </c>
      <c r="P1079" s="8">
        <f t="shared" si="239"/>
        <v>547824</v>
      </c>
      <c r="Q1079" s="8">
        <v>548489</v>
      </c>
      <c r="R1079" s="133">
        <f t="shared" si="231"/>
        <v>665</v>
      </c>
      <c r="S1079" s="8">
        <f t="shared" si="240"/>
        <v>38185</v>
      </c>
      <c r="T1079" s="8">
        <v>38222</v>
      </c>
      <c r="U1079" s="133">
        <f t="shared" si="222"/>
        <v>37</v>
      </c>
      <c r="V1079" s="8">
        <f t="shared" si="238"/>
        <v>533986</v>
      </c>
      <c r="W1079" s="8">
        <v>533986</v>
      </c>
      <c r="X1079" s="13">
        <f t="shared" si="228"/>
        <v>0</v>
      </c>
      <c r="Y1079" s="8">
        <f t="shared" si="234"/>
        <v>37916</v>
      </c>
      <c r="Z1079" s="8">
        <v>37938</v>
      </c>
      <c r="AA1079" s="13">
        <f t="shared" si="229"/>
        <v>22</v>
      </c>
      <c r="AB1079" s="8">
        <f t="shared" si="232"/>
        <v>250912</v>
      </c>
      <c r="AC1079" s="8">
        <v>250996</v>
      </c>
      <c r="AD1079" s="13">
        <f t="shared" si="230"/>
        <v>84</v>
      </c>
      <c r="AE1079" s="135"/>
      <c r="AF1079" s="135"/>
      <c r="AG1079" s="135"/>
      <c r="AH1079" s="136"/>
      <c r="AI1079" s="50">
        <f t="shared" si="226"/>
        <v>1079</v>
      </c>
    </row>
    <row r="1080" spans="1:35">
      <c r="A1080" s="12">
        <v>45455</v>
      </c>
      <c r="B1080" s="8">
        <f t="shared" si="241"/>
        <v>1999408</v>
      </c>
      <c r="C1080" s="8">
        <v>1999408</v>
      </c>
      <c r="D1080" s="13">
        <f t="shared" si="225"/>
        <v>0</v>
      </c>
      <c r="E1080" s="77">
        <f t="shared" si="235"/>
        <v>273363</v>
      </c>
      <c r="F1080" s="69">
        <v>273363</v>
      </c>
      <c r="G1080" s="133">
        <f t="shared" si="233"/>
        <v>0</v>
      </c>
      <c r="H1080" s="8">
        <f t="shared" si="236"/>
        <v>353948</v>
      </c>
      <c r="I1080" s="8">
        <v>354424</v>
      </c>
      <c r="J1080" s="13">
        <f t="shared" si="224"/>
        <v>476</v>
      </c>
      <c r="K1080" s="138"/>
      <c r="L1080" s="8">
        <f t="shared" si="237"/>
        <v>1027613</v>
      </c>
      <c r="M1080" s="8">
        <v>1028092</v>
      </c>
      <c r="N1080" s="13">
        <f t="shared" si="227"/>
        <v>479</v>
      </c>
      <c r="O1080" s="136">
        <f t="shared" si="223"/>
        <v>-119</v>
      </c>
      <c r="P1080" s="8">
        <f t="shared" si="239"/>
        <v>548489</v>
      </c>
      <c r="Q1080" s="8">
        <v>549074</v>
      </c>
      <c r="R1080" s="133">
        <f t="shared" si="231"/>
        <v>585</v>
      </c>
      <c r="S1080" s="8">
        <f t="shared" si="240"/>
        <v>38222</v>
      </c>
      <c r="T1080" s="8">
        <v>38254</v>
      </c>
      <c r="U1080" s="133">
        <f t="shared" si="222"/>
        <v>32</v>
      </c>
      <c r="V1080" s="8">
        <f t="shared" si="238"/>
        <v>533986</v>
      </c>
      <c r="W1080" s="8">
        <v>533986</v>
      </c>
      <c r="X1080" s="13">
        <f t="shared" si="228"/>
        <v>0</v>
      </c>
      <c r="Y1080" s="8">
        <f t="shared" si="234"/>
        <v>37938</v>
      </c>
      <c r="Z1080" s="8">
        <v>37940</v>
      </c>
      <c r="AA1080" s="13">
        <f t="shared" si="229"/>
        <v>2</v>
      </c>
      <c r="AB1080" s="8">
        <f t="shared" si="232"/>
        <v>250996</v>
      </c>
      <c r="AC1080" s="8">
        <v>251018</v>
      </c>
      <c r="AD1080" s="13">
        <f t="shared" si="230"/>
        <v>22</v>
      </c>
      <c r="AE1080" s="135"/>
      <c r="AF1080" s="135"/>
      <c r="AG1080" s="135"/>
      <c r="AH1080" s="136"/>
      <c r="AI1080" s="50">
        <f t="shared" si="226"/>
        <v>500</v>
      </c>
    </row>
    <row r="1081" spans="1:35">
      <c r="A1081" s="12">
        <v>45456</v>
      </c>
      <c r="B1081" s="8">
        <f t="shared" si="241"/>
        <v>1999408</v>
      </c>
      <c r="C1081" s="8">
        <v>1999577</v>
      </c>
      <c r="D1081" s="13">
        <f t="shared" si="225"/>
        <v>169</v>
      </c>
      <c r="E1081" s="77">
        <f t="shared" si="235"/>
        <v>273363</v>
      </c>
      <c r="F1081" s="69">
        <v>273363</v>
      </c>
      <c r="G1081" s="133">
        <f t="shared" si="233"/>
        <v>0</v>
      </c>
      <c r="H1081" s="8">
        <f t="shared" si="236"/>
        <v>354424</v>
      </c>
      <c r="I1081" s="8">
        <v>354697</v>
      </c>
      <c r="J1081" s="13">
        <f t="shared" si="224"/>
        <v>273</v>
      </c>
      <c r="K1081" s="138"/>
      <c r="L1081" s="8">
        <f t="shared" si="237"/>
        <v>1028092</v>
      </c>
      <c r="M1081" s="8">
        <v>1029160</v>
      </c>
      <c r="N1081" s="13">
        <f t="shared" si="227"/>
        <v>1068</v>
      </c>
      <c r="O1081" s="136">
        <f t="shared" si="223"/>
        <v>322</v>
      </c>
      <c r="P1081" s="8">
        <f t="shared" si="239"/>
        <v>549074</v>
      </c>
      <c r="Q1081" s="8">
        <v>549260</v>
      </c>
      <c r="R1081" s="133">
        <f t="shared" si="231"/>
        <v>186</v>
      </c>
      <c r="S1081" s="8">
        <f t="shared" si="240"/>
        <v>38254</v>
      </c>
      <c r="T1081" s="8">
        <v>38264</v>
      </c>
      <c r="U1081" s="133">
        <f t="shared" ref="U1081:U1144" si="242">T1081-S1081</f>
        <v>10</v>
      </c>
      <c r="V1081" s="8">
        <f t="shared" si="238"/>
        <v>533986</v>
      </c>
      <c r="W1081" s="8">
        <v>533986</v>
      </c>
      <c r="X1081" s="13">
        <f t="shared" si="228"/>
        <v>0</v>
      </c>
      <c r="Y1081" s="8">
        <f t="shared" si="234"/>
        <v>37940</v>
      </c>
      <c r="Z1081" s="8">
        <v>37958</v>
      </c>
      <c r="AA1081" s="13">
        <f t="shared" si="229"/>
        <v>18</v>
      </c>
      <c r="AB1081" s="8">
        <f t="shared" si="232"/>
        <v>251018</v>
      </c>
      <c r="AC1081" s="8">
        <v>251023</v>
      </c>
      <c r="AD1081" s="13">
        <v>76</v>
      </c>
      <c r="AE1081" s="135"/>
      <c r="AF1081" s="135"/>
      <c r="AG1081" s="135"/>
      <c r="AH1081" s="136"/>
      <c r="AI1081" s="50">
        <f t="shared" si="226"/>
        <v>536</v>
      </c>
    </row>
    <row r="1082" spans="1:35">
      <c r="A1082" s="12">
        <v>45457</v>
      </c>
      <c r="B1082" s="8">
        <f t="shared" si="241"/>
        <v>1999577</v>
      </c>
      <c r="C1082" s="8">
        <v>2000216</v>
      </c>
      <c r="D1082" s="13">
        <f t="shared" si="225"/>
        <v>639</v>
      </c>
      <c r="E1082" s="77">
        <f t="shared" si="235"/>
        <v>273363</v>
      </c>
      <c r="F1082" s="69">
        <v>273363</v>
      </c>
      <c r="G1082" s="133">
        <f t="shared" si="233"/>
        <v>0</v>
      </c>
      <c r="H1082" s="8">
        <f t="shared" si="236"/>
        <v>354697</v>
      </c>
      <c r="I1082" s="8">
        <v>355017</v>
      </c>
      <c r="J1082" s="13">
        <f t="shared" si="224"/>
        <v>320</v>
      </c>
      <c r="K1082" s="138"/>
      <c r="L1082" s="8">
        <f t="shared" si="237"/>
        <v>1029160</v>
      </c>
      <c r="M1082" s="8">
        <v>1030075</v>
      </c>
      <c r="N1082" s="13">
        <f t="shared" si="227"/>
        <v>915</v>
      </c>
      <c r="O1082" s="136">
        <f t="shared" si="223"/>
        <v>352</v>
      </c>
      <c r="P1082" s="8">
        <f t="shared" si="239"/>
        <v>549260</v>
      </c>
      <c r="Q1082" s="8">
        <v>549846</v>
      </c>
      <c r="R1082" s="133">
        <f t="shared" si="231"/>
        <v>586</v>
      </c>
      <c r="S1082" s="8">
        <f t="shared" si="240"/>
        <v>38264</v>
      </c>
      <c r="T1082" s="8">
        <v>38359</v>
      </c>
      <c r="U1082" s="133">
        <f t="shared" si="242"/>
        <v>95</v>
      </c>
      <c r="V1082" s="8">
        <f t="shared" si="238"/>
        <v>533986</v>
      </c>
      <c r="W1082" s="8">
        <v>533986</v>
      </c>
      <c r="X1082" s="13">
        <f t="shared" si="228"/>
        <v>0</v>
      </c>
      <c r="Y1082" s="8">
        <f t="shared" si="234"/>
        <v>37958</v>
      </c>
      <c r="Z1082" s="8">
        <v>37972</v>
      </c>
      <c r="AA1082" s="13">
        <f t="shared" si="229"/>
        <v>14</v>
      </c>
      <c r="AB1082" s="8">
        <f t="shared" si="232"/>
        <v>251023</v>
      </c>
      <c r="AC1082" s="8">
        <v>251023</v>
      </c>
      <c r="AD1082" s="13">
        <v>74</v>
      </c>
      <c r="AE1082" s="135"/>
      <c r="AF1082" s="135"/>
      <c r="AG1082" s="135"/>
      <c r="AH1082" s="136"/>
      <c r="AI1082" s="50">
        <f t="shared" si="226"/>
        <v>1047</v>
      </c>
    </row>
    <row r="1083" spans="1:35">
      <c r="A1083" s="12">
        <v>45458</v>
      </c>
      <c r="B1083" s="8">
        <f t="shared" si="241"/>
        <v>2000216</v>
      </c>
      <c r="C1083" s="8">
        <v>2000646</v>
      </c>
      <c r="D1083" s="13">
        <f t="shared" si="225"/>
        <v>430</v>
      </c>
      <c r="E1083" s="77">
        <f t="shared" si="235"/>
        <v>273363</v>
      </c>
      <c r="F1083" s="69">
        <v>273363</v>
      </c>
      <c r="G1083" s="133">
        <f t="shared" si="233"/>
        <v>0</v>
      </c>
      <c r="H1083" s="8">
        <f t="shared" si="236"/>
        <v>355017</v>
      </c>
      <c r="I1083" s="8">
        <v>355017</v>
      </c>
      <c r="J1083" s="13">
        <f t="shared" si="224"/>
        <v>0</v>
      </c>
      <c r="K1083" s="138"/>
      <c r="L1083" s="8">
        <f t="shared" si="237"/>
        <v>1030075</v>
      </c>
      <c r="M1083" s="8">
        <v>1031298</v>
      </c>
      <c r="N1083" s="13">
        <f t="shared" si="227"/>
        <v>1223</v>
      </c>
      <c r="O1083" s="136">
        <f t="shared" ref="O1083:O1146" si="243">(D1083+G1083+J1083+AD1083)-(U1083+R1083)</f>
        <v>-286</v>
      </c>
      <c r="P1083" s="8">
        <f t="shared" si="239"/>
        <v>549846</v>
      </c>
      <c r="Q1083" s="8">
        <v>550551</v>
      </c>
      <c r="R1083" s="133">
        <f t="shared" si="231"/>
        <v>705</v>
      </c>
      <c r="S1083" s="8">
        <f t="shared" si="240"/>
        <v>38359</v>
      </c>
      <c r="T1083" s="8">
        <v>38446</v>
      </c>
      <c r="U1083" s="133">
        <f t="shared" si="242"/>
        <v>87</v>
      </c>
      <c r="V1083" s="8">
        <f t="shared" si="238"/>
        <v>533986</v>
      </c>
      <c r="W1083" s="8">
        <v>533986</v>
      </c>
      <c r="X1083" s="13">
        <f>W1083-V1083</f>
        <v>0</v>
      </c>
      <c r="Y1083" s="8">
        <f t="shared" si="234"/>
        <v>37972</v>
      </c>
      <c r="Z1083" s="8">
        <v>37989</v>
      </c>
      <c r="AA1083" s="13">
        <f t="shared" si="229"/>
        <v>17</v>
      </c>
      <c r="AB1083" s="8">
        <f t="shared" si="232"/>
        <v>251023</v>
      </c>
      <c r="AC1083" s="8">
        <v>251023</v>
      </c>
      <c r="AD1083" s="13">
        <v>76</v>
      </c>
      <c r="AE1083" s="135"/>
      <c r="AF1083" s="135"/>
      <c r="AG1083" s="135"/>
      <c r="AH1083" s="136"/>
      <c r="AI1083" s="50">
        <f t="shared" si="226"/>
        <v>523</v>
      </c>
    </row>
    <row r="1084" spans="1:35">
      <c r="A1084" s="12">
        <v>45459</v>
      </c>
      <c r="B1084" s="8">
        <f t="shared" si="241"/>
        <v>2000646</v>
      </c>
      <c r="C1084" s="8">
        <v>2000985</v>
      </c>
      <c r="D1084" s="13">
        <f t="shared" si="225"/>
        <v>339</v>
      </c>
      <c r="E1084" s="77">
        <f t="shared" si="235"/>
        <v>273363</v>
      </c>
      <c r="F1084" s="69">
        <v>273363</v>
      </c>
      <c r="G1084" s="133">
        <f t="shared" si="233"/>
        <v>0</v>
      </c>
      <c r="H1084" s="8">
        <f t="shared" si="236"/>
        <v>355017</v>
      </c>
      <c r="I1084" s="8">
        <v>355017</v>
      </c>
      <c r="J1084" s="13">
        <f t="shared" ref="J1084:J1147" si="244">I1084-H1084</f>
        <v>0</v>
      </c>
      <c r="K1084" s="138"/>
      <c r="L1084" s="8">
        <f t="shared" si="237"/>
        <v>1031298</v>
      </c>
      <c r="M1084" s="8">
        <v>1032356</v>
      </c>
      <c r="N1084" s="13">
        <f t="shared" si="227"/>
        <v>1058</v>
      </c>
      <c r="O1084" s="136">
        <f t="shared" si="243"/>
        <v>-25</v>
      </c>
      <c r="P1084" s="8">
        <f t="shared" si="239"/>
        <v>550551</v>
      </c>
      <c r="Q1084" s="8">
        <v>550964</v>
      </c>
      <c r="R1084" s="133">
        <f t="shared" si="231"/>
        <v>413</v>
      </c>
      <c r="S1084" s="8">
        <f t="shared" si="240"/>
        <v>38446</v>
      </c>
      <c r="T1084" s="8">
        <v>38484</v>
      </c>
      <c r="U1084" s="133">
        <f t="shared" si="242"/>
        <v>38</v>
      </c>
      <c r="V1084" s="8">
        <f>W1083</f>
        <v>533986</v>
      </c>
      <c r="W1084" s="8">
        <v>533986</v>
      </c>
      <c r="X1084" s="13">
        <f>W1084-V1084</f>
        <v>0</v>
      </c>
      <c r="Y1084" s="8">
        <f t="shared" si="234"/>
        <v>37989</v>
      </c>
      <c r="Z1084" s="8">
        <v>38004</v>
      </c>
      <c r="AA1084" s="13">
        <f t="shared" si="229"/>
        <v>15</v>
      </c>
      <c r="AB1084" s="8">
        <f t="shared" si="232"/>
        <v>251023</v>
      </c>
      <c r="AC1084" s="8">
        <v>251023</v>
      </c>
      <c r="AD1084" s="13">
        <v>87</v>
      </c>
      <c r="AE1084" s="135"/>
      <c r="AF1084" s="135"/>
      <c r="AG1084" s="135"/>
      <c r="AH1084" s="136"/>
      <c r="AI1084" s="50">
        <f t="shared" si="226"/>
        <v>441</v>
      </c>
    </row>
    <row r="1085" spans="1:35">
      <c r="A1085" s="12">
        <v>45460</v>
      </c>
      <c r="B1085" s="8">
        <f t="shared" si="241"/>
        <v>2000985</v>
      </c>
      <c r="C1085" s="8">
        <v>2000985</v>
      </c>
      <c r="D1085" s="13">
        <f t="shared" si="225"/>
        <v>0</v>
      </c>
      <c r="E1085" s="77">
        <f t="shared" si="235"/>
        <v>273363</v>
      </c>
      <c r="F1085" s="69">
        <v>273363</v>
      </c>
      <c r="G1085" s="133">
        <f t="shared" si="233"/>
        <v>0</v>
      </c>
      <c r="H1085" s="8">
        <f t="shared" si="236"/>
        <v>355017</v>
      </c>
      <c r="I1085" s="8">
        <v>355017</v>
      </c>
      <c r="J1085" s="13">
        <f t="shared" si="244"/>
        <v>0</v>
      </c>
      <c r="K1085" s="138"/>
      <c r="L1085" s="8">
        <f t="shared" si="237"/>
        <v>1032356</v>
      </c>
      <c r="M1085" s="8">
        <v>1033389</v>
      </c>
      <c r="N1085" s="13">
        <f t="shared" si="227"/>
        <v>1033</v>
      </c>
      <c r="O1085" s="136">
        <f t="shared" si="243"/>
        <v>-495</v>
      </c>
      <c r="P1085" s="8">
        <f t="shared" si="239"/>
        <v>550964</v>
      </c>
      <c r="Q1085" s="8">
        <v>551481</v>
      </c>
      <c r="R1085" s="133">
        <f t="shared" si="231"/>
        <v>517</v>
      </c>
      <c r="S1085" s="8">
        <f t="shared" si="240"/>
        <v>38484</v>
      </c>
      <c r="T1085" s="8">
        <v>38541</v>
      </c>
      <c r="U1085" s="133">
        <f t="shared" si="242"/>
        <v>57</v>
      </c>
      <c r="V1085" s="8">
        <f>W1084</f>
        <v>533986</v>
      </c>
      <c r="W1085" s="8">
        <v>533986</v>
      </c>
      <c r="X1085" s="13">
        <f t="shared" si="228"/>
        <v>0</v>
      </c>
      <c r="Y1085" s="8">
        <f t="shared" si="234"/>
        <v>38004</v>
      </c>
      <c r="Z1085" s="8">
        <v>38066</v>
      </c>
      <c r="AA1085" s="13">
        <f t="shared" si="229"/>
        <v>62</v>
      </c>
      <c r="AB1085" s="8">
        <f t="shared" si="232"/>
        <v>251023</v>
      </c>
      <c r="AC1085" s="8">
        <v>251023</v>
      </c>
      <c r="AD1085" s="13">
        <v>79</v>
      </c>
      <c r="AE1085" s="135"/>
      <c r="AF1085" s="135"/>
      <c r="AG1085" s="135"/>
      <c r="AH1085" s="136"/>
      <c r="AI1085" s="50">
        <f t="shared" si="226"/>
        <v>141</v>
      </c>
    </row>
    <row r="1086" spans="1:35">
      <c r="A1086" s="12">
        <v>45461</v>
      </c>
      <c r="B1086" s="8">
        <f t="shared" si="241"/>
        <v>2000985</v>
      </c>
      <c r="C1086" s="8">
        <v>2001672</v>
      </c>
      <c r="D1086" s="13">
        <f t="shared" si="225"/>
        <v>687</v>
      </c>
      <c r="E1086" s="77">
        <f t="shared" si="235"/>
        <v>273363</v>
      </c>
      <c r="F1086" s="69">
        <v>273363</v>
      </c>
      <c r="G1086" s="133">
        <f t="shared" si="233"/>
        <v>0</v>
      </c>
      <c r="H1086" s="8">
        <f t="shared" si="236"/>
        <v>355017</v>
      </c>
      <c r="I1086" s="8">
        <v>355017</v>
      </c>
      <c r="J1086" s="13">
        <f t="shared" si="244"/>
        <v>0</v>
      </c>
      <c r="K1086" s="138"/>
      <c r="L1086" s="8">
        <f t="shared" si="237"/>
        <v>1033389</v>
      </c>
      <c r="M1086" s="8">
        <v>1034544</v>
      </c>
      <c r="N1086" s="13">
        <f t="shared" si="227"/>
        <v>1155</v>
      </c>
      <c r="O1086" s="136">
        <f t="shared" si="243"/>
        <v>123</v>
      </c>
      <c r="P1086" s="8">
        <f t="shared" si="239"/>
        <v>551481</v>
      </c>
      <c r="Q1086" s="8">
        <v>552023</v>
      </c>
      <c r="R1086" s="133">
        <f t="shared" si="231"/>
        <v>542</v>
      </c>
      <c r="S1086" s="8">
        <f t="shared" si="240"/>
        <v>38541</v>
      </c>
      <c r="T1086" s="8">
        <v>38594</v>
      </c>
      <c r="U1086" s="133">
        <f t="shared" si="242"/>
        <v>53</v>
      </c>
      <c r="V1086" s="8">
        <f t="shared" si="238"/>
        <v>533986</v>
      </c>
      <c r="W1086" s="8">
        <v>533986</v>
      </c>
      <c r="X1086" s="13">
        <f t="shared" si="228"/>
        <v>0</v>
      </c>
      <c r="Y1086" s="8">
        <f t="shared" si="234"/>
        <v>38066</v>
      </c>
      <c r="Z1086" s="8">
        <v>38084</v>
      </c>
      <c r="AA1086" s="13">
        <f t="shared" si="229"/>
        <v>18</v>
      </c>
      <c r="AB1086" s="8">
        <f t="shared" si="232"/>
        <v>251023</v>
      </c>
      <c r="AC1086" s="8">
        <v>251054</v>
      </c>
      <c r="AD1086" s="13">
        <f>AC1086-AB1086</f>
        <v>31</v>
      </c>
      <c r="AE1086" s="135"/>
      <c r="AF1086" s="135"/>
      <c r="AG1086" s="135"/>
      <c r="AH1086" s="136"/>
      <c r="AI1086" s="50">
        <f t="shared" si="226"/>
        <v>736</v>
      </c>
    </row>
    <row r="1087" spans="1:35">
      <c r="A1087" s="12">
        <v>45462</v>
      </c>
      <c r="B1087" s="8">
        <f t="shared" si="241"/>
        <v>2001672</v>
      </c>
      <c r="C1087" s="8">
        <v>2002484</v>
      </c>
      <c r="D1087" s="13">
        <f t="shared" si="225"/>
        <v>812</v>
      </c>
      <c r="E1087" s="77">
        <f t="shared" si="235"/>
        <v>273363</v>
      </c>
      <c r="F1087" s="69">
        <v>273363</v>
      </c>
      <c r="G1087" s="133">
        <f t="shared" si="233"/>
        <v>0</v>
      </c>
      <c r="H1087" s="8">
        <f t="shared" si="236"/>
        <v>355017</v>
      </c>
      <c r="I1087" s="8">
        <v>355017</v>
      </c>
      <c r="J1087" s="13">
        <f t="shared" si="244"/>
        <v>0</v>
      </c>
      <c r="K1087" s="138"/>
      <c r="L1087" s="8">
        <f t="shared" si="237"/>
        <v>1034544</v>
      </c>
      <c r="M1087" s="8">
        <v>1035700</v>
      </c>
      <c r="N1087" s="13">
        <f t="shared" si="227"/>
        <v>1156</v>
      </c>
      <c r="O1087" s="136">
        <f t="shared" si="243"/>
        <v>179</v>
      </c>
      <c r="P1087" s="8">
        <f t="shared" si="239"/>
        <v>552023</v>
      </c>
      <c r="Q1087" s="8">
        <v>552622</v>
      </c>
      <c r="R1087" s="133">
        <f t="shared" si="231"/>
        <v>599</v>
      </c>
      <c r="S1087" s="8">
        <f t="shared" si="240"/>
        <v>38594</v>
      </c>
      <c r="T1087" s="8">
        <v>38661</v>
      </c>
      <c r="U1087" s="133">
        <f t="shared" si="242"/>
        <v>67</v>
      </c>
      <c r="V1087" s="8">
        <f t="shared" si="238"/>
        <v>533986</v>
      </c>
      <c r="W1087" s="8">
        <v>533986</v>
      </c>
      <c r="X1087" s="13">
        <f t="shared" si="228"/>
        <v>0</v>
      </c>
      <c r="Y1087" s="8">
        <f t="shared" si="234"/>
        <v>38084</v>
      </c>
      <c r="Z1087" s="8">
        <v>38103</v>
      </c>
      <c r="AA1087" s="13">
        <f t="shared" si="229"/>
        <v>19</v>
      </c>
      <c r="AB1087" s="8">
        <f t="shared" si="232"/>
        <v>251054</v>
      </c>
      <c r="AC1087" s="8">
        <v>251087</v>
      </c>
      <c r="AD1087" s="13">
        <f>AC1087-AB1087</f>
        <v>33</v>
      </c>
      <c r="AE1087" s="135"/>
      <c r="AF1087" s="135"/>
      <c r="AG1087" s="135"/>
      <c r="AH1087" s="136"/>
      <c r="AI1087" s="50">
        <f t="shared" si="226"/>
        <v>864</v>
      </c>
    </row>
    <row r="1088" spans="1:35">
      <c r="A1088" s="12">
        <v>45463</v>
      </c>
      <c r="B1088" s="8">
        <f t="shared" si="241"/>
        <v>2002484</v>
      </c>
      <c r="C1088" s="8">
        <v>2003412</v>
      </c>
      <c r="D1088" s="13">
        <f t="shared" si="225"/>
        <v>928</v>
      </c>
      <c r="E1088" s="77">
        <f t="shared" si="235"/>
        <v>273363</v>
      </c>
      <c r="F1088" s="69">
        <v>273363</v>
      </c>
      <c r="G1088" s="133">
        <f t="shared" si="233"/>
        <v>0</v>
      </c>
      <c r="H1088" s="8">
        <f t="shared" si="236"/>
        <v>355017</v>
      </c>
      <c r="I1088" s="8">
        <v>355017</v>
      </c>
      <c r="J1088" s="13">
        <f t="shared" si="244"/>
        <v>0</v>
      </c>
      <c r="K1088" s="138"/>
      <c r="L1088" s="8">
        <f t="shared" si="237"/>
        <v>1035700</v>
      </c>
      <c r="M1088" s="8">
        <v>1036816</v>
      </c>
      <c r="N1088" s="13">
        <f t="shared" si="227"/>
        <v>1116</v>
      </c>
      <c r="O1088" s="136">
        <f t="shared" si="243"/>
        <v>298</v>
      </c>
      <c r="P1088" s="8">
        <f t="shared" si="239"/>
        <v>552622</v>
      </c>
      <c r="Q1088" s="8">
        <v>553219</v>
      </c>
      <c r="R1088" s="133">
        <f t="shared" si="231"/>
        <v>597</v>
      </c>
      <c r="S1088" s="8">
        <f t="shared" si="240"/>
        <v>38661</v>
      </c>
      <c r="T1088" s="8">
        <v>38737</v>
      </c>
      <c r="U1088" s="133">
        <f t="shared" si="242"/>
        <v>76</v>
      </c>
      <c r="V1088" s="8">
        <f t="shared" si="238"/>
        <v>533986</v>
      </c>
      <c r="W1088" s="8">
        <v>533986</v>
      </c>
      <c r="X1088" s="13">
        <f t="shared" si="228"/>
        <v>0</v>
      </c>
      <c r="Y1088" s="8">
        <f t="shared" si="234"/>
        <v>38103</v>
      </c>
      <c r="Z1088" s="8">
        <v>38120</v>
      </c>
      <c r="AA1088" s="13">
        <f t="shared" si="229"/>
        <v>17</v>
      </c>
      <c r="AB1088" s="8">
        <f t="shared" si="232"/>
        <v>251087</v>
      </c>
      <c r="AC1088" s="8">
        <v>251130</v>
      </c>
      <c r="AD1088" s="13">
        <f>AC1088-AB1088</f>
        <v>43</v>
      </c>
      <c r="AE1088" s="135"/>
      <c r="AF1088" s="135"/>
      <c r="AG1088" s="135"/>
      <c r="AH1088" s="136"/>
      <c r="AI1088" s="50">
        <f t="shared" si="226"/>
        <v>988</v>
      </c>
    </row>
    <row r="1089" spans="1:35">
      <c r="A1089" s="12">
        <v>45464</v>
      </c>
      <c r="B1089" s="8">
        <f t="shared" si="241"/>
        <v>2003412</v>
      </c>
      <c r="C1089" s="8">
        <v>2004382</v>
      </c>
      <c r="D1089" s="13">
        <f t="shared" ref="D1089:D1152" si="245">C1089-B1089</f>
        <v>970</v>
      </c>
      <c r="E1089" s="77">
        <f t="shared" si="235"/>
        <v>273363</v>
      </c>
      <c r="F1089" s="69">
        <v>273363</v>
      </c>
      <c r="G1089" s="133">
        <f t="shared" si="233"/>
        <v>0</v>
      </c>
      <c r="H1089" s="8">
        <f t="shared" si="236"/>
        <v>355017</v>
      </c>
      <c r="I1089" s="8">
        <v>355017</v>
      </c>
      <c r="J1089" s="13">
        <f t="shared" si="244"/>
        <v>0</v>
      </c>
      <c r="K1089" s="138"/>
      <c r="L1089" s="8">
        <f t="shared" si="237"/>
        <v>1036816</v>
      </c>
      <c r="M1089" s="8">
        <v>1038087</v>
      </c>
      <c r="N1089" s="13">
        <f t="shared" si="227"/>
        <v>1271</v>
      </c>
      <c r="O1089" s="136">
        <f t="shared" si="243"/>
        <v>391</v>
      </c>
      <c r="P1089" s="8">
        <f t="shared" si="239"/>
        <v>553219</v>
      </c>
      <c r="Q1089" s="8">
        <v>553868</v>
      </c>
      <c r="R1089" s="133">
        <f t="shared" si="231"/>
        <v>649</v>
      </c>
      <c r="S1089" s="8">
        <f t="shared" si="240"/>
        <v>38737</v>
      </c>
      <c r="T1089" s="8">
        <v>38751</v>
      </c>
      <c r="U1089" s="133">
        <f t="shared" si="242"/>
        <v>14</v>
      </c>
      <c r="V1089" s="8">
        <f t="shared" si="238"/>
        <v>533986</v>
      </c>
      <c r="W1089" s="8">
        <v>533986</v>
      </c>
      <c r="X1089" s="13">
        <f t="shared" si="228"/>
        <v>0</v>
      </c>
      <c r="Y1089" s="8">
        <f t="shared" si="234"/>
        <v>38120</v>
      </c>
      <c r="Z1089" s="8">
        <v>38135</v>
      </c>
      <c r="AA1089" s="13">
        <f t="shared" si="229"/>
        <v>15</v>
      </c>
      <c r="AB1089" s="8">
        <f t="shared" si="232"/>
        <v>251130</v>
      </c>
      <c r="AC1089" s="8">
        <v>251139</v>
      </c>
      <c r="AD1089" s="13">
        <v>84</v>
      </c>
      <c r="AE1089" s="135"/>
      <c r="AF1089" s="135"/>
      <c r="AG1089" s="135"/>
      <c r="AH1089" s="136"/>
      <c r="AI1089" s="50">
        <f t="shared" ref="AI1089:AI1147" si="246">AA1089+U1089+R1089+O1089+X1089</f>
        <v>1069</v>
      </c>
    </row>
    <row r="1090" spans="1:35">
      <c r="A1090" s="12">
        <v>45465</v>
      </c>
      <c r="B1090" s="8">
        <f t="shared" si="241"/>
        <v>2004382</v>
      </c>
      <c r="C1090" s="8">
        <v>2005012</v>
      </c>
      <c r="D1090" s="13">
        <f t="shared" si="245"/>
        <v>630</v>
      </c>
      <c r="E1090" s="77">
        <f t="shared" si="235"/>
        <v>273363</v>
      </c>
      <c r="F1090" s="69">
        <v>273363</v>
      </c>
      <c r="G1090" s="133">
        <f t="shared" si="233"/>
        <v>0</v>
      </c>
      <c r="H1090" s="8">
        <f t="shared" si="236"/>
        <v>355017</v>
      </c>
      <c r="I1090" s="8">
        <v>355017</v>
      </c>
      <c r="J1090" s="13">
        <f>I1090-H1090</f>
        <v>0</v>
      </c>
      <c r="K1090" s="138"/>
      <c r="L1090" s="8">
        <f t="shared" si="237"/>
        <v>1038087</v>
      </c>
      <c r="M1090" s="8">
        <v>1039258</v>
      </c>
      <c r="N1090" s="13">
        <f t="shared" ref="N1090:N1153" si="247">M1090-L1090</f>
        <v>1171</v>
      </c>
      <c r="O1090" s="136">
        <f t="shared" si="243"/>
        <v>36</v>
      </c>
      <c r="P1090" s="8">
        <f t="shared" si="239"/>
        <v>553868</v>
      </c>
      <c r="Q1090" s="8">
        <v>554503</v>
      </c>
      <c r="R1090" s="133">
        <f t="shared" si="231"/>
        <v>635</v>
      </c>
      <c r="S1090" s="8">
        <f t="shared" si="240"/>
        <v>38751</v>
      </c>
      <c r="T1090" s="8">
        <v>38789</v>
      </c>
      <c r="U1090" s="133">
        <f t="shared" si="242"/>
        <v>38</v>
      </c>
      <c r="V1090" s="8">
        <f t="shared" si="238"/>
        <v>533986</v>
      </c>
      <c r="W1090" s="8">
        <v>533986</v>
      </c>
      <c r="X1090" s="13">
        <f t="shared" ref="X1090:X1153" si="248">W1090-V1090</f>
        <v>0</v>
      </c>
      <c r="Y1090" s="8">
        <f t="shared" si="234"/>
        <v>38135</v>
      </c>
      <c r="Z1090" s="8">
        <v>38152</v>
      </c>
      <c r="AA1090" s="13">
        <f t="shared" si="229"/>
        <v>17</v>
      </c>
      <c r="AB1090" s="8">
        <f t="shared" si="232"/>
        <v>251139</v>
      </c>
      <c r="AC1090" s="8">
        <v>251139</v>
      </c>
      <c r="AD1090" s="13">
        <v>79</v>
      </c>
      <c r="AE1090" s="135"/>
      <c r="AF1090" s="135"/>
      <c r="AG1090" s="135"/>
      <c r="AH1090" s="136"/>
      <c r="AI1090" s="50">
        <f t="shared" si="246"/>
        <v>726</v>
      </c>
    </row>
    <row r="1091" spans="1:35">
      <c r="A1091" s="12">
        <v>45466</v>
      </c>
      <c r="B1091" s="8">
        <f t="shared" si="241"/>
        <v>2005012</v>
      </c>
      <c r="C1091" s="8">
        <v>2005609</v>
      </c>
      <c r="D1091" s="13">
        <f t="shared" si="245"/>
        <v>597</v>
      </c>
      <c r="E1091" s="77">
        <f t="shared" si="235"/>
        <v>273363</v>
      </c>
      <c r="F1091" s="69">
        <v>273363</v>
      </c>
      <c r="G1091" s="133">
        <f t="shared" si="233"/>
        <v>0</v>
      </c>
      <c r="H1091" s="8">
        <f>I1090</f>
        <v>355017</v>
      </c>
      <c r="I1091" s="8">
        <v>355017</v>
      </c>
      <c r="J1091" s="13">
        <f>I1091-H1091</f>
        <v>0</v>
      </c>
      <c r="K1091" s="138"/>
      <c r="L1091" s="8">
        <f t="shared" si="237"/>
        <v>1039258</v>
      </c>
      <c r="M1091" s="8">
        <v>1039966</v>
      </c>
      <c r="N1091" s="13">
        <f t="shared" si="247"/>
        <v>708</v>
      </c>
      <c r="O1091" s="136">
        <f t="shared" si="243"/>
        <v>360</v>
      </c>
      <c r="P1091" s="8">
        <f t="shared" si="239"/>
        <v>554503</v>
      </c>
      <c r="Q1091" s="8">
        <v>554742</v>
      </c>
      <c r="R1091" s="133">
        <f t="shared" si="231"/>
        <v>239</v>
      </c>
      <c r="S1091" s="8">
        <f t="shared" si="240"/>
        <v>38789</v>
      </c>
      <c r="T1091" s="8">
        <v>38875</v>
      </c>
      <c r="U1091" s="133">
        <f t="shared" si="242"/>
        <v>86</v>
      </c>
      <c r="V1091" s="8">
        <f t="shared" si="238"/>
        <v>533986</v>
      </c>
      <c r="W1091" s="8">
        <v>533986</v>
      </c>
      <c r="X1091" s="13">
        <f t="shared" si="248"/>
        <v>0</v>
      </c>
      <c r="Y1091" s="8">
        <f t="shared" si="234"/>
        <v>38152</v>
      </c>
      <c r="Z1091" s="8">
        <v>38186</v>
      </c>
      <c r="AA1091" s="13">
        <f t="shared" si="229"/>
        <v>34</v>
      </c>
      <c r="AB1091" s="8">
        <f t="shared" si="232"/>
        <v>251139</v>
      </c>
      <c r="AC1091" s="8">
        <v>251139</v>
      </c>
      <c r="AD1091" s="13">
        <v>88</v>
      </c>
      <c r="AE1091" s="135"/>
      <c r="AF1091" s="135"/>
      <c r="AG1091" s="135"/>
      <c r="AH1091" s="136"/>
      <c r="AI1091" s="50">
        <f t="shared" si="246"/>
        <v>719</v>
      </c>
    </row>
    <row r="1092" spans="1:35">
      <c r="A1092" s="12">
        <v>45467</v>
      </c>
      <c r="B1092" s="8">
        <f t="shared" si="241"/>
        <v>2005609</v>
      </c>
      <c r="C1092" s="8">
        <v>2006215</v>
      </c>
      <c r="D1092" s="13">
        <f t="shared" si="245"/>
        <v>606</v>
      </c>
      <c r="E1092" s="77">
        <f t="shared" si="235"/>
        <v>273363</v>
      </c>
      <c r="F1092" s="69">
        <v>273363</v>
      </c>
      <c r="G1092" s="133">
        <f t="shared" si="233"/>
        <v>0</v>
      </c>
      <c r="H1092" s="8">
        <f>I1091</f>
        <v>355017</v>
      </c>
      <c r="I1092" s="8">
        <v>355017</v>
      </c>
      <c r="J1092" s="13">
        <f t="shared" si="244"/>
        <v>0</v>
      </c>
      <c r="K1092" s="138"/>
      <c r="L1092" s="8">
        <f t="shared" si="237"/>
        <v>1039966</v>
      </c>
      <c r="M1092" s="8">
        <v>1041031</v>
      </c>
      <c r="N1092" s="13">
        <f t="shared" si="247"/>
        <v>1065</v>
      </c>
      <c r="O1092" s="136">
        <f t="shared" si="243"/>
        <v>52</v>
      </c>
      <c r="P1092" s="8">
        <f t="shared" si="239"/>
        <v>554742</v>
      </c>
      <c r="Q1092" s="8">
        <v>555304</v>
      </c>
      <c r="R1092" s="133">
        <f t="shared" si="231"/>
        <v>562</v>
      </c>
      <c r="S1092" s="8">
        <f t="shared" si="240"/>
        <v>38875</v>
      </c>
      <c r="T1092" s="8">
        <v>38947</v>
      </c>
      <c r="U1092" s="133">
        <f t="shared" si="242"/>
        <v>72</v>
      </c>
      <c r="V1092" s="8">
        <f t="shared" si="238"/>
        <v>533986</v>
      </c>
      <c r="W1092" s="8">
        <v>533986</v>
      </c>
      <c r="X1092" s="13">
        <f t="shared" si="248"/>
        <v>0</v>
      </c>
      <c r="Y1092" s="8">
        <f t="shared" si="234"/>
        <v>38186</v>
      </c>
      <c r="Z1092" s="8">
        <v>38211</v>
      </c>
      <c r="AA1092" s="13">
        <f t="shared" si="229"/>
        <v>25</v>
      </c>
      <c r="AB1092" s="8">
        <f t="shared" si="232"/>
        <v>251139</v>
      </c>
      <c r="AC1092" s="8">
        <v>251219</v>
      </c>
      <c r="AD1092" s="13">
        <f t="shared" ref="AD1092:AD1110" si="249">AC1092-AB1092</f>
        <v>80</v>
      </c>
      <c r="AE1092" s="135"/>
      <c r="AF1092" s="135"/>
      <c r="AG1092" s="135"/>
      <c r="AH1092" s="136"/>
      <c r="AI1092" s="50">
        <f t="shared" si="246"/>
        <v>711</v>
      </c>
    </row>
    <row r="1093" spans="1:35">
      <c r="A1093" s="12">
        <v>45468</v>
      </c>
      <c r="B1093" s="8">
        <f t="shared" si="241"/>
        <v>2006215</v>
      </c>
      <c r="C1093" s="8">
        <v>2006705</v>
      </c>
      <c r="D1093" s="13">
        <f t="shared" si="245"/>
        <v>490</v>
      </c>
      <c r="E1093" s="77">
        <f t="shared" si="235"/>
        <v>273363</v>
      </c>
      <c r="F1093" s="69">
        <v>273363</v>
      </c>
      <c r="G1093" s="133">
        <f t="shared" si="233"/>
        <v>0</v>
      </c>
      <c r="H1093" s="8">
        <f t="shared" si="236"/>
        <v>355017</v>
      </c>
      <c r="I1093" s="8">
        <v>355017</v>
      </c>
      <c r="J1093" s="13">
        <f t="shared" si="244"/>
        <v>0</v>
      </c>
      <c r="K1093" s="138"/>
      <c r="L1093" s="8">
        <f t="shared" si="237"/>
        <v>1041031</v>
      </c>
      <c r="M1093" s="8">
        <v>1042056</v>
      </c>
      <c r="N1093" s="13">
        <f t="shared" si="247"/>
        <v>1025</v>
      </c>
      <c r="O1093" s="136">
        <f t="shared" si="243"/>
        <v>-40</v>
      </c>
      <c r="P1093" s="8">
        <f t="shared" si="239"/>
        <v>555304</v>
      </c>
      <c r="Q1093" s="8">
        <v>555837</v>
      </c>
      <c r="R1093" s="133">
        <f t="shared" si="231"/>
        <v>533</v>
      </c>
      <c r="S1093" s="8">
        <f t="shared" si="240"/>
        <v>38947</v>
      </c>
      <c r="T1093" s="8">
        <v>38997</v>
      </c>
      <c r="U1093" s="133">
        <f t="shared" si="242"/>
        <v>50</v>
      </c>
      <c r="V1093" s="8">
        <f t="shared" si="238"/>
        <v>533986</v>
      </c>
      <c r="W1093" s="8">
        <v>533986</v>
      </c>
      <c r="X1093" s="13">
        <f t="shared" si="248"/>
        <v>0</v>
      </c>
      <c r="Y1093" s="8">
        <f t="shared" si="234"/>
        <v>38211</v>
      </c>
      <c r="Z1093" s="8">
        <v>38240</v>
      </c>
      <c r="AA1093" s="13">
        <f t="shared" ref="AA1093:AA1156" si="250">Z1093-Y1093</f>
        <v>29</v>
      </c>
      <c r="AB1093" s="8">
        <f t="shared" si="232"/>
        <v>251219</v>
      </c>
      <c r="AC1093" s="8">
        <v>251272</v>
      </c>
      <c r="AD1093" s="13">
        <f t="shared" si="249"/>
        <v>53</v>
      </c>
      <c r="AE1093" s="135"/>
      <c r="AF1093" s="135"/>
      <c r="AG1093" s="135"/>
      <c r="AH1093" s="136"/>
      <c r="AI1093" s="50">
        <f t="shared" si="246"/>
        <v>572</v>
      </c>
    </row>
    <row r="1094" spans="1:35">
      <c r="A1094" s="12">
        <v>45469</v>
      </c>
      <c r="B1094" s="8">
        <f t="shared" si="241"/>
        <v>2006705</v>
      </c>
      <c r="C1094" s="8">
        <v>2007086</v>
      </c>
      <c r="D1094" s="13">
        <f t="shared" si="245"/>
        <v>381</v>
      </c>
      <c r="E1094" s="77">
        <f t="shared" si="235"/>
        <v>273363</v>
      </c>
      <c r="F1094" s="69">
        <v>273363</v>
      </c>
      <c r="G1094" s="133">
        <f t="shared" si="233"/>
        <v>0</v>
      </c>
      <c r="H1094" s="8">
        <f t="shared" si="236"/>
        <v>355017</v>
      </c>
      <c r="I1094" s="8">
        <v>355017</v>
      </c>
      <c r="J1094" s="13">
        <f t="shared" si="244"/>
        <v>0</v>
      </c>
      <c r="K1094" s="138"/>
      <c r="L1094" s="8">
        <f t="shared" si="237"/>
        <v>1042056</v>
      </c>
      <c r="M1094" s="8">
        <v>1043177</v>
      </c>
      <c r="N1094" s="13">
        <f t="shared" si="247"/>
        <v>1121</v>
      </c>
      <c r="O1094" s="136">
        <f t="shared" si="243"/>
        <v>-201</v>
      </c>
      <c r="P1094" s="8">
        <f t="shared" si="239"/>
        <v>555837</v>
      </c>
      <c r="Q1094" s="8">
        <v>556444</v>
      </c>
      <c r="R1094" s="133">
        <f t="shared" si="231"/>
        <v>607</v>
      </c>
      <c r="S1094" s="8">
        <f t="shared" si="240"/>
        <v>38997</v>
      </c>
      <c r="T1094" s="8">
        <v>39042</v>
      </c>
      <c r="U1094" s="133">
        <f t="shared" si="242"/>
        <v>45</v>
      </c>
      <c r="V1094" s="8">
        <f t="shared" si="238"/>
        <v>533986</v>
      </c>
      <c r="W1094" s="8">
        <v>533986</v>
      </c>
      <c r="X1094" s="13">
        <f t="shared" si="248"/>
        <v>0</v>
      </c>
      <c r="Y1094" s="8">
        <f t="shared" si="234"/>
        <v>38240</v>
      </c>
      <c r="Z1094" s="8">
        <v>38266</v>
      </c>
      <c r="AA1094" s="13">
        <f t="shared" si="250"/>
        <v>26</v>
      </c>
      <c r="AB1094" s="8">
        <f t="shared" si="232"/>
        <v>251272</v>
      </c>
      <c r="AC1094" s="8">
        <v>251342</v>
      </c>
      <c r="AD1094" s="13">
        <f t="shared" si="249"/>
        <v>70</v>
      </c>
      <c r="AE1094" s="135"/>
      <c r="AF1094" s="135"/>
      <c r="AG1094" s="135"/>
      <c r="AH1094" s="136"/>
      <c r="AI1094" s="50">
        <f t="shared" si="246"/>
        <v>477</v>
      </c>
    </row>
    <row r="1095" spans="1:35">
      <c r="A1095" s="12">
        <v>45470</v>
      </c>
      <c r="B1095" s="8">
        <f t="shared" si="241"/>
        <v>2007086</v>
      </c>
      <c r="C1095" s="8">
        <v>2007854</v>
      </c>
      <c r="D1095" s="13">
        <f t="shared" si="245"/>
        <v>768</v>
      </c>
      <c r="E1095" s="77">
        <f t="shared" si="235"/>
        <v>273363</v>
      </c>
      <c r="F1095" s="69">
        <v>273363</v>
      </c>
      <c r="G1095" s="133">
        <f t="shared" si="233"/>
        <v>0</v>
      </c>
      <c r="H1095" s="8">
        <f t="shared" si="236"/>
        <v>355017</v>
      </c>
      <c r="I1095" s="8">
        <v>355017</v>
      </c>
      <c r="J1095" s="13">
        <f t="shared" si="244"/>
        <v>0</v>
      </c>
      <c r="K1095" s="138"/>
      <c r="L1095" s="8">
        <f t="shared" si="237"/>
        <v>1043177</v>
      </c>
      <c r="M1095" s="8">
        <v>1044152</v>
      </c>
      <c r="N1095" s="13">
        <f t="shared" si="247"/>
        <v>975</v>
      </c>
      <c r="O1095" s="136">
        <f t="shared" si="243"/>
        <v>320</v>
      </c>
      <c r="P1095" s="8">
        <f t="shared" si="239"/>
        <v>556444</v>
      </c>
      <c r="Q1095" s="8">
        <v>556910</v>
      </c>
      <c r="R1095" s="133">
        <f t="shared" si="231"/>
        <v>466</v>
      </c>
      <c r="S1095" s="8">
        <f t="shared" si="240"/>
        <v>39042</v>
      </c>
      <c r="T1095" s="8">
        <v>39110</v>
      </c>
      <c r="U1095" s="133">
        <f t="shared" si="242"/>
        <v>68</v>
      </c>
      <c r="V1095" s="8">
        <f t="shared" si="238"/>
        <v>533986</v>
      </c>
      <c r="W1095" s="8">
        <v>533986</v>
      </c>
      <c r="X1095" s="13">
        <f t="shared" si="248"/>
        <v>0</v>
      </c>
      <c r="Y1095" s="8">
        <f t="shared" si="234"/>
        <v>38266</v>
      </c>
      <c r="Z1095" s="8">
        <v>38294</v>
      </c>
      <c r="AA1095" s="13">
        <f t="shared" si="250"/>
        <v>28</v>
      </c>
      <c r="AB1095" s="8">
        <f t="shared" si="232"/>
        <v>251342</v>
      </c>
      <c r="AC1095" s="8">
        <v>251428</v>
      </c>
      <c r="AD1095" s="13">
        <f t="shared" si="249"/>
        <v>86</v>
      </c>
      <c r="AE1095" s="135"/>
      <c r="AF1095" s="135"/>
      <c r="AG1095" s="135"/>
      <c r="AH1095" s="136"/>
      <c r="AI1095" s="50">
        <f t="shared" si="246"/>
        <v>882</v>
      </c>
    </row>
    <row r="1096" spans="1:35">
      <c r="A1096" s="12">
        <v>45471</v>
      </c>
      <c r="B1096" s="8">
        <f t="shared" si="241"/>
        <v>2007854</v>
      </c>
      <c r="C1096" s="8">
        <v>2008584</v>
      </c>
      <c r="D1096" s="13">
        <f t="shared" si="245"/>
        <v>730</v>
      </c>
      <c r="E1096" s="77">
        <f t="shared" si="235"/>
        <v>273363</v>
      </c>
      <c r="F1096" s="69">
        <v>273363</v>
      </c>
      <c r="G1096" s="133">
        <f t="shared" si="233"/>
        <v>0</v>
      </c>
      <c r="H1096" s="8">
        <f t="shared" si="236"/>
        <v>355017</v>
      </c>
      <c r="I1096" s="8">
        <v>355222</v>
      </c>
      <c r="J1096" s="13">
        <f t="shared" si="244"/>
        <v>205</v>
      </c>
      <c r="K1096" s="138"/>
      <c r="L1096" s="8">
        <f t="shared" si="237"/>
        <v>1044152</v>
      </c>
      <c r="M1096" s="8">
        <v>1044704</v>
      </c>
      <c r="N1096" s="13">
        <f t="shared" si="247"/>
        <v>552</v>
      </c>
      <c r="O1096" s="136">
        <f t="shared" si="243"/>
        <v>509</v>
      </c>
      <c r="P1096" s="8">
        <f t="shared" si="239"/>
        <v>556910</v>
      </c>
      <c r="Q1096" s="8">
        <v>557341</v>
      </c>
      <c r="R1096" s="133">
        <f t="shared" si="231"/>
        <v>431</v>
      </c>
      <c r="S1096" s="8">
        <f t="shared" si="240"/>
        <v>39110</v>
      </c>
      <c r="T1096" s="8">
        <v>39176</v>
      </c>
      <c r="U1096" s="133">
        <f t="shared" si="242"/>
        <v>66</v>
      </c>
      <c r="V1096" s="8">
        <f t="shared" si="238"/>
        <v>533986</v>
      </c>
      <c r="W1096" s="8">
        <v>533986</v>
      </c>
      <c r="X1096" s="13">
        <f t="shared" si="248"/>
        <v>0</v>
      </c>
      <c r="Y1096" s="8">
        <f t="shared" si="234"/>
        <v>38294</v>
      </c>
      <c r="Z1096" s="8">
        <v>38319</v>
      </c>
      <c r="AA1096" s="13">
        <f t="shared" si="250"/>
        <v>25</v>
      </c>
      <c r="AB1096" s="8">
        <f t="shared" si="232"/>
        <v>251428</v>
      </c>
      <c r="AC1096" s="8">
        <v>251499</v>
      </c>
      <c r="AD1096" s="13">
        <f t="shared" si="249"/>
        <v>71</v>
      </c>
      <c r="AE1096" s="135"/>
      <c r="AF1096" s="135"/>
      <c r="AG1096" s="135"/>
      <c r="AH1096" s="136"/>
      <c r="AI1096" s="50">
        <f t="shared" si="246"/>
        <v>1031</v>
      </c>
    </row>
    <row r="1097" spans="1:35">
      <c r="A1097" s="12">
        <v>45472</v>
      </c>
      <c r="B1097" s="8">
        <f t="shared" si="241"/>
        <v>2008584</v>
      </c>
      <c r="C1097" s="8">
        <v>2008805</v>
      </c>
      <c r="D1097" s="13">
        <f t="shared" si="245"/>
        <v>221</v>
      </c>
      <c r="E1097" s="77">
        <f t="shared" si="235"/>
        <v>273363</v>
      </c>
      <c r="F1097" s="69">
        <v>273363</v>
      </c>
      <c r="G1097" s="133">
        <f t="shared" si="233"/>
        <v>0</v>
      </c>
      <c r="H1097" s="8">
        <f t="shared" si="236"/>
        <v>355222</v>
      </c>
      <c r="I1097" s="8">
        <v>355944</v>
      </c>
      <c r="J1097" s="13">
        <f t="shared" si="244"/>
        <v>722</v>
      </c>
      <c r="K1097" s="138"/>
      <c r="L1097" s="8">
        <f t="shared" si="237"/>
        <v>1044704</v>
      </c>
      <c r="M1097" s="8">
        <v>1045350</v>
      </c>
      <c r="N1097" s="13">
        <f t="shared" si="247"/>
        <v>646</v>
      </c>
      <c r="O1097" s="136">
        <f t="shared" si="243"/>
        <v>352</v>
      </c>
      <c r="P1097" s="8">
        <f t="shared" si="239"/>
        <v>557341</v>
      </c>
      <c r="Q1097" s="8">
        <v>557981</v>
      </c>
      <c r="R1097" s="133">
        <f t="shared" si="231"/>
        <v>640</v>
      </c>
      <c r="S1097" s="8">
        <f t="shared" si="240"/>
        <v>39176</v>
      </c>
      <c r="T1097" s="8">
        <v>39224</v>
      </c>
      <c r="U1097" s="133">
        <f t="shared" si="242"/>
        <v>48</v>
      </c>
      <c r="V1097" s="8">
        <f t="shared" si="238"/>
        <v>533986</v>
      </c>
      <c r="W1097" s="8">
        <v>533986</v>
      </c>
      <c r="X1097" s="13">
        <f t="shared" si="248"/>
        <v>0</v>
      </c>
      <c r="Y1097" s="8">
        <f t="shared" si="234"/>
        <v>38319</v>
      </c>
      <c r="Z1097" s="8">
        <v>38341</v>
      </c>
      <c r="AA1097" s="13">
        <f t="shared" si="250"/>
        <v>22</v>
      </c>
      <c r="AB1097" s="8">
        <f t="shared" si="232"/>
        <v>251499</v>
      </c>
      <c r="AC1097" s="8">
        <v>251596</v>
      </c>
      <c r="AD1097" s="13">
        <f t="shared" si="249"/>
        <v>97</v>
      </c>
      <c r="AE1097" s="135"/>
      <c r="AF1097" s="135"/>
      <c r="AG1097" s="135"/>
      <c r="AH1097" s="136"/>
      <c r="AI1097" s="50">
        <f t="shared" si="246"/>
        <v>1062</v>
      </c>
    </row>
    <row r="1098" spans="1:35">
      <c r="A1098" s="12">
        <v>45473</v>
      </c>
      <c r="B1098" s="8">
        <f t="shared" si="241"/>
        <v>2008805</v>
      </c>
      <c r="C1098" s="8">
        <v>2008894</v>
      </c>
      <c r="D1098" s="13">
        <f t="shared" si="245"/>
        <v>89</v>
      </c>
      <c r="E1098" s="77">
        <f t="shared" si="235"/>
        <v>273363</v>
      </c>
      <c r="F1098" s="69">
        <v>273363</v>
      </c>
      <c r="G1098" s="133">
        <f t="shared" si="233"/>
        <v>0</v>
      </c>
      <c r="H1098" s="8">
        <f t="shared" si="236"/>
        <v>355944</v>
      </c>
      <c r="I1098" s="8">
        <v>355953</v>
      </c>
      <c r="J1098" s="13">
        <f t="shared" si="244"/>
        <v>9</v>
      </c>
      <c r="K1098" s="138"/>
      <c r="L1098" s="8">
        <f t="shared" si="237"/>
        <v>1045350</v>
      </c>
      <c r="M1098" s="8">
        <v>1046600</v>
      </c>
      <c r="N1098" s="13">
        <f t="shared" si="247"/>
        <v>1250</v>
      </c>
      <c r="O1098" s="136">
        <f t="shared" si="243"/>
        <v>-595</v>
      </c>
      <c r="P1098" s="8">
        <f t="shared" si="239"/>
        <v>557981</v>
      </c>
      <c r="Q1098" s="8">
        <v>558624</v>
      </c>
      <c r="R1098" s="133">
        <f t="shared" si="231"/>
        <v>643</v>
      </c>
      <c r="S1098" s="8">
        <f t="shared" si="240"/>
        <v>39224</v>
      </c>
      <c r="T1098" s="8">
        <v>39284</v>
      </c>
      <c r="U1098" s="133">
        <f t="shared" si="242"/>
        <v>60</v>
      </c>
      <c r="V1098" s="8">
        <f t="shared" si="238"/>
        <v>533986</v>
      </c>
      <c r="W1098" s="8">
        <v>533986</v>
      </c>
      <c r="X1098" s="13">
        <f t="shared" si="248"/>
        <v>0</v>
      </c>
      <c r="Y1098" s="8">
        <f t="shared" si="234"/>
        <v>38341</v>
      </c>
      <c r="Z1098" s="8">
        <v>38392</v>
      </c>
      <c r="AA1098" s="13">
        <f t="shared" si="250"/>
        <v>51</v>
      </c>
      <c r="AB1098" s="8">
        <f t="shared" si="232"/>
        <v>251596</v>
      </c>
      <c r="AC1098" s="8">
        <v>251606</v>
      </c>
      <c r="AD1098" s="13">
        <f t="shared" si="249"/>
        <v>10</v>
      </c>
      <c r="AE1098" s="135"/>
      <c r="AF1098" s="135"/>
      <c r="AG1098" s="135"/>
      <c r="AH1098" s="136"/>
      <c r="AI1098" s="50">
        <f t="shared" si="246"/>
        <v>159</v>
      </c>
    </row>
    <row r="1099" spans="1:35">
      <c r="A1099" s="12">
        <v>45474</v>
      </c>
      <c r="B1099" s="8">
        <f t="shared" si="241"/>
        <v>2008894</v>
      </c>
      <c r="C1099" s="8">
        <v>2008794</v>
      </c>
      <c r="D1099" s="13">
        <v>500</v>
      </c>
      <c r="E1099" s="77">
        <f t="shared" si="235"/>
        <v>273363</v>
      </c>
      <c r="F1099" s="69">
        <v>273363</v>
      </c>
      <c r="G1099" s="133">
        <f t="shared" si="233"/>
        <v>0</v>
      </c>
      <c r="H1099" s="8">
        <f t="shared" si="236"/>
        <v>355953</v>
      </c>
      <c r="I1099" s="8">
        <v>355953</v>
      </c>
      <c r="J1099" s="13">
        <f t="shared" si="244"/>
        <v>0</v>
      </c>
      <c r="K1099" s="138"/>
      <c r="L1099" s="8">
        <f t="shared" si="237"/>
        <v>1046600</v>
      </c>
      <c r="M1099" s="8">
        <v>1047720</v>
      </c>
      <c r="N1099" s="13">
        <f t="shared" si="247"/>
        <v>1120</v>
      </c>
      <c r="O1099" s="136">
        <f t="shared" si="243"/>
        <v>-217</v>
      </c>
      <c r="P1099" s="8">
        <f t="shared" si="239"/>
        <v>558624</v>
      </c>
      <c r="Q1099" s="8">
        <v>558709</v>
      </c>
      <c r="R1099" s="133">
        <v>640</v>
      </c>
      <c r="S1099" s="8">
        <f t="shared" si="240"/>
        <v>39284</v>
      </c>
      <c r="T1099" s="8">
        <v>39362</v>
      </c>
      <c r="U1099" s="133">
        <f t="shared" si="242"/>
        <v>78</v>
      </c>
      <c r="V1099" s="8">
        <f t="shared" si="238"/>
        <v>533986</v>
      </c>
      <c r="W1099" s="8">
        <v>533986</v>
      </c>
      <c r="X1099" s="13">
        <f t="shared" si="248"/>
        <v>0</v>
      </c>
      <c r="Y1099" s="8">
        <f t="shared" si="234"/>
        <v>38392</v>
      </c>
      <c r="Z1099" s="8">
        <v>38429</v>
      </c>
      <c r="AA1099" s="13">
        <f t="shared" si="250"/>
        <v>37</v>
      </c>
      <c r="AB1099" s="8">
        <f t="shared" si="232"/>
        <v>251606</v>
      </c>
      <c r="AC1099" s="8">
        <v>251607</v>
      </c>
      <c r="AD1099" s="13">
        <f t="shared" si="249"/>
        <v>1</v>
      </c>
      <c r="AE1099" s="135"/>
      <c r="AF1099" s="135"/>
      <c r="AG1099" s="135"/>
      <c r="AH1099" s="136"/>
      <c r="AI1099" s="50">
        <f t="shared" si="246"/>
        <v>538</v>
      </c>
    </row>
    <row r="1100" spans="1:35">
      <c r="A1100" s="12">
        <v>45475</v>
      </c>
      <c r="B1100" s="8">
        <f t="shared" si="241"/>
        <v>2008794</v>
      </c>
      <c r="C1100" s="8">
        <v>2008861</v>
      </c>
      <c r="D1100" s="13">
        <f t="shared" si="245"/>
        <v>67</v>
      </c>
      <c r="E1100" s="77">
        <f t="shared" si="235"/>
        <v>273363</v>
      </c>
      <c r="F1100" s="69">
        <v>273363</v>
      </c>
      <c r="G1100" s="133">
        <f t="shared" si="233"/>
        <v>0</v>
      </c>
      <c r="H1100" s="8">
        <f t="shared" si="236"/>
        <v>355953</v>
      </c>
      <c r="I1100" s="8">
        <v>355953</v>
      </c>
      <c r="J1100" s="13">
        <f t="shared" si="244"/>
        <v>0</v>
      </c>
      <c r="K1100" s="138"/>
      <c r="L1100" s="8">
        <f t="shared" si="237"/>
        <v>1047720</v>
      </c>
      <c r="M1100" s="8">
        <v>1048842</v>
      </c>
      <c r="N1100" s="13">
        <f t="shared" si="247"/>
        <v>1122</v>
      </c>
      <c r="O1100" s="136">
        <f t="shared" si="243"/>
        <v>-601</v>
      </c>
      <c r="P1100" s="8">
        <f t="shared" si="239"/>
        <v>558709</v>
      </c>
      <c r="Q1100" s="8">
        <v>559302</v>
      </c>
      <c r="R1100" s="133">
        <v>638</v>
      </c>
      <c r="S1100" s="8">
        <f t="shared" si="240"/>
        <v>39362</v>
      </c>
      <c r="T1100" s="8">
        <v>39443</v>
      </c>
      <c r="U1100" s="133">
        <f t="shared" si="242"/>
        <v>81</v>
      </c>
      <c r="V1100" s="8">
        <f t="shared" si="238"/>
        <v>533986</v>
      </c>
      <c r="W1100" s="8">
        <v>533986</v>
      </c>
      <c r="X1100" s="13">
        <f>W1100-V1100</f>
        <v>0</v>
      </c>
      <c r="Y1100" s="8">
        <f t="shared" si="234"/>
        <v>38429</v>
      </c>
      <c r="Z1100" s="8">
        <v>38456</v>
      </c>
      <c r="AA1100" s="13">
        <f t="shared" si="250"/>
        <v>27</v>
      </c>
      <c r="AB1100" s="8">
        <f t="shared" si="232"/>
        <v>251607</v>
      </c>
      <c r="AC1100" s="8">
        <v>251658</v>
      </c>
      <c r="AD1100" s="13">
        <f t="shared" si="249"/>
        <v>51</v>
      </c>
      <c r="AE1100" s="135"/>
      <c r="AF1100" s="135"/>
      <c r="AG1100" s="135"/>
      <c r="AH1100" s="136"/>
      <c r="AI1100" s="50">
        <f t="shared" si="246"/>
        <v>145</v>
      </c>
    </row>
    <row r="1101" spans="1:35">
      <c r="A1101" s="12">
        <v>45476</v>
      </c>
      <c r="B1101" s="8">
        <f t="shared" si="241"/>
        <v>2008861</v>
      </c>
      <c r="C1101" s="8">
        <v>2009439</v>
      </c>
      <c r="D1101" s="13">
        <f t="shared" si="245"/>
        <v>578</v>
      </c>
      <c r="E1101" s="77">
        <f t="shared" si="235"/>
        <v>273363</v>
      </c>
      <c r="F1101" s="69">
        <v>273363</v>
      </c>
      <c r="G1101" s="133">
        <f t="shared" si="233"/>
        <v>0</v>
      </c>
      <c r="H1101" s="8">
        <f t="shared" si="236"/>
        <v>355953</v>
      </c>
      <c r="I1101" s="8">
        <v>355953</v>
      </c>
      <c r="J1101" s="13">
        <f t="shared" si="244"/>
        <v>0</v>
      </c>
      <c r="K1101" s="138"/>
      <c r="L1101" s="8">
        <f t="shared" si="237"/>
        <v>1048842</v>
      </c>
      <c r="M1101" s="8">
        <v>1050120</v>
      </c>
      <c r="N1101" s="13">
        <f t="shared" si="247"/>
        <v>1278</v>
      </c>
      <c r="O1101" s="136">
        <f t="shared" si="243"/>
        <v>-33</v>
      </c>
      <c r="P1101" s="8">
        <f t="shared" si="239"/>
        <v>559302</v>
      </c>
      <c r="Q1101" s="8">
        <v>559932</v>
      </c>
      <c r="R1101" s="133">
        <f t="shared" si="231"/>
        <v>630</v>
      </c>
      <c r="S1101" s="8">
        <f t="shared" si="240"/>
        <v>39443</v>
      </c>
      <c r="T1101" s="8">
        <v>39494</v>
      </c>
      <c r="U1101" s="133">
        <f t="shared" si="242"/>
        <v>51</v>
      </c>
      <c r="V1101" s="8">
        <f>W1100</f>
        <v>533986</v>
      </c>
      <c r="W1101" s="8">
        <v>533986</v>
      </c>
      <c r="X1101" s="13">
        <f>W1101-V1101</f>
        <v>0</v>
      </c>
      <c r="Y1101" s="8">
        <f t="shared" si="234"/>
        <v>38456</v>
      </c>
      <c r="Z1101" s="8">
        <v>38479</v>
      </c>
      <c r="AA1101" s="13">
        <f t="shared" si="250"/>
        <v>23</v>
      </c>
      <c r="AB1101" s="8">
        <f t="shared" si="232"/>
        <v>251658</v>
      </c>
      <c r="AC1101" s="8">
        <v>251728</v>
      </c>
      <c r="AD1101" s="13">
        <f t="shared" si="249"/>
        <v>70</v>
      </c>
      <c r="AE1101" s="135"/>
      <c r="AF1101" s="135"/>
      <c r="AG1101" s="135"/>
      <c r="AH1101" s="136"/>
      <c r="AI1101" s="50">
        <f t="shared" si="246"/>
        <v>671</v>
      </c>
    </row>
    <row r="1102" spans="1:35">
      <c r="A1102" s="12">
        <v>45477</v>
      </c>
      <c r="B1102" s="8">
        <f t="shared" si="241"/>
        <v>2009439</v>
      </c>
      <c r="C1102" s="8">
        <v>2010220</v>
      </c>
      <c r="D1102" s="13">
        <f t="shared" si="245"/>
        <v>781</v>
      </c>
      <c r="E1102" s="77">
        <f t="shared" si="235"/>
        <v>273363</v>
      </c>
      <c r="F1102" s="69">
        <v>273363</v>
      </c>
      <c r="G1102" s="133">
        <f t="shared" si="233"/>
        <v>0</v>
      </c>
      <c r="H1102" s="8">
        <f t="shared" si="236"/>
        <v>355953</v>
      </c>
      <c r="I1102" s="8">
        <v>355953</v>
      </c>
      <c r="J1102" s="13">
        <f t="shared" si="244"/>
        <v>0</v>
      </c>
      <c r="K1102" s="138"/>
      <c r="L1102" s="8">
        <f t="shared" si="237"/>
        <v>1050120</v>
      </c>
      <c r="M1102" s="8">
        <v>1051220</v>
      </c>
      <c r="N1102" s="13">
        <f t="shared" si="247"/>
        <v>1100</v>
      </c>
      <c r="O1102" s="136">
        <f t="shared" si="243"/>
        <v>190</v>
      </c>
      <c r="P1102" s="8">
        <f t="shared" si="239"/>
        <v>559932</v>
      </c>
      <c r="Q1102" s="8">
        <v>560513</v>
      </c>
      <c r="R1102" s="133">
        <f t="shared" si="231"/>
        <v>581</v>
      </c>
      <c r="S1102" s="8">
        <f t="shared" si="240"/>
        <v>39494</v>
      </c>
      <c r="T1102" s="8">
        <v>39566</v>
      </c>
      <c r="U1102" s="133">
        <f t="shared" si="242"/>
        <v>72</v>
      </c>
      <c r="V1102" s="8">
        <f>W1101</f>
        <v>533986</v>
      </c>
      <c r="W1102" s="8">
        <v>533986</v>
      </c>
      <c r="X1102" s="13">
        <f t="shared" si="248"/>
        <v>0</v>
      </c>
      <c r="Y1102" s="8">
        <f t="shared" si="234"/>
        <v>38479</v>
      </c>
      <c r="Z1102" s="8">
        <v>38499</v>
      </c>
      <c r="AA1102" s="13">
        <f t="shared" si="250"/>
        <v>20</v>
      </c>
      <c r="AB1102" s="8">
        <f t="shared" si="232"/>
        <v>251728</v>
      </c>
      <c r="AC1102" s="8">
        <v>251790</v>
      </c>
      <c r="AD1102" s="13">
        <f t="shared" si="249"/>
        <v>62</v>
      </c>
      <c r="AE1102" s="135"/>
      <c r="AF1102" s="135"/>
      <c r="AG1102" s="135"/>
      <c r="AH1102" s="136"/>
      <c r="AI1102" s="50">
        <f t="shared" si="246"/>
        <v>863</v>
      </c>
    </row>
    <row r="1103" spans="1:35">
      <c r="A1103" s="12">
        <v>45478</v>
      </c>
      <c r="B1103" s="8">
        <f t="shared" si="241"/>
        <v>2010220</v>
      </c>
      <c r="C1103" s="8">
        <v>2011057</v>
      </c>
      <c r="D1103" s="13">
        <f t="shared" si="245"/>
        <v>837</v>
      </c>
      <c r="E1103" s="77">
        <f t="shared" si="235"/>
        <v>273363</v>
      </c>
      <c r="F1103" s="69">
        <v>273363</v>
      </c>
      <c r="G1103" s="133">
        <f t="shared" si="233"/>
        <v>0</v>
      </c>
      <c r="H1103" s="8">
        <f t="shared" si="236"/>
        <v>355953</v>
      </c>
      <c r="I1103" s="8">
        <v>355953</v>
      </c>
      <c r="J1103" s="13">
        <f t="shared" si="244"/>
        <v>0</v>
      </c>
      <c r="K1103" s="138"/>
      <c r="L1103" s="8">
        <f t="shared" si="237"/>
        <v>1051220</v>
      </c>
      <c r="M1103" s="8">
        <v>1052479</v>
      </c>
      <c r="N1103" s="13">
        <f t="shared" si="247"/>
        <v>1259</v>
      </c>
      <c r="O1103" s="136">
        <f t="shared" si="243"/>
        <v>164</v>
      </c>
      <c r="P1103" s="8">
        <f t="shared" si="239"/>
        <v>560513</v>
      </c>
      <c r="Q1103" s="8">
        <v>561188</v>
      </c>
      <c r="R1103" s="133">
        <f t="shared" si="231"/>
        <v>675</v>
      </c>
      <c r="S1103" s="8">
        <f t="shared" si="240"/>
        <v>39566</v>
      </c>
      <c r="T1103" s="8">
        <v>39647</v>
      </c>
      <c r="U1103" s="133">
        <f t="shared" si="242"/>
        <v>81</v>
      </c>
      <c r="V1103" s="8">
        <f t="shared" si="238"/>
        <v>533986</v>
      </c>
      <c r="W1103" s="8">
        <v>533986</v>
      </c>
      <c r="X1103" s="13">
        <f t="shared" si="248"/>
        <v>0</v>
      </c>
      <c r="Y1103" s="8">
        <f t="shared" si="234"/>
        <v>38499</v>
      </c>
      <c r="Z1103" s="8">
        <v>38520</v>
      </c>
      <c r="AA1103" s="13">
        <f t="shared" si="250"/>
        <v>21</v>
      </c>
      <c r="AB1103" s="8">
        <f t="shared" si="232"/>
        <v>251790</v>
      </c>
      <c r="AC1103" s="8">
        <v>251873</v>
      </c>
      <c r="AD1103" s="13">
        <f t="shared" si="249"/>
        <v>83</v>
      </c>
      <c r="AE1103" s="135"/>
      <c r="AF1103" s="135"/>
      <c r="AG1103" s="135"/>
      <c r="AH1103" s="136"/>
      <c r="AI1103" s="50">
        <f t="shared" si="246"/>
        <v>941</v>
      </c>
    </row>
    <row r="1104" spans="1:35">
      <c r="A1104" s="12">
        <v>45479</v>
      </c>
      <c r="B1104" s="8">
        <f t="shared" si="241"/>
        <v>2011057</v>
      </c>
      <c r="C1104" s="8">
        <v>2011735</v>
      </c>
      <c r="D1104" s="13">
        <f t="shared" si="245"/>
        <v>678</v>
      </c>
      <c r="E1104" s="77">
        <f t="shared" si="235"/>
        <v>273363</v>
      </c>
      <c r="F1104" s="69">
        <v>273363</v>
      </c>
      <c r="G1104" s="133">
        <f t="shared" si="233"/>
        <v>0</v>
      </c>
      <c r="H1104" s="8">
        <f t="shared" si="236"/>
        <v>355953</v>
      </c>
      <c r="I1104" s="8">
        <v>355953</v>
      </c>
      <c r="J1104" s="13">
        <f t="shared" si="244"/>
        <v>0</v>
      </c>
      <c r="K1104" s="138"/>
      <c r="L1104" s="8">
        <f t="shared" si="237"/>
        <v>1052479</v>
      </c>
      <c r="M1104" s="8">
        <v>1053639</v>
      </c>
      <c r="N1104" s="13">
        <f t="shared" si="247"/>
        <v>1160</v>
      </c>
      <c r="O1104" s="136">
        <f t="shared" si="243"/>
        <v>53</v>
      </c>
      <c r="P1104" s="8">
        <f t="shared" si="239"/>
        <v>561188</v>
      </c>
      <c r="Q1104" s="8">
        <v>561844</v>
      </c>
      <c r="R1104" s="133">
        <f t="shared" si="231"/>
        <v>656</v>
      </c>
      <c r="S1104" s="8">
        <f t="shared" si="240"/>
        <v>39647</v>
      </c>
      <c r="T1104" s="8">
        <v>39699</v>
      </c>
      <c r="U1104" s="133">
        <f t="shared" si="242"/>
        <v>52</v>
      </c>
      <c r="V1104" s="8">
        <f t="shared" si="238"/>
        <v>533986</v>
      </c>
      <c r="W1104" s="8">
        <v>533986</v>
      </c>
      <c r="X1104" s="13">
        <f t="shared" si="248"/>
        <v>0</v>
      </c>
      <c r="Y1104" s="8">
        <f t="shared" si="234"/>
        <v>38520</v>
      </c>
      <c r="Z1104" s="8">
        <v>38543</v>
      </c>
      <c r="AA1104" s="13">
        <f t="shared" si="250"/>
        <v>23</v>
      </c>
      <c r="AB1104" s="8">
        <f t="shared" si="232"/>
        <v>251873</v>
      </c>
      <c r="AC1104" s="8">
        <v>251956</v>
      </c>
      <c r="AD1104" s="13">
        <f t="shared" si="249"/>
        <v>83</v>
      </c>
      <c r="AE1104" s="135"/>
      <c r="AF1104" s="135"/>
      <c r="AG1104" s="135"/>
      <c r="AH1104" s="136"/>
      <c r="AI1104" s="50">
        <f t="shared" si="246"/>
        <v>784</v>
      </c>
    </row>
    <row r="1105" spans="1:35">
      <c r="A1105" s="12">
        <v>45480</v>
      </c>
      <c r="B1105" s="8">
        <f t="shared" si="241"/>
        <v>2011735</v>
      </c>
      <c r="C1105" s="8">
        <v>2012496</v>
      </c>
      <c r="D1105" s="13">
        <f t="shared" si="245"/>
        <v>761</v>
      </c>
      <c r="E1105" s="77">
        <f t="shared" si="235"/>
        <v>273363</v>
      </c>
      <c r="F1105" s="69">
        <v>273363</v>
      </c>
      <c r="G1105" s="133">
        <f>F1106-E1105</f>
        <v>0</v>
      </c>
      <c r="H1105" s="8">
        <f t="shared" si="236"/>
        <v>355953</v>
      </c>
      <c r="I1105" s="8">
        <v>355953</v>
      </c>
      <c r="J1105" s="13">
        <f t="shared" si="244"/>
        <v>0</v>
      </c>
      <c r="K1105" s="138"/>
      <c r="L1105" s="8">
        <f t="shared" si="237"/>
        <v>1053639</v>
      </c>
      <c r="M1105" s="8">
        <v>1054541</v>
      </c>
      <c r="N1105" s="13">
        <f t="shared" si="247"/>
        <v>902</v>
      </c>
      <c r="O1105" s="136">
        <f t="shared" si="243"/>
        <v>262</v>
      </c>
      <c r="P1105" s="8">
        <f t="shared" si="239"/>
        <v>561844</v>
      </c>
      <c r="Q1105" s="8">
        <v>562337</v>
      </c>
      <c r="R1105" s="133">
        <f t="shared" si="231"/>
        <v>493</v>
      </c>
      <c r="S1105" s="8">
        <f t="shared" si="240"/>
        <v>39699</v>
      </c>
      <c r="T1105" s="8">
        <v>39771</v>
      </c>
      <c r="U1105" s="133">
        <f t="shared" si="242"/>
        <v>72</v>
      </c>
      <c r="V1105" s="8">
        <f t="shared" si="238"/>
        <v>533986</v>
      </c>
      <c r="W1105" s="8">
        <v>533986</v>
      </c>
      <c r="X1105" s="13">
        <f t="shared" si="248"/>
        <v>0</v>
      </c>
      <c r="Y1105" s="8">
        <f t="shared" si="234"/>
        <v>38543</v>
      </c>
      <c r="Z1105" s="8">
        <v>38569</v>
      </c>
      <c r="AA1105" s="13">
        <f t="shared" si="250"/>
        <v>26</v>
      </c>
      <c r="AB1105" s="8">
        <f t="shared" si="232"/>
        <v>251956</v>
      </c>
      <c r="AC1105" s="8">
        <v>252022</v>
      </c>
      <c r="AD1105" s="13">
        <f t="shared" si="249"/>
        <v>66</v>
      </c>
      <c r="AE1105" s="135"/>
      <c r="AF1105" s="135"/>
      <c r="AG1105" s="135"/>
      <c r="AH1105" s="136"/>
      <c r="AI1105" s="50">
        <f t="shared" si="246"/>
        <v>853</v>
      </c>
    </row>
    <row r="1106" spans="1:35">
      <c r="A1106" s="12">
        <v>45481</v>
      </c>
      <c r="B1106" s="8">
        <f t="shared" si="241"/>
        <v>2012496</v>
      </c>
      <c r="C1106" s="8">
        <v>2013264</v>
      </c>
      <c r="D1106" s="13">
        <f t="shared" si="245"/>
        <v>768</v>
      </c>
      <c r="E1106" s="77">
        <f t="shared" si="235"/>
        <v>273363</v>
      </c>
      <c r="F1106" s="69">
        <v>273363</v>
      </c>
      <c r="G1106" s="133">
        <f>F1107-E1106</f>
        <v>0</v>
      </c>
      <c r="H1106" s="8">
        <f t="shared" si="236"/>
        <v>355953</v>
      </c>
      <c r="I1106" s="8">
        <v>355953</v>
      </c>
      <c r="J1106" s="13">
        <f t="shared" si="244"/>
        <v>0</v>
      </c>
      <c r="K1106" s="138"/>
      <c r="L1106" s="8">
        <f t="shared" si="237"/>
        <v>1054541</v>
      </c>
      <c r="M1106" s="8">
        <v>1055584</v>
      </c>
      <c r="N1106" s="13">
        <f t="shared" si="247"/>
        <v>1043</v>
      </c>
      <c r="O1106" s="136">
        <f t="shared" si="243"/>
        <v>281</v>
      </c>
      <c r="P1106" s="8">
        <f t="shared" si="239"/>
        <v>562337</v>
      </c>
      <c r="Q1106" s="8">
        <v>562869</v>
      </c>
      <c r="R1106" s="133">
        <f t="shared" si="231"/>
        <v>532</v>
      </c>
      <c r="S1106" s="8">
        <f t="shared" si="240"/>
        <v>39771</v>
      </c>
      <c r="T1106" s="8">
        <v>39799</v>
      </c>
      <c r="U1106" s="133">
        <f t="shared" si="242"/>
        <v>28</v>
      </c>
      <c r="V1106" s="8">
        <f t="shared" si="238"/>
        <v>533986</v>
      </c>
      <c r="W1106" s="8">
        <v>533986</v>
      </c>
      <c r="X1106" s="13">
        <f t="shared" si="248"/>
        <v>0</v>
      </c>
      <c r="Y1106" s="8">
        <f t="shared" si="234"/>
        <v>38569</v>
      </c>
      <c r="Z1106" s="8">
        <v>38589</v>
      </c>
      <c r="AA1106" s="13">
        <f t="shared" si="250"/>
        <v>20</v>
      </c>
      <c r="AB1106" s="8">
        <f t="shared" si="232"/>
        <v>252022</v>
      </c>
      <c r="AC1106" s="8">
        <v>252095</v>
      </c>
      <c r="AD1106" s="13">
        <f t="shared" si="249"/>
        <v>73</v>
      </c>
      <c r="AE1106" s="135"/>
      <c r="AF1106" s="135"/>
      <c r="AG1106" s="135"/>
      <c r="AH1106" s="136"/>
      <c r="AI1106" s="50">
        <f t="shared" si="246"/>
        <v>861</v>
      </c>
    </row>
    <row r="1107" spans="1:35">
      <c r="A1107" s="12">
        <v>45482</v>
      </c>
      <c r="B1107" s="8">
        <f t="shared" si="241"/>
        <v>2013264</v>
      </c>
      <c r="C1107" s="8">
        <v>2014074</v>
      </c>
      <c r="D1107" s="13">
        <f t="shared" si="245"/>
        <v>810</v>
      </c>
      <c r="E1107" s="77">
        <f>F1106</f>
        <v>273363</v>
      </c>
      <c r="F1107" s="69">
        <v>273363</v>
      </c>
      <c r="G1107" s="133">
        <f t="shared" si="233"/>
        <v>0</v>
      </c>
      <c r="H1107" s="8">
        <f t="shared" si="236"/>
        <v>355953</v>
      </c>
      <c r="I1107" s="8">
        <v>355953</v>
      </c>
      <c r="J1107" s="13">
        <f t="shared" si="244"/>
        <v>0</v>
      </c>
      <c r="K1107" s="138"/>
      <c r="L1107" s="8">
        <f t="shared" si="237"/>
        <v>1055584</v>
      </c>
      <c r="M1107" s="8">
        <v>1056806</v>
      </c>
      <c r="N1107" s="13">
        <f t="shared" si="247"/>
        <v>1222</v>
      </c>
      <c r="O1107" s="136">
        <f t="shared" si="243"/>
        <v>229</v>
      </c>
      <c r="P1107" s="8">
        <f t="shared" si="239"/>
        <v>562869</v>
      </c>
      <c r="Q1107" s="8">
        <v>563469</v>
      </c>
      <c r="R1107" s="133">
        <f t="shared" si="231"/>
        <v>600</v>
      </c>
      <c r="S1107" s="8">
        <f t="shared" si="240"/>
        <v>39799</v>
      </c>
      <c r="T1107" s="8">
        <v>39849</v>
      </c>
      <c r="U1107" s="133">
        <f t="shared" si="242"/>
        <v>50</v>
      </c>
      <c r="V1107" s="8">
        <f t="shared" si="238"/>
        <v>533986</v>
      </c>
      <c r="W1107" s="8">
        <v>533986</v>
      </c>
      <c r="X1107" s="13">
        <f t="shared" si="248"/>
        <v>0</v>
      </c>
      <c r="Y1107" s="8">
        <f t="shared" si="234"/>
        <v>38589</v>
      </c>
      <c r="Z1107" s="8">
        <v>38607</v>
      </c>
      <c r="AA1107" s="13">
        <f t="shared" si="250"/>
        <v>18</v>
      </c>
      <c r="AB1107" s="8">
        <f t="shared" si="232"/>
        <v>252095</v>
      </c>
      <c r="AC1107" s="8">
        <v>252164</v>
      </c>
      <c r="AD1107" s="13">
        <f t="shared" si="249"/>
        <v>69</v>
      </c>
      <c r="AE1107" s="135"/>
      <c r="AF1107" s="135"/>
      <c r="AG1107" s="135"/>
      <c r="AH1107" s="136"/>
      <c r="AI1107" s="50">
        <f t="shared" si="246"/>
        <v>897</v>
      </c>
    </row>
    <row r="1108" spans="1:35">
      <c r="A1108" s="12">
        <v>45483</v>
      </c>
      <c r="B1108" s="8">
        <f t="shared" si="241"/>
        <v>2014074</v>
      </c>
      <c r="C1108" s="8">
        <v>2014891</v>
      </c>
      <c r="D1108" s="13">
        <f t="shared" si="245"/>
        <v>817</v>
      </c>
      <c r="E1108" s="77">
        <f>F1107</f>
        <v>273363</v>
      </c>
      <c r="F1108" s="69">
        <v>273363</v>
      </c>
      <c r="G1108" s="133">
        <f t="shared" si="233"/>
        <v>0</v>
      </c>
      <c r="H1108" s="8">
        <f t="shared" si="236"/>
        <v>355953</v>
      </c>
      <c r="I1108" s="8">
        <v>355953</v>
      </c>
      <c r="J1108" s="13">
        <f t="shared" si="244"/>
        <v>0</v>
      </c>
      <c r="K1108" s="138"/>
      <c r="L1108" s="8">
        <f t="shared" si="237"/>
        <v>1056806</v>
      </c>
      <c r="M1108" s="8">
        <v>1057877</v>
      </c>
      <c r="N1108" s="13">
        <f t="shared" si="247"/>
        <v>1071</v>
      </c>
      <c r="O1108" s="136">
        <f t="shared" si="243"/>
        <v>218</v>
      </c>
      <c r="P1108" s="8">
        <f t="shared" si="239"/>
        <v>563469</v>
      </c>
      <c r="Q1108" s="8">
        <v>564074</v>
      </c>
      <c r="R1108" s="133">
        <f t="shared" si="231"/>
        <v>605</v>
      </c>
      <c r="S1108" s="8">
        <f t="shared" si="240"/>
        <v>39849</v>
      </c>
      <c r="T1108" s="8">
        <v>39899</v>
      </c>
      <c r="U1108" s="133">
        <f t="shared" si="242"/>
        <v>50</v>
      </c>
      <c r="V1108" s="8">
        <f t="shared" si="238"/>
        <v>533986</v>
      </c>
      <c r="W1108" s="8">
        <v>533986</v>
      </c>
      <c r="X1108" s="13">
        <f t="shared" si="248"/>
        <v>0</v>
      </c>
      <c r="Y1108" s="8">
        <f t="shared" si="234"/>
        <v>38607</v>
      </c>
      <c r="Z1108" s="8">
        <v>38622</v>
      </c>
      <c r="AA1108" s="13">
        <f t="shared" si="250"/>
        <v>15</v>
      </c>
      <c r="AB1108" s="8">
        <f t="shared" si="232"/>
        <v>252164</v>
      </c>
      <c r="AC1108" s="8">
        <v>252220</v>
      </c>
      <c r="AD1108" s="13">
        <f t="shared" si="249"/>
        <v>56</v>
      </c>
      <c r="AE1108" s="135"/>
      <c r="AF1108" s="135"/>
      <c r="AG1108" s="135"/>
      <c r="AH1108" s="136"/>
      <c r="AI1108" s="50">
        <f t="shared" si="246"/>
        <v>888</v>
      </c>
    </row>
    <row r="1109" spans="1:35">
      <c r="A1109" s="12">
        <v>45484</v>
      </c>
      <c r="B1109" s="8">
        <f t="shared" si="241"/>
        <v>2014891</v>
      </c>
      <c r="C1109" s="8">
        <v>2015133</v>
      </c>
      <c r="D1109" s="13">
        <f t="shared" si="245"/>
        <v>242</v>
      </c>
      <c r="E1109" s="77">
        <f t="shared" si="235"/>
        <v>273363</v>
      </c>
      <c r="F1109" s="69">
        <v>273363</v>
      </c>
      <c r="G1109" s="133">
        <f t="shared" si="233"/>
        <v>0</v>
      </c>
      <c r="H1109" s="8">
        <f t="shared" si="236"/>
        <v>355953</v>
      </c>
      <c r="I1109" s="8">
        <v>355953</v>
      </c>
      <c r="J1109" s="13">
        <f t="shared" si="244"/>
        <v>0</v>
      </c>
      <c r="K1109" s="138"/>
      <c r="L1109" s="8">
        <f t="shared" si="237"/>
        <v>1057877</v>
      </c>
      <c r="M1109" s="8">
        <v>1058922</v>
      </c>
      <c r="N1109" s="13">
        <f t="shared" si="247"/>
        <v>1045</v>
      </c>
      <c r="O1109" s="136">
        <f t="shared" si="243"/>
        <v>-331</v>
      </c>
      <c r="P1109" s="8">
        <f t="shared" si="239"/>
        <v>564074</v>
      </c>
      <c r="Q1109" s="8">
        <v>564664</v>
      </c>
      <c r="R1109" s="133">
        <f t="shared" si="231"/>
        <v>590</v>
      </c>
      <c r="S1109" s="8">
        <f t="shared" si="240"/>
        <v>39899</v>
      </c>
      <c r="T1109" s="8">
        <v>39944</v>
      </c>
      <c r="U1109" s="133">
        <f t="shared" si="242"/>
        <v>45</v>
      </c>
      <c r="V1109" s="8">
        <f t="shared" si="238"/>
        <v>533986</v>
      </c>
      <c r="W1109" s="8">
        <v>533986</v>
      </c>
      <c r="X1109" s="13">
        <f t="shared" si="248"/>
        <v>0</v>
      </c>
      <c r="Y1109" s="8">
        <f t="shared" si="234"/>
        <v>38622</v>
      </c>
      <c r="Z1109" s="8">
        <v>38635</v>
      </c>
      <c r="AA1109" s="13">
        <f t="shared" si="250"/>
        <v>13</v>
      </c>
      <c r="AB1109" s="8">
        <f t="shared" si="232"/>
        <v>252220</v>
      </c>
      <c r="AC1109" s="8">
        <v>252282</v>
      </c>
      <c r="AD1109" s="13">
        <f t="shared" si="249"/>
        <v>62</v>
      </c>
      <c r="AE1109" s="135"/>
      <c r="AF1109" s="135"/>
      <c r="AG1109" s="135"/>
      <c r="AH1109" s="136"/>
      <c r="AI1109" s="50">
        <f t="shared" si="246"/>
        <v>317</v>
      </c>
    </row>
    <row r="1110" spans="1:35">
      <c r="A1110" s="12">
        <v>45485</v>
      </c>
      <c r="B1110" s="8">
        <f t="shared" si="241"/>
        <v>2015133</v>
      </c>
      <c r="C1110" s="8">
        <v>2015442</v>
      </c>
      <c r="D1110" s="13">
        <f t="shared" si="245"/>
        <v>309</v>
      </c>
      <c r="E1110" s="77">
        <f t="shared" si="235"/>
        <v>273363</v>
      </c>
      <c r="F1110" s="69">
        <v>273363</v>
      </c>
      <c r="G1110" s="133">
        <f t="shared" si="233"/>
        <v>0</v>
      </c>
      <c r="H1110" s="8">
        <f t="shared" si="236"/>
        <v>355953</v>
      </c>
      <c r="I1110" s="8">
        <v>355955</v>
      </c>
      <c r="J1110" s="13">
        <f t="shared" si="244"/>
        <v>2</v>
      </c>
      <c r="K1110" s="138"/>
      <c r="L1110" s="8">
        <f t="shared" si="237"/>
        <v>1058922</v>
      </c>
      <c r="M1110" s="8">
        <v>1060187</v>
      </c>
      <c r="N1110" s="13">
        <f t="shared" si="247"/>
        <v>1265</v>
      </c>
      <c r="O1110" s="136">
        <f t="shared" si="243"/>
        <v>-293</v>
      </c>
      <c r="P1110" s="8">
        <f t="shared" si="239"/>
        <v>564664</v>
      </c>
      <c r="Q1110" s="8">
        <v>565265</v>
      </c>
      <c r="R1110" s="133">
        <f t="shared" si="231"/>
        <v>601</v>
      </c>
      <c r="S1110" s="8">
        <f t="shared" si="240"/>
        <v>39944</v>
      </c>
      <c r="T1110" s="8">
        <v>39994</v>
      </c>
      <c r="U1110" s="133">
        <f t="shared" si="242"/>
        <v>50</v>
      </c>
      <c r="V1110" s="8">
        <f t="shared" si="238"/>
        <v>533986</v>
      </c>
      <c r="W1110" s="8">
        <v>533986</v>
      </c>
      <c r="X1110" s="13">
        <f t="shared" si="248"/>
        <v>0</v>
      </c>
      <c r="Y1110" s="8">
        <f t="shared" si="234"/>
        <v>38635</v>
      </c>
      <c r="Z1110" s="8">
        <v>38649</v>
      </c>
      <c r="AA1110" s="13">
        <f t="shared" si="250"/>
        <v>14</v>
      </c>
      <c r="AB1110" s="8">
        <f t="shared" si="232"/>
        <v>252282</v>
      </c>
      <c r="AC1110" s="8">
        <v>252329</v>
      </c>
      <c r="AD1110" s="13">
        <f t="shared" si="249"/>
        <v>47</v>
      </c>
      <c r="AE1110" s="135"/>
      <c r="AF1110" s="135"/>
      <c r="AG1110" s="135"/>
      <c r="AH1110" s="136"/>
      <c r="AI1110" s="50">
        <f t="shared" si="246"/>
        <v>372</v>
      </c>
    </row>
    <row r="1111" spans="1:35">
      <c r="A1111" s="12">
        <v>45486</v>
      </c>
      <c r="B1111" s="8">
        <f t="shared" si="241"/>
        <v>2015442</v>
      </c>
      <c r="C1111" s="8">
        <v>2015947</v>
      </c>
      <c r="D1111" s="13">
        <f t="shared" si="245"/>
        <v>505</v>
      </c>
      <c r="E1111" s="77">
        <f t="shared" si="235"/>
        <v>273363</v>
      </c>
      <c r="F1111" s="69">
        <v>273363</v>
      </c>
      <c r="G1111" s="133">
        <f t="shared" si="233"/>
        <v>0</v>
      </c>
      <c r="H1111" s="8">
        <f t="shared" si="236"/>
        <v>355955</v>
      </c>
      <c r="I1111" s="8">
        <v>355955</v>
      </c>
      <c r="J1111" s="13">
        <f t="shared" si="244"/>
        <v>0</v>
      </c>
      <c r="K1111" s="138"/>
      <c r="L1111" s="8">
        <f t="shared" si="237"/>
        <v>1060187</v>
      </c>
      <c r="M1111" s="8">
        <v>1061524</v>
      </c>
      <c r="N1111" s="13">
        <f t="shared" si="247"/>
        <v>1337</v>
      </c>
      <c r="O1111" s="136">
        <f t="shared" si="243"/>
        <v>-120</v>
      </c>
      <c r="P1111" s="8">
        <f t="shared" si="239"/>
        <v>565265</v>
      </c>
      <c r="Q1111" s="8">
        <v>565905</v>
      </c>
      <c r="R1111" s="133">
        <f t="shared" si="231"/>
        <v>640</v>
      </c>
      <c r="S1111" s="8">
        <f t="shared" si="240"/>
        <v>39994</v>
      </c>
      <c r="T1111" s="8">
        <v>40048</v>
      </c>
      <c r="U1111" s="133">
        <f t="shared" si="242"/>
        <v>54</v>
      </c>
      <c r="V1111" s="8">
        <f t="shared" si="238"/>
        <v>533986</v>
      </c>
      <c r="W1111" s="8">
        <v>533986</v>
      </c>
      <c r="X1111" s="13">
        <f t="shared" si="248"/>
        <v>0</v>
      </c>
      <c r="Y1111" s="8">
        <f t="shared" si="234"/>
        <v>38649</v>
      </c>
      <c r="Z1111" s="8">
        <v>38664</v>
      </c>
      <c r="AA1111" s="13">
        <f t="shared" si="250"/>
        <v>15</v>
      </c>
      <c r="AB1111" s="8">
        <f t="shared" si="232"/>
        <v>252329</v>
      </c>
      <c r="AC1111" s="8">
        <v>252329</v>
      </c>
      <c r="AD1111" s="13">
        <v>69</v>
      </c>
      <c r="AE1111" s="135"/>
      <c r="AF1111" s="135"/>
      <c r="AG1111" s="135"/>
      <c r="AH1111" s="136"/>
      <c r="AI1111" s="50">
        <f t="shared" si="246"/>
        <v>589</v>
      </c>
    </row>
    <row r="1112" spans="1:35">
      <c r="A1112" s="12">
        <v>45487</v>
      </c>
      <c r="B1112" s="8">
        <f t="shared" si="241"/>
        <v>2015947</v>
      </c>
      <c r="C1112" s="8">
        <v>2016596</v>
      </c>
      <c r="D1112" s="13">
        <f t="shared" si="245"/>
        <v>649</v>
      </c>
      <c r="E1112" s="77">
        <f t="shared" si="235"/>
        <v>273363</v>
      </c>
      <c r="F1112" s="69">
        <v>273363</v>
      </c>
      <c r="G1112" s="133">
        <f t="shared" si="233"/>
        <v>0</v>
      </c>
      <c r="H1112" s="8">
        <f t="shared" si="236"/>
        <v>355955</v>
      </c>
      <c r="I1112" s="8">
        <v>355955</v>
      </c>
      <c r="J1112" s="13">
        <f t="shared" si="244"/>
        <v>0</v>
      </c>
      <c r="K1112" s="138"/>
      <c r="L1112" s="8">
        <f t="shared" si="237"/>
        <v>1061524</v>
      </c>
      <c r="M1112" s="8">
        <v>1061900</v>
      </c>
      <c r="N1112" s="13">
        <f t="shared" si="247"/>
        <v>376</v>
      </c>
      <c r="O1112" s="136">
        <f t="shared" si="243"/>
        <v>404</v>
      </c>
      <c r="P1112" s="8">
        <f t="shared" si="239"/>
        <v>565905</v>
      </c>
      <c r="Q1112" s="8">
        <v>566207</v>
      </c>
      <c r="R1112" s="133">
        <f t="shared" ref="R1112:R1175" si="251">Q1112-P1112</f>
        <v>302</v>
      </c>
      <c r="S1112" s="8">
        <f t="shared" si="240"/>
        <v>40048</v>
      </c>
      <c r="T1112" s="8">
        <v>40049</v>
      </c>
      <c r="U1112" s="133">
        <f t="shared" si="242"/>
        <v>1</v>
      </c>
      <c r="V1112" s="8">
        <f t="shared" si="238"/>
        <v>533986</v>
      </c>
      <c r="W1112" s="8">
        <v>533986</v>
      </c>
      <c r="X1112" s="13">
        <f t="shared" si="248"/>
        <v>0</v>
      </c>
      <c r="Y1112" s="8">
        <f t="shared" si="234"/>
        <v>38664</v>
      </c>
      <c r="Z1112" s="8">
        <v>38705</v>
      </c>
      <c r="AA1112" s="13">
        <f t="shared" si="250"/>
        <v>41</v>
      </c>
      <c r="AB1112" s="8">
        <f t="shared" si="232"/>
        <v>252329</v>
      </c>
      <c r="AC1112" s="8">
        <v>252329</v>
      </c>
      <c r="AD1112" s="13">
        <v>58</v>
      </c>
      <c r="AE1112" s="135"/>
      <c r="AF1112" s="135"/>
      <c r="AG1112" s="135"/>
      <c r="AH1112" s="136"/>
      <c r="AI1112" s="50">
        <f t="shared" si="246"/>
        <v>748</v>
      </c>
    </row>
    <row r="1113" spans="1:35">
      <c r="A1113" s="12">
        <v>45488</v>
      </c>
      <c r="B1113" s="8">
        <f t="shared" si="241"/>
        <v>2016596</v>
      </c>
      <c r="C1113" s="8">
        <v>2017369</v>
      </c>
      <c r="D1113" s="13">
        <f t="shared" si="245"/>
        <v>773</v>
      </c>
      <c r="E1113" s="77">
        <f t="shared" si="235"/>
        <v>273363</v>
      </c>
      <c r="F1113" s="69">
        <v>273363</v>
      </c>
      <c r="G1113" s="133">
        <f t="shared" si="233"/>
        <v>0</v>
      </c>
      <c r="H1113" s="8">
        <f t="shared" si="236"/>
        <v>355955</v>
      </c>
      <c r="I1113" s="8">
        <v>356140</v>
      </c>
      <c r="J1113" s="13">
        <f t="shared" si="244"/>
        <v>185</v>
      </c>
      <c r="K1113" s="138"/>
      <c r="L1113" s="8">
        <f t="shared" si="237"/>
        <v>1061900</v>
      </c>
      <c r="M1113" s="8">
        <v>1063130</v>
      </c>
      <c r="N1113" s="13">
        <f t="shared" si="247"/>
        <v>1230</v>
      </c>
      <c r="O1113" s="136">
        <f t="shared" si="243"/>
        <v>893</v>
      </c>
      <c r="P1113" s="8">
        <f t="shared" si="239"/>
        <v>566207</v>
      </c>
      <c r="Q1113" s="8">
        <v>566336</v>
      </c>
      <c r="R1113" s="133">
        <f t="shared" si="251"/>
        <v>129</v>
      </c>
      <c r="S1113" s="8">
        <f t="shared" si="240"/>
        <v>40049</v>
      </c>
      <c r="T1113" s="8">
        <v>40059</v>
      </c>
      <c r="U1113" s="133">
        <f t="shared" si="242"/>
        <v>10</v>
      </c>
      <c r="V1113" s="8">
        <f t="shared" si="238"/>
        <v>533986</v>
      </c>
      <c r="W1113" s="8">
        <v>533986</v>
      </c>
      <c r="X1113" s="13">
        <f t="shared" si="248"/>
        <v>0</v>
      </c>
      <c r="Y1113" s="8">
        <f t="shared" si="234"/>
        <v>38705</v>
      </c>
      <c r="Z1113" s="8">
        <v>38726</v>
      </c>
      <c r="AA1113" s="13">
        <f t="shared" si="250"/>
        <v>21</v>
      </c>
      <c r="AB1113" s="8">
        <f t="shared" ref="AB1113:AB1176" si="252">AC1112</f>
        <v>252329</v>
      </c>
      <c r="AC1113" s="8">
        <v>252329</v>
      </c>
      <c r="AD1113" s="13">
        <v>74</v>
      </c>
      <c r="AE1113" s="135"/>
      <c r="AF1113" s="135"/>
      <c r="AG1113" s="135"/>
      <c r="AH1113" s="136"/>
      <c r="AI1113" s="50">
        <f t="shared" si="246"/>
        <v>1053</v>
      </c>
    </row>
    <row r="1114" spans="1:35">
      <c r="A1114" s="12">
        <v>45489</v>
      </c>
      <c r="B1114" s="8">
        <f t="shared" si="241"/>
        <v>2017369</v>
      </c>
      <c r="C1114" s="8">
        <v>2017917</v>
      </c>
      <c r="D1114" s="13">
        <f t="shared" si="245"/>
        <v>548</v>
      </c>
      <c r="E1114" s="77">
        <f t="shared" si="235"/>
        <v>273363</v>
      </c>
      <c r="F1114" s="69">
        <v>273363</v>
      </c>
      <c r="G1114" s="133">
        <f t="shared" si="233"/>
        <v>0</v>
      </c>
      <c r="H1114" s="8">
        <f t="shared" si="236"/>
        <v>356140</v>
      </c>
      <c r="I1114" s="8">
        <v>356140</v>
      </c>
      <c r="J1114" s="13">
        <f t="shared" si="244"/>
        <v>0</v>
      </c>
      <c r="K1114" s="138"/>
      <c r="L1114" s="8">
        <f t="shared" si="237"/>
        <v>1063130</v>
      </c>
      <c r="M1114" s="8">
        <v>1064293</v>
      </c>
      <c r="N1114" s="13">
        <f t="shared" si="247"/>
        <v>1163</v>
      </c>
      <c r="O1114" s="136">
        <f t="shared" si="243"/>
        <v>-54</v>
      </c>
      <c r="P1114" s="8">
        <f t="shared" si="239"/>
        <v>566336</v>
      </c>
      <c r="Q1114" s="8">
        <v>566932</v>
      </c>
      <c r="R1114" s="133">
        <f t="shared" si="251"/>
        <v>596</v>
      </c>
      <c r="S1114" s="8">
        <f t="shared" si="240"/>
        <v>40059</v>
      </c>
      <c r="T1114" s="8">
        <v>40126</v>
      </c>
      <c r="U1114" s="133">
        <f t="shared" si="242"/>
        <v>67</v>
      </c>
      <c r="V1114" s="8">
        <f t="shared" si="238"/>
        <v>533986</v>
      </c>
      <c r="W1114" s="8">
        <v>533986</v>
      </c>
      <c r="X1114" s="13">
        <f t="shared" si="248"/>
        <v>0</v>
      </c>
      <c r="Y1114" s="8">
        <f t="shared" si="234"/>
        <v>38726</v>
      </c>
      <c r="Z1114" s="8">
        <v>38746</v>
      </c>
      <c r="AA1114" s="13">
        <f t="shared" si="250"/>
        <v>20</v>
      </c>
      <c r="AB1114" s="8">
        <f t="shared" si="252"/>
        <v>252329</v>
      </c>
      <c r="AC1114" s="8">
        <v>252390</v>
      </c>
      <c r="AD1114" s="13">
        <f t="shared" ref="AD1114:AD1145" si="253">AC1114-AB1114</f>
        <v>61</v>
      </c>
      <c r="AE1114" s="135"/>
      <c r="AF1114" s="135"/>
      <c r="AG1114" s="135"/>
      <c r="AH1114" s="136"/>
      <c r="AI1114" s="50">
        <f t="shared" si="246"/>
        <v>629</v>
      </c>
    </row>
    <row r="1115" spans="1:35">
      <c r="A1115" s="12">
        <v>45490</v>
      </c>
      <c r="B1115" s="8">
        <f t="shared" si="241"/>
        <v>2017917</v>
      </c>
      <c r="C1115" s="8">
        <v>2018832</v>
      </c>
      <c r="D1115" s="13">
        <f t="shared" si="245"/>
        <v>915</v>
      </c>
      <c r="E1115" s="77">
        <f t="shared" si="235"/>
        <v>273363</v>
      </c>
      <c r="F1115" s="69">
        <v>273363</v>
      </c>
      <c r="G1115" s="133">
        <f t="shared" si="233"/>
        <v>0</v>
      </c>
      <c r="H1115" s="8">
        <f t="shared" si="236"/>
        <v>356140</v>
      </c>
      <c r="I1115" s="8">
        <v>356140</v>
      </c>
      <c r="J1115" s="13">
        <f t="shared" si="244"/>
        <v>0</v>
      </c>
      <c r="K1115" s="138"/>
      <c r="L1115" s="8">
        <f t="shared" si="237"/>
        <v>1064293</v>
      </c>
      <c r="M1115" s="8">
        <v>1065421</v>
      </c>
      <c r="N1115" s="13">
        <f t="shared" si="247"/>
        <v>1128</v>
      </c>
      <c r="O1115" s="136">
        <f t="shared" si="243"/>
        <v>367</v>
      </c>
      <c r="P1115" s="8">
        <f t="shared" si="239"/>
        <v>566932</v>
      </c>
      <c r="Q1115" s="8">
        <v>567514</v>
      </c>
      <c r="R1115" s="133">
        <f t="shared" si="251"/>
        <v>582</v>
      </c>
      <c r="S1115" s="8">
        <f t="shared" si="240"/>
        <v>40126</v>
      </c>
      <c r="T1115" s="8">
        <v>40167</v>
      </c>
      <c r="U1115" s="133">
        <f t="shared" si="242"/>
        <v>41</v>
      </c>
      <c r="V1115" s="8">
        <f t="shared" si="238"/>
        <v>533986</v>
      </c>
      <c r="W1115" s="8">
        <v>533986</v>
      </c>
      <c r="X1115" s="13">
        <f t="shared" si="248"/>
        <v>0</v>
      </c>
      <c r="Y1115" s="8">
        <f t="shared" si="234"/>
        <v>38746</v>
      </c>
      <c r="Z1115" s="8">
        <v>38760</v>
      </c>
      <c r="AA1115" s="13">
        <f t="shared" si="250"/>
        <v>14</v>
      </c>
      <c r="AB1115" s="8">
        <f t="shared" si="252"/>
        <v>252390</v>
      </c>
      <c r="AC1115" s="8">
        <v>252465</v>
      </c>
      <c r="AD1115" s="13">
        <f t="shared" si="253"/>
        <v>75</v>
      </c>
      <c r="AE1115" s="135"/>
      <c r="AF1115" s="135"/>
      <c r="AG1115" s="135"/>
      <c r="AH1115" s="136"/>
      <c r="AI1115" s="50">
        <f t="shared" si="246"/>
        <v>1004</v>
      </c>
    </row>
    <row r="1116" spans="1:35">
      <c r="A1116" s="12">
        <v>45491</v>
      </c>
      <c r="B1116" s="8">
        <f t="shared" si="241"/>
        <v>2018832</v>
      </c>
      <c r="C1116" s="8">
        <v>2019636</v>
      </c>
      <c r="D1116" s="13">
        <f t="shared" si="245"/>
        <v>804</v>
      </c>
      <c r="E1116" s="77">
        <f t="shared" si="235"/>
        <v>273363</v>
      </c>
      <c r="F1116" s="69">
        <v>273363</v>
      </c>
      <c r="G1116" s="133">
        <f t="shared" si="233"/>
        <v>0</v>
      </c>
      <c r="H1116" s="8">
        <f t="shared" si="236"/>
        <v>356140</v>
      </c>
      <c r="I1116" s="8">
        <v>356140</v>
      </c>
      <c r="J1116" s="13">
        <f t="shared" si="244"/>
        <v>0</v>
      </c>
      <c r="K1116" s="138"/>
      <c r="L1116" s="8">
        <f t="shared" si="237"/>
        <v>1065421</v>
      </c>
      <c r="M1116" s="8">
        <v>1066472</v>
      </c>
      <c r="N1116" s="13">
        <f t="shared" si="247"/>
        <v>1051</v>
      </c>
      <c r="O1116" s="136">
        <f t="shared" si="243"/>
        <v>269</v>
      </c>
      <c r="P1116" s="8">
        <f t="shared" si="239"/>
        <v>567514</v>
      </c>
      <c r="Q1116" s="8">
        <v>568082</v>
      </c>
      <c r="R1116" s="133">
        <f t="shared" si="251"/>
        <v>568</v>
      </c>
      <c r="S1116" s="8">
        <f t="shared" si="240"/>
        <v>40167</v>
      </c>
      <c r="T1116" s="8">
        <v>40223</v>
      </c>
      <c r="U1116" s="133">
        <f t="shared" si="242"/>
        <v>56</v>
      </c>
      <c r="V1116" s="8">
        <f t="shared" si="238"/>
        <v>533986</v>
      </c>
      <c r="W1116" s="8">
        <v>533986</v>
      </c>
      <c r="X1116" s="13">
        <f t="shared" si="248"/>
        <v>0</v>
      </c>
      <c r="Y1116" s="8">
        <f t="shared" si="234"/>
        <v>38760</v>
      </c>
      <c r="Z1116" s="8">
        <v>38774</v>
      </c>
      <c r="AA1116" s="13">
        <f t="shared" si="250"/>
        <v>14</v>
      </c>
      <c r="AB1116" s="8">
        <f t="shared" si="252"/>
        <v>252465</v>
      </c>
      <c r="AC1116" s="8">
        <v>252554</v>
      </c>
      <c r="AD1116" s="13">
        <f t="shared" si="253"/>
        <v>89</v>
      </c>
      <c r="AE1116" s="135"/>
      <c r="AF1116" s="135"/>
      <c r="AG1116" s="135"/>
      <c r="AH1116" s="136"/>
      <c r="AI1116" s="50">
        <f t="shared" si="246"/>
        <v>907</v>
      </c>
    </row>
    <row r="1117" spans="1:35">
      <c r="A1117" s="12">
        <v>45492</v>
      </c>
      <c r="B1117" s="8">
        <f t="shared" si="241"/>
        <v>2019636</v>
      </c>
      <c r="C1117" s="8">
        <v>2020365</v>
      </c>
      <c r="D1117" s="13">
        <f t="shared" si="245"/>
        <v>729</v>
      </c>
      <c r="E1117" s="77">
        <f t="shared" si="235"/>
        <v>273363</v>
      </c>
      <c r="F1117" s="69">
        <v>273363</v>
      </c>
      <c r="G1117" s="133">
        <f t="shared" si="233"/>
        <v>0</v>
      </c>
      <c r="H1117" s="8">
        <f t="shared" si="236"/>
        <v>356140</v>
      </c>
      <c r="I1117" s="8">
        <v>356140</v>
      </c>
      <c r="J1117" s="13">
        <f t="shared" si="244"/>
        <v>0</v>
      </c>
      <c r="K1117" s="138"/>
      <c r="L1117" s="8">
        <f t="shared" si="237"/>
        <v>1066472</v>
      </c>
      <c r="M1117" s="8">
        <v>1067685</v>
      </c>
      <c r="N1117" s="13">
        <f t="shared" si="247"/>
        <v>1213</v>
      </c>
      <c r="O1117" s="136">
        <f t="shared" si="243"/>
        <v>544</v>
      </c>
      <c r="P1117" s="8">
        <f t="shared" si="239"/>
        <v>568082</v>
      </c>
      <c r="Q1117" s="8">
        <v>568291</v>
      </c>
      <c r="R1117" s="133">
        <f t="shared" si="251"/>
        <v>209</v>
      </c>
      <c r="S1117" s="8">
        <f t="shared" si="240"/>
        <v>40223</v>
      </c>
      <c r="T1117" s="8">
        <v>40302</v>
      </c>
      <c r="U1117" s="133">
        <f t="shared" si="242"/>
        <v>79</v>
      </c>
      <c r="V1117" s="8">
        <f t="shared" si="238"/>
        <v>533986</v>
      </c>
      <c r="W1117" s="8">
        <v>533986</v>
      </c>
      <c r="X1117" s="13">
        <f t="shared" si="248"/>
        <v>0</v>
      </c>
      <c r="Y1117" s="8">
        <f t="shared" si="234"/>
        <v>38774</v>
      </c>
      <c r="Z1117" s="8">
        <v>38790</v>
      </c>
      <c r="AA1117" s="13">
        <f t="shared" si="250"/>
        <v>16</v>
      </c>
      <c r="AB1117" s="8">
        <f t="shared" si="252"/>
        <v>252554</v>
      </c>
      <c r="AC1117" s="8">
        <v>252657</v>
      </c>
      <c r="AD1117" s="13">
        <f t="shared" si="253"/>
        <v>103</v>
      </c>
      <c r="AE1117" s="135"/>
      <c r="AF1117" s="135"/>
      <c r="AG1117" s="135"/>
      <c r="AH1117" s="136"/>
      <c r="AI1117" s="50">
        <f t="shared" si="246"/>
        <v>848</v>
      </c>
    </row>
    <row r="1118" spans="1:35">
      <c r="A1118" s="12">
        <v>45493</v>
      </c>
      <c r="B1118" s="8">
        <f t="shared" si="241"/>
        <v>2020365</v>
      </c>
      <c r="C1118" s="8">
        <v>2020651</v>
      </c>
      <c r="D1118" s="13">
        <f t="shared" si="245"/>
        <v>286</v>
      </c>
      <c r="E1118" s="77">
        <f t="shared" si="235"/>
        <v>273363</v>
      </c>
      <c r="F1118" s="69">
        <v>273363</v>
      </c>
      <c r="G1118" s="133">
        <f t="shared" si="233"/>
        <v>-270522</v>
      </c>
      <c r="H1118" s="8">
        <f t="shared" si="236"/>
        <v>356140</v>
      </c>
      <c r="I1118" s="8">
        <v>356140</v>
      </c>
      <c r="J1118" s="13">
        <f t="shared" si="244"/>
        <v>0</v>
      </c>
      <c r="K1118" s="138"/>
      <c r="L1118" s="8">
        <f t="shared" si="237"/>
        <v>1067685</v>
      </c>
      <c r="M1118" s="8">
        <v>1068666</v>
      </c>
      <c r="N1118" s="13">
        <f t="shared" si="247"/>
        <v>981</v>
      </c>
      <c r="O1118" s="136">
        <f t="shared" si="243"/>
        <v>-270721</v>
      </c>
      <c r="P1118" s="8">
        <f t="shared" si="239"/>
        <v>568291</v>
      </c>
      <c r="Q1118" s="8">
        <v>568787</v>
      </c>
      <c r="R1118" s="133">
        <f t="shared" si="251"/>
        <v>496</v>
      </c>
      <c r="S1118" s="8">
        <f t="shared" si="240"/>
        <v>40302</v>
      </c>
      <c r="T1118" s="8">
        <v>40359</v>
      </c>
      <c r="U1118" s="133">
        <f t="shared" si="242"/>
        <v>57</v>
      </c>
      <c r="V1118" s="8">
        <f t="shared" si="238"/>
        <v>533986</v>
      </c>
      <c r="W1118" s="8">
        <v>533986</v>
      </c>
      <c r="X1118" s="13">
        <f t="shared" si="248"/>
        <v>0</v>
      </c>
      <c r="Y1118" s="8">
        <f t="shared" si="234"/>
        <v>38790</v>
      </c>
      <c r="Z1118" s="8">
        <v>38805</v>
      </c>
      <c r="AA1118" s="13">
        <f t="shared" si="250"/>
        <v>15</v>
      </c>
      <c r="AB1118" s="8">
        <f t="shared" si="252"/>
        <v>252657</v>
      </c>
      <c r="AC1118" s="8">
        <v>252725</v>
      </c>
      <c r="AD1118" s="13">
        <f t="shared" si="253"/>
        <v>68</v>
      </c>
      <c r="AE1118" s="135"/>
      <c r="AF1118" s="135"/>
      <c r="AG1118" s="135"/>
      <c r="AH1118" s="136"/>
      <c r="AI1118" s="50">
        <f t="shared" si="246"/>
        <v>-270153</v>
      </c>
    </row>
    <row r="1119" spans="1:35">
      <c r="A1119" s="12">
        <v>45494</v>
      </c>
      <c r="B1119" s="8">
        <f t="shared" si="241"/>
        <v>2020651</v>
      </c>
      <c r="C1119" s="8">
        <v>2021276</v>
      </c>
      <c r="D1119" s="13">
        <f t="shared" si="245"/>
        <v>625</v>
      </c>
      <c r="E1119" s="77">
        <f>F1118</f>
        <v>273363</v>
      </c>
      <c r="F1119" s="69">
        <v>2841</v>
      </c>
      <c r="G1119" s="133">
        <f t="shared" si="233"/>
        <v>-269774</v>
      </c>
      <c r="H1119" s="8">
        <f t="shared" si="236"/>
        <v>356140</v>
      </c>
      <c r="I1119" s="8">
        <v>356140</v>
      </c>
      <c r="J1119" s="13">
        <f t="shared" si="244"/>
        <v>0</v>
      </c>
      <c r="K1119" s="138"/>
      <c r="L1119" s="8">
        <f t="shared" si="237"/>
        <v>1068666</v>
      </c>
      <c r="M1119" s="8">
        <v>1069619</v>
      </c>
      <c r="N1119" s="13">
        <f t="shared" si="247"/>
        <v>953</v>
      </c>
      <c r="O1119" s="136">
        <f t="shared" si="243"/>
        <v>-269681</v>
      </c>
      <c r="P1119" s="8">
        <f t="shared" si="239"/>
        <v>568787</v>
      </c>
      <c r="Q1119" s="8">
        <v>569315</v>
      </c>
      <c r="R1119" s="133">
        <f t="shared" si="251"/>
        <v>528</v>
      </c>
      <c r="S1119" s="8">
        <f t="shared" si="240"/>
        <v>40359</v>
      </c>
      <c r="T1119" s="8">
        <v>40445</v>
      </c>
      <c r="U1119" s="133">
        <f t="shared" si="242"/>
        <v>86</v>
      </c>
      <c r="V1119" s="8">
        <f t="shared" si="238"/>
        <v>533986</v>
      </c>
      <c r="W1119" s="8">
        <v>533986</v>
      </c>
      <c r="X1119" s="13">
        <f t="shared" si="248"/>
        <v>0</v>
      </c>
      <c r="Y1119" s="8">
        <f t="shared" si="234"/>
        <v>38805</v>
      </c>
      <c r="Z1119" s="8">
        <v>38823</v>
      </c>
      <c r="AA1119" s="13">
        <f t="shared" si="250"/>
        <v>18</v>
      </c>
      <c r="AB1119" s="8">
        <f t="shared" si="252"/>
        <v>252725</v>
      </c>
      <c r="AC1119" s="8">
        <v>252807</v>
      </c>
      <c r="AD1119" s="13">
        <f t="shared" si="253"/>
        <v>82</v>
      </c>
      <c r="AE1119" s="135"/>
      <c r="AF1119" s="135"/>
      <c r="AG1119" s="135"/>
      <c r="AH1119" s="136"/>
      <c r="AI1119" s="50">
        <f t="shared" si="246"/>
        <v>-269049</v>
      </c>
    </row>
    <row r="1120" spans="1:35">
      <c r="A1120" s="12">
        <v>45495</v>
      </c>
      <c r="B1120" s="8">
        <f t="shared" si="241"/>
        <v>2021276</v>
      </c>
      <c r="C1120" s="8">
        <v>2022026</v>
      </c>
      <c r="D1120" s="13">
        <f t="shared" si="245"/>
        <v>750</v>
      </c>
      <c r="E1120" s="77">
        <f t="shared" si="235"/>
        <v>2841</v>
      </c>
      <c r="F1120" s="69">
        <v>3589</v>
      </c>
      <c r="G1120" s="133">
        <f>F1120-E1120</f>
        <v>748</v>
      </c>
      <c r="H1120" s="8">
        <f t="shared" si="236"/>
        <v>356140</v>
      </c>
      <c r="I1120" s="8">
        <v>356140</v>
      </c>
      <c r="J1120" s="13">
        <f t="shared" si="244"/>
        <v>0</v>
      </c>
      <c r="K1120" s="138"/>
      <c r="L1120" s="8">
        <f t="shared" si="237"/>
        <v>1069619</v>
      </c>
      <c r="M1120" s="8">
        <v>1070709</v>
      </c>
      <c r="N1120" s="13">
        <f t="shared" si="247"/>
        <v>1090</v>
      </c>
      <c r="O1120" s="136">
        <f t="shared" si="243"/>
        <v>965</v>
      </c>
      <c r="P1120" s="8">
        <f t="shared" si="239"/>
        <v>569315</v>
      </c>
      <c r="Q1120" s="8">
        <v>569873</v>
      </c>
      <c r="R1120" s="133">
        <f t="shared" si="251"/>
        <v>558</v>
      </c>
      <c r="S1120" s="8">
        <f t="shared" si="240"/>
        <v>40445</v>
      </c>
      <c r="T1120" s="8">
        <v>40514</v>
      </c>
      <c r="U1120" s="133">
        <f t="shared" si="242"/>
        <v>69</v>
      </c>
      <c r="V1120" s="8">
        <f t="shared" si="238"/>
        <v>533986</v>
      </c>
      <c r="W1120" s="8">
        <v>533986</v>
      </c>
      <c r="X1120" s="13">
        <f t="shared" si="248"/>
        <v>0</v>
      </c>
      <c r="Y1120" s="8">
        <f t="shared" si="234"/>
        <v>38823</v>
      </c>
      <c r="Z1120" s="8">
        <v>38845</v>
      </c>
      <c r="AA1120" s="13">
        <f t="shared" si="250"/>
        <v>22</v>
      </c>
      <c r="AB1120" s="8">
        <f t="shared" si="252"/>
        <v>252807</v>
      </c>
      <c r="AC1120" s="8">
        <v>252901</v>
      </c>
      <c r="AD1120" s="13">
        <f t="shared" si="253"/>
        <v>94</v>
      </c>
      <c r="AE1120" s="135"/>
      <c r="AF1120" s="135"/>
      <c r="AG1120" s="135"/>
      <c r="AH1120" s="136"/>
      <c r="AI1120" s="50">
        <f t="shared" si="246"/>
        <v>1614</v>
      </c>
    </row>
    <row r="1121" spans="1:35">
      <c r="A1121" s="12">
        <v>45496</v>
      </c>
      <c r="B1121" s="8">
        <f t="shared" si="241"/>
        <v>2022026</v>
      </c>
      <c r="C1121" s="8">
        <v>2022796</v>
      </c>
      <c r="D1121" s="13">
        <f t="shared" si="245"/>
        <v>770</v>
      </c>
      <c r="E1121" s="77">
        <f t="shared" si="235"/>
        <v>3589</v>
      </c>
      <c r="F1121" s="69">
        <v>3730</v>
      </c>
      <c r="G1121" s="133">
        <f t="shared" ref="G1121:G1184" si="254">F1121-E1121</f>
        <v>141</v>
      </c>
      <c r="H1121" s="8">
        <f t="shared" si="236"/>
        <v>356140</v>
      </c>
      <c r="I1121" s="8">
        <v>356140</v>
      </c>
      <c r="J1121" s="13">
        <f t="shared" si="244"/>
        <v>0</v>
      </c>
      <c r="K1121" s="138"/>
      <c r="L1121" s="8">
        <f t="shared" si="237"/>
        <v>1070709</v>
      </c>
      <c r="M1121" s="8">
        <v>1071745</v>
      </c>
      <c r="N1121" s="13">
        <f t="shared" si="247"/>
        <v>1036</v>
      </c>
      <c r="O1121" s="136">
        <f t="shared" si="243"/>
        <v>345</v>
      </c>
      <c r="P1121" s="8">
        <f t="shared" si="239"/>
        <v>569873</v>
      </c>
      <c r="Q1121" s="8">
        <v>570439</v>
      </c>
      <c r="R1121" s="133">
        <f t="shared" si="251"/>
        <v>566</v>
      </c>
      <c r="S1121" s="8">
        <f t="shared" si="240"/>
        <v>40514</v>
      </c>
      <c r="T1121" s="8">
        <v>40591</v>
      </c>
      <c r="U1121" s="133">
        <f t="shared" si="242"/>
        <v>77</v>
      </c>
      <c r="V1121" s="8">
        <f t="shared" si="238"/>
        <v>533986</v>
      </c>
      <c r="W1121" s="8">
        <v>533986</v>
      </c>
      <c r="X1121" s="13">
        <f t="shared" si="248"/>
        <v>0</v>
      </c>
      <c r="Y1121" s="8">
        <f t="shared" si="234"/>
        <v>38845</v>
      </c>
      <c r="Z1121" s="8">
        <v>38865</v>
      </c>
      <c r="AA1121" s="13">
        <f>Z1121-Y1121</f>
        <v>20</v>
      </c>
      <c r="AB1121" s="8">
        <f t="shared" si="252"/>
        <v>252901</v>
      </c>
      <c r="AC1121" s="8">
        <v>252978</v>
      </c>
      <c r="AD1121" s="13">
        <f t="shared" si="253"/>
        <v>77</v>
      </c>
      <c r="AE1121" s="135"/>
      <c r="AF1121" s="135"/>
      <c r="AG1121" s="135"/>
      <c r="AH1121" s="136"/>
      <c r="AI1121" s="50">
        <f t="shared" si="246"/>
        <v>1008</v>
      </c>
    </row>
    <row r="1122" spans="1:35">
      <c r="A1122" s="12">
        <v>45497</v>
      </c>
      <c r="B1122" s="8">
        <f t="shared" si="241"/>
        <v>2022796</v>
      </c>
      <c r="C1122" s="8">
        <v>2023553</v>
      </c>
      <c r="D1122" s="13">
        <f t="shared" si="245"/>
        <v>757</v>
      </c>
      <c r="E1122" s="77">
        <f t="shared" si="235"/>
        <v>3730</v>
      </c>
      <c r="F1122" s="69">
        <v>3730</v>
      </c>
      <c r="G1122" s="133">
        <f t="shared" si="254"/>
        <v>0</v>
      </c>
      <c r="H1122" s="8">
        <f t="shared" si="236"/>
        <v>356140</v>
      </c>
      <c r="I1122" s="8">
        <v>356140</v>
      </c>
      <c r="J1122" s="13">
        <f t="shared" si="244"/>
        <v>0</v>
      </c>
      <c r="K1122" s="138"/>
      <c r="L1122" s="8">
        <f t="shared" si="237"/>
        <v>1071745</v>
      </c>
      <c r="M1122" s="8">
        <v>1072849</v>
      </c>
      <c r="N1122" s="13">
        <f t="shared" si="247"/>
        <v>1104</v>
      </c>
      <c r="O1122" s="136">
        <f t="shared" si="243"/>
        <v>210</v>
      </c>
      <c r="P1122" s="8">
        <f t="shared" si="239"/>
        <v>570439</v>
      </c>
      <c r="Q1122" s="8">
        <v>571000</v>
      </c>
      <c r="R1122" s="133">
        <f t="shared" si="251"/>
        <v>561</v>
      </c>
      <c r="S1122" s="8">
        <f t="shared" si="240"/>
        <v>40591</v>
      </c>
      <c r="T1122" s="8">
        <v>40664</v>
      </c>
      <c r="U1122" s="133">
        <f t="shared" si="242"/>
        <v>73</v>
      </c>
      <c r="V1122" s="8">
        <f t="shared" si="238"/>
        <v>533986</v>
      </c>
      <c r="W1122" s="8">
        <v>533986</v>
      </c>
      <c r="X1122" s="13">
        <f t="shared" si="248"/>
        <v>0</v>
      </c>
      <c r="Y1122" s="8">
        <v>38865</v>
      </c>
      <c r="Z1122" s="8">
        <v>38885</v>
      </c>
      <c r="AA1122" s="13">
        <f t="shared" si="250"/>
        <v>20</v>
      </c>
      <c r="AB1122" s="8">
        <f t="shared" si="252"/>
        <v>252978</v>
      </c>
      <c r="AC1122" s="8">
        <v>253065</v>
      </c>
      <c r="AD1122" s="13">
        <f t="shared" si="253"/>
        <v>87</v>
      </c>
      <c r="AE1122" s="135"/>
      <c r="AF1122" s="135"/>
      <c r="AG1122" s="135"/>
      <c r="AH1122" s="136"/>
      <c r="AI1122" s="50">
        <f t="shared" si="246"/>
        <v>864</v>
      </c>
    </row>
    <row r="1123" spans="1:35">
      <c r="A1123" s="12">
        <v>45498</v>
      </c>
      <c r="B1123" s="8">
        <f t="shared" si="241"/>
        <v>2023553</v>
      </c>
      <c r="C1123" s="8">
        <v>2024326</v>
      </c>
      <c r="D1123" s="13">
        <f t="shared" si="245"/>
        <v>773</v>
      </c>
      <c r="E1123" s="77">
        <f t="shared" si="235"/>
        <v>3730</v>
      </c>
      <c r="F1123" s="69">
        <v>4090</v>
      </c>
      <c r="G1123" s="133">
        <f t="shared" si="254"/>
        <v>360</v>
      </c>
      <c r="H1123" s="8">
        <f t="shared" si="236"/>
        <v>356140</v>
      </c>
      <c r="I1123" s="8">
        <v>356316</v>
      </c>
      <c r="J1123" s="13">
        <f t="shared" si="244"/>
        <v>176</v>
      </c>
      <c r="K1123" s="138"/>
      <c r="L1123" s="8">
        <f t="shared" si="237"/>
        <v>1072849</v>
      </c>
      <c r="M1123" s="8">
        <v>1073266</v>
      </c>
      <c r="N1123" s="13">
        <f t="shared" si="247"/>
        <v>417</v>
      </c>
      <c r="O1123" s="136">
        <f t="shared" si="243"/>
        <v>1102</v>
      </c>
      <c r="P1123" s="8">
        <f t="shared" si="239"/>
        <v>571000</v>
      </c>
      <c r="Q1123" s="8">
        <v>571204</v>
      </c>
      <c r="R1123" s="133">
        <f t="shared" si="251"/>
        <v>204</v>
      </c>
      <c r="S1123" s="8">
        <f t="shared" si="240"/>
        <v>40664</v>
      </c>
      <c r="T1123" s="8">
        <v>40759</v>
      </c>
      <c r="U1123" s="133">
        <f t="shared" si="242"/>
        <v>95</v>
      </c>
      <c r="V1123" s="8">
        <f t="shared" si="238"/>
        <v>533986</v>
      </c>
      <c r="W1123" s="8">
        <v>533986</v>
      </c>
      <c r="X1123" s="13">
        <f t="shared" si="248"/>
        <v>0</v>
      </c>
      <c r="Y1123" s="8">
        <f t="shared" si="234"/>
        <v>38885</v>
      </c>
      <c r="Z1123" s="8">
        <v>38900</v>
      </c>
      <c r="AA1123" s="13">
        <f t="shared" si="250"/>
        <v>15</v>
      </c>
      <c r="AB1123" s="8">
        <f t="shared" si="252"/>
        <v>253065</v>
      </c>
      <c r="AC1123" s="8">
        <v>253157</v>
      </c>
      <c r="AD1123" s="13">
        <f t="shared" si="253"/>
        <v>92</v>
      </c>
      <c r="AE1123" s="135"/>
      <c r="AF1123" s="135"/>
      <c r="AG1123" s="135"/>
      <c r="AH1123" s="136"/>
      <c r="AI1123" s="50">
        <f t="shared" si="246"/>
        <v>1416</v>
      </c>
    </row>
    <row r="1124" spans="1:35">
      <c r="A1124" s="12">
        <v>45499</v>
      </c>
      <c r="B1124" s="8">
        <f t="shared" si="241"/>
        <v>2024326</v>
      </c>
      <c r="C1124" s="8">
        <v>2025093</v>
      </c>
      <c r="D1124" s="13">
        <f t="shared" si="245"/>
        <v>767</v>
      </c>
      <c r="E1124" s="77">
        <f>F1123</f>
        <v>4090</v>
      </c>
      <c r="F1124" s="69">
        <v>4626</v>
      </c>
      <c r="G1124" s="133">
        <f t="shared" si="254"/>
        <v>536</v>
      </c>
      <c r="H1124" s="8">
        <f t="shared" si="236"/>
        <v>356316</v>
      </c>
      <c r="I1124" s="8">
        <v>356537</v>
      </c>
      <c r="J1124" s="13">
        <f t="shared" si="244"/>
        <v>221</v>
      </c>
      <c r="K1124" s="138"/>
      <c r="L1124" s="8">
        <f t="shared" si="237"/>
        <v>1073266</v>
      </c>
      <c r="M1124" s="8">
        <v>1074226</v>
      </c>
      <c r="N1124" s="13">
        <f t="shared" si="247"/>
        <v>960</v>
      </c>
      <c r="O1124" s="136">
        <f t="shared" si="243"/>
        <v>973</v>
      </c>
      <c r="P1124" s="8">
        <f t="shared" si="239"/>
        <v>571204</v>
      </c>
      <c r="Q1124" s="8">
        <v>571800</v>
      </c>
      <c r="R1124" s="133">
        <f t="shared" si="251"/>
        <v>596</v>
      </c>
      <c r="S1124" s="8">
        <f t="shared" si="240"/>
        <v>40759</v>
      </c>
      <c r="T1124" s="8">
        <v>40797</v>
      </c>
      <c r="U1124" s="133">
        <f t="shared" si="242"/>
        <v>38</v>
      </c>
      <c r="V1124" s="8">
        <f t="shared" si="238"/>
        <v>533986</v>
      </c>
      <c r="W1124" s="8">
        <v>533986</v>
      </c>
      <c r="X1124" s="13">
        <f t="shared" si="248"/>
        <v>0</v>
      </c>
      <c r="Y1124" s="8">
        <f t="shared" si="234"/>
        <v>38900</v>
      </c>
      <c r="Z1124" s="8">
        <v>38917</v>
      </c>
      <c r="AA1124" s="13">
        <f t="shared" si="250"/>
        <v>17</v>
      </c>
      <c r="AB1124" s="8">
        <f t="shared" si="252"/>
        <v>253157</v>
      </c>
      <c r="AC1124" s="8">
        <v>253240</v>
      </c>
      <c r="AD1124" s="13">
        <f t="shared" si="253"/>
        <v>83</v>
      </c>
      <c r="AE1124" s="135"/>
      <c r="AF1124" s="135"/>
      <c r="AG1124" s="135"/>
      <c r="AH1124" s="136"/>
      <c r="AI1124" s="50">
        <f t="shared" si="246"/>
        <v>1624</v>
      </c>
    </row>
    <row r="1125" spans="1:35">
      <c r="A1125" s="12">
        <v>45500</v>
      </c>
      <c r="B1125" s="8">
        <f t="shared" si="241"/>
        <v>2025093</v>
      </c>
      <c r="C1125" s="8">
        <v>2025916</v>
      </c>
      <c r="D1125" s="13">
        <f t="shared" si="245"/>
        <v>823</v>
      </c>
      <c r="E1125" s="77">
        <f t="shared" si="235"/>
        <v>4626</v>
      </c>
      <c r="F1125" s="69">
        <v>5376</v>
      </c>
      <c r="G1125" s="133">
        <f t="shared" si="254"/>
        <v>750</v>
      </c>
      <c r="H1125" s="8">
        <f t="shared" si="236"/>
        <v>356537</v>
      </c>
      <c r="I1125" s="8">
        <v>356537</v>
      </c>
      <c r="J1125" s="13">
        <f t="shared" si="244"/>
        <v>0</v>
      </c>
      <c r="K1125" s="138"/>
      <c r="L1125" s="8">
        <f t="shared" si="237"/>
        <v>1074226</v>
      </c>
      <c r="M1125" s="8">
        <v>1075364</v>
      </c>
      <c r="N1125" s="13">
        <f t="shared" si="247"/>
        <v>1138</v>
      </c>
      <c r="O1125" s="136">
        <f t="shared" si="243"/>
        <v>1119</v>
      </c>
      <c r="P1125" s="8">
        <f t="shared" si="239"/>
        <v>571800</v>
      </c>
      <c r="Q1125" s="8">
        <v>572296</v>
      </c>
      <c r="R1125" s="133">
        <f t="shared" si="251"/>
        <v>496</v>
      </c>
      <c r="S1125" s="8">
        <f t="shared" si="240"/>
        <v>40797</v>
      </c>
      <c r="T1125" s="8">
        <v>40866</v>
      </c>
      <c r="U1125" s="133">
        <f t="shared" si="242"/>
        <v>69</v>
      </c>
      <c r="V1125" s="8">
        <f t="shared" si="238"/>
        <v>533986</v>
      </c>
      <c r="W1125" s="8">
        <v>533986</v>
      </c>
      <c r="X1125" s="13">
        <f t="shared" si="248"/>
        <v>0</v>
      </c>
      <c r="Y1125" s="8">
        <f t="shared" si="234"/>
        <v>38917</v>
      </c>
      <c r="Z1125" s="8">
        <v>38932</v>
      </c>
      <c r="AA1125" s="13">
        <f t="shared" si="250"/>
        <v>15</v>
      </c>
      <c r="AB1125" s="8">
        <f t="shared" si="252"/>
        <v>253240</v>
      </c>
      <c r="AC1125" s="8">
        <v>253351</v>
      </c>
      <c r="AD1125" s="13">
        <f t="shared" si="253"/>
        <v>111</v>
      </c>
      <c r="AE1125" s="135"/>
      <c r="AF1125" s="135"/>
      <c r="AG1125" s="135"/>
      <c r="AH1125" s="136"/>
      <c r="AI1125" s="50">
        <f t="shared" si="246"/>
        <v>1699</v>
      </c>
    </row>
    <row r="1126" spans="1:35">
      <c r="A1126" s="12">
        <v>45501</v>
      </c>
      <c r="B1126" s="8">
        <f t="shared" si="241"/>
        <v>2025916</v>
      </c>
      <c r="C1126" s="8">
        <v>2026504</v>
      </c>
      <c r="D1126" s="13">
        <f t="shared" si="245"/>
        <v>588</v>
      </c>
      <c r="E1126" s="77">
        <f t="shared" si="235"/>
        <v>5376</v>
      </c>
      <c r="F1126" s="69">
        <v>5964</v>
      </c>
      <c r="G1126" s="133">
        <f t="shared" si="254"/>
        <v>588</v>
      </c>
      <c r="H1126" s="8">
        <f t="shared" si="236"/>
        <v>356537</v>
      </c>
      <c r="I1126" s="8">
        <v>356537</v>
      </c>
      <c r="J1126" s="13">
        <f t="shared" si="244"/>
        <v>0</v>
      </c>
      <c r="K1126" s="138"/>
      <c r="L1126" s="8">
        <f t="shared" si="237"/>
        <v>1075364</v>
      </c>
      <c r="M1126" s="8">
        <v>1076344</v>
      </c>
      <c r="N1126" s="13">
        <f t="shared" si="247"/>
        <v>980</v>
      </c>
      <c r="O1126" s="136">
        <f t="shared" si="243"/>
        <v>724</v>
      </c>
      <c r="P1126" s="8">
        <f t="shared" si="239"/>
        <v>572296</v>
      </c>
      <c r="Q1126" s="8">
        <v>572801</v>
      </c>
      <c r="R1126" s="133">
        <f t="shared" si="251"/>
        <v>505</v>
      </c>
      <c r="S1126" s="8">
        <f t="shared" si="240"/>
        <v>40866</v>
      </c>
      <c r="T1126" s="8">
        <v>40899</v>
      </c>
      <c r="U1126" s="133">
        <f t="shared" si="242"/>
        <v>33</v>
      </c>
      <c r="V1126" s="8">
        <f t="shared" si="238"/>
        <v>533986</v>
      </c>
      <c r="W1126" s="8">
        <v>533986</v>
      </c>
      <c r="X1126" s="13">
        <f t="shared" si="248"/>
        <v>0</v>
      </c>
      <c r="Y1126" s="8">
        <f t="shared" si="234"/>
        <v>38932</v>
      </c>
      <c r="Z1126" s="8">
        <v>38943</v>
      </c>
      <c r="AA1126" s="13">
        <f t="shared" si="250"/>
        <v>11</v>
      </c>
      <c r="AB1126" s="8">
        <f t="shared" si="252"/>
        <v>253351</v>
      </c>
      <c r="AC1126" s="8">
        <v>253437</v>
      </c>
      <c r="AD1126" s="13">
        <f t="shared" si="253"/>
        <v>86</v>
      </c>
      <c r="AE1126" s="135"/>
      <c r="AF1126" s="135"/>
      <c r="AG1126" s="135"/>
      <c r="AH1126" s="136"/>
      <c r="AI1126" s="50">
        <f t="shared" si="246"/>
        <v>1273</v>
      </c>
    </row>
    <row r="1127" spans="1:35">
      <c r="A1127" s="12">
        <v>45502</v>
      </c>
      <c r="B1127" s="8">
        <f t="shared" si="241"/>
        <v>2026504</v>
      </c>
      <c r="C1127" s="8">
        <v>2027064</v>
      </c>
      <c r="D1127" s="13">
        <f t="shared" si="245"/>
        <v>560</v>
      </c>
      <c r="E1127" s="77">
        <f t="shared" si="235"/>
        <v>5964</v>
      </c>
      <c r="F1127" s="69">
        <v>6733</v>
      </c>
      <c r="G1127" s="133">
        <f t="shared" si="254"/>
        <v>769</v>
      </c>
      <c r="H1127" s="8">
        <f t="shared" si="236"/>
        <v>356537</v>
      </c>
      <c r="I1127" s="8">
        <v>356537</v>
      </c>
      <c r="J1127" s="13">
        <f t="shared" si="244"/>
        <v>0</v>
      </c>
      <c r="K1127" s="138"/>
      <c r="L1127" s="8">
        <f t="shared" si="237"/>
        <v>1076344</v>
      </c>
      <c r="M1127" s="8">
        <v>1077485</v>
      </c>
      <c r="N1127" s="13">
        <f t="shared" si="247"/>
        <v>1141</v>
      </c>
      <c r="O1127" s="136">
        <f t="shared" si="243"/>
        <v>757</v>
      </c>
      <c r="P1127" s="8">
        <f t="shared" si="239"/>
        <v>572801</v>
      </c>
      <c r="Q1127" s="8">
        <v>571889</v>
      </c>
      <c r="R1127" s="133">
        <v>600</v>
      </c>
      <c r="S1127" s="8">
        <f t="shared" si="240"/>
        <v>40899</v>
      </c>
      <c r="T1127" s="8">
        <v>40952</v>
      </c>
      <c r="U1127" s="133">
        <f t="shared" si="242"/>
        <v>53</v>
      </c>
      <c r="V1127" s="8">
        <f t="shared" si="238"/>
        <v>533986</v>
      </c>
      <c r="W1127" s="8">
        <v>533986</v>
      </c>
      <c r="X1127" s="13">
        <f t="shared" si="248"/>
        <v>0</v>
      </c>
      <c r="Y1127" s="8">
        <f t="shared" si="234"/>
        <v>38943</v>
      </c>
      <c r="Z1127" s="8">
        <v>38958</v>
      </c>
      <c r="AA1127" s="13">
        <f t="shared" si="250"/>
        <v>15</v>
      </c>
      <c r="AB1127" s="8">
        <f t="shared" si="252"/>
        <v>253437</v>
      </c>
      <c r="AC1127" s="8">
        <v>253518</v>
      </c>
      <c r="AD1127" s="13">
        <f t="shared" si="253"/>
        <v>81</v>
      </c>
      <c r="AE1127" s="135"/>
      <c r="AF1127" s="135"/>
      <c r="AG1127" s="135"/>
      <c r="AH1127" s="136"/>
      <c r="AI1127" s="50">
        <f t="shared" si="246"/>
        <v>1425</v>
      </c>
    </row>
    <row r="1128" spans="1:35">
      <c r="A1128" s="12">
        <v>45503</v>
      </c>
      <c r="B1128" s="8">
        <f t="shared" si="241"/>
        <v>2027064</v>
      </c>
      <c r="C1128" s="8">
        <v>2027656</v>
      </c>
      <c r="D1128" s="13">
        <f t="shared" si="245"/>
        <v>592</v>
      </c>
      <c r="E1128" s="77">
        <f>F1127</f>
        <v>6733</v>
      </c>
      <c r="F1128" s="69">
        <v>7466</v>
      </c>
      <c r="G1128" s="133">
        <f t="shared" si="254"/>
        <v>733</v>
      </c>
      <c r="H1128" s="8">
        <f t="shared" si="236"/>
        <v>356537</v>
      </c>
      <c r="I1128" s="8">
        <v>356537</v>
      </c>
      <c r="J1128" s="13">
        <f t="shared" si="244"/>
        <v>0</v>
      </c>
      <c r="K1128" s="138"/>
      <c r="L1128" s="8">
        <f t="shared" si="237"/>
        <v>1077485</v>
      </c>
      <c r="M1128" s="8">
        <v>1078576</v>
      </c>
      <c r="N1128" s="13">
        <f t="shared" si="247"/>
        <v>1091</v>
      </c>
      <c r="O1128" s="136">
        <f t="shared" si="243"/>
        <v>809</v>
      </c>
      <c r="P1128" s="8">
        <f t="shared" si="239"/>
        <v>571889</v>
      </c>
      <c r="Q1128" s="8">
        <v>572427</v>
      </c>
      <c r="R1128" s="133">
        <f t="shared" si="251"/>
        <v>538</v>
      </c>
      <c r="S1128" s="8">
        <f t="shared" si="240"/>
        <v>40952</v>
      </c>
      <c r="T1128" s="8">
        <v>41012</v>
      </c>
      <c r="U1128" s="133">
        <f t="shared" si="242"/>
        <v>60</v>
      </c>
      <c r="V1128" s="8">
        <f t="shared" si="238"/>
        <v>533986</v>
      </c>
      <c r="W1128" s="8">
        <v>533986</v>
      </c>
      <c r="X1128" s="13">
        <f t="shared" si="248"/>
        <v>0</v>
      </c>
      <c r="Y1128" s="8">
        <f>Z1127</f>
        <v>38958</v>
      </c>
      <c r="Z1128" s="8">
        <v>38973</v>
      </c>
      <c r="AA1128" s="13">
        <f t="shared" si="250"/>
        <v>15</v>
      </c>
      <c r="AB1128" s="8">
        <f t="shared" si="252"/>
        <v>253518</v>
      </c>
      <c r="AC1128" s="8">
        <v>253600</v>
      </c>
      <c r="AD1128" s="13">
        <f t="shared" si="253"/>
        <v>82</v>
      </c>
      <c r="AE1128" s="135"/>
      <c r="AF1128" s="135"/>
      <c r="AG1128" s="135"/>
      <c r="AH1128" s="136"/>
      <c r="AI1128" s="50">
        <f t="shared" si="246"/>
        <v>1422</v>
      </c>
    </row>
    <row r="1129" spans="1:35">
      <c r="A1129" s="12">
        <v>45504</v>
      </c>
      <c r="B1129" s="8">
        <f t="shared" si="241"/>
        <v>2027656</v>
      </c>
      <c r="C1129" s="8">
        <v>2028194</v>
      </c>
      <c r="D1129" s="13">
        <f t="shared" si="245"/>
        <v>538</v>
      </c>
      <c r="E1129" s="77">
        <f>F1128</f>
        <v>7466</v>
      </c>
      <c r="F1129" s="69">
        <v>7738</v>
      </c>
      <c r="G1129" s="133">
        <f t="shared" si="254"/>
        <v>272</v>
      </c>
      <c r="H1129" s="8">
        <f t="shared" si="236"/>
        <v>356537</v>
      </c>
      <c r="I1129" s="8">
        <v>356537</v>
      </c>
      <c r="J1129" s="13">
        <f t="shared" si="244"/>
        <v>0</v>
      </c>
      <c r="K1129" s="138"/>
      <c r="L1129" s="8">
        <f t="shared" si="237"/>
        <v>1078576</v>
      </c>
      <c r="M1129" s="8">
        <v>1079575</v>
      </c>
      <c r="N1129" s="13">
        <f t="shared" si="247"/>
        <v>999</v>
      </c>
      <c r="O1129" s="136">
        <f t="shared" si="243"/>
        <v>508</v>
      </c>
      <c r="P1129" s="8">
        <f t="shared" si="239"/>
        <v>572427</v>
      </c>
      <c r="Q1129" s="8">
        <v>572732</v>
      </c>
      <c r="R1129" s="133">
        <f t="shared" si="251"/>
        <v>305</v>
      </c>
      <c r="S1129" s="8">
        <f t="shared" si="240"/>
        <v>41012</v>
      </c>
      <c r="T1129" s="8">
        <v>41077</v>
      </c>
      <c r="U1129" s="133">
        <f t="shared" si="242"/>
        <v>65</v>
      </c>
      <c r="V1129" s="8">
        <f t="shared" si="238"/>
        <v>533986</v>
      </c>
      <c r="W1129" s="8">
        <v>533986</v>
      </c>
      <c r="X1129" s="13">
        <f t="shared" si="248"/>
        <v>0</v>
      </c>
      <c r="Y1129" s="8">
        <f t="shared" si="234"/>
        <v>38973</v>
      </c>
      <c r="Z1129" s="8">
        <v>38988</v>
      </c>
      <c r="AA1129" s="13">
        <f t="shared" si="250"/>
        <v>15</v>
      </c>
      <c r="AB1129" s="8">
        <f t="shared" si="252"/>
        <v>253600</v>
      </c>
      <c r="AC1129" s="8">
        <v>253668</v>
      </c>
      <c r="AD1129" s="13">
        <f t="shared" si="253"/>
        <v>68</v>
      </c>
      <c r="AE1129" s="135"/>
      <c r="AF1129" s="135"/>
      <c r="AG1129" s="135"/>
      <c r="AH1129" s="136"/>
      <c r="AI1129" s="50">
        <f t="shared" si="246"/>
        <v>893</v>
      </c>
    </row>
    <row r="1130" spans="1:35">
      <c r="A1130" s="12">
        <v>45505</v>
      </c>
      <c r="B1130" s="8">
        <f t="shared" si="241"/>
        <v>2028194</v>
      </c>
      <c r="C1130" s="8">
        <v>2028709</v>
      </c>
      <c r="D1130" s="13">
        <f t="shared" si="245"/>
        <v>515</v>
      </c>
      <c r="E1130" s="77">
        <f t="shared" si="235"/>
        <v>7738</v>
      </c>
      <c r="F1130" s="69">
        <v>8463</v>
      </c>
      <c r="G1130" s="133">
        <f t="shared" si="254"/>
        <v>725</v>
      </c>
      <c r="H1130" s="8">
        <f t="shared" si="236"/>
        <v>356537</v>
      </c>
      <c r="I1130" s="8">
        <v>356537</v>
      </c>
      <c r="J1130" s="13">
        <f t="shared" si="244"/>
        <v>0</v>
      </c>
      <c r="K1130" s="138"/>
      <c r="L1130" s="8">
        <f t="shared" si="237"/>
        <v>1079575</v>
      </c>
      <c r="M1130" s="8">
        <v>1080756</v>
      </c>
      <c r="N1130" s="13">
        <f t="shared" si="247"/>
        <v>1181</v>
      </c>
      <c r="O1130" s="136">
        <f t="shared" si="243"/>
        <v>846</v>
      </c>
      <c r="P1130" s="8">
        <f t="shared" si="239"/>
        <v>572732</v>
      </c>
      <c r="Q1130" s="8">
        <v>573143</v>
      </c>
      <c r="R1130" s="133">
        <f t="shared" si="251"/>
        <v>411</v>
      </c>
      <c r="S1130" s="8">
        <f t="shared" si="240"/>
        <v>41077</v>
      </c>
      <c r="T1130" s="8">
        <v>41144</v>
      </c>
      <c r="U1130" s="133">
        <f t="shared" si="242"/>
        <v>67</v>
      </c>
      <c r="V1130" s="8">
        <f t="shared" si="238"/>
        <v>533986</v>
      </c>
      <c r="W1130" s="8">
        <v>533986</v>
      </c>
      <c r="X1130" s="13">
        <f t="shared" si="248"/>
        <v>0</v>
      </c>
      <c r="Y1130" s="8">
        <f t="shared" ref="Y1130:Y1193" si="255">Z1129</f>
        <v>38988</v>
      </c>
      <c r="Z1130" s="8">
        <v>39006</v>
      </c>
      <c r="AA1130" s="13">
        <f t="shared" si="250"/>
        <v>18</v>
      </c>
      <c r="AB1130" s="8">
        <f t="shared" si="252"/>
        <v>253668</v>
      </c>
      <c r="AC1130" s="8">
        <v>253752</v>
      </c>
      <c r="AD1130" s="13">
        <f t="shared" si="253"/>
        <v>84</v>
      </c>
      <c r="AE1130" s="135"/>
      <c r="AF1130" s="135"/>
      <c r="AG1130" s="135"/>
      <c r="AH1130" s="136"/>
      <c r="AI1130" s="50">
        <f t="shared" si="246"/>
        <v>1342</v>
      </c>
    </row>
    <row r="1131" spans="1:35">
      <c r="A1131" s="12">
        <v>45506</v>
      </c>
      <c r="B1131" s="8">
        <f t="shared" si="241"/>
        <v>2028709</v>
      </c>
      <c r="C1131" s="8">
        <v>2029164</v>
      </c>
      <c r="D1131" s="13">
        <f t="shared" si="245"/>
        <v>455</v>
      </c>
      <c r="E1131" s="77">
        <f t="shared" si="235"/>
        <v>8463</v>
      </c>
      <c r="F1131" s="69">
        <v>9145</v>
      </c>
      <c r="G1131" s="133">
        <f t="shared" si="254"/>
        <v>682</v>
      </c>
      <c r="H1131" s="8">
        <f t="shared" si="236"/>
        <v>356537</v>
      </c>
      <c r="I1131" s="8">
        <v>356537</v>
      </c>
      <c r="J1131" s="13">
        <f t="shared" si="244"/>
        <v>0</v>
      </c>
      <c r="K1131" s="138"/>
      <c r="L1131" s="8">
        <f t="shared" si="237"/>
        <v>1080756</v>
      </c>
      <c r="M1131" s="8">
        <v>1081054</v>
      </c>
      <c r="N1131" s="13">
        <f t="shared" si="247"/>
        <v>298</v>
      </c>
      <c r="O1131" s="136">
        <f t="shared" si="243"/>
        <v>643</v>
      </c>
      <c r="P1131" s="8">
        <f t="shared" si="239"/>
        <v>573143</v>
      </c>
      <c r="Q1131" s="8">
        <v>573641</v>
      </c>
      <c r="R1131" s="133">
        <f>Q1131-P1131</f>
        <v>498</v>
      </c>
      <c r="S1131" s="8">
        <f t="shared" si="240"/>
        <v>41144</v>
      </c>
      <c r="T1131" s="8">
        <v>41224</v>
      </c>
      <c r="U1131" s="133">
        <f t="shared" si="242"/>
        <v>80</v>
      </c>
      <c r="V1131" s="8">
        <f t="shared" si="238"/>
        <v>533986</v>
      </c>
      <c r="W1131" s="8">
        <v>533986</v>
      </c>
      <c r="X1131" s="13">
        <f t="shared" si="248"/>
        <v>0</v>
      </c>
      <c r="Y1131" s="8">
        <f t="shared" si="255"/>
        <v>39006</v>
      </c>
      <c r="Z1131" s="8">
        <v>39023</v>
      </c>
      <c r="AA1131" s="13">
        <f t="shared" si="250"/>
        <v>17</v>
      </c>
      <c r="AB1131" s="8">
        <f t="shared" si="252"/>
        <v>253752</v>
      </c>
      <c r="AC1131" s="8">
        <v>253836</v>
      </c>
      <c r="AD1131" s="13">
        <f t="shared" si="253"/>
        <v>84</v>
      </c>
      <c r="AE1131" s="135"/>
      <c r="AF1131" s="135"/>
      <c r="AG1131" s="135"/>
      <c r="AH1131" s="136"/>
      <c r="AI1131" s="50">
        <f t="shared" si="246"/>
        <v>1238</v>
      </c>
    </row>
    <row r="1132" spans="1:35">
      <c r="A1132" s="12">
        <v>45507</v>
      </c>
      <c r="B1132" s="8">
        <f t="shared" si="241"/>
        <v>2029164</v>
      </c>
      <c r="C1132" s="8">
        <v>2029821</v>
      </c>
      <c r="D1132" s="13">
        <f t="shared" si="245"/>
        <v>657</v>
      </c>
      <c r="E1132" s="77">
        <f t="shared" ref="E1132:E1195" si="256">F1131</f>
        <v>9145</v>
      </c>
      <c r="F1132" s="69">
        <v>9641</v>
      </c>
      <c r="G1132" s="133">
        <f t="shared" si="254"/>
        <v>496</v>
      </c>
      <c r="H1132" s="8">
        <f t="shared" si="236"/>
        <v>356537</v>
      </c>
      <c r="I1132" s="8">
        <v>356537</v>
      </c>
      <c r="J1132" s="13">
        <f t="shared" si="244"/>
        <v>0</v>
      </c>
      <c r="K1132" s="138"/>
      <c r="L1132" s="8">
        <f t="shared" si="237"/>
        <v>1081054</v>
      </c>
      <c r="M1132" s="8">
        <v>1082709</v>
      </c>
      <c r="N1132" s="13">
        <f t="shared" si="247"/>
        <v>1655</v>
      </c>
      <c r="O1132" s="136">
        <f t="shared" si="243"/>
        <v>985</v>
      </c>
      <c r="P1132" s="8">
        <f t="shared" si="239"/>
        <v>573641</v>
      </c>
      <c r="Q1132" s="8">
        <v>573815</v>
      </c>
      <c r="R1132" s="133">
        <f t="shared" si="251"/>
        <v>174</v>
      </c>
      <c r="S1132" s="8">
        <f t="shared" si="240"/>
        <v>41224</v>
      </c>
      <c r="T1132" s="8">
        <v>41300</v>
      </c>
      <c r="U1132" s="133">
        <f t="shared" si="242"/>
        <v>76</v>
      </c>
      <c r="V1132" s="8">
        <f t="shared" si="238"/>
        <v>533986</v>
      </c>
      <c r="W1132" s="8">
        <v>533986</v>
      </c>
      <c r="X1132" s="13">
        <f t="shared" si="248"/>
        <v>0</v>
      </c>
      <c r="Y1132" s="8">
        <f t="shared" si="255"/>
        <v>39023</v>
      </c>
      <c r="Z1132" s="8">
        <v>39038</v>
      </c>
      <c r="AA1132" s="13">
        <f t="shared" si="250"/>
        <v>15</v>
      </c>
      <c r="AB1132" s="8">
        <f t="shared" si="252"/>
        <v>253836</v>
      </c>
      <c r="AC1132" s="8">
        <v>253918</v>
      </c>
      <c r="AD1132" s="13">
        <f t="shared" si="253"/>
        <v>82</v>
      </c>
      <c r="AE1132" s="135"/>
      <c r="AF1132" s="135"/>
      <c r="AG1132" s="135"/>
      <c r="AH1132" s="136"/>
      <c r="AI1132" s="50">
        <f t="shared" si="246"/>
        <v>1250</v>
      </c>
    </row>
    <row r="1133" spans="1:35">
      <c r="A1133" s="12">
        <v>45508</v>
      </c>
      <c r="B1133" s="8">
        <f t="shared" si="241"/>
        <v>2029821</v>
      </c>
      <c r="C1133" s="8">
        <v>2030556</v>
      </c>
      <c r="D1133" s="13">
        <f t="shared" si="245"/>
        <v>735</v>
      </c>
      <c r="E1133" s="77">
        <f t="shared" si="256"/>
        <v>9641</v>
      </c>
      <c r="F1133" s="69">
        <v>10341</v>
      </c>
      <c r="G1133" s="133">
        <f t="shared" si="254"/>
        <v>700</v>
      </c>
      <c r="H1133" s="8">
        <f t="shared" si="236"/>
        <v>356537</v>
      </c>
      <c r="I1133" s="8">
        <v>357156</v>
      </c>
      <c r="J1133" s="13">
        <f t="shared" si="244"/>
        <v>619</v>
      </c>
      <c r="K1133" s="138"/>
      <c r="L1133" s="8">
        <f t="shared" si="237"/>
        <v>1082709</v>
      </c>
      <c r="M1133" s="8">
        <v>1083693</v>
      </c>
      <c r="N1133" s="13">
        <f t="shared" si="247"/>
        <v>984</v>
      </c>
      <c r="O1133" s="136">
        <f t="shared" si="243"/>
        <v>1973</v>
      </c>
      <c r="P1133" s="8">
        <f t="shared" si="239"/>
        <v>573815</v>
      </c>
      <c r="Q1133" s="8">
        <v>573912</v>
      </c>
      <c r="R1133" s="133">
        <f t="shared" si="251"/>
        <v>97</v>
      </c>
      <c r="S1133" s="8">
        <f t="shared" si="240"/>
        <v>41300</v>
      </c>
      <c r="T1133" s="8">
        <v>41359</v>
      </c>
      <c r="U1133" s="133">
        <f t="shared" si="242"/>
        <v>59</v>
      </c>
      <c r="V1133" s="8">
        <f t="shared" si="238"/>
        <v>533986</v>
      </c>
      <c r="W1133" s="8">
        <v>533986</v>
      </c>
      <c r="X1133" s="13">
        <f t="shared" si="248"/>
        <v>0</v>
      </c>
      <c r="Y1133" s="8">
        <f t="shared" si="255"/>
        <v>39038</v>
      </c>
      <c r="Z1133" s="8">
        <v>39078</v>
      </c>
      <c r="AA1133" s="13">
        <f t="shared" si="250"/>
        <v>40</v>
      </c>
      <c r="AB1133" s="8">
        <f t="shared" si="252"/>
        <v>253918</v>
      </c>
      <c r="AC1133" s="8">
        <v>253993</v>
      </c>
      <c r="AD1133" s="13">
        <f t="shared" si="253"/>
        <v>75</v>
      </c>
      <c r="AE1133" s="135"/>
      <c r="AF1133" s="135"/>
      <c r="AG1133" s="135"/>
      <c r="AH1133" s="136"/>
      <c r="AI1133" s="50">
        <f t="shared" si="246"/>
        <v>2169</v>
      </c>
    </row>
    <row r="1134" spans="1:35">
      <c r="A1134" s="12">
        <v>45509</v>
      </c>
      <c r="B1134" s="8">
        <f t="shared" si="241"/>
        <v>2030556</v>
      </c>
      <c r="C1134" s="8">
        <v>2031284</v>
      </c>
      <c r="D1134" s="13">
        <f t="shared" si="245"/>
        <v>728</v>
      </c>
      <c r="E1134" s="77">
        <f t="shared" si="256"/>
        <v>10341</v>
      </c>
      <c r="F1134" s="69">
        <v>10874</v>
      </c>
      <c r="G1134" s="133">
        <f t="shared" si="254"/>
        <v>533</v>
      </c>
      <c r="H1134" s="8">
        <f t="shared" ref="H1134:H1197" si="257">I1133</f>
        <v>357156</v>
      </c>
      <c r="I1134" s="8">
        <v>356537</v>
      </c>
      <c r="J1134" s="13">
        <f t="shared" si="244"/>
        <v>-619</v>
      </c>
      <c r="K1134" s="138"/>
      <c r="L1134" s="8">
        <f t="shared" ref="L1134:L1197" si="258">M1133</f>
        <v>1083693</v>
      </c>
      <c r="M1134" s="8">
        <v>1084851</v>
      </c>
      <c r="N1134" s="13">
        <f t="shared" si="247"/>
        <v>1158</v>
      </c>
      <c r="O1134" s="136">
        <f t="shared" si="243"/>
        <v>318</v>
      </c>
      <c r="P1134" s="8">
        <f t="shared" si="239"/>
        <v>573912</v>
      </c>
      <c r="Q1134" s="8">
        <v>574249</v>
      </c>
      <c r="R1134" s="133">
        <f t="shared" si="251"/>
        <v>337</v>
      </c>
      <c r="S1134" s="8">
        <f t="shared" si="240"/>
        <v>41359</v>
      </c>
      <c r="T1134" s="8">
        <v>41422</v>
      </c>
      <c r="U1134" s="133">
        <f t="shared" si="242"/>
        <v>63</v>
      </c>
      <c r="V1134" s="8">
        <f t="shared" ref="V1134:V1197" si="259">W1133</f>
        <v>533986</v>
      </c>
      <c r="W1134" s="8">
        <v>533986</v>
      </c>
      <c r="X1134" s="13">
        <f t="shared" si="248"/>
        <v>0</v>
      </c>
      <c r="Y1134" s="8">
        <f t="shared" si="255"/>
        <v>39078</v>
      </c>
      <c r="Z1134" s="8">
        <v>39108</v>
      </c>
      <c r="AA1134" s="13">
        <f t="shared" si="250"/>
        <v>30</v>
      </c>
      <c r="AB1134" s="8">
        <f t="shared" si="252"/>
        <v>253993</v>
      </c>
      <c r="AC1134" s="8">
        <v>254069</v>
      </c>
      <c r="AD1134" s="13">
        <f t="shared" si="253"/>
        <v>76</v>
      </c>
      <c r="AE1134" s="135"/>
      <c r="AF1134" s="135"/>
      <c r="AG1134" s="135"/>
      <c r="AH1134" s="136"/>
      <c r="AI1134" s="50">
        <f t="shared" si="246"/>
        <v>748</v>
      </c>
    </row>
    <row r="1135" spans="1:35">
      <c r="A1135" s="12">
        <v>45510</v>
      </c>
      <c r="B1135" s="8">
        <f t="shared" si="241"/>
        <v>2031284</v>
      </c>
      <c r="C1135" s="8">
        <v>2031978</v>
      </c>
      <c r="D1135" s="13">
        <f t="shared" si="245"/>
        <v>694</v>
      </c>
      <c r="E1135" s="77">
        <f t="shared" si="256"/>
        <v>10874</v>
      </c>
      <c r="F1135" s="69">
        <v>11578</v>
      </c>
      <c r="G1135" s="133">
        <f t="shared" si="254"/>
        <v>704</v>
      </c>
      <c r="H1135" s="8">
        <f t="shared" si="257"/>
        <v>356537</v>
      </c>
      <c r="I1135" s="8">
        <v>356537</v>
      </c>
      <c r="J1135" s="13">
        <f t="shared" si="244"/>
        <v>0</v>
      </c>
      <c r="K1135" s="138"/>
      <c r="L1135" s="8">
        <f t="shared" si="258"/>
        <v>1084851</v>
      </c>
      <c r="M1135" s="8">
        <v>1086082</v>
      </c>
      <c r="N1135" s="13">
        <f t="shared" si="247"/>
        <v>1231</v>
      </c>
      <c r="O1135" s="136">
        <f t="shared" si="243"/>
        <v>1060</v>
      </c>
      <c r="P1135" s="8">
        <f t="shared" si="239"/>
        <v>574249</v>
      </c>
      <c r="Q1135" s="8">
        <v>574592</v>
      </c>
      <c r="R1135" s="133">
        <f t="shared" si="251"/>
        <v>343</v>
      </c>
      <c r="S1135" s="8">
        <f t="shared" si="240"/>
        <v>41422</v>
      </c>
      <c r="T1135" s="8">
        <v>41491</v>
      </c>
      <c r="U1135" s="133">
        <f t="shared" si="242"/>
        <v>69</v>
      </c>
      <c r="V1135" s="8">
        <f t="shared" si="259"/>
        <v>533986</v>
      </c>
      <c r="W1135" s="8">
        <v>533986</v>
      </c>
      <c r="X1135" s="13">
        <f t="shared" si="248"/>
        <v>0</v>
      </c>
      <c r="Y1135" s="8">
        <f t="shared" si="255"/>
        <v>39108</v>
      </c>
      <c r="Z1135" s="8">
        <v>39128</v>
      </c>
      <c r="AA1135" s="13">
        <f t="shared" si="250"/>
        <v>20</v>
      </c>
      <c r="AB1135" s="8">
        <f t="shared" si="252"/>
        <v>254069</v>
      </c>
      <c r="AC1135" s="8">
        <v>254143</v>
      </c>
      <c r="AD1135" s="13">
        <f t="shared" si="253"/>
        <v>74</v>
      </c>
      <c r="AE1135" s="135"/>
      <c r="AF1135" s="135"/>
      <c r="AG1135" s="135"/>
      <c r="AH1135" s="136"/>
      <c r="AI1135" s="50">
        <f t="shared" si="246"/>
        <v>1492</v>
      </c>
    </row>
    <row r="1136" spans="1:35">
      <c r="A1136" s="12">
        <v>45511</v>
      </c>
      <c r="B1136" s="8">
        <f t="shared" si="241"/>
        <v>2031978</v>
      </c>
      <c r="C1136" s="8">
        <v>2032382</v>
      </c>
      <c r="D1136" s="13">
        <f t="shared" si="245"/>
        <v>404</v>
      </c>
      <c r="E1136" s="77">
        <f t="shared" si="256"/>
        <v>11578</v>
      </c>
      <c r="F1136" s="69">
        <v>12127</v>
      </c>
      <c r="G1136" s="133">
        <f t="shared" si="254"/>
        <v>549</v>
      </c>
      <c r="H1136" s="8">
        <f t="shared" si="257"/>
        <v>356537</v>
      </c>
      <c r="I1136" s="8">
        <v>356537</v>
      </c>
      <c r="J1136" s="13">
        <f t="shared" si="244"/>
        <v>0</v>
      </c>
      <c r="K1136" s="138"/>
      <c r="L1136" s="8">
        <f t="shared" si="258"/>
        <v>1086082</v>
      </c>
      <c r="M1136" s="8">
        <v>1087324</v>
      </c>
      <c r="N1136" s="13">
        <f t="shared" si="247"/>
        <v>1242</v>
      </c>
      <c r="O1136" s="136">
        <f t="shared" si="243"/>
        <v>360</v>
      </c>
      <c r="P1136" s="8">
        <f t="shared" si="239"/>
        <v>574592</v>
      </c>
      <c r="Q1136" s="8">
        <v>575187</v>
      </c>
      <c r="R1136" s="133">
        <f t="shared" si="251"/>
        <v>595</v>
      </c>
      <c r="S1136" s="8">
        <f t="shared" si="240"/>
        <v>41491</v>
      </c>
      <c r="T1136" s="8">
        <v>41561</v>
      </c>
      <c r="U1136" s="133">
        <f t="shared" si="242"/>
        <v>70</v>
      </c>
      <c r="V1136" s="8">
        <f t="shared" si="259"/>
        <v>533986</v>
      </c>
      <c r="W1136" s="8">
        <v>533986</v>
      </c>
      <c r="X1136" s="13">
        <f t="shared" si="248"/>
        <v>0</v>
      </c>
      <c r="Y1136" s="8">
        <f t="shared" si="255"/>
        <v>39128</v>
      </c>
      <c r="Z1136" s="8">
        <v>39150</v>
      </c>
      <c r="AA1136" s="13">
        <f t="shared" si="250"/>
        <v>22</v>
      </c>
      <c r="AB1136" s="8">
        <f t="shared" si="252"/>
        <v>254143</v>
      </c>
      <c r="AC1136" s="8">
        <v>254215</v>
      </c>
      <c r="AD1136" s="13">
        <f t="shared" si="253"/>
        <v>72</v>
      </c>
      <c r="AE1136" s="135"/>
      <c r="AF1136" s="135"/>
      <c r="AG1136" s="135"/>
      <c r="AH1136" s="136"/>
      <c r="AI1136" s="50">
        <f t="shared" si="246"/>
        <v>1047</v>
      </c>
    </row>
    <row r="1137" spans="1:35">
      <c r="A1137" s="12">
        <v>45512</v>
      </c>
      <c r="B1137" s="8">
        <f t="shared" si="241"/>
        <v>2032382</v>
      </c>
      <c r="C1137" s="8">
        <v>2033085</v>
      </c>
      <c r="D1137" s="13">
        <f t="shared" si="245"/>
        <v>703</v>
      </c>
      <c r="E1137" s="77">
        <f t="shared" si="256"/>
        <v>12127</v>
      </c>
      <c r="F1137" s="69">
        <v>12730</v>
      </c>
      <c r="G1137" s="133">
        <f t="shared" si="254"/>
        <v>603</v>
      </c>
      <c r="H1137" s="8">
        <f t="shared" si="257"/>
        <v>356537</v>
      </c>
      <c r="I1137" s="8">
        <v>356537</v>
      </c>
      <c r="J1137" s="13">
        <f t="shared" si="244"/>
        <v>0</v>
      </c>
      <c r="K1137" s="138"/>
      <c r="L1137" s="8">
        <f t="shared" si="258"/>
        <v>1087324</v>
      </c>
      <c r="M1137" s="8">
        <v>1088325</v>
      </c>
      <c r="N1137" s="13">
        <f t="shared" si="247"/>
        <v>1001</v>
      </c>
      <c r="O1137" s="136">
        <f t="shared" si="243"/>
        <v>1038</v>
      </c>
      <c r="P1137" s="8">
        <f t="shared" ref="P1137:P1200" si="260">Q1136</f>
        <v>575187</v>
      </c>
      <c r="Q1137" s="8">
        <v>575455</v>
      </c>
      <c r="R1137" s="133">
        <f t="shared" si="251"/>
        <v>268</v>
      </c>
      <c r="S1137" s="8">
        <f t="shared" ref="S1137:S1200" si="261">T1136</f>
        <v>41561</v>
      </c>
      <c r="T1137" s="8">
        <v>41620</v>
      </c>
      <c r="U1137" s="133">
        <f t="shared" si="242"/>
        <v>59</v>
      </c>
      <c r="V1137" s="8">
        <f t="shared" si="259"/>
        <v>533986</v>
      </c>
      <c r="W1137" s="8">
        <v>533986</v>
      </c>
      <c r="X1137" s="13">
        <f>W1137-V1137</f>
        <v>0</v>
      </c>
      <c r="Y1137" s="8">
        <f t="shared" si="255"/>
        <v>39150</v>
      </c>
      <c r="Z1137" s="8">
        <v>39180</v>
      </c>
      <c r="AA1137" s="13">
        <f t="shared" si="250"/>
        <v>30</v>
      </c>
      <c r="AB1137" s="8">
        <f t="shared" si="252"/>
        <v>254215</v>
      </c>
      <c r="AC1137" s="8">
        <v>254274</v>
      </c>
      <c r="AD1137" s="13">
        <f t="shared" si="253"/>
        <v>59</v>
      </c>
      <c r="AE1137" s="135"/>
      <c r="AF1137" s="135"/>
      <c r="AG1137" s="135"/>
      <c r="AH1137" s="136"/>
      <c r="AI1137" s="50">
        <f t="shared" si="246"/>
        <v>1395</v>
      </c>
    </row>
    <row r="1138" spans="1:35">
      <c r="A1138" s="12">
        <v>45513</v>
      </c>
      <c r="B1138" s="8">
        <f t="shared" si="241"/>
        <v>2033085</v>
      </c>
      <c r="C1138" s="8">
        <v>2033834</v>
      </c>
      <c r="D1138" s="13">
        <f t="shared" si="245"/>
        <v>749</v>
      </c>
      <c r="E1138" s="77">
        <f t="shared" si="256"/>
        <v>12730</v>
      </c>
      <c r="F1138" s="69">
        <v>13317</v>
      </c>
      <c r="G1138" s="133">
        <f t="shared" si="254"/>
        <v>587</v>
      </c>
      <c r="H1138" s="8">
        <f t="shared" si="257"/>
        <v>356537</v>
      </c>
      <c r="I1138" s="8">
        <v>357173</v>
      </c>
      <c r="J1138" s="13">
        <f t="shared" si="244"/>
        <v>636</v>
      </c>
      <c r="K1138" s="138"/>
      <c r="L1138" s="8">
        <f t="shared" si="258"/>
        <v>1088325</v>
      </c>
      <c r="M1138" s="8">
        <v>1089073</v>
      </c>
      <c r="N1138" s="13">
        <f t="shared" si="247"/>
        <v>748</v>
      </c>
      <c r="O1138" s="136">
        <f t="shared" si="243"/>
        <v>1622</v>
      </c>
      <c r="P1138" s="8">
        <f t="shared" si="260"/>
        <v>575455</v>
      </c>
      <c r="Q1138" s="8">
        <v>575793</v>
      </c>
      <c r="R1138" s="133">
        <f t="shared" si="251"/>
        <v>338</v>
      </c>
      <c r="S1138" s="8">
        <f t="shared" si="261"/>
        <v>41620</v>
      </c>
      <c r="T1138" s="8">
        <v>41693</v>
      </c>
      <c r="U1138" s="133">
        <f t="shared" si="242"/>
        <v>73</v>
      </c>
      <c r="V1138" s="8">
        <f>W1137</f>
        <v>533986</v>
      </c>
      <c r="W1138" s="8">
        <v>533986</v>
      </c>
      <c r="X1138" s="13">
        <f t="shared" si="248"/>
        <v>0</v>
      </c>
      <c r="Y1138" s="8">
        <f t="shared" si="255"/>
        <v>39180</v>
      </c>
      <c r="Z1138" s="8">
        <v>39199</v>
      </c>
      <c r="AA1138" s="13">
        <f t="shared" si="250"/>
        <v>19</v>
      </c>
      <c r="AB1138" s="8">
        <f t="shared" si="252"/>
        <v>254274</v>
      </c>
      <c r="AC1138" s="8">
        <v>254335</v>
      </c>
      <c r="AD1138" s="13">
        <f t="shared" si="253"/>
        <v>61</v>
      </c>
      <c r="AE1138" s="135"/>
      <c r="AF1138" s="135"/>
      <c r="AG1138" s="135"/>
      <c r="AH1138" s="136"/>
      <c r="AI1138" s="50">
        <f t="shared" si="246"/>
        <v>2052</v>
      </c>
    </row>
    <row r="1139" spans="1:35">
      <c r="A1139" s="12">
        <v>45514</v>
      </c>
      <c r="B1139" s="8">
        <f t="shared" si="241"/>
        <v>2033834</v>
      </c>
      <c r="C1139" s="8">
        <v>2034258</v>
      </c>
      <c r="D1139" s="13">
        <f t="shared" si="245"/>
        <v>424</v>
      </c>
      <c r="E1139" s="77">
        <f t="shared" si="256"/>
        <v>13317</v>
      </c>
      <c r="F1139" s="69">
        <v>13968</v>
      </c>
      <c r="G1139" s="133">
        <f t="shared" si="254"/>
        <v>651</v>
      </c>
      <c r="H1139" s="8">
        <f t="shared" si="257"/>
        <v>357173</v>
      </c>
      <c r="I1139" s="8">
        <v>357619</v>
      </c>
      <c r="J1139" s="13">
        <f t="shared" si="244"/>
        <v>446</v>
      </c>
      <c r="K1139" s="138"/>
      <c r="L1139" s="8">
        <f t="shared" si="258"/>
        <v>1089073</v>
      </c>
      <c r="M1139" s="8">
        <v>1090039</v>
      </c>
      <c r="N1139" s="13">
        <f t="shared" si="247"/>
        <v>966</v>
      </c>
      <c r="O1139" s="136">
        <f t="shared" si="243"/>
        <v>907</v>
      </c>
      <c r="P1139" s="8">
        <f t="shared" si="260"/>
        <v>575793</v>
      </c>
      <c r="Q1139" s="8">
        <v>576382</v>
      </c>
      <c r="R1139" s="133">
        <f t="shared" si="251"/>
        <v>589</v>
      </c>
      <c r="S1139" s="8">
        <f t="shared" si="261"/>
        <v>41693</v>
      </c>
      <c r="T1139" s="8">
        <v>41762</v>
      </c>
      <c r="U1139" s="133">
        <f t="shared" si="242"/>
        <v>69</v>
      </c>
      <c r="V1139" s="8">
        <f t="shared" si="259"/>
        <v>533986</v>
      </c>
      <c r="W1139" s="8">
        <v>533986</v>
      </c>
      <c r="X1139" s="13">
        <f t="shared" si="248"/>
        <v>0</v>
      </c>
      <c r="Y1139" s="8">
        <f t="shared" si="255"/>
        <v>39199</v>
      </c>
      <c r="Z1139" s="8">
        <v>39219</v>
      </c>
      <c r="AA1139" s="13">
        <f t="shared" si="250"/>
        <v>20</v>
      </c>
      <c r="AB1139" s="8">
        <f t="shared" si="252"/>
        <v>254335</v>
      </c>
      <c r="AC1139" s="8">
        <v>254379</v>
      </c>
      <c r="AD1139" s="13">
        <f t="shared" si="253"/>
        <v>44</v>
      </c>
      <c r="AE1139" s="135"/>
      <c r="AF1139" s="135"/>
      <c r="AG1139" s="135"/>
      <c r="AH1139" s="136"/>
      <c r="AI1139" s="50">
        <f t="shared" si="246"/>
        <v>1585</v>
      </c>
    </row>
    <row r="1140" spans="1:35">
      <c r="A1140" s="12">
        <v>45515</v>
      </c>
      <c r="B1140" s="8">
        <f t="shared" si="241"/>
        <v>2034258</v>
      </c>
      <c r="C1140" s="8">
        <v>2035040</v>
      </c>
      <c r="D1140" s="13">
        <f t="shared" si="245"/>
        <v>782</v>
      </c>
      <c r="E1140" s="77">
        <f t="shared" si="256"/>
        <v>13968</v>
      </c>
      <c r="F1140" s="69">
        <v>14792</v>
      </c>
      <c r="G1140" s="133">
        <f t="shared" si="254"/>
        <v>824</v>
      </c>
      <c r="H1140" s="8">
        <f t="shared" si="257"/>
        <v>357619</v>
      </c>
      <c r="I1140" s="8">
        <v>357619</v>
      </c>
      <c r="J1140" s="13">
        <f t="shared" si="244"/>
        <v>0</v>
      </c>
      <c r="K1140" s="138"/>
      <c r="L1140" s="8">
        <f t="shared" si="258"/>
        <v>1090039</v>
      </c>
      <c r="M1140" s="8">
        <v>1091278</v>
      </c>
      <c r="N1140" s="13">
        <f t="shared" si="247"/>
        <v>1239</v>
      </c>
      <c r="O1140" s="136">
        <f t="shared" si="243"/>
        <v>1023</v>
      </c>
      <c r="P1140" s="8">
        <f t="shared" si="260"/>
        <v>576382</v>
      </c>
      <c r="Q1140" s="8">
        <v>577000</v>
      </c>
      <c r="R1140" s="133">
        <f t="shared" si="251"/>
        <v>618</v>
      </c>
      <c r="S1140" s="8">
        <f t="shared" si="261"/>
        <v>41762</v>
      </c>
      <c r="T1140" s="8">
        <v>41799</v>
      </c>
      <c r="U1140" s="133">
        <f t="shared" si="242"/>
        <v>37</v>
      </c>
      <c r="V1140" s="8">
        <f t="shared" si="259"/>
        <v>533986</v>
      </c>
      <c r="X1140" s="13">
        <f t="shared" si="248"/>
        <v>-533986</v>
      </c>
      <c r="Y1140" s="8">
        <f t="shared" si="255"/>
        <v>39219</v>
      </c>
      <c r="Z1140" s="8">
        <v>39268</v>
      </c>
      <c r="AA1140" s="13">
        <f t="shared" si="250"/>
        <v>49</v>
      </c>
      <c r="AB1140" s="8">
        <f t="shared" si="252"/>
        <v>254379</v>
      </c>
      <c r="AC1140" s="8">
        <v>254451</v>
      </c>
      <c r="AD1140" s="13">
        <f t="shared" si="253"/>
        <v>72</v>
      </c>
      <c r="AE1140" s="135"/>
      <c r="AF1140" s="135"/>
      <c r="AG1140" s="135"/>
      <c r="AH1140" s="136"/>
      <c r="AI1140" s="50">
        <f t="shared" si="246"/>
        <v>-532259</v>
      </c>
    </row>
    <row r="1141" spans="1:35">
      <c r="A1141" s="12">
        <v>45516</v>
      </c>
      <c r="B1141" s="8">
        <f t="shared" si="241"/>
        <v>2035040</v>
      </c>
      <c r="C1141" s="8">
        <v>2035474</v>
      </c>
      <c r="D1141" s="13">
        <f t="shared" si="245"/>
        <v>434</v>
      </c>
      <c r="E1141" s="77">
        <f t="shared" si="256"/>
        <v>14792</v>
      </c>
      <c r="F1141" s="69">
        <v>15560</v>
      </c>
      <c r="G1141" s="133">
        <f t="shared" si="254"/>
        <v>768</v>
      </c>
      <c r="H1141" s="8">
        <f t="shared" si="257"/>
        <v>357619</v>
      </c>
      <c r="I1141" s="8">
        <v>357619</v>
      </c>
      <c r="J1141" s="13">
        <f t="shared" si="244"/>
        <v>0</v>
      </c>
      <c r="K1141" s="138"/>
      <c r="L1141" s="8">
        <f t="shared" si="258"/>
        <v>1091278</v>
      </c>
      <c r="M1141" s="8">
        <v>1092576</v>
      </c>
      <c r="N1141" s="13">
        <f t="shared" si="247"/>
        <v>1298</v>
      </c>
      <c r="O1141" s="136">
        <f t="shared" si="243"/>
        <v>651</v>
      </c>
      <c r="P1141" s="8">
        <f t="shared" si="260"/>
        <v>577000</v>
      </c>
      <c r="Q1141" s="8">
        <v>577572</v>
      </c>
      <c r="R1141" s="133">
        <f t="shared" si="251"/>
        <v>572</v>
      </c>
      <c r="S1141" s="8">
        <f t="shared" si="261"/>
        <v>41799</v>
      </c>
      <c r="T1141" s="8">
        <v>41844</v>
      </c>
      <c r="U1141" s="133">
        <f t="shared" si="242"/>
        <v>45</v>
      </c>
      <c r="V1141" s="8">
        <f t="shared" si="259"/>
        <v>0</v>
      </c>
      <c r="W1141" s="8">
        <v>350528</v>
      </c>
      <c r="X1141" s="13">
        <f t="shared" si="248"/>
        <v>350528</v>
      </c>
      <c r="Y1141" s="8">
        <f t="shared" si="255"/>
        <v>39268</v>
      </c>
      <c r="Z1141" s="8">
        <v>39291</v>
      </c>
      <c r="AA1141" s="13">
        <f t="shared" si="250"/>
        <v>23</v>
      </c>
      <c r="AB1141" s="8">
        <f t="shared" si="252"/>
        <v>254451</v>
      </c>
      <c r="AC1141" s="8">
        <v>254517</v>
      </c>
      <c r="AD1141" s="13">
        <f t="shared" si="253"/>
        <v>66</v>
      </c>
      <c r="AE1141" s="135"/>
      <c r="AF1141" s="135"/>
      <c r="AG1141" s="135"/>
      <c r="AH1141" s="136"/>
      <c r="AI1141" s="50">
        <f t="shared" si="246"/>
        <v>351819</v>
      </c>
    </row>
    <row r="1142" spans="1:35">
      <c r="A1142" s="12">
        <v>45517</v>
      </c>
      <c r="B1142" s="8">
        <f t="shared" si="241"/>
        <v>2035474</v>
      </c>
      <c r="C1142" s="8">
        <v>2035949</v>
      </c>
      <c r="D1142" s="13">
        <f t="shared" si="245"/>
        <v>475</v>
      </c>
      <c r="E1142" s="77">
        <f t="shared" si="256"/>
        <v>15560</v>
      </c>
      <c r="F1142" s="69">
        <v>16322</v>
      </c>
      <c r="G1142" s="133">
        <f t="shared" si="254"/>
        <v>762</v>
      </c>
      <c r="H1142" s="8">
        <f t="shared" si="257"/>
        <v>357619</v>
      </c>
      <c r="I1142" s="8">
        <v>357619</v>
      </c>
      <c r="J1142" s="13">
        <f t="shared" si="244"/>
        <v>0</v>
      </c>
      <c r="K1142" s="138"/>
      <c r="L1142" s="8">
        <f t="shared" si="258"/>
        <v>1092576</v>
      </c>
      <c r="M1142" s="8">
        <v>1093203</v>
      </c>
      <c r="N1142" s="13">
        <f t="shared" si="247"/>
        <v>627</v>
      </c>
      <c r="O1142" s="136">
        <f t="shared" si="243"/>
        <v>808</v>
      </c>
      <c r="P1142" s="8">
        <f t="shared" si="260"/>
        <v>577572</v>
      </c>
      <c r="Q1142" s="8">
        <v>577984</v>
      </c>
      <c r="R1142" s="133">
        <f t="shared" si="251"/>
        <v>412</v>
      </c>
      <c r="S1142" s="8">
        <f t="shared" si="261"/>
        <v>41844</v>
      </c>
      <c r="T1142" s="8">
        <v>41908</v>
      </c>
      <c r="U1142" s="133">
        <f t="shared" si="242"/>
        <v>64</v>
      </c>
      <c r="V1142" s="8">
        <f t="shared" si="259"/>
        <v>350528</v>
      </c>
      <c r="W1142" s="8">
        <v>350605</v>
      </c>
      <c r="X1142" s="13">
        <f t="shared" si="248"/>
        <v>77</v>
      </c>
      <c r="Y1142" s="8">
        <f t="shared" si="255"/>
        <v>39291</v>
      </c>
      <c r="Z1142" s="8">
        <v>39308</v>
      </c>
      <c r="AA1142" s="13">
        <f t="shared" si="250"/>
        <v>17</v>
      </c>
      <c r="AB1142" s="8">
        <f t="shared" si="252"/>
        <v>254517</v>
      </c>
      <c r="AC1142" s="8">
        <v>254564</v>
      </c>
      <c r="AD1142" s="13">
        <f t="shared" si="253"/>
        <v>47</v>
      </c>
      <c r="AE1142" s="135"/>
      <c r="AF1142" s="135"/>
      <c r="AG1142" s="135"/>
      <c r="AH1142" s="136"/>
      <c r="AI1142" s="50">
        <f t="shared" si="246"/>
        <v>1378</v>
      </c>
    </row>
    <row r="1143" spans="1:35">
      <c r="A1143" s="12">
        <v>45518</v>
      </c>
      <c r="B1143" s="8">
        <f t="shared" ref="B1143:B1206" si="262">C1142</f>
        <v>2035949</v>
      </c>
      <c r="C1143" s="8">
        <v>2036631</v>
      </c>
      <c r="D1143" s="13">
        <f t="shared" si="245"/>
        <v>682</v>
      </c>
      <c r="E1143" s="77">
        <f t="shared" si="256"/>
        <v>16322</v>
      </c>
      <c r="F1143" s="69">
        <v>17136</v>
      </c>
      <c r="G1143" s="133">
        <f t="shared" si="254"/>
        <v>814</v>
      </c>
      <c r="H1143" s="8">
        <f t="shared" si="257"/>
        <v>357619</v>
      </c>
      <c r="I1143" s="8">
        <v>357619</v>
      </c>
      <c r="J1143" s="13">
        <f t="shared" si="244"/>
        <v>0</v>
      </c>
      <c r="K1143" s="138"/>
      <c r="L1143" s="8">
        <f t="shared" si="258"/>
        <v>1093203</v>
      </c>
      <c r="M1143" s="8">
        <v>1094682</v>
      </c>
      <c r="N1143" s="13">
        <f t="shared" si="247"/>
        <v>1479</v>
      </c>
      <c r="O1143" s="136">
        <f t="shared" si="243"/>
        <v>976</v>
      </c>
      <c r="P1143" s="8">
        <f t="shared" si="260"/>
        <v>577984</v>
      </c>
      <c r="Q1143" s="8">
        <v>578554</v>
      </c>
      <c r="R1143" s="133">
        <f t="shared" si="251"/>
        <v>570</v>
      </c>
      <c r="S1143" s="8">
        <f t="shared" si="261"/>
        <v>41908</v>
      </c>
      <c r="T1143" s="8">
        <v>41929</v>
      </c>
      <c r="U1143" s="133">
        <f t="shared" si="242"/>
        <v>21</v>
      </c>
      <c r="V1143" s="8">
        <f t="shared" si="259"/>
        <v>350605</v>
      </c>
      <c r="W1143" s="8">
        <v>350789</v>
      </c>
      <c r="X1143" s="13">
        <f t="shared" si="248"/>
        <v>184</v>
      </c>
      <c r="Y1143" s="8">
        <f t="shared" si="255"/>
        <v>39308</v>
      </c>
      <c r="Z1143" s="8">
        <v>39333</v>
      </c>
      <c r="AA1143" s="13">
        <f t="shared" si="250"/>
        <v>25</v>
      </c>
      <c r="AB1143" s="8">
        <f t="shared" si="252"/>
        <v>254564</v>
      </c>
      <c r="AC1143" s="8">
        <v>254635</v>
      </c>
      <c r="AD1143" s="13">
        <f t="shared" si="253"/>
        <v>71</v>
      </c>
      <c r="AE1143" s="135"/>
      <c r="AF1143" s="135"/>
      <c r="AG1143" s="135"/>
      <c r="AH1143" s="136"/>
      <c r="AI1143" s="50">
        <f t="shared" si="246"/>
        <v>1776</v>
      </c>
    </row>
    <row r="1144" spans="1:35">
      <c r="A1144" s="12">
        <v>45519</v>
      </c>
      <c r="B1144" s="8">
        <f t="shared" si="262"/>
        <v>2036631</v>
      </c>
      <c r="C1144" s="8">
        <v>2037305</v>
      </c>
      <c r="D1144" s="13">
        <f t="shared" si="245"/>
        <v>674</v>
      </c>
      <c r="E1144" s="77">
        <f t="shared" si="256"/>
        <v>17136</v>
      </c>
      <c r="F1144" s="69">
        <v>17840</v>
      </c>
      <c r="G1144" s="133">
        <f t="shared" si="254"/>
        <v>704</v>
      </c>
      <c r="H1144" s="8">
        <f t="shared" si="257"/>
        <v>357619</v>
      </c>
      <c r="I1144" s="8">
        <v>357619</v>
      </c>
      <c r="J1144" s="13">
        <f t="shared" si="244"/>
        <v>0</v>
      </c>
      <c r="K1144" s="138"/>
      <c r="L1144" s="8">
        <f t="shared" si="258"/>
        <v>1094682</v>
      </c>
      <c r="M1144" s="8">
        <v>1095727</v>
      </c>
      <c r="N1144" s="13">
        <f t="shared" si="247"/>
        <v>1045</v>
      </c>
      <c r="O1144" s="136">
        <f t="shared" si="243"/>
        <v>933</v>
      </c>
      <c r="P1144" s="8">
        <f t="shared" si="260"/>
        <v>578554</v>
      </c>
      <c r="Q1144" s="8">
        <v>579005</v>
      </c>
      <c r="R1144" s="133">
        <f t="shared" si="251"/>
        <v>451</v>
      </c>
      <c r="S1144" s="8">
        <f t="shared" si="261"/>
        <v>41929</v>
      </c>
      <c r="T1144" s="8">
        <v>41999</v>
      </c>
      <c r="U1144" s="133">
        <f t="shared" si="242"/>
        <v>70</v>
      </c>
      <c r="V1144" s="8">
        <f t="shared" si="259"/>
        <v>350789</v>
      </c>
      <c r="W1144" s="8">
        <v>351054</v>
      </c>
      <c r="X1144" s="13">
        <f t="shared" si="248"/>
        <v>265</v>
      </c>
      <c r="Y1144" s="8">
        <f t="shared" si="255"/>
        <v>39333</v>
      </c>
      <c r="Z1144" s="8">
        <v>39357</v>
      </c>
      <c r="AA1144" s="13">
        <f t="shared" si="250"/>
        <v>24</v>
      </c>
      <c r="AB1144" s="8">
        <f t="shared" si="252"/>
        <v>254635</v>
      </c>
      <c r="AC1144" s="8">
        <v>254711</v>
      </c>
      <c r="AD1144" s="13">
        <f t="shared" si="253"/>
        <v>76</v>
      </c>
      <c r="AE1144" s="135"/>
      <c r="AF1144" s="135"/>
      <c r="AG1144" s="135"/>
      <c r="AH1144" s="136"/>
      <c r="AI1144" s="50">
        <f t="shared" si="246"/>
        <v>1743</v>
      </c>
    </row>
    <row r="1145" spans="1:35">
      <c r="A1145" s="12">
        <v>45520</v>
      </c>
      <c r="B1145" s="8">
        <f t="shared" si="262"/>
        <v>2037305</v>
      </c>
      <c r="C1145" s="8">
        <v>2037978</v>
      </c>
      <c r="D1145" s="13">
        <f t="shared" si="245"/>
        <v>673</v>
      </c>
      <c r="E1145" s="77">
        <f t="shared" si="256"/>
        <v>17840</v>
      </c>
      <c r="F1145" s="69">
        <v>18667</v>
      </c>
      <c r="G1145" s="133">
        <f t="shared" si="254"/>
        <v>827</v>
      </c>
      <c r="H1145" s="8">
        <f t="shared" si="257"/>
        <v>357619</v>
      </c>
      <c r="I1145" s="8">
        <v>357619</v>
      </c>
      <c r="J1145" s="13">
        <f t="shared" si="244"/>
        <v>0</v>
      </c>
      <c r="K1145" s="138"/>
      <c r="L1145" s="8">
        <f t="shared" si="258"/>
        <v>1095727</v>
      </c>
      <c r="M1145" s="8">
        <v>1096942</v>
      </c>
      <c r="N1145" s="13">
        <f t="shared" si="247"/>
        <v>1215</v>
      </c>
      <c r="O1145" s="136">
        <f t="shared" si="243"/>
        <v>1304</v>
      </c>
      <c r="P1145" s="8">
        <f t="shared" si="260"/>
        <v>579005</v>
      </c>
      <c r="Q1145" s="8">
        <v>579274</v>
      </c>
      <c r="R1145" s="133">
        <f t="shared" si="251"/>
        <v>269</v>
      </c>
      <c r="S1145" s="8">
        <f t="shared" si="261"/>
        <v>41999</v>
      </c>
      <c r="T1145" s="8">
        <v>42052</v>
      </c>
      <c r="U1145" s="133">
        <f t="shared" ref="U1145:U1209" si="263">T1145-S1145</f>
        <v>53</v>
      </c>
      <c r="V1145" s="8">
        <f t="shared" si="259"/>
        <v>351054</v>
      </c>
      <c r="W1145" s="8">
        <v>351222</v>
      </c>
      <c r="X1145" s="13">
        <f t="shared" si="248"/>
        <v>168</v>
      </c>
      <c r="Y1145" s="8">
        <f t="shared" si="255"/>
        <v>39357</v>
      </c>
      <c r="Z1145" s="8">
        <v>39385</v>
      </c>
      <c r="AA1145" s="13">
        <f t="shared" si="250"/>
        <v>28</v>
      </c>
      <c r="AB1145" s="8">
        <f t="shared" si="252"/>
        <v>254711</v>
      </c>
      <c r="AC1145" s="8">
        <v>254837</v>
      </c>
      <c r="AD1145" s="13">
        <f t="shared" si="253"/>
        <v>126</v>
      </c>
      <c r="AE1145" s="135"/>
      <c r="AF1145" s="135"/>
      <c r="AG1145" s="135"/>
      <c r="AH1145" s="136"/>
      <c r="AI1145" s="50">
        <f t="shared" si="246"/>
        <v>1822</v>
      </c>
    </row>
    <row r="1146" spans="1:35">
      <c r="A1146" s="12">
        <v>45521</v>
      </c>
      <c r="B1146" s="8">
        <f t="shared" si="262"/>
        <v>2037978</v>
      </c>
      <c r="C1146" s="8">
        <v>2038621</v>
      </c>
      <c r="D1146" s="13">
        <f t="shared" si="245"/>
        <v>643</v>
      </c>
      <c r="E1146" s="77">
        <f t="shared" si="256"/>
        <v>18667</v>
      </c>
      <c r="F1146" s="69">
        <v>19418</v>
      </c>
      <c r="G1146" s="133">
        <f t="shared" si="254"/>
        <v>751</v>
      </c>
      <c r="H1146" s="8">
        <f t="shared" si="257"/>
        <v>357619</v>
      </c>
      <c r="I1146" s="8">
        <v>357619</v>
      </c>
      <c r="J1146" s="13">
        <f t="shared" si="244"/>
        <v>0</v>
      </c>
      <c r="K1146" s="138"/>
      <c r="L1146" s="8">
        <f t="shared" si="258"/>
        <v>1096942</v>
      </c>
      <c r="M1146" s="8">
        <v>1098235</v>
      </c>
      <c r="N1146" s="13">
        <f t="shared" si="247"/>
        <v>1293</v>
      </c>
      <c r="O1146" s="136">
        <f t="shared" si="243"/>
        <v>1017</v>
      </c>
      <c r="P1146" s="8">
        <f t="shared" si="260"/>
        <v>579274</v>
      </c>
      <c r="Q1146" s="8">
        <v>579274</v>
      </c>
      <c r="R1146" s="133">
        <v>451</v>
      </c>
      <c r="S1146" s="8">
        <f t="shared" si="261"/>
        <v>42052</v>
      </c>
      <c r="T1146" s="8">
        <v>42105</v>
      </c>
      <c r="U1146" s="133">
        <f t="shared" si="263"/>
        <v>53</v>
      </c>
      <c r="V1146" s="8">
        <f t="shared" si="259"/>
        <v>351222</v>
      </c>
      <c r="W1146" s="8">
        <v>351465</v>
      </c>
      <c r="X1146" s="13">
        <f t="shared" si="248"/>
        <v>243</v>
      </c>
      <c r="Y1146" s="8">
        <f t="shared" si="255"/>
        <v>39385</v>
      </c>
      <c r="Z1146" s="8">
        <v>39408</v>
      </c>
      <c r="AA1146" s="13">
        <f t="shared" si="250"/>
        <v>23</v>
      </c>
      <c r="AB1146" s="8">
        <f t="shared" si="252"/>
        <v>254837</v>
      </c>
      <c r="AC1146" s="8">
        <v>254964</v>
      </c>
      <c r="AD1146" s="13">
        <f t="shared" ref="AD1146:AD1177" si="264">AC1146-AB1146</f>
        <v>127</v>
      </c>
      <c r="AE1146" s="135"/>
      <c r="AF1146" s="135"/>
      <c r="AG1146" s="135"/>
      <c r="AH1146" s="136"/>
      <c r="AI1146" s="50">
        <f t="shared" si="246"/>
        <v>1787</v>
      </c>
    </row>
    <row r="1147" spans="1:35">
      <c r="A1147" s="12">
        <v>45522</v>
      </c>
      <c r="B1147" s="8">
        <f t="shared" si="262"/>
        <v>2038621</v>
      </c>
      <c r="C1147" s="8">
        <v>2039372</v>
      </c>
      <c r="D1147" s="13">
        <f t="shared" si="245"/>
        <v>751</v>
      </c>
      <c r="E1147" s="77">
        <f t="shared" si="256"/>
        <v>19418</v>
      </c>
      <c r="F1147" s="69">
        <v>20139</v>
      </c>
      <c r="G1147" s="133">
        <f t="shared" si="254"/>
        <v>721</v>
      </c>
      <c r="H1147" s="8">
        <f t="shared" si="257"/>
        <v>357619</v>
      </c>
      <c r="I1147" s="8">
        <v>357619</v>
      </c>
      <c r="J1147" s="13">
        <f t="shared" si="244"/>
        <v>0</v>
      </c>
      <c r="K1147" s="138"/>
      <c r="L1147" s="8">
        <f t="shared" si="258"/>
        <v>1098235</v>
      </c>
      <c r="M1147" s="8">
        <v>1099243</v>
      </c>
      <c r="N1147" s="13">
        <f t="shared" si="247"/>
        <v>1008</v>
      </c>
      <c r="O1147" s="136">
        <f t="shared" ref="O1147:O1210" si="265">(D1147+G1147+J1147+AD1147)-(U1147+R1147)</f>
        <v>987</v>
      </c>
      <c r="P1147" s="8">
        <f t="shared" si="260"/>
        <v>579274</v>
      </c>
      <c r="Q1147" s="8">
        <v>579274</v>
      </c>
      <c r="R1147" s="133">
        <v>508</v>
      </c>
      <c r="S1147" s="8">
        <f t="shared" si="261"/>
        <v>42105</v>
      </c>
      <c r="T1147" s="8">
        <v>42159</v>
      </c>
      <c r="U1147" s="133">
        <f t="shared" si="263"/>
        <v>54</v>
      </c>
      <c r="V1147" s="8">
        <f t="shared" si="259"/>
        <v>351465</v>
      </c>
      <c r="W1147" s="8">
        <v>351748</v>
      </c>
      <c r="X1147" s="13">
        <f t="shared" si="248"/>
        <v>283</v>
      </c>
      <c r="Y1147" s="8">
        <f t="shared" si="255"/>
        <v>39408</v>
      </c>
      <c r="Z1147" s="8">
        <v>39429</v>
      </c>
      <c r="AA1147" s="13">
        <f t="shared" si="250"/>
        <v>21</v>
      </c>
      <c r="AB1147" s="8">
        <f t="shared" si="252"/>
        <v>254964</v>
      </c>
      <c r="AC1147" s="8">
        <v>255041</v>
      </c>
      <c r="AD1147" s="13">
        <f t="shared" si="264"/>
        <v>77</v>
      </c>
      <c r="AE1147" s="135"/>
      <c r="AF1147" s="135"/>
      <c r="AG1147" s="135"/>
      <c r="AH1147" s="136"/>
      <c r="AI1147" s="50">
        <f t="shared" si="246"/>
        <v>1853</v>
      </c>
    </row>
    <row r="1148" spans="1:35">
      <c r="A1148" s="12">
        <v>45523</v>
      </c>
      <c r="B1148" s="8">
        <f t="shared" si="262"/>
        <v>2039372</v>
      </c>
      <c r="C1148" s="8">
        <v>2040082</v>
      </c>
      <c r="D1148" s="13">
        <f t="shared" si="245"/>
        <v>710</v>
      </c>
      <c r="E1148" s="77">
        <f t="shared" si="256"/>
        <v>20139</v>
      </c>
      <c r="F1148" s="69">
        <v>20904</v>
      </c>
      <c r="G1148" s="133">
        <f t="shared" si="254"/>
        <v>765</v>
      </c>
      <c r="H1148" s="8">
        <f t="shared" si="257"/>
        <v>357619</v>
      </c>
      <c r="I1148" s="8">
        <v>357619</v>
      </c>
      <c r="J1148" s="13">
        <f t="shared" ref="J1148:J1212" si="266">I1148-H1148</f>
        <v>0</v>
      </c>
      <c r="K1148" s="138"/>
      <c r="L1148" s="8">
        <f t="shared" si="258"/>
        <v>1099243</v>
      </c>
      <c r="M1148" s="8">
        <v>1100455</v>
      </c>
      <c r="N1148" s="13">
        <f t="shared" si="247"/>
        <v>1212</v>
      </c>
      <c r="O1148" s="136">
        <f t="shared" si="265"/>
        <v>874</v>
      </c>
      <c r="P1148" s="8">
        <f t="shared" si="260"/>
        <v>579274</v>
      </c>
      <c r="Q1148" s="8">
        <v>579274</v>
      </c>
      <c r="R1148" s="133">
        <v>600</v>
      </c>
      <c r="S1148" s="8">
        <f t="shared" si="261"/>
        <v>42159</v>
      </c>
      <c r="T1148" s="8">
        <v>42258</v>
      </c>
      <c r="U1148" s="133">
        <f t="shared" si="263"/>
        <v>99</v>
      </c>
      <c r="V1148" s="8">
        <f t="shared" si="259"/>
        <v>351748</v>
      </c>
      <c r="W1148" s="8">
        <v>352015</v>
      </c>
      <c r="X1148" s="13">
        <f t="shared" si="248"/>
        <v>267</v>
      </c>
      <c r="Y1148" s="8">
        <f t="shared" si="255"/>
        <v>39429</v>
      </c>
      <c r="Z1148" s="8">
        <v>39470</v>
      </c>
      <c r="AA1148" s="13">
        <f t="shared" si="250"/>
        <v>41</v>
      </c>
      <c r="AB1148" s="8">
        <f t="shared" si="252"/>
        <v>255041</v>
      </c>
      <c r="AC1148" s="8">
        <v>255139</v>
      </c>
      <c r="AD1148" s="13">
        <f t="shared" si="264"/>
        <v>98</v>
      </c>
      <c r="AE1148" s="135"/>
      <c r="AF1148" s="135"/>
      <c r="AG1148" s="135"/>
      <c r="AH1148" s="136"/>
      <c r="AI1148" s="50">
        <f t="shared" ref="AI1148:AI1210" si="267">AA1148+U1148+R1148+O1148+X1148</f>
        <v>1881</v>
      </c>
    </row>
    <row r="1149" spans="1:35">
      <c r="A1149" s="12">
        <v>45524</v>
      </c>
      <c r="B1149" s="8">
        <f t="shared" si="262"/>
        <v>2040082</v>
      </c>
      <c r="C1149" s="8">
        <v>2040792</v>
      </c>
      <c r="D1149" s="13">
        <f t="shared" si="245"/>
        <v>710</v>
      </c>
      <c r="E1149" s="77">
        <f t="shared" si="256"/>
        <v>20904</v>
      </c>
      <c r="F1149" s="69">
        <v>21653</v>
      </c>
      <c r="G1149" s="133">
        <f t="shared" si="254"/>
        <v>749</v>
      </c>
      <c r="H1149" s="8">
        <f t="shared" si="257"/>
        <v>357619</v>
      </c>
      <c r="I1149" s="8">
        <v>357619</v>
      </c>
      <c r="J1149" s="13">
        <f t="shared" si="266"/>
        <v>0</v>
      </c>
      <c r="K1149" s="138"/>
      <c r="L1149" s="8">
        <f t="shared" si="258"/>
        <v>1100455</v>
      </c>
      <c r="M1149" s="8">
        <v>1101696</v>
      </c>
      <c r="N1149" s="13">
        <f t="shared" si="247"/>
        <v>1241</v>
      </c>
      <c r="O1149" s="136">
        <f t="shared" si="265"/>
        <v>928</v>
      </c>
      <c r="P1149" s="8">
        <f t="shared" si="260"/>
        <v>579274</v>
      </c>
      <c r="Q1149" s="8">
        <v>579812</v>
      </c>
      <c r="R1149" s="133">
        <f t="shared" si="251"/>
        <v>538</v>
      </c>
      <c r="S1149" s="8">
        <f t="shared" si="261"/>
        <v>42258</v>
      </c>
      <c r="T1149" s="8">
        <v>42343</v>
      </c>
      <c r="U1149" s="133">
        <f t="shared" si="263"/>
        <v>85</v>
      </c>
      <c r="V1149" s="8">
        <f t="shared" si="259"/>
        <v>352015</v>
      </c>
      <c r="W1149" s="8">
        <v>352252</v>
      </c>
      <c r="X1149" s="13">
        <f t="shared" si="248"/>
        <v>237</v>
      </c>
      <c r="Y1149" s="8">
        <f t="shared" si="255"/>
        <v>39470</v>
      </c>
      <c r="Z1149" s="8">
        <v>39493</v>
      </c>
      <c r="AA1149" s="13">
        <f t="shared" si="250"/>
        <v>23</v>
      </c>
      <c r="AB1149" s="8">
        <f t="shared" si="252"/>
        <v>255139</v>
      </c>
      <c r="AC1149" s="8">
        <v>255231</v>
      </c>
      <c r="AD1149" s="13">
        <f t="shared" si="264"/>
        <v>92</v>
      </c>
      <c r="AE1149" s="135"/>
      <c r="AF1149" s="135"/>
      <c r="AG1149" s="135"/>
      <c r="AH1149" s="136"/>
      <c r="AI1149" s="50">
        <f t="shared" si="267"/>
        <v>1811</v>
      </c>
    </row>
    <row r="1150" spans="1:35">
      <c r="A1150" s="12">
        <v>45525</v>
      </c>
      <c r="B1150" s="8">
        <f t="shared" si="262"/>
        <v>2040792</v>
      </c>
      <c r="C1150" s="8">
        <v>2041524</v>
      </c>
      <c r="D1150" s="13">
        <f t="shared" si="245"/>
        <v>732</v>
      </c>
      <c r="E1150" s="77">
        <f t="shared" si="256"/>
        <v>21653</v>
      </c>
      <c r="F1150" s="69">
        <v>22361</v>
      </c>
      <c r="G1150" s="133">
        <f t="shared" si="254"/>
        <v>708</v>
      </c>
      <c r="H1150" s="8">
        <f t="shared" si="257"/>
        <v>357619</v>
      </c>
      <c r="I1150" s="8">
        <v>357619</v>
      </c>
      <c r="J1150" s="13">
        <f>I1150-H1150</f>
        <v>0</v>
      </c>
      <c r="K1150" s="138"/>
      <c r="L1150" s="8">
        <f t="shared" si="258"/>
        <v>1101696</v>
      </c>
      <c r="M1150" s="8">
        <v>1102773</v>
      </c>
      <c r="N1150" s="13">
        <f t="shared" si="247"/>
        <v>1077</v>
      </c>
      <c r="O1150" s="136">
        <f t="shared" si="265"/>
        <v>900</v>
      </c>
      <c r="P1150" s="8">
        <f t="shared" si="260"/>
        <v>579812</v>
      </c>
      <c r="Q1150" s="8">
        <v>580354</v>
      </c>
      <c r="R1150" s="133">
        <f t="shared" si="251"/>
        <v>542</v>
      </c>
      <c r="S1150" s="8">
        <f t="shared" si="261"/>
        <v>42343</v>
      </c>
      <c r="T1150" s="8">
        <v>42406</v>
      </c>
      <c r="U1150" s="133">
        <f t="shared" si="263"/>
        <v>63</v>
      </c>
      <c r="V1150" s="8">
        <f t="shared" si="259"/>
        <v>352252</v>
      </c>
      <c r="W1150" s="8">
        <v>352475</v>
      </c>
      <c r="X1150" s="13">
        <f t="shared" si="248"/>
        <v>223</v>
      </c>
      <c r="Y1150" s="8">
        <f t="shared" si="255"/>
        <v>39493</v>
      </c>
      <c r="Z1150" s="8">
        <v>39523</v>
      </c>
      <c r="AA1150" s="13">
        <f t="shared" si="250"/>
        <v>30</v>
      </c>
      <c r="AB1150" s="8">
        <f t="shared" si="252"/>
        <v>255231</v>
      </c>
      <c r="AC1150" s="8">
        <v>255296</v>
      </c>
      <c r="AD1150" s="13">
        <f t="shared" si="264"/>
        <v>65</v>
      </c>
      <c r="AE1150" s="135"/>
      <c r="AF1150" s="135"/>
      <c r="AG1150" s="135"/>
      <c r="AH1150" s="136"/>
      <c r="AI1150" s="50">
        <f t="shared" si="267"/>
        <v>1758</v>
      </c>
    </row>
    <row r="1151" spans="1:35">
      <c r="A1151" s="12">
        <v>45526</v>
      </c>
      <c r="B1151" s="8">
        <f t="shared" si="262"/>
        <v>2041524</v>
      </c>
      <c r="C1151" s="8">
        <v>2042238</v>
      </c>
      <c r="D1151" s="13">
        <f t="shared" si="245"/>
        <v>714</v>
      </c>
      <c r="E1151" s="77">
        <f t="shared" si="256"/>
        <v>22361</v>
      </c>
      <c r="F1151" s="69">
        <v>23080</v>
      </c>
      <c r="G1151" s="133">
        <f t="shared" si="254"/>
        <v>719</v>
      </c>
      <c r="H1151" s="8">
        <f>I1150</f>
        <v>357619</v>
      </c>
      <c r="I1151" s="8">
        <v>357619</v>
      </c>
      <c r="J1151" s="13">
        <f t="shared" si="266"/>
        <v>0</v>
      </c>
      <c r="K1151" s="138"/>
      <c r="L1151" s="8">
        <f t="shared" si="258"/>
        <v>1102773</v>
      </c>
      <c r="M1151" s="8">
        <v>1104001</v>
      </c>
      <c r="N1151" s="13">
        <f t="shared" si="247"/>
        <v>1228</v>
      </c>
      <c r="O1151" s="136">
        <f t="shared" si="265"/>
        <v>876</v>
      </c>
      <c r="P1151" s="8">
        <f t="shared" si="260"/>
        <v>580354</v>
      </c>
      <c r="Q1151" s="8">
        <v>580904</v>
      </c>
      <c r="R1151" s="133">
        <f t="shared" si="251"/>
        <v>550</v>
      </c>
      <c r="S1151" s="8">
        <f t="shared" si="261"/>
        <v>42406</v>
      </c>
      <c r="T1151" s="8">
        <v>42494</v>
      </c>
      <c r="U1151" s="133">
        <f t="shared" si="263"/>
        <v>88</v>
      </c>
      <c r="V1151" s="8">
        <f t="shared" si="259"/>
        <v>352475</v>
      </c>
      <c r="W1151" s="8">
        <v>352715</v>
      </c>
      <c r="X1151" s="13">
        <f t="shared" si="248"/>
        <v>240</v>
      </c>
      <c r="Y1151" s="8">
        <f t="shared" si="255"/>
        <v>39523</v>
      </c>
      <c r="Z1151" s="8">
        <v>39554</v>
      </c>
      <c r="AA1151" s="13">
        <f t="shared" si="250"/>
        <v>31</v>
      </c>
      <c r="AB1151" s="8">
        <f t="shared" si="252"/>
        <v>255296</v>
      </c>
      <c r="AC1151" s="8">
        <v>255377</v>
      </c>
      <c r="AD1151" s="13">
        <f t="shared" si="264"/>
        <v>81</v>
      </c>
      <c r="AE1151" s="135"/>
      <c r="AF1151" s="135"/>
      <c r="AG1151" s="135"/>
      <c r="AH1151" s="136"/>
      <c r="AI1151" s="50">
        <f t="shared" si="267"/>
        <v>1785</v>
      </c>
    </row>
    <row r="1152" spans="1:35">
      <c r="A1152" s="12">
        <v>45527</v>
      </c>
      <c r="B1152" s="8">
        <f t="shared" si="262"/>
        <v>2042238</v>
      </c>
      <c r="C1152" s="8">
        <v>2042709</v>
      </c>
      <c r="D1152" s="13">
        <f t="shared" si="245"/>
        <v>471</v>
      </c>
      <c r="E1152" s="77">
        <f t="shared" si="256"/>
        <v>23080</v>
      </c>
      <c r="F1152" s="69">
        <v>23923</v>
      </c>
      <c r="G1152" s="133">
        <f t="shared" si="254"/>
        <v>843</v>
      </c>
      <c r="H1152" s="8">
        <f t="shared" si="257"/>
        <v>357619</v>
      </c>
      <c r="I1152" s="8">
        <v>357619</v>
      </c>
      <c r="J1152" s="13">
        <f>I1152-H1152</f>
        <v>0</v>
      </c>
      <c r="K1152" s="138"/>
      <c r="L1152" s="8">
        <f t="shared" si="258"/>
        <v>1104001</v>
      </c>
      <c r="M1152" s="8">
        <v>1105469</v>
      </c>
      <c r="N1152" s="13">
        <f t="shared" si="247"/>
        <v>1468</v>
      </c>
      <c r="O1152" s="136">
        <f t="shared" si="265"/>
        <v>591</v>
      </c>
      <c r="P1152" s="8">
        <f t="shared" si="260"/>
        <v>580904</v>
      </c>
      <c r="Q1152" s="8">
        <v>581621</v>
      </c>
      <c r="R1152" s="133">
        <f>Q1152-P1152</f>
        <v>717</v>
      </c>
      <c r="S1152" s="8">
        <f t="shared" si="261"/>
        <v>42494</v>
      </c>
      <c r="T1152" s="8">
        <v>42582</v>
      </c>
      <c r="U1152" s="133">
        <f t="shared" si="263"/>
        <v>88</v>
      </c>
      <c r="V1152" s="8">
        <f t="shared" si="259"/>
        <v>352715</v>
      </c>
      <c r="W1152" s="8">
        <v>352958</v>
      </c>
      <c r="X1152" s="13">
        <f t="shared" si="248"/>
        <v>243</v>
      </c>
      <c r="Y1152" s="8">
        <f t="shared" si="255"/>
        <v>39554</v>
      </c>
      <c r="Z1152" s="8">
        <v>39578</v>
      </c>
      <c r="AA1152" s="13">
        <f t="shared" si="250"/>
        <v>24</v>
      </c>
      <c r="AB1152" s="8">
        <f t="shared" si="252"/>
        <v>255377</v>
      </c>
      <c r="AC1152" s="8">
        <v>255459</v>
      </c>
      <c r="AD1152" s="13">
        <f t="shared" si="264"/>
        <v>82</v>
      </c>
      <c r="AE1152" s="135"/>
      <c r="AF1152" s="135"/>
      <c r="AG1152" s="135"/>
      <c r="AH1152" s="136"/>
      <c r="AI1152" s="50">
        <f t="shared" si="267"/>
        <v>1663</v>
      </c>
    </row>
    <row r="1153" spans="1:35">
      <c r="A1153" s="12">
        <v>45528</v>
      </c>
      <c r="B1153" s="8">
        <f t="shared" si="262"/>
        <v>2042709</v>
      </c>
      <c r="C1153" s="8">
        <v>2042932</v>
      </c>
      <c r="D1153" s="13">
        <f t="shared" ref="D1153:D1206" si="268">C1153-B1153</f>
        <v>223</v>
      </c>
      <c r="E1153" s="77">
        <f t="shared" si="256"/>
        <v>23923</v>
      </c>
      <c r="F1153" s="69">
        <v>24621</v>
      </c>
      <c r="G1153" s="133">
        <f t="shared" si="254"/>
        <v>698</v>
      </c>
      <c r="H1153" s="8">
        <f>I1152</f>
        <v>357619</v>
      </c>
      <c r="I1153" s="8">
        <v>357619</v>
      </c>
      <c r="J1153" s="13">
        <f t="shared" si="266"/>
        <v>0</v>
      </c>
      <c r="K1153" s="138"/>
      <c r="L1153" s="8">
        <f t="shared" si="258"/>
        <v>1105469</v>
      </c>
      <c r="M1153" s="8">
        <v>1106572</v>
      </c>
      <c r="N1153" s="13">
        <f t="shared" si="247"/>
        <v>1103</v>
      </c>
      <c r="O1153" s="136">
        <f t="shared" si="265"/>
        <v>364</v>
      </c>
      <c r="P1153" s="8">
        <f t="shared" si="260"/>
        <v>581621</v>
      </c>
      <c r="Q1153" s="8">
        <v>582158</v>
      </c>
      <c r="R1153" s="133">
        <f t="shared" si="251"/>
        <v>537</v>
      </c>
      <c r="S1153" s="8">
        <f t="shared" si="261"/>
        <v>42582</v>
      </c>
      <c r="T1153" s="8">
        <v>42658</v>
      </c>
      <c r="U1153" s="133">
        <f t="shared" si="263"/>
        <v>76</v>
      </c>
      <c r="V1153" s="8">
        <f t="shared" si="259"/>
        <v>352958</v>
      </c>
      <c r="W1153" s="8">
        <v>353219</v>
      </c>
      <c r="X1153" s="13">
        <f t="shared" si="248"/>
        <v>261</v>
      </c>
      <c r="Y1153" s="8">
        <f t="shared" si="255"/>
        <v>39578</v>
      </c>
      <c r="Z1153" s="8">
        <v>39610</v>
      </c>
      <c r="AA1153" s="13">
        <f t="shared" si="250"/>
        <v>32</v>
      </c>
      <c r="AB1153" s="8">
        <f t="shared" si="252"/>
        <v>255459</v>
      </c>
      <c r="AC1153" s="8">
        <v>255515</v>
      </c>
      <c r="AD1153" s="13">
        <f t="shared" si="264"/>
        <v>56</v>
      </c>
      <c r="AE1153" s="135"/>
      <c r="AF1153" s="135"/>
      <c r="AG1153" s="135"/>
      <c r="AH1153" s="136"/>
      <c r="AI1153" s="50">
        <f t="shared" si="267"/>
        <v>1270</v>
      </c>
    </row>
    <row r="1154" spans="1:35">
      <c r="A1154" s="12">
        <v>45529</v>
      </c>
      <c r="B1154" s="8">
        <f t="shared" si="262"/>
        <v>2042932</v>
      </c>
      <c r="C1154" s="8">
        <v>2043347</v>
      </c>
      <c r="D1154" s="13">
        <f t="shared" si="268"/>
        <v>415</v>
      </c>
      <c r="E1154" s="77">
        <f t="shared" si="256"/>
        <v>24621</v>
      </c>
      <c r="F1154" s="69">
        <v>25377</v>
      </c>
      <c r="G1154" s="133">
        <f t="shared" si="254"/>
        <v>756</v>
      </c>
      <c r="H1154" s="8">
        <f t="shared" si="257"/>
        <v>357619</v>
      </c>
      <c r="I1154" s="8">
        <v>357619</v>
      </c>
      <c r="J1154" s="13">
        <f t="shared" si="266"/>
        <v>0</v>
      </c>
      <c r="K1154" s="138"/>
      <c r="L1154" s="8">
        <f t="shared" si="258"/>
        <v>1106572</v>
      </c>
      <c r="M1154" s="8">
        <v>1107583</v>
      </c>
      <c r="N1154" s="13">
        <f t="shared" ref="N1154:N1176" si="269">M1154-L1154</f>
        <v>1011</v>
      </c>
      <c r="O1154" s="136">
        <f t="shared" si="265"/>
        <v>699</v>
      </c>
      <c r="P1154" s="8">
        <f t="shared" si="260"/>
        <v>582158</v>
      </c>
      <c r="Q1154" s="8">
        <v>582665</v>
      </c>
      <c r="R1154" s="133">
        <f t="shared" si="251"/>
        <v>507</v>
      </c>
      <c r="S1154" s="8">
        <f t="shared" si="261"/>
        <v>42658</v>
      </c>
      <c r="T1154" s="8">
        <v>42685</v>
      </c>
      <c r="U1154" s="133">
        <f t="shared" si="263"/>
        <v>27</v>
      </c>
      <c r="V1154" s="8">
        <f t="shared" si="259"/>
        <v>353219</v>
      </c>
      <c r="W1154" s="8">
        <v>353470</v>
      </c>
      <c r="X1154" s="13">
        <f t="shared" ref="X1154:X1217" si="270">W1154-V1154</f>
        <v>251</v>
      </c>
      <c r="Y1154" s="8">
        <f t="shared" si="255"/>
        <v>39610</v>
      </c>
      <c r="Z1154" s="8">
        <v>39669</v>
      </c>
      <c r="AA1154" s="13">
        <f t="shared" si="250"/>
        <v>59</v>
      </c>
      <c r="AB1154" s="8">
        <f t="shared" si="252"/>
        <v>255515</v>
      </c>
      <c r="AC1154" s="8">
        <v>255577</v>
      </c>
      <c r="AD1154" s="13">
        <f t="shared" si="264"/>
        <v>62</v>
      </c>
      <c r="AE1154" s="135"/>
      <c r="AF1154" s="135"/>
      <c r="AG1154" s="135"/>
      <c r="AH1154" s="136"/>
      <c r="AI1154" s="50">
        <f t="shared" si="267"/>
        <v>1543</v>
      </c>
    </row>
    <row r="1155" spans="1:35">
      <c r="A1155" s="12">
        <v>45530</v>
      </c>
      <c r="B1155" s="8">
        <f t="shared" si="262"/>
        <v>2043347</v>
      </c>
      <c r="C1155" s="8">
        <v>2043946</v>
      </c>
      <c r="D1155" s="13">
        <f t="shared" si="268"/>
        <v>599</v>
      </c>
      <c r="E1155" s="77">
        <f t="shared" si="256"/>
        <v>25377</v>
      </c>
      <c r="F1155" s="69">
        <v>26142</v>
      </c>
      <c r="G1155" s="133">
        <f t="shared" si="254"/>
        <v>765</v>
      </c>
      <c r="H1155" s="8">
        <f t="shared" si="257"/>
        <v>357619</v>
      </c>
      <c r="I1155" s="8">
        <v>357619</v>
      </c>
      <c r="J1155" s="13">
        <f t="shared" si="266"/>
        <v>0</v>
      </c>
      <c r="K1155" s="138"/>
      <c r="L1155" s="8">
        <f t="shared" si="258"/>
        <v>1107583</v>
      </c>
      <c r="M1155" s="8">
        <v>1108622</v>
      </c>
      <c r="N1155" s="13">
        <f t="shared" si="269"/>
        <v>1039</v>
      </c>
      <c r="O1155" s="136">
        <f t="shared" si="265"/>
        <v>828</v>
      </c>
      <c r="P1155" s="8">
        <f t="shared" si="260"/>
        <v>582665</v>
      </c>
      <c r="Q1155" s="8">
        <v>583194</v>
      </c>
      <c r="R1155" s="133">
        <f t="shared" si="251"/>
        <v>529</v>
      </c>
      <c r="S1155" s="8">
        <f t="shared" si="261"/>
        <v>42685</v>
      </c>
      <c r="T1155" s="8">
        <v>42784</v>
      </c>
      <c r="U1155" s="133">
        <f t="shared" si="263"/>
        <v>99</v>
      </c>
      <c r="V1155" s="8">
        <v>353470</v>
      </c>
      <c r="W1155" s="8">
        <v>353696</v>
      </c>
      <c r="X1155" s="13">
        <f t="shared" si="270"/>
        <v>226</v>
      </c>
      <c r="Y1155" s="8">
        <f t="shared" si="255"/>
        <v>39669</v>
      </c>
      <c r="Z1155" s="8">
        <v>39736</v>
      </c>
      <c r="AA1155" s="13">
        <f t="shared" si="250"/>
        <v>67</v>
      </c>
      <c r="AB1155" s="8">
        <f t="shared" si="252"/>
        <v>255577</v>
      </c>
      <c r="AC1155" s="8">
        <v>255669</v>
      </c>
      <c r="AD1155" s="13">
        <f t="shared" si="264"/>
        <v>92</v>
      </c>
      <c r="AE1155" s="135"/>
      <c r="AF1155" s="135"/>
      <c r="AG1155" s="135"/>
      <c r="AH1155" s="136"/>
      <c r="AI1155" s="50">
        <f t="shared" si="267"/>
        <v>1749</v>
      </c>
    </row>
    <row r="1156" spans="1:35">
      <c r="A1156" s="12">
        <v>45531</v>
      </c>
      <c r="B1156" s="8">
        <f t="shared" si="262"/>
        <v>2043946</v>
      </c>
      <c r="C1156" s="8">
        <v>2044908</v>
      </c>
      <c r="D1156" s="13">
        <f t="shared" si="268"/>
        <v>962</v>
      </c>
      <c r="E1156" s="77">
        <f t="shared" si="256"/>
        <v>26142</v>
      </c>
      <c r="F1156" s="69">
        <v>26454</v>
      </c>
      <c r="G1156" s="133">
        <f t="shared" si="254"/>
        <v>312</v>
      </c>
      <c r="H1156" s="8">
        <f t="shared" si="257"/>
        <v>357619</v>
      </c>
      <c r="I1156" s="8">
        <v>357619</v>
      </c>
      <c r="J1156" s="13">
        <f t="shared" si="266"/>
        <v>0</v>
      </c>
      <c r="K1156" s="138"/>
      <c r="L1156" s="8">
        <f t="shared" si="258"/>
        <v>1108622</v>
      </c>
      <c r="M1156" s="8">
        <v>1109872</v>
      </c>
      <c r="N1156" s="13">
        <f t="shared" si="269"/>
        <v>1250</v>
      </c>
      <c r="O1156" s="136">
        <f t="shared" si="265"/>
        <v>789</v>
      </c>
      <c r="P1156" s="8">
        <f t="shared" si="260"/>
        <v>583194</v>
      </c>
      <c r="Q1156" s="8">
        <v>583744</v>
      </c>
      <c r="R1156" s="133">
        <f t="shared" si="251"/>
        <v>550</v>
      </c>
      <c r="S1156" s="8">
        <f t="shared" si="261"/>
        <v>42784</v>
      </c>
      <c r="T1156" s="8">
        <v>42794</v>
      </c>
      <c r="U1156" s="133">
        <f t="shared" si="263"/>
        <v>10</v>
      </c>
      <c r="V1156" s="8">
        <f t="shared" si="259"/>
        <v>353696</v>
      </c>
      <c r="W1156" s="8">
        <v>353772</v>
      </c>
      <c r="X1156" s="13">
        <f t="shared" si="270"/>
        <v>76</v>
      </c>
      <c r="Y1156" s="8">
        <f t="shared" si="255"/>
        <v>39736</v>
      </c>
      <c r="Z1156" s="8">
        <v>39753</v>
      </c>
      <c r="AA1156" s="13">
        <f t="shared" si="250"/>
        <v>17</v>
      </c>
      <c r="AB1156" s="8">
        <f t="shared" si="252"/>
        <v>255669</v>
      </c>
      <c r="AC1156" s="8">
        <v>255744</v>
      </c>
      <c r="AD1156" s="13">
        <f t="shared" si="264"/>
        <v>75</v>
      </c>
      <c r="AE1156" s="135"/>
      <c r="AF1156" s="135"/>
      <c r="AG1156" s="135"/>
      <c r="AH1156" s="136"/>
      <c r="AI1156" s="50">
        <f t="shared" si="267"/>
        <v>1442</v>
      </c>
    </row>
    <row r="1157" spans="1:35">
      <c r="A1157" s="12">
        <v>45532</v>
      </c>
      <c r="B1157" s="8">
        <f t="shared" si="262"/>
        <v>2044908</v>
      </c>
      <c r="C1157" s="8">
        <v>2045769</v>
      </c>
      <c r="D1157" s="13">
        <f t="shared" si="268"/>
        <v>861</v>
      </c>
      <c r="E1157" s="77">
        <f t="shared" si="256"/>
        <v>26454</v>
      </c>
      <c r="F1157" s="69">
        <v>27045</v>
      </c>
      <c r="G1157" s="133">
        <f t="shared" si="254"/>
        <v>591</v>
      </c>
      <c r="H1157" s="8">
        <f t="shared" si="257"/>
        <v>357619</v>
      </c>
      <c r="I1157" s="8">
        <v>357619</v>
      </c>
      <c r="J1157" s="13">
        <f t="shared" si="266"/>
        <v>0</v>
      </c>
      <c r="K1157" s="138"/>
      <c r="L1157" s="8">
        <f t="shared" si="258"/>
        <v>1109872</v>
      </c>
      <c r="M1157" s="8">
        <v>1111023</v>
      </c>
      <c r="N1157" s="13">
        <f t="shared" si="269"/>
        <v>1151</v>
      </c>
      <c r="O1157" s="136">
        <f t="shared" si="265"/>
        <v>967</v>
      </c>
      <c r="P1157" s="8">
        <f t="shared" si="260"/>
        <v>583744</v>
      </c>
      <c r="Q1157" s="8">
        <v>584270</v>
      </c>
      <c r="R1157" s="133">
        <f t="shared" si="251"/>
        <v>526</v>
      </c>
      <c r="S1157" s="8">
        <f t="shared" si="261"/>
        <v>42794</v>
      </c>
      <c r="T1157" s="8">
        <v>42885</v>
      </c>
      <c r="U1157" s="133">
        <f t="shared" si="263"/>
        <v>91</v>
      </c>
      <c r="V1157" s="8">
        <f t="shared" si="259"/>
        <v>353772</v>
      </c>
      <c r="W1157" s="8">
        <v>353902</v>
      </c>
      <c r="X1157" s="13">
        <f t="shared" si="270"/>
        <v>130</v>
      </c>
      <c r="Y1157" s="8">
        <f t="shared" si="255"/>
        <v>39753</v>
      </c>
      <c r="Z1157" s="8">
        <v>39777</v>
      </c>
      <c r="AA1157" s="13">
        <f t="shared" ref="AA1157:AA1220" si="271">Z1157-Y1157</f>
        <v>24</v>
      </c>
      <c r="AB1157" s="8">
        <f t="shared" si="252"/>
        <v>255744</v>
      </c>
      <c r="AC1157" s="8">
        <v>255876</v>
      </c>
      <c r="AD1157" s="13">
        <f t="shared" si="264"/>
        <v>132</v>
      </c>
      <c r="AE1157" s="135"/>
      <c r="AF1157" s="135"/>
      <c r="AG1157" s="135"/>
      <c r="AH1157" s="136"/>
      <c r="AI1157" s="50">
        <f t="shared" si="267"/>
        <v>1738</v>
      </c>
    </row>
    <row r="1158" spans="1:35">
      <c r="A1158" s="12">
        <v>45533</v>
      </c>
      <c r="B1158" s="8">
        <f t="shared" si="262"/>
        <v>2045769</v>
      </c>
      <c r="C1158" s="8">
        <v>2046257</v>
      </c>
      <c r="D1158" s="13">
        <f t="shared" si="268"/>
        <v>488</v>
      </c>
      <c r="E1158" s="77">
        <f t="shared" si="256"/>
        <v>27045</v>
      </c>
      <c r="F1158" s="69">
        <v>27805</v>
      </c>
      <c r="G1158" s="133">
        <f t="shared" si="254"/>
        <v>760</v>
      </c>
      <c r="H1158" s="8">
        <f t="shared" si="257"/>
        <v>357619</v>
      </c>
      <c r="I1158" s="8">
        <v>358236</v>
      </c>
      <c r="J1158" s="13">
        <f t="shared" si="266"/>
        <v>617</v>
      </c>
      <c r="K1158" s="138"/>
      <c r="L1158" s="8">
        <f t="shared" si="258"/>
        <v>1111023</v>
      </c>
      <c r="M1158" s="8">
        <v>1112113</v>
      </c>
      <c r="N1158" s="13">
        <f t="shared" si="269"/>
        <v>1090</v>
      </c>
      <c r="O1158" s="136">
        <f t="shared" si="265"/>
        <v>1328</v>
      </c>
      <c r="P1158" s="8">
        <f t="shared" si="260"/>
        <v>584270</v>
      </c>
      <c r="Q1158" s="8">
        <v>584834</v>
      </c>
      <c r="R1158" s="133">
        <f t="shared" si="251"/>
        <v>564</v>
      </c>
      <c r="S1158" s="8">
        <f t="shared" si="261"/>
        <v>42885</v>
      </c>
      <c r="T1158" s="8">
        <v>42975</v>
      </c>
      <c r="U1158" s="133">
        <f t="shared" si="263"/>
        <v>90</v>
      </c>
      <c r="V1158" s="8">
        <f t="shared" si="259"/>
        <v>353902</v>
      </c>
      <c r="W1158" s="8">
        <v>354131</v>
      </c>
      <c r="X1158" s="13">
        <f t="shared" si="270"/>
        <v>229</v>
      </c>
      <c r="Y1158" s="8">
        <f t="shared" si="255"/>
        <v>39777</v>
      </c>
      <c r="Z1158" s="8">
        <v>39801</v>
      </c>
      <c r="AA1158" s="13">
        <f t="shared" si="271"/>
        <v>24</v>
      </c>
      <c r="AB1158" s="8">
        <f t="shared" si="252"/>
        <v>255876</v>
      </c>
      <c r="AC1158" s="8">
        <v>255993</v>
      </c>
      <c r="AD1158" s="13">
        <f t="shared" si="264"/>
        <v>117</v>
      </c>
      <c r="AE1158" s="135"/>
      <c r="AF1158" s="135"/>
      <c r="AG1158" s="135"/>
      <c r="AH1158" s="136"/>
      <c r="AI1158" s="50">
        <f t="shared" si="267"/>
        <v>2235</v>
      </c>
    </row>
    <row r="1159" spans="1:35">
      <c r="A1159" s="12">
        <v>45534</v>
      </c>
      <c r="B1159" s="8">
        <f t="shared" si="262"/>
        <v>2046257</v>
      </c>
      <c r="C1159" s="8">
        <v>2046687</v>
      </c>
      <c r="D1159" s="13">
        <f t="shared" si="268"/>
        <v>430</v>
      </c>
      <c r="E1159" s="77">
        <f t="shared" si="256"/>
        <v>27805</v>
      </c>
      <c r="F1159" s="69">
        <v>28569</v>
      </c>
      <c r="G1159" s="133">
        <f t="shared" si="254"/>
        <v>764</v>
      </c>
      <c r="H1159" s="8">
        <f t="shared" si="257"/>
        <v>358236</v>
      </c>
      <c r="I1159" s="8">
        <v>358236</v>
      </c>
      <c r="J1159" s="13">
        <f t="shared" si="266"/>
        <v>0</v>
      </c>
      <c r="K1159" s="138"/>
      <c r="L1159" s="8">
        <f t="shared" si="258"/>
        <v>1112113</v>
      </c>
      <c r="M1159" s="8">
        <v>1113426</v>
      </c>
      <c r="N1159" s="13">
        <f t="shared" si="269"/>
        <v>1313</v>
      </c>
      <c r="O1159" s="136">
        <f t="shared" si="265"/>
        <v>613</v>
      </c>
      <c r="P1159" s="8">
        <f t="shared" si="260"/>
        <v>584834</v>
      </c>
      <c r="Q1159" s="8">
        <v>585430</v>
      </c>
      <c r="R1159" s="133">
        <f t="shared" si="251"/>
        <v>596</v>
      </c>
      <c r="S1159" s="8">
        <f t="shared" si="261"/>
        <v>42975</v>
      </c>
      <c r="T1159" s="8">
        <v>43009</v>
      </c>
      <c r="U1159" s="133">
        <f t="shared" si="263"/>
        <v>34</v>
      </c>
      <c r="V1159" s="8">
        <f t="shared" si="259"/>
        <v>354131</v>
      </c>
      <c r="W1159" s="8">
        <v>354407</v>
      </c>
      <c r="X1159" s="13">
        <f t="shared" si="270"/>
        <v>276</v>
      </c>
      <c r="Y1159" s="8">
        <f t="shared" si="255"/>
        <v>39801</v>
      </c>
      <c r="Z1159" s="8">
        <v>39822</v>
      </c>
      <c r="AA1159" s="13">
        <f t="shared" si="271"/>
        <v>21</v>
      </c>
      <c r="AB1159" s="8">
        <f t="shared" si="252"/>
        <v>255993</v>
      </c>
      <c r="AC1159" s="8">
        <v>256042</v>
      </c>
      <c r="AD1159" s="13">
        <f t="shared" si="264"/>
        <v>49</v>
      </c>
      <c r="AE1159" s="135"/>
      <c r="AF1159" s="135"/>
      <c r="AG1159" s="135"/>
      <c r="AH1159" s="136"/>
      <c r="AI1159" s="50">
        <f t="shared" si="267"/>
        <v>1540</v>
      </c>
    </row>
    <row r="1160" spans="1:35">
      <c r="A1160" s="12">
        <v>45535</v>
      </c>
      <c r="B1160" s="8">
        <f t="shared" si="262"/>
        <v>2046687</v>
      </c>
      <c r="C1160" s="8">
        <v>2046965</v>
      </c>
      <c r="D1160" s="13">
        <f t="shared" si="268"/>
        <v>278</v>
      </c>
      <c r="E1160" s="77">
        <f t="shared" si="256"/>
        <v>28569</v>
      </c>
      <c r="F1160" s="69">
        <v>28872</v>
      </c>
      <c r="G1160" s="133">
        <f t="shared" si="254"/>
        <v>303</v>
      </c>
      <c r="H1160" s="8">
        <f t="shared" si="257"/>
        <v>358236</v>
      </c>
      <c r="I1160" s="8">
        <v>358831</v>
      </c>
      <c r="J1160" s="13">
        <f t="shared" si="266"/>
        <v>595</v>
      </c>
      <c r="K1160" s="138"/>
      <c r="L1160" s="8">
        <f t="shared" si="258"/>
        <v>1113426</v>
      </c>
      <c r="M1160" s="8">
        <v>1113836</v>
      </c>
      <c r="N1160" s="13">
        <f t="shared" si="269"/>
        <v>410</v>
      </c>
      <c r="O1160" s="136">
        <f t="shared" si="265"/>
        <v>457</v>
      </c>
      <c r="P1160" s="8">
        <f t="shared" si="260"/>
        <v>585430</v>
      </c>
      <c r="Q1160" s="8">
        <v>586092</v>
      </c>
      <c r="R1160" s="133">
        <f t="shared" si="251"/>
        <v>662</v>
      </c>
      <c r="S1160" s="8">
        <f t="shared" si="261"/>
        <v>43009</v>
      </c>
      <c r="T1160" s="8">
        <v>43165</v>
      </c>
      <c r="U1160" s="133">
        <f t="shared" si="263"/>
        <v>156</v>
      </c>
      <c r="V1160" s="8">
        <f t="shared" si="259"/>
        <v>354407</v>
      </c>
      <c r="W1160" s="8">
        <v>354694</v>
      </c>
      <c r="X1160" s="13">
        <f t="shared" si="270"/>
        <v>287</v>
      </c>
      <c r="Y1160" s="8">
        <f t="shared" si="255"/>
        <v>39822</v>
      </c>
      <c r="Z1160" s="8">
        <v>39846</v>
      </c>
      <c r="AA1160" s="13">
        <f t="shared" si="271"/>
        <v>24</v>
      </c>
      <c r="AB1160" s="8">
        <f t="shared" si="252"/>
        <v>256042</v>
      </c>
      <c r="AC1160" s="8">
        <v>256141</v>
      </c>
      <c r="AD1160" s="13">
        <f t="shared" si="264"/>
        <v>99</v>
      </c>
      <c r="AE1160" s="135"/>
      <c r="AF1160" s="135"/>
      <c r="AG1160" s="135"/>
      <c r="AH1160" s="136"/>
      <c r="AI1160" s="50">
        <f t="shared" si="267"/>
        <v>1586</v>
      </c>
    </row>
    <row r="1161" spans="1:35">
      <c r="A1161" s="12">
        <v>45536</v>
      </c>
      <c r="B1161" s="8">
        <f t="shared" si="262"/>
        <v>2046965</v>
      </c>
      <c r="C1161" s="8">
        <v>2047179</v>
      </c>
      <c r="D1161" s="13">
        <f t="shared" si="268"/>
        <v>214</v>
      </c>
      <c r="E1161" s="77">
        <f t="shared" si="256"/>
        <v>28872</v>
      </c>
      <c r="F1161" s="69">
        <v>29533</v>
      </c>
      <c r="G1161" s="133">
        <f t="shared" si="254"/>
        <v>661</v>
      </c>
      <c r="H1161" s="8">
        <f t="shared" si="257"/>
        <v>358831</v>
      </c>
      <c r="I1161" s="8">
        <v>359531</v>
      </c>
      <c r="J1161" s="13">
        <f t="shared" si="266"/>
        <v>700</v>
      </c>
      <c r="K1161" s="138"/>
      <c r="L1161" s="8">
        <f t="shared" si="258"/>
        <v>1113836</v>
      </c>
      <c r="M1161" s="8">
        <v>1114276</v>
      </c>
      <c r="N1161" s="13">
        <f t="shared" si="269"/>
        <v>440</v>
      </c>
      <c r="O1161" s="136">
        <f t="shared" si="265"/>
        <v>982</v>
      </c>
      <c r="P1161" s="8">
        <f t="shared" si="260"/>
        <v>586092</v>
      </c>
      <c r="Q1161" s="8">
        <v>586677</v>
      </c>
      <c r="R1161" s="133">
        <f t="shared" si="251"/>
        <v>585</v>
      </c>
      <c r="S1161" s="8">
        <f t="shared" si="261"/>
        <v>43165</v>
      </c>
      <c r="T1161" s="8">
        <v>43266</v>
      </c>
      <c r="U1161" s="133">
        <f t="shared" si="263"/>
        <v>101</v>
      </c>
      <c r="V1161" s="8">
        <f t="shared" si="259"/>
        <v>354694</v>
      </c>
      <c r="W1161" s="8">
        <v>354968</v>
      </c>
      <c r="X1161" s="13">
        <f t="shared" si="270"/>
        <v>274</v>
      </c>
      <c r="Y1161" s="8">
        <f t="shared" si="255"/>
        <v>39846</v>
      </c>
      <c r="Z1161" s="8">
        <v>39888</v>
      </c>
      <c r="AA1161" s="13">
        <f t="shared" si="271"/>
        <v>42</v>
      </c>
      <c r="AB1161" s="8">
        <f t="shared" si="252"/>
        <v>256141</v>
      </c>
      <c r="AC1161" s="8">
        <v>256234</v>
      </c>
      <c r="AD1161" s="13">
        <f t="shared" si="264"/>
        <v>93</v>
      </c>
      <c r="AE1161" s="135"/>
      <c r="AF1161" s="135"/>
      <c r="AG1161" s="135"/>
      <c r="AH1161" s="136"/>
      <c r="AI1161" s="50">
        <f t="shared" si="267"/>
        <v>1984</v>
      </c>
    </row>
    <row r="1162" spans="1:35">
      <c r="A1162" s="12">
        <v>45537</v>
      </c>
      <c r="B1162" s="8">
        <f t="shared" si="262"/>
        <v>2047179</v>
      </c>
      <c r="C1162" s="8">
        <v>2047722</v>
      </c>
      <c r="D1162" s="13">
        <f t="shared" si="268"/>
        <v>543</v>
      </c>
      <c r="E1162" s="77">
        <f t="shared" si="256"/>
        <v>29533</v>
      </c>
      <c r="F1162" s="69">
        <v>30306</v>
      </c>
      <c r="G1162" s="133">
        <f t="shared" si="254"/>
        <v>773</v>
      </c>
      <c r="H1162" s="8">
        <f t="shared" si="257"/>
        <v>359531</v>
      </c>
      <c r="I1162" s="8">
        <v>360024</v>
      </c>
      <c r="J1162" s="13">
        <f t="shared" si="266"/>
        <v>493</v>
      </c>
      <c r="K1162" s="138"/>
      <c r="L1162" s="8">
        <f t="shared" si="258"/>
        <v>1114276</v>
      </c>
      <c r="M1162" s="8">
        <v>1114856</v>
      </c>
      <c r="N1162" s="13">
        <f t="shared" si="269"/>
        <v>580</v>
      </c>
      <c r="O1162" s="136">
        <f t="shared" si="265"/>
        <v>1535</v>
      </c>
      <c r="P1162" s="8">
        <f t="shared" si="260"/>
        <v>586677</v>
      </c>
      <c r="Q1162" s="8">
        <v>587087</v>
      </c>
      <c r="R1162" s="133">
        <f t="shared" si="251"/>
        <v>410</v>
      </c>
      <c r="S1162" s="8">
        <f t="shared" si="261"/>
        <v>43266</v>
      </c>
      <c r="T1162" s="8">
        <v>43266</v>
      </c>
      <c r="U1162" s="133">
        <f t="shared" si="263"/>
        <v>0</v>
      </c>
      <c r="V1162" s="8">
        <f t="shared" si="259"/>
        <v>354968</v>
      </c>
      <c r="W1162" s="8">
        <v>355235</v>
      </c>
      <c r="X1162" s="13">
        <f t="shared" si="270"/>
        <v>267</v>
      </c>
      <c r="Y1162" s="8">
        <f t="shared" si="255"/>
        <v>39888</v>
      </c>
      <c r="Z1162" s="8">
        <v>39909</v>
      </c>
      <c r="AA1162" s="13">
        <f t="shared" si="271"/>
        <v>21</v>
      </c>
      <c r="AB1162" s="8">
        <f t="shared" si="252"/>
        <v>256234</v>
      </c>
      <c r="AC1162" s="8">
        <v>256370</v>
      </c>
      <c r="AD1162" s="13">
        <f t="shared" si="264"/>
        <v>136</v>
      </c>
      <c r="AE1162" s="135"/>
      <c r="AF1162" s="135"/>
      <c r="AG1162" s="135"/>
      <c r="AH1162" s="136"/>
      <c r="AI1162" s="50">
        <f t="shared" si="267"/>
        <v>2233</v>
      </c>
    </row>
    <row r="1163" spans="1:35">
      <c r="A1163" s="12">
        <v>45538</v>
      </c>
      <c r="B1163" s="8">
        <f t="shared" si="262"/>
        <v>2047722</v>
      </c>
      <c r="C1163" s="8">
        <v>2048026</v>
      </c>
      <c r="D1163" s="13">
        <f t="shared" si="268"/>
        <v>304</v>
      </c>
      <c r="E1163" s="77">
        <f t="shared" si="256"/>
        <v>30306</v>
      </c>
      <c r="F1163" s="69">
        <v>31063</v>
      </c>
      <c r="G1163" s="133">
        <f t="shared" si="254"/>
        <v>757</v>
      </c>
      <c r="H1163" s="8">
        <f t="shared" si="257"/>
        <v>360024</v>
      </c>
      <c r="I1163" s="8">
        <v>360024</v>
      </c>
      <c r="J1163" s="13">
        <f t="shared" si="266"/>
        <v>0</v>
      </c>
      <c r="K1163" s="138"/>
      <c r="L1163" s="8">
        <f t="shared" si="258"/>
        <v>1114856</v>
      </c>
      <c r="M1163" s="8">
        <v>1116155</v>
      </c>
      <c r="N1163" s="13">
        <f t="shared" si="269"/>
        <v>1299</v>
      </c>
      <c r="O1163" s="136">
        <f t="shared" si="265"/>
        <v>1077</v>
      </c>
      <c r="P1163" s="8">
        <f t="shared" si="260"/>
        <v>587087</v>
      </c>
      <c r="Q1163" s="8">
        <v>587089</v>
      </c>
      <c r="R1163" s="133">
        <f t="shared" si="251"/>
        <v>2</v>
      </c>
      <c r="S1163" s="8">
        <f t="shared" si="261"/>
        <v>43266</v>
      </c>
      <c r="T1163" s="8">
        <v>43329</v>
      </c>
      <c r="U1163" s="133">
        <f t="shared" si="263"/>
        <v>63</v>
      </c>
      <c r="V1163" s="8">
        <f t="shared" si="259"/>
        <v>355235</v>
      </c>
      <c r="W1163" s="8">
        <v>355388</v>
      </c>
      <c r="X1163" s="13">
        <f t="shared" si="270"/>
        <v>153</v>
      </c>
      <c r="Y1163" s="8">
        <f t="shared" si="255"/>
        <v>39909</v>
      </c>
      <c r="Z1163" s="8">
        <v>39929</v>
      </c>
      <c r="AA1163" s="13">
        <f t="shared" si="271"/>
        <v>20</v>
      </c>
      <c r="AB1163" s="8">
        <f t="shared" si="252"/>
        <v>256370</v>
      </c>
      <c r="AC1163" s="8">
        <v>256451</v>
      </c>
      <c r="AD1163" s="13">
        <f t="shared" si="264"/>
        <v>81</v>
      </c>
      <c r="AE1163" s="135"/>
      <c r="AF1163" s="135"/>
      <c r="AG1163" s="135"/>
      <c r="AH1163" s="136"/>
      <c r="AI1163" s="50">
        <f t="shared" si="267"/>
        <v>1315</v>
      </c>
    </row>
    <row r="1164" spans="1:35">
      <c r="A1164" s="12">
        <v>45539</v>
      </c>
      <c r="B1164" s="8">
        <f t="shared" si="262"/>
        <v>2048026</v>
      </c>
      <c r="C1164" s="8">
        <v>2048338</v>
      </c>
      <c r="D1164" s="13">
        <f t="shared" si="268"/>
        <v>312</v>
      </c>
      <c r="E1164" s="77">
        <f t="shared" si="256"/>
        <v>31063</v>
      </c>
      <c r="F1164" s="69">
        <v>31848</v>
      </c>
      <c r="G1164" s="133">
        <f t="shared" si="254"/>
        <v>785</v>
      </c>
      <c r="H1164" s="8">
        <f t="shared" si="257"/>
        <v>360024</v>
      </c>
      <c r="I1164" s="8">
        <v>360024</v>
      </c>
      <c r="J1164" s="13">
        <f t="shared" si="266"/>
        <v>0</v>
      </c>
      <c r="K1164" s="138"/>
      <c r="L1164" s="8">
        <f t="shared" si="258"/>
        <v>1116155</v>
      </c>
      <c r="M1164" s="8">
        <v>1117387</v>
      </c>
      <c r="N1164" s="13">
        <f t="shared" si="269"/>
        <v>1232</v>
      </c>
      <c r="O1164" s="136">
        <f t="shared" si="265"/>
        <v>543</v>
      </c>
      <c r="P1164" s="8">
        <f t="shared" si="260"/>
        <v>587089</v>
      </c>
      <c r="Q1164" s="8">
        <v>587625</v>
      </c>
      <c r="R1164" s="133">
        <f t="shared" si="251"/>
        <v>536</v>
      </c>
      <c r="S1164" s="8">
        <f t="shared" si="261"/>
        <v>43329</v>
      </c>
      <c r="T1164" s="8">
        <v>43423</v>
      </c>
      <c r="U1164" s="133">
        <f t="shared" si="263"/>
        <v>94</v>
      </c>
      <c r="V1164" s="8">
        <f t="shared" si="259"/>
        <v>355388</v>
      </c>
      <c r="W1164" s="8">
        <v>355609</v>
      </c>
      <c r="X1164" s="13">
        <f t="shared" si="270"/>
        <v>221</v>
      </c>
      <c r="Y1164" s="8">
        <f t="shared" si="255"/>
        <v>39929</v>
      </c>
      <c r="Z1164" s="8">
        <v>39952</v>
      </c>
      <c r="AA1164" s="13">
        <f t="shared" si="271"/>
        <v>23</v>
      </c>
      <c r="AB1164" s="8">
        <f t="shared" si="252"/>
        <v>256451</v>
      </c>
      <c r="AC1164" s="8">
        <v>256527</v>
      </c>
      <c r="AD1164" s="13">
        <f t="shared" si="264"/>
        <v>76</v>
      </c>
      <c r="AE1164" s="135"/>
      <c r="AF1164" s="135"/>
      <c r="AG1164" s="135"/>
      <c r="AH1164" s="136"/>
      <c r="AI1164" s="50">
        <f t="shared" si="267"/>
        <v>1417</v>
      </c>
    </row>
    <row r="1165" spans="1:35">
      <c r="A1165" s="12">
        <v>45540</v>
      </c>
      <c r="B1165" s="8">
        <f t="shared" si="262"/>
        <v>2048338</v>
      </c>
      <c r="C1165" s="8">
        <v>2048920</v>
      </c>
      <c r="D1165" s="13">
        <f t="shared" si="268"/>
        <v>582</v>
      </c>
      <c r="E1165" s="77">
        <f t="shared" si="256"/>
        <v>31848</v>
      </c>
      <c r="F1165" s="69">
        <v>32628</v>
      </c>
      <c r="G1165" s="133">
        <f t="shared" si="254"/>
        <v>780</v>
      </c>
      <c r="H1165" s="8">
        <f t="shared" si="257"/>
        <v>360024</v>
      </c>
      <c r="I1165" s="8">
        <v>360024</v>
      </c>
      <c r="J1165" s="13">
        <f t="shared" si="266"/>
        <v>0</v>
      </c>
      <c r="K1165" s="138"/>
      <c r="L1165" s="8">
        <f t="shared" si="258"/>
        <v>1117387</v>
      </c>
      <c r="M1165" s="8">
        <v>1118609</v>
      </c>
      <c r="N1165" s="13">
        <f t="shared" si="269"/>
        <v>1222</v>
      </c>
      <c r="O1165" s="136">
        <f t="shared" si="265"/>
        <v>827</v>
      </c>
      <c r="P1165" s="8">
        <f t="shared" si="260"/>
        <v>587625</v>
      </c>
      <c r="Q1165" s="8">
        <v>588161</v>
      </c>
      <c r="R1165" s="133">
        <f t="shared" si="251"/>
        <v>536</v>
      </c>
      <c r="S1165" s="8">
        <f t="shared" si="261"/>
        <v>43423</v>
      </c>
      <c r="T1165" s="8">
        <v>43528</v>
      </c>
      <c r="U1165" s="133">
        <f t="shared" si="263"/>
        <v>105</v>
      </c>
      <c r="V1165" s="8">
        <f t="shared" si="259"/>
        <v>355609</v>
      </c>
      <c r="W1165" s="8">
        <v>355822</v>
      </c>
      <c r="X1165" s="13">
        <f t="shared" si="270"/>
        <v>213</v>
      </c>
      <c r="Y1165" s="8">
        <f t="shared" si="255"/>
        <v>39952</v>
      </c>
      <c r="Z1165" s="8">
        <v>39978</v>
      </c>
      <c r="AA1165" s="13">
        <f t="shared" si="271"/>
        <v>26</v>
      </c>
      <c r="AB1165" s="8">
        <f t="shared" si="252"/>
        <v>256527</v>
      </c>
      <c r="AC1165" s="8">
        <v>256633</v>
      </c>
      <c r="AD1165" s="13">
        <f t="shared" si="264"/>
        <v>106</v>
      </c>
      <c r="AE1165" s="135"/>
      <c r="AF1165" s="135"/>
      <c r="AG1165" s="135"/>
      <c r="AH1165" s="136"/>
      <c r="AI1165" s="50">
        <f t="shared" si="267"/>
        <v>1707</v>
      </c>
    </row>
    <row r="1166" spans="1:35">
      <c r="A1166" s="12">
        <v>45541</v>
      </c>
      <c r="B1166" s="8">
        <f t="shared" si="262"/>
        <v>2048920</v>
      </c>
      <c r="C1166" s="8">
        <v>2049588</v>
      </c>
      <c r="D1166" s="13">
        <f t="shared" si="268"/>
        <v>668</v>
      </c>
      <c r="E1166" s="77">
        <f t="shared" si="256"/>
        <v>32628</v>
      </c>
      <c r="F1166" s="69">
        <v>32728</v>
      </c>
      <c r="G1166" s="133">
        <f t="shared" si="254"/>
        <v>100</v>
      </c>
      <c r="H1166" s="8">
        <f t="shared" si="257"/>
        <v>360024</v>
      </c>
      <c r="I1166" s="8">
        <v>360024</v>
      </c>
      <c r="J1166" s="13">
        <f t="shared" si="266"/>
        <v>0</v>
      </c>
      <c r="K1166" s="138"/>
      <c r="L1166" s="8">
        <f t="shared" si="258"/>
        <v>1118609</v>
      </c>
      <c r="M1166" s="8">
        <v>1119439</v>
      </c>
      <c r="N1166" s="13">
        <f t="shared" si="269"/>
        <v>830</v>
      </c>
      <c r="O1166" s="136">
        <f t="shared" si="265"/>
        <v>535</v>
      </c>
      <c r="P1166" s="8">
        <f t="shared" si="260"/>
        <v>588161</v>
      </c>
      <c r="Q1166" s="8">
        <v>588503</v>
      </c>
      <c r="R1166" s="133">
        <f t="shared" si="251"/>
        <v>342</v>
      </c>
      <c r="S1166" s="8">
        <f t="shared" si="261"/>
        <v>43528</v>
      </c>
      <c r="T1166" s="8">
        <v>43531</v>
      </c>
      <c r="U1166" s="133">
        <f t="shared" si="263"/>
        <v>3</v>
      </c>
      <c r="V1166" s="8">
        <f t="shared" si="259"/>
        <v>355822</v>
      </c>
      <c r="W1166" s="8">
        <v>356098</v>
      </c>
      <c r="X1166" s="13">
        <f t="shared" si="270"/>
        <v>276</v>
      </c>
      <c r="Y1166" s="8">
        <f t="shared" si="255"/>
        <v>39978</v>
      </c>
      <c r="Z1166" s="8">
        <v>39999</v>
      </c>
      <c r="AA1166" s="13">
        <f t="shared" si="271"/>
        <v>21</v>
      </c>
      <c r="AB1166" s="8">
        <f t="shared" si="252"/>
        <v>256633</v>
      </c>
      <c r="AC1166" s="8">
        <v>256745</v>
      </c>
      <c r="AD1166" s="13">
        <f t="shared" si="264"/>
        <v>112</v>
      </c>
      <c r="AE1166" s="135"/>
      <c r="AF1166" s="135"/>
      <c r="AG1166" s="135"/>
      <c r="AH1166" s="136"/>
      <c r="AI1166" s="50">
        <f t="shared" si="267"/>
        <v>1177</v>
      </c>
    </row>
    <row r="1167" spans="1:35">
      <c r="A1167" s="12">
        <v>45542</v>
      </c>
      <c r="B1167" s="8">
        <f t="shared" si="262"/>
        <v>2049588</v>
      </c>
      <c r="C1167" s="8">
        <v>2050016</v>
      </c>
      <c r="D1167" s="13">
        <f t="shared" si="268"/>
        <v>428</v>
      </c>
      <c r="E1167" s="77">
        <f t="shared" si="256"/>
        <v>32728</v>
      </c>
      <c r="F1167" s="69">
        <v>33336</v>
      </c>
      <c r="G1167" s="133">
        <f t="shared" si="254"/>
        <v>608</v>
      </c>
      <c r="H1167" s="8">
        <f t="shared" si="257"/>
        <v>360024</v>
      </c>
      <c r="I1167" s="8">
        <v>360355</v>
      </c>
      <c r="J1167" s="13">
        <f t="shared" si="266"/>
        <v>331</v>
      </c>
      <c r="K1167" s="138"/>
      <c r="L1167" s="8">
        <f t="shared" si="258"/>
        <v>1119439</v>
      </c>
      <c r="M1167" s="8">
        <v>1119896</v>
      </c>
      <c r="N1167" s="13">
        <f t="shared" si="269"/>
        <v>457</v>
      </c>
      <c r="O1167" s="136">
        <f t="shared" si="265"/>
        <v>1362</v>
      </c>
      <c r="P1167" s="8">
        <f t="shared" si="260"/>
        <v>588503</v>
      </c>
      <c r="Q1167" s="8">
        <v>588590</v>
      </c>
      <c r="R1167" s="133">
        <f t="shared" si="251"/>
        <v>87</v>
      </c>
      <c r="S1167" s="8">
        <f t="shared" si="261"/>
        <v>43531</v>
      </c>
      <c r="T1167" s="8">
        <v>43560</v>
      </c>
      <c r="U1167" s="133">
        <f t="shared" si="263"/>
        <v>29</v>
      </c>
      <c r="V1167" s="8">
        <f t="shared" si="259"/>
        <v>356098</v>
      </c>
      <c r="W1167" s="8">
        <v>356324</v>
      </c>
      <c r="X1167" s="13">
        <f t="shared" si="270"/>
        <v>226</v>
      </c>
      <c r="Y1167" s="8">
        <f t="shared" si="255"/>
        <v>39999</v>
      </c>
      <c r="Z1167" s="8">
        <v>40020</v>
      </c>
      <c r="AA1167" s="13">
        <f t="shared" si="271"/>
        <v>21</v>
      </c>
      <c r="AB1167" s="8">
        <f t="shared" si="252"/>
        <v>256745</v>
      </c>
      <c r="AC1167" s="8">
        <v>256856</v>
      </c>
      <c r="AD1167" s="13">
        <f t="shared" si="264"/>
        <v>111</v>
      </c>
      <c r="AE1167" s="135"/>
      <c r="AF1167" s="135"/>
      <c r="AG1167" s="135"/>
      <c r="AH1167" s="136"/>
      <c r="AI1167" s="50">
        <f t="shared" si="267"/>
        <v>1725</v>
      </c>
    </row>
    <row r="1168" spans="1:35">
      <c r="A1168" s="12">
        <v>45543</v>
      </c>
      <c r="B1168" s="8">
        <f t="shared" si="262"/>
        <v>2050016</v>
      </c>
      <c r="C1168" s="8">
        <v>2050626</v>
      </c>
      <c r="D1168" s="13">
        <f t="shared" si="268"/>
        <v>610</v>
      </c>
      <c r="E1168" s="77">
        <f t="shared" si="256"/>
        <v>33336</v>
      </c>
      <c r="F1168" s="69">
        <v>34103</v>
      </c>
      <c r="G1168" s="133">
        <f t="shared" si="254"/>
        <v>767</v>
      </c>
      <c r="H1168" s="8">
        <f t="shared" si="257"/>
        <v>360355</v>
      </c>
      <c r="I1168" s="8">
        <v>360355</v>
      </c>
      <c r="J1168" s="13">
        <f t="shared" si="266"/>
        <v>0</v>
      </c>
      <c r="K1168" s="138"/>
      <c r="L1168" s="8">
        <f t="shared" si="258"/>
        <v>1119896</v>
      </c>
      <c r="M1168" s="8">
        <v>1121274</v>
      </c>
      <c r="N1168" s="13">
        <f t="shared" si="269"/>
        <v>1378</v>
      </c>
      <c r="O1168" s="136">
        <f t="shared" si="265"/>
        <v>1470</v>
      </c>
      <c r="P1168" s="8">
        <f t="shared" si="260"/>
        <v>588590</v>
      </c>
      <c r="Q1168" s="8">
        <v>588590</v>
      </c>
      <c r="R1168" s="133">
        <f t="shared" si="251"/>
        <v>0</v>
      </c>
      <c r="S1168" s="8">
        <f t="shared" si="261"/>
        <v>43560</v>
      </c>
      <c r="T1168" s="8">
        <v>43560</v>
      </c>
      <c r="U1168" s="133">
        <f t="shared" si="263"/>
        <v>0</v>
      </c>
      <c r="V1168" s="8">
        <f t="shared" si="259"/>
        <v>356324</v>
      </c>
      <c r="W1168" s="8">
        <v>356570</v>
      </c>
      <c r="X1168" s="13">
        <f t="shared" si="270"/>
        <v>246</v>
      </c>
      <c r="Y1168" s="8">
        <f t="shared" si="255"/>
        <v>40020</v>
      </c>
      <c r="Z1168" s="8">
        <v>40045</v>
      </c>
      <c r="AA1168" s="13">
        <f t="shared" si="271"/>
        <v>25</v>
      </c>
      <c r="AB1168" s="8">
        <f t="shared" si="252"/>
        <v>256856</v>
      </c>
      <c r="AC1168" s="8">
        <v>256949</v>
      </c>
      <c r="AD1168" s="13">
        <f t="shared" si="264"/>
        <v>93</v>
      </c>
      <c r="AE1168" s="135"/>
      <c r="AF1168" s="135"/>
      <c r="AG1168" s="135"/>
      <c r="AH1168" s="136"/>
      <c r="AI1168" s="50">
        <f t="shared" si="267"/>
        <v>1741</v>
      </c>
    </row>
    <row r="1169" spans="1:35">
      <c r="A1169" s="12">
        <v>45544</v>
      </c>
      <c r="B1169" s="8">
        <f t="shared" si="262"/>
        <v>2050626</v>
      </c>
      <c r="C1169" s="8">
        <v>2051188</v>
      </c>
      <c r="D1169" s="13">
        <f t="shared" si="268"/>
        <v>562</v>
      </c>
      <c r="E1169" s="77">
        <f t="shared" si="256"/>
        <v>34103</v>
      </c>
      <c r="F1169" s="69">
        <v>34876</v>
      </c>
      <c r="G1169" s="133">
        <f t="shared" si="254"/>
        <v>773</v>
      </c>
      <c r="H1169" s="8">
        <f t="shared" si="257"/>
        <v>360355</v>
      </c>
      <c r="I1169" s="8">
        <v>360355</v>
      </c>
      <c r="J1169" s="13">
        <f t="shared" si="266"/>
        <v>0</v>
      </c>
      <c r="K1169" s="138"/>
      <c r="L1169" s="8">
        <f t="shared" si="258"/>
        <v>1121274</v>
      </c>
      <c r="M1169" s="8">
        <v>1122356</v>
      </c>
      <c r="N1169" s="13">
        <f t="shared" si="269"/>
        <v>1082</v>
      </c>
      <c r="O1169" s="136">
        <f t="shared" si="265"/>
        <v>1404</v>
      </c>
      <c r="P1169" s="8">
        <f t="shared" si="260"/>
        <v>588590</v>
      </c>
      <c r="Q1169" s="8">
        <v>588590</v>
      </c>
      <c r="R1169" s="133">
        <f t="shared" si="251"/>
        <v>0</v>
      </c>
      <c r="S1169" s="8">
        <f t="shared" si="261"/>
        <v>43560</v>
      </c>
      <c r="T1169" s="8">
        <v>43589</v>
      </c>
      <c r="U1169" s="133">
        <f t="shared" si="263"/>
        <v>29</v>
      </c>
      <c r="V1169" s="8">
        <f t="shared" si="259"/>
        <v>356570</v>
      </c>
      <c r="W1169" s="8">
        <v>356832</v>
      </c>
      <c r="X1169" s="13">
        <f t="shared" si="270"/>
        <v>262</v>
      </c>
      <c r="Y1169" s="8">
        <f t="shared" si="255"/>
        <v>40045</v>
      </c>
      <c r="Z1169" s="8">
        <v>40069</v>
      </c>
      <c r="AA1169" s="13">
        <f t="shared" si="271"/>
        <v>24</v>
      </c>
      <c r="AB1169" s="8">
        <f t="shared" si="252"/>
        <v>256949</v>
      </c>
      <c r="AC1169" s="8">
        <v>257047</v>
      </c>
      <c r="AD1169" s="13">
        <f t="shared" si="264"/>
        <v>98</v>
      </c>
      <c r="AE1169" s="135"/>
      <c r="AF1169" s="135"/>
      <c r="AG1169" s="135"/>
      <c r="AH1169" s="136"/>
      <c r="AI1169" s="50">
        <f t="shared" si="267"/>
        <v>1719</v>
      </c>
    </row>
    <row r="1170" spans="1:35">
      <c r="A1170" s="12">
        <v>45545</v>
      </c>
      <c r="B1170" s="8">
        <f t="shared" si="262"/>
        <v>2051188</v>
      </c>
      <c r="C1170" s="8">
        <v>2051766</v>
      </c>
      <c r="D1170" s="13">
        <f t="shared" si="268"/>
        <v>578</v>
      </c>
      <c r="E1170" s="77">
        <f t="shared" si="256"/>
        <v>34876</v>
      </c>
      <c r="F1170" s="69">
        <v>35638</v>
      </c>
      <c r="G1170" s="133">
        <f t="shared" si="254"/>
        <v>762</v>
      </c>
      <c r="H1170" s="8">
        <f t="shared" si="257"/>
        <v>360355</v>
      </c>
      <c r="I1170" s="8">
        <v>360355</v>
      </c>
      <c r="J1170" s="13">
        <f t="shared" si="266"/>
        <v>0</v>
      </c>
      <c r="K1170" s="138"/>
      <c r="L1170" s="8">
        <f t="shared" si="258"/>
        <v>1122356</v>
      </c>
      <c r="M1170" s="8">
        <v>1123500</v>
      </c>
      <c r="N1170" s="13">
        <f t="shared" si="269"/>
        <v>1144</v>
      </c>
      <c r="O1170" s="136">
        <f t="shared" si="265"/>
        <v>879</v>
      </c>
      <c r="P1170" s="8">
        <f t="shared" si="260"/>
        <v>588590</v>
      </c>
      <c r="Q1170" s="8">
        <v>589100</v>
      </c>
      <c r="R1170" s="133">
        <f t="shared" si="251"/>
        <v>510</v>
      </c>
      <c r="S1170" s="8">
        <f t="shared" si="261"/>
        <v>43589</v>
      </c>
      <c r="T1170" s="8">
        <v>43637</v>
      </c>
      <c r="U1170" s="133">
        <f t="shared" si="263"/>
        <v>48</v>
      </c>
      <c r="V1170" s="8">
        <f t="shared" si="259"/>
        <v>356832</v>
      </c>
      <c r="W1170" s="8">
        <v>357077</v>
      </c>
      <c r="X1170" s="13">
        <f t="shared" si="270"/>
        <v>245</v>
      </c>
      <c r="Y1170" s="8">
        <f t="shared" si="255"/>
        <v>40069</v>
      </c>
      <c r="Z1170" s="8">
        <v>40090</v>
      </c>
      <c r="AA1170" s="13">
        <f t="shared" si="271"/>
        <v>21</v>
      </c>
      <c r="AB1170" s="8">
        <f t="shared" si="252"/>
        <v>257047</v>
      </c>
      <c r="AC1170" s="8">
        <v>257144</v>
      </c>
      <c r="AD1170" s="13">
        <f t="shared" si="264"/>
        <v>97</v>
      </c>
      <c r="AE1170" s="135"/>
      <c r="AF1170" s="135"/>
      <c r="AG1170" s="135"/>
      <c r="AH1170" s="136"/>
      <c r="AI1170" s="50">
        <f t="shared" si="267"/>
        <v>1703</v>
      </c>
    </row>
    <row r="1171" spans="1:35">
      <c r="A1171" s="12">
        <v>45546</v>
      </c>
      <c r="B1171" s="8">
        <f t="shared" si="262"/>
        <v>2051766</v>
      </c>
      <c r="C1171" s="8">
        <v>2052393</v>
      </c>
      <c r="D1171" s="13">
        <f t="shared" si="268"/>
        <v>627</v>
      </c>
      <c r="E1171" s="77">
        <f t="shared" si="256"/>
        <v>35638</v>
      </c>
      <c r="F1171" s="69">
        <v>36231</v>
      </c>
      <c r="G1171" s="133">
        <f t="shared" si="254"/>
        <v>593</v>
      </c>
      <c r="H1171" s="8">
        <f t="shared" si="257"/>
        <v>360355</v>
      </c>
      <c r="I1171" s="8">
        <v>360497</v>
      </c>
      <c r="J1171" s="13">
        <f t="shared" si="266"/>
        <v>142</v>
      </c>
      <c r="K1171" s="138"/>
      <c r="L1171" s="8">
        <f t="shared" si="258"/>
        <v>1123500</v>
      </c>
      <c r="M1171" s="8">
        <v>1124162</v>
      </c>
      <c r="N1171" s="13">
        <f t="shared" si="269"/>
        <v>662</v>
      </c>
      <c r="O1171" s="136">
        <f t="shared" si="265"/>
        <v>1222</v>
      </c>
      <c r="P1171" s="8">
        <f t="shared" si="260"/>
        <v>589100</v>
      </c>
      <c r="Q1171" s="8">
        <v>589342</v>
      </c>
      <c r="R1171" s="133">
        <f t="shared" si="251"/>
        <v>242</v>
      </c>
      <c r="S1171" s="8">
        <f t="shared" si="261"/>
        <v>43637</v>
      </c>
      <c r="T1171" s="8">
        <v>43637</v>
      </c>
      <c r="U1171" s="133">
        <f t="shared" si="263"/>
        <v>0</v>
      </c>
      <c r="V1171" s="8">
        <f t="shared" si="259"/>
        <v>357077</v>
      </c>
      <c r="W1171" s="8">
        <v>357338</v>
      </c>
      <c r="X1171" s="13">
        <f t="shared" si="270"/>
        <v>261</v>
      </c>
      <c r="Y1171" s="8">
        <f t="shared" si="255"/>
        <v>40090</v>
      </c>
      <c r="Z1171" s="8">
        <v>40115</v>
      </c>
      <c r="AA1171" s="13">
        <f t="shared" si="271"/>
        <v>25</v>
      </c>
      <c r="AB1171" s="8">
        <f t="shared" si="252"/>
        <v>257144</v>
      </c>
      <c r="AC1171" s="8">
        <v>257246</v>
      </c>
      <c r="AD1171" s="13">
        <f t="shared" si="264"/>
        <v>102</v>
      </c>
      <c r="AE1171" s="135"/>
      <c r="AF1171" s="135"/>
      <c r="AG1171" s="135"/>
      <c r="AH1171" s="136"/>
      <c r="AI1171" s="50">
        <f t="shared" si="267"/>
        <v>1750</v>
      </c>
    </row>
    <row r="1172" spans="1:35">
      <c r="A1172" s="12">
        <v>45547</v>
      </c>
      <c r="B1172" s="8">
        <f t="shared" si="262"/>
        <v>2052393</v>
      </c>
      <c r="C1172" s="8">
        <v>2053016</v>
      </c>
      <c r="D1172" s="13">
        <f t="shared" si="268"/>
        <v>623</v>
      </c>
      <c r="E1172" s="77">
        <f t="shared" si="256"/>
        <v>36231</v>
      </c>
      <c r="F1172" s="69">
        <v>36953</v>
      </c>
      <c r="G1172" s="133">
        <f t="shared" si="254"/>
        <v>722</v>
      </c>
      <c r="H1172" s="8">
        <f t="shared" si="257"/>
        <v>360497</v>
      </c>
      <c r="I1172" s="8">
        <v>360758</v>
      </c>
      <c r="J1172" s="13">
        <f t="shared" si="266"/>
        <v>261</v>
      </c>
      <c r="K1172" s="138"/>
      <c r="L1172" s="8">
        <f t="shared" si="258"/>
        <v>1124162</v>
      </c>
      <c r="M1172" s="8">
        <v>1125340</v>
      </c>
      <c r="N1172" s="13">
        <f t="shared" si="269"/>
        <v>1178</v>
      </c>
      <c r="O1172" s="136">
        <f t="shared" si="265"/>
        <v>1020</v>
      </c>
      <c r="P1172" s="8">
        <f t="shared" si="260"/>
        <v>589342</v>
      </c>
      <c r="Q1172" s="8">
        <v>590003</v>
      </c>
      <c r="R1172" s="133">
        <f t="shared" si="251"/>
        <v>661</v>
      </c>
      <c r="S1172" s="8">
        <f t="shared" si="261"/>
        <v>43637</v>
      </c>
      <c r="T1172" s="8">
        <v>43666</v>
      </c>
      <c r="U1172" s="133">
        <f t="shared" si="263"/>
        <v>29</v>
      </c>
      <c r="V1172" s="8">
        <f t="shared" si="259"/>
        <v>357338</v>
      </c>
      <c r="W1172" s="8">
        <v>357581</v>
      </c>
      <c r="X1172" s="13">
        <f t="shared" si="270"/>
        <v>243</v>
      </c>
      <c r="Y1172" s="8">
        <f t="shared" si="255"/>
        <v>40115</v>
      </c>
      <c r="Z1172" s="8">
        <v>40139</v>
      </c>
      <c r="AA1172" s="13">
        <f t="shared" si="271"/>
        <v>24</v>
      </c>
      <c r="AB1172" s="8">
        <f t="shared" si="252"/>
        <v>257246</v>
      </c>
      <c r="AC1172" s="8">
        <v>257350</v>
      </c>
      <c r="AD1172" s="13">
        <f t="shared" si="264"/>
        <v>104</v>
      </c>
      <c r="AE1172" s="135"/>
      <c r="AF1172" s="135"/>
      <c r="AG1172" s="135"/>
      <c r="AH1172" s="136"/>
      <c r="AI1172" s="50">
        <f t="shared" si="267"/>
        <v>1977</v>
      </c>
    </row>
    <row r="1173" spans="1:35">
      <c r="A1173" s="12">
        <v>45548</v>
      </c>
      <c r="B1173" s="8">
        <f t="shared" si="262"/>
        <v>2053016</v>
      </c>
      <c r="C1173" s="8">
        <v>2053653</v>
      </c>
      <c r="D1173" s="13">
        <f t="shared" si="268"/>
        <v>637</v>
      </c>
      <c r="E1173" s="77">
        <f t="shared" si="256"/>
        <v>36953</v>
      </c>
      <c r="F1173" s="69">
        <v>37774</v>
      </c>
      <c r="G1173" s="133">
        <f t="shared" si="254"/>
        <v>821</v>
      </c>
      <c r="H1173" s="8">
        <f t="shared" si="257"/>
        <v>360758</v>
      </c>
      <c r="I1173" s="8">
        <v>360758</v>
      </c>
      <c r="J1173" s="13">
        <f t="shared" si="266"/>
        <v>0</v>
      </c>
      <c r="K1173" s="138"/>
      <c r="L1173" s="8">
        <f t="shared" si="258"/>
        <v>1125340</v>
      </c>
      <c r="M1173" s="8">
        <v>1126569</v>
      </c>
      <c r="N1173" s="13">
        <f t="shared" si="269"/>
        <v>1229</v>
      </c>
      <c r="O1173" s="136">
        <f t="shared" si="265"/>
        <v>990</v>
      </c>
      <c r="P1173" s="8">
        <f t="shared" si="260"/>
        <v>590003</v>
      </c>
      <c r="Q1173" s="8">
        <v>590575</v>
      </c>
      <c r="R1173" s="133">
        <f t="shared" si="251"/>
        <v>572</v>
      </c>
      <c r="S1173" s="8">
        <f t="shared" si="261"/>
        <v>43666</v>
      </c>
      <c r="T1173" s="8">
        <v>43684</v>
      </c>
      <c r="U1173" s="133">
        <f t="shared" si="263"/>
        <v>18</v>
      </c>
      <c r="V1173" s="8">
        <f t="shared" si="259"/>
        <v>357581</v>
      </c>
      <c r="W1173" s="8">
        <v>357806</v>
      </c>
      <c r="X1173" s="13">
        <f t="shared" si="270"/>
        <v>225</v>
      </c>
      <c r="Y1173" s="8">
        <f t="shared" si="255"/>
        <v>40139</v>
      </c>
      <c r="Z1173" s="8">
        <v>40160</v>
      </c>
      <c r="AA1173" s="13">
        <f t="shared" si="271"/>
        <v>21</v>
      </c>
      <c r="AB1173" s="8">
        <f t="shared" si="252"/>
        <v>257350</v>
      </c>
      <c r="AC1173" s="8">
        <v>257472</v>
      </c>
      <c r="AD1173" s="13">
        <f t="shared" si="264"/>
        <v>122</v>
      </c>
      <c r="AE1173" s="135"/>
      <c r="AF1173" s="135"/>
      <c r="AG1173" s="135"/>
      <c r="AH1173" s="136"/>
      <c r="AI1173" s="50">
        <f t="shared" si="267"/>
        <v>1826</v>
      </c>
    </row>
    <row r="1174" spans="1:35">
      <c r="A1174" s="12">
        <v>45549</v>
      </c>
      <c r="B1174" s="8">
        <f t="shared" si="262"/>
        <v>2053653</v>
      </c>
      <c r="C1174" s="8">
        <v>2054169</v>
      </c>
      <c r="D1174" s="13">
        <f t="shared" si="268"/>
        <v>516</v>
      </c>
      <c r="E1174" s="77">
        <f t="shared" si="256"/>
        <v>37774</v>
      </c>
      <c r="F1174" s="69">
        <v>38513</v>
      </c>
      <c r="G1174" s="133">
        <f t="shared" si="254"/>
        <v>739</v>
      </c>
      <c r="H1174" s="8">
        <f t="shared" si="257"/>
        <v>360758</v>
      </c>
      <c r="I1174" s="8">
        <v>360758</v>
      </c>
      <c r="J1174" s="13">
        <f t="shared" si="266"/>
        <v>0</v>
      </c>
      <c r="K1174" s="138"/>
      <c r="L1174" s="8">
        <f t="shared" si="258"/>
        <v>1126569</v>
      </c>
      <c r="M1174" s="8">
        <v>1127844</v>
      </c>
      <c r="N1174" s="13">
        <f t="shared" si="269"/>
        <v>1275</v>
      </c>
      <c r="O1174" s="136">
        <f t="shared" si="265"/>
        <v>708</v>
      </c>
      <c r="P1174" s="8">
        <f t="shared" si="260"/>
        <v>590575</v>
      </c>
      <c r="Q1174" s="8">
        <v>591217</v>
      </c>
      <c r="R1174" s="133">
        <f t="shared" si="251"/>
        <v>642</v>
      </c>
      <c r="S1174" s="8">
        <f t="shared" si="261"/>
        <v>43684</v>
      </c>
      <c r="T1174" s="8">
        <v>43714</v>
      </c>
      <c r="U1174" s="133">
        <f t="shared" si="263"/>
        <v>30</v>
      </c>
      <c r="V1174" s="8">
        <f t="shared" si="259"/>
        <v>357806</v>
      </c>
      <c r="W1174" s="8">
        <v>358057</v>
      </c>
      <c r="X1174" s="13">
        <f t="shared" si="270"/>
        <v>251</v>
      </c>
      <c r="Y1174" s="8">
        <f t="shared" si="255"/>
        <v>40160</v>
      </c>
      <c r="Z1174" s="8">
        <v>40185</v>
      </c>
      <c r="AA1174" s="13">
        <f t="shared" si="271"/>
        <v>25</v>
      </c>
      <c r="AB1174" s="8">
        <f t="shared" si="252"/>
        <v>257472</v>
      </c>
      <c r="AC1174" s="8">
        <v>257597</v>
      </c>
      <c r="AD1174" s="13">
        <f t="shared" si="264"/>
        <v>125</v>
      </c>
      <c r="AE1174" s="135"/>
      <c r="AF1174" s="135"/>
      <c r="AG1174" s="135"/>
      <c r="AH1174" s="136"/>
      <c r="AI1174" s="50">
        <f t="shared" si="267"/>
        <v>1656</v>
      </c>
    </row>
    <row r="1175" spans="1:35">
      <c r="A1175" s="12">
        <v>45550</v>
      </c>
      <c r="B1175" s="8">
        <f t="shared" si="262"/>
        <v>2054169</v>
      </c>
      <c r="C1175" s="8">
        <v>2054743</v>
      </c>
      <c r="D1175" s="13">
        <f t="shared" si="268"/>
        <v>574</v>
      </c>
      <c r="E1175" s="77">
        <f t="shared" si="256"/>
        <v>38513</v>
      </c>
      <c r="F1175" s="69">
        <v>39297</v>
      </c>
      <c r="G1175" s="133">
        <f t="shared" si="254"/>
        <v>784</v>
      </c>
      <c r="H1175" s="8">
        <f t="shared" si="257"/>
        <v>360758</v>
      </c>
      <c r="I1175" s="8">
        <v>360758</v>
      </c>
      <c r="J1175" s="13">
        <f t="shared" si="266"/>
        <v>0</v>
      </c>
      <c r="K1175" s="138"/>
      <c r="L1175" s="8">
        <f t="shared" si="258"/>
        <v>1127844</v>
      </c>
      <c r="M1175" s="8">
        <v>1128899</v>
      </c>
      <c r="N1175" s="13">
        <f t="shared" si="269"/>
        <v>1055</v>
      </c>
      <c r="O1175" s="136">
        <f t="shared" si="265"/>
        <v>924</v>
      </c>
      <c r="P1175" s="8">
        <f t="shared" si="260"/>
        <v>591217</v>
      </c>
      <c r="Q1175" s="8">
        <v>591709</v>
      </c>
      <c r="R1175" s="133">
        <f t="shared" si="251"/>
        <v>492</v>
      </c>
      <c r="S1175" s="8">
        <f t="shared" si="261"/>
        <v>43714</v>
      </c>
      <c r="T1175" s="8">
        <v>43739</v>
      </c>
      <c r="U1175" s="133">
        <f t="shared" si="263"/>
        <v>25</v>
      </c>
      <c r="V1175" s="8">
        <f t="shared" si="259"/>
        <v>358057</v>
      </c>
      <c r="W1175" s="8">
        <v>358296</v>
      </c>
      <c r="X1175" s="13">
        <f t="shared" si="270"/>
        <v>239</v>
      </c>
      <c r="Y1175" s="8">
        <f t="shared" si="255"/>
        <v>40185</v>
      </c>
      <c r="Z1175" s="8">
        <v>40222</v>
      </c>
      <c r="AA1175" s="13">
        <f t="shared" si="271"/>
        <v>37</v>
      </c>
      <c r="AB1175" s="8">
        <f t="shared" si="252"/>
        <v>257597</v>
      </c>
      <c r="AC1175" s="8">
        <v>257680</v>
      </c>
      <c r="AD1175" s="13">
        <f t="shared" si="264"/>
        <v>83</v>
      </c>
      <c r="AE1175" s="135"/>
      <c r="AF1175" s="135"/>
      <c r="AG1175" s="135"/>
      <c r="AH1175" s="136"/>
      <c r="AI1175" s="50">
        <f t="shared" si="267"/>
        <v>1717</v>
      </c>
    </row>
    <row r="1176" spans="1:35">
      <c r="A1176" s="12">
        <v>45551</v>
      </c>
      <c r="B1176" s="8">
        <f t="shared" si="262"/>
        <v>2054743</v>
      </c>
      <c r="C1176" s="8">
        <v>2055333</v>
      </c>
      <c r="D1176" s="13">
        <f t="shared" si="268"/>
        <v>590</v>
      </c>
      <c r="E1176" s="77">
        <f t="shared" si="256"/>
        <v>39297</v>
      </c>
      <c r="F1176" s="69">
        <v>40020</v>
      </c>
      <c r="G1176" s="133">
        <f t="shared" si="254"/>
        <v>723</v>
      </c>
      <c r="H1176" s="8">
        <f t="shared" si="257"/>
        <v>360758</v>
      </c>
      <c r="I1176" s="8">
        <v>360758</v>
      </c>
      <c r="J1176" s="13">
        <f t="shared" si="266"/>
        <v>0</v>
      </c>
      <c r="K1176" s="138"/>
      <c r="L1176" s="8">
        <f t="shared" si="258"/>
        <v>1128899</v>
      </c>
      <c r="M1176" s="8">
        <v>1130092</v>
      </c>
      <c r="N1176" s="13">
        <f t="shared" si="269"/>
        <v>1193</v>
      </c>
      <c r="O1176" s="136">
        <f t="shared" si="265"/>
        <v>771</v>
      </c>
      <c r="P1176" s="8">
        <f t="shared" si="260"/>
        <v>591709</v>
      </c>
      <c r="Q1176" s="8">
        <v>592293</v>
      </c>
      <c r="R1176" s="133">
        <f t="shared" ref="R1176:R1239" si="272">Q1176-P1176</f>
        <v>584</v>
      </c>
      <c r="S1176" s="8">
        <f t="shared" si="261"/>
        <v>43739</v>
      </c>
      <c r="T1176" s="8">
        <v>43819</v>
      </c>
      <c r="U1176" s="133">
        <f t="shared" si="263"/>
        <v>80</v>
      </c>
      <c r="V1176" s="8">
        <f t="shared" si="259"/>
        <v>358296</v>
      </c>
      <c r="W1176" s="8">
        <v>358518</v>
      </c>
      <c r="X1176" s="13">
        <f t="shared" si="270"/>
        <v>222</v>
      </c>
      <c r="Y1176" s="8">
        <f t="shared" si="255"/>
        <v>40222</v>
      </c>
      <c r="Z1176" s="8">
        <v>40250</v>
      </c>
      <c r="AA1176" s="13">
        <f t="shared" si="271"/>
        <v>28</v>
      </c>
      <c r="AB1176" s="8">
        <f t="shared" si="252"/>
        <v>257680</v>
      </c>
      <c r="AC1176" s="8">
        <v>257802</v>
      </c>
      <c r="AD1176" s="13">
        <f t="shared" si="264"/>
        <v>122</v>
      </c>
      <c r="AE1176" s="135"/>
      <c r="AF1176" s="135"/>
      <c r="AG1176" s="135"/>
      <c r="AH1176" s="136"/>
      <c r="AI1176" s="50">
        <f t="shared" si="267"/>
        <v>1685</v>
      </c>
    </row>
    <row r="1177" spans="1:35">
      <c r="A1177" s="12">
        <v>45552</v>
      </c>
      <c r="B1177" s="8">
        <f t="shared" si="262"/>
        <v>2055333</v>
      </c>
      <c r="C1177" s="8">
        <v>2055762</v>
      </c>
      <c r="D1177" s="13">
        <f t="shared" si="268"/>
        <v>429</v>
      </c>
      <c r="E1177" s="77">
        <f t="shared" si="256"/>
        <v>40020</v>
      </c>
      <c r="F1177" s="69">
        <v>40778</v>
      </c>
      <c r="G1177" s="133">
        <f t="shared" si="254"/>
        <v>758</v>
      </c>
      <c r="H1177" s="8">
        <f t="shared" si="257"/>
        <v>360758</v>
      </c>
      <c r="I1177" s="8">
        <v>360758</v>
      </c>
      <c r="J1177" s="13">
        <f t="shared" si="266"/>
        <v>0</v>
      </c>
      <c r="K1177" s="138"/>
      <c r="L1177" s="8">
        <f t="shared" si="258"/>
        <v>1130092</v>
      </c>
      <c r="M1177" s="8">
        <v>1131304</v>
      </c>
      <c r="N1177" s="13">
        <f t="shared" ref="N1177:N1240" si="273">M1177-L1177</f>
        <v>1212</v>
      </c>
      <c r="O1177" s="136">
        <f t="shared" si="265"/>
        <v>694</v>
      </c>
      <c r="P1177" s="8">
        <f t="shared" si="260"/>
        <v>592293</v>
      </c>
      <c r="Q1177" s="8">
        <v>592813</v>
      </c>
      <c r="R1177" s="133">
        <f t="shared" si="272"/>
        <v>520</v>
      </c>
      <c r="S1177" s="8">
        <f t="shared" si="261"/>
        <v>43819</v>
      </c>
      <c r="T1177" s="8">
        <v>43827</v>
      </c>
      <c r="U1177" s="133">
        <v>60</v>
      </c>
      <c r="V1177" s="8">
        <f t="shared" si="259"/>
        <v>358518</v>
      </c>
      <c r="W1177" s="8">
        <v>358706</v>
      </c>
      <c r="X1177" s="13">
        <f t="shared" si="270"/>
        <v>188</v>
      </c>
      <c r="Y1177" s="8">
        <f t="shared" si="255"/>
        <v>40250</v>
      </c>
      <c r="Z1177" s="8">
        <v>40261</v>
      </c>
      <c r="AA1177" s="13">
        <f t="shared" si="271"/>
        <v>11</v>
      </c>
      <c r="AB1177" s="8">
        <f t="shared" ref="AB1177:AB1240" si="274">AC1176</f>
        <v>257802</v>
      </c>
      <c r="AC1177" s="8">
        <v>257889</v>
      </c>
      <c r="AD1177" s="13">
        <f t="shared" si="264"/>
        <v>87</v>
      </c>
      <c r="AE1177" s="135"/>
      <c r="AF1177" s="135"/>
      <c r="AG1177" s="135"/>
      <c r="AH1177" s="136"/>
      <c r="AI1177" s="50">
        <f t="shared" si="267"/>
        <v>1473</v>
      </c>
    </row>
    <row r="1178" spans="1:35">
      <c r="A1178" s="12">
        <v>45553</v>
      </c>
      <c r="B1178" s="8">
        <f t="shared" si="262"/>
        <v>2055762</v>
      </c>
      <c r="C1178" s="8">
        <v>2056374</v>
      </c>
      <c r="D1178" s="13">
        <f t="shared" si="268"/>
        <v>612</v>
      </c>
      <c r="E1178" s="77">
        <f t="shared" si="256"/>
        <v>40778</v>
      </c>
      <c r="F1178" s="69">
        <v>41562</v>
      </c>
      <c r="G1178" s="133">
        <f t="shared" si="254"/>
        <v>784</v>
      </c>
      <c r="H1178" s="8">
        <f t="shared" si="257"/>
        <v>360758</v>
      </c>
      <c r="I1178" s="8">
        <v>360758</v>
      </c>
      <c r="J1178" s="13">
        <f t="shared" si="266"/>
        <v>0</v>
      </c>
      <c r="K1178" s="138"/>
      <c r="L1178" s="8">
        <f t="shared" si="258"/>
        <v>1131304</v>
      </c>
      <c r="M1178" s="8">
        <v>1132459</v>
      </c>
      <c r="N1178" s="13">
        <f t="shared" si="273"/>
        <v>1155</v>
      </c>
      <c r="O1178" s="136">
        <f t="shared" si="265"/>
        <v>842</v>
      </c>
      <c r="P1178" s="8">
        <f t="shared" si="260"/>
        <v>592813</v>
      </c>
      <c r="Q1178" s="8">
        <v>593418</v>
      </c>
      <c r="R1178" s="133">
        <f t="shared" si="272"/>
        <v>605</v>
      </c>
      <c r="S1178" s="8">
        <f t="shared" si="261"/>
        <v>43827</v>
      </c>
      <c r="T1178" s="8">
        <v>43881</v>
      </c>
      <c r="U1178" s="133">
        <f t="shared" si="263"/>
        <v>54</v>
      </c>
      <c r="V1178" s="8">
        <f t="shared" si="259"/>
        <v>358706</v>
      </c>
      <c r="W1178" s="8">
        <v>358961</v>
      </c>
      <c r="X1178" s="13">
        <f t="shared" si="270"/>
        <v>255</v>
      </c>
      <c r="Y1178" s="8">
        <f t="shared" si="255"/>
        <v>40261</v>
      </c>
      <c r="Z1178" s="8">
        <v>40280</v>
      </c>
      <c r="AA1178" s="13">
        <f t="shared" si="271"/>
        <v>19</v>
      </c>
      <c r="AB1178" s="8">
        <f t="shared" si="274"/>
        <v>257889</v>
      </c>
      <c r="AC1178" s="8">
        <v>257994</v>
      </c>
      <c r="AD1178" s="13">
        <f t="shared" ref="AD1178:AD1209" si="275">AC1178-AB1178</f>
        <v>105</v>
      </c>
      <c r="AE1178" s="135"/>
      <c r="AF1178" s="135"/>
      <c r="AG1178" s="135"/>
      <c r="AH1178" s="136"/>
      <c r="AI1178" s="50">
        <f t="shared" si="267"/>
        <v>1775</v>
      </c>
    </row>
    <row r="1179" spans="1:35">
      <c r="A1179" s="12">
        <v>45554</v>
      </c>
      <c r="B1179" s="8">
        <f t="shared" si="262"/>
        <v>2056374</v>
      </c>
      <c r="C1179" s="8">
        <v>2057076</v>
      </c>
      <c r="D1179" s="13">
        <f t="shared" si="268"/>
        <v>702</v>
      </c>
      <c r="E1179" s="77">
        <f t="shared" si="256"/>
        <v>41562</v>
      </c>
      <c r="F1179" s="69">
        <v>42331</v>
      </c>
      <c r="G1179" s="133">
        <f t="shared" si="254"/>
        <v>769</v>
      </c>
      <c r="H1179" s="8">
        <f t="shared" si="257"/>
        <v>360758</v>
      </c>
      <c r="I1179" s="8">
        <v>360758</v>
      </c>
      <c r="J1179" s="13">
        <f t="shared" si="266"/>
        <v>0</v>
      </c>
      <c r="K1179" s="138"/>
      <c r="L1179" s="8">
        <f t="shared" si="258"/>
        <v>1132459</v>
      </c>
      <c r="M1179" s="8">
        <v>1133524</v>
      </c>
      <c r="N1179" s="13">
        <f t="shared" si="273"/>
        <v>1065</v>
      </c>
      <c r="O1179" s="136">
        <f t="shared" si="265"/>
        <v>984</v>
      </c>
      <c r="P1179" s="8">
        <f t="shared" si="260"/>
        <v>593418</v>
      </c>
      <c r="Q1179" s="8">
        <v>593899</v>
      </c>
      <c r="R1179" s="133">
        <f t="shared" si="272"/>
        <v>481</v>
      </c>
      <c r="S1179" s="8">
        <f t="shared" si="261"/>
        <v>43881</v>
      </c>
      <c r="T1179" s="8">
        <v>43986</v>
      </c>
      <c r="U1179" s="133">
        <f t="shared" si="263"/>
        <v>105</v>
      </c>
      <c r="V1179" s="8">
        <f t="shared" si="259"/>
        <v>358961</v>
      </c>
      <c r="W1179" s="8">
        <v>359189</v>
      </c>
      <c r="X1179" s="13">
        <f t="shared" si="270"/>
        <v>228</v>
      </c>
      <c r="Y1179" s="8">
        <f t="shared" si="255"/>
        <v>40280</v>
      </c>
      <c r="Z1179" s="8">
        <v>40307</v>
      </c>
      <c r="AA1179" s="13">
        <f t="shared" si="271"/>
        <v>27</v>
      </c>
      <c r="AB1179" s="8">
        <f t="shared" si="274"/>
        <v>257994</v>
      </c>
      <c r="AC1179" s="8">
        <v>258093</v>
      </c>
      <c r="AD1179" s="13">
        <f t="shared" si="275"/>
        <v>99</v>
      </c>
      <c r="AE1179" s="135"/>
      <c r="AF1179" s="135"/>
      <c r="AG1179" s="135"/>
      <c r="AH1179" s="136"/>
      <c r="AI1179" s="50">
        <f t="shared" si="267"/>
        <v>1825</v>
      </c>
    </row>
    <row r="1180" spans="1:35">
      <c r="A1180" s="12">
        <v>45555</v>
      </c>
      <c r="B1180" s="8">
        <f t="shared" si="262"/>
        <v>2057076</v>
      </c>
      <c r="C1180" s="8">
        <v>2057773</v>
      </c>
      <c r="D1180" s="13">
        <f t="shared" si="268"/>
        <v>697</v>
      </c>
      <c r="E1180" s="77">
        <f t="shared" si="256"/>
        <v>42331</v>
      </c>
      <c r="F1180" s="69">
        <v>43101</v>
      </c>
      <c r="G1180" s="133">
        <f t="shared" si="254"/>
        <v>770</v>
      </c>
      <c r="H1180" s="8">
        <f t="shared" si="257"/>
        <v>360758</v>
      </c>
      <c r="I1180" s="8">
        <v>360758</v>
      </c>
      <c r="J1180" s="13">
        <f t="shared" si="266"/>
        <v>0</v>
      </c>
      <c r="K1180" s="138"/>
      <c r="L1180" s="8">
        <f t="shared" si="258"/>
        <v>1133524</v>
      </c>
      <c r="M1180" s="8">
        <v>1134759</v>
      </c>
      <c r="N1180" s="13">
        <f t="shared" si="273"/>
        <v>1235</v>
      </c>
      <c r="O1180" s="136">
        <f t="shared" si="265"/>
        <v>1046</v>
      </c>
      <c r="P1180" s="8">
        <f t="shared" si="260"/>
        <v>593899</v>
      </c>
      <c r="Q1180" s="8">
        <v>594428</v>
      </c>
      <c r="R1180" s="133">
        <f t="shared" si="272"/>
        <v>529</v>
      </c>
      <c r="S1180" s="8">
        <f t="shared" si="261"/>
        <v>43986</v>
      </c>
      <c r="T1180" s="8">
        <v>43991</v>
      </c>
      <c r="U1180" s="133">
        <f t="shared" si="263"/>
        <v>5</v>
      </c>
      <c r="V1180" s="8">
        <f t="shared" si="259"/>
        <v>359189</v>
      </c>
      <c r="W1180" s="8">
        <v>359426</v>
      </c>
      <c r="X1180" s="13">
        <f t="shared" si="270"/>
        <v>237</v>
      </c>
      <c r="Y1180" s="8">
        <f t="shared" si="255"/>
        <v>40307</v>
      </c>
      <c r="Z1180" s="8">
        <v>40322</v>
      </c>
      <c r="AA1180" s="13">
        <f t="shared" si="271"/>
        <v>15</v>
      </c>
      <c r="AB1180" s="8">
        <f t="shared" si="274"/>
        <v>258093</v>
      </c>
      <c r="AC1180" s="8">
        <v>258206</v>
      </c>
      <c r="AD1180" s="13">
        <f t="shared" si="275"/>
        <v>113</v>
      </c>
      <c r="AE1180" s="135"/>
      <c r="AF1180" s="135"/>
      <c r="AG1180" s="135"/>
      <c r="AH1180" s="136"/>
      <c r="AI1180" s="50">
        <f t="shared" si="267"/>
        <v>1832</v>
      </c>
    </row>
    <row r="1181" spans="1:35">
      <c r="A1181" s="12">
        <v>45556</v>
      </c>
      <c r="B1181" s="8">
        <f t="shared" si="262"/>
        <v>2057773</v>
      </c>
      <c r="C1181" s="8">
        <v>2058260</v>
      </c>
      <c r="D1181" s="13">
        <f t="shared" si="268"/>
        <v>487</v>
      </c>
      <c r="E1181" s="77">
        <f t="shared" si="256"/>
        <v>43101</v>
      </c>
      <c r="F1181" s="69">
        <v>43855</v>
      </c>
      <c r="G1181" s="133">
        <f t="shared" si="254"/>
        <v>754</v>
      </c>
      <c r="H1181" s="8">
        <f t="shared" si="257"/>
        <v>360758</v>
      </c>
      <c r="I1181" s="8">
        <v>360758</v>
      </c>
      <c r="J1181" s="13">
        <f t="shared" si="266"/>
        <v>0</v>
      </c>
      <c r="K1181" s="138"/>
      <c r="L1181" s="8">
        <f t="shared" si="258"/>
        <v>1134759</v>
      </c>
      <c r="M1181" s="8">
        <v>1135831</v>
      </c>
      <c r="N1181" s="13">
        <f t="shared" si="273"/>
        <v>1072</v>
      </c>
      <c r="O1181" s="136">
        <f t="shared" si="265"/>
        <v>832</v>
      </c>
      <c r="P1181" s="8">
        <f t="shared" si="260"/>
        <v>594428</v>
      </c>
      <c r="Q1181" s="8">
        <v>594911</v>
      </c>
      <c r="R1181" s="133">
        <f t="shared" si="272"/>
        <v>483</v>
      </c>
      <c r="S1181" s="8">
        <f t="shared" si="261"/>
        <v>43991</v>
      </c>
      <c r="T1181" s="8">
        <v>44018</v>
      </c>
      <c r="U1181" s="133">
        <f t="shared" si="263"/>
        <v>27</v>
      </c>
      <c r="V1181" s="8">
        <f t="shared" si="259"/>
        <v>359426</v>
      </c>
      <c r="W1181" s="8">
        <v>359682</v>
      </c>
      <c r="X1181" s="13">
        <f t="shared" si="270"/>
        <v>256</v>
      </c>
      <c r="Y1181" s="8">
        <f t="shared" si="255"/>
        <v>40322</v>
      </c>
      <c r="Z1181" s="8">
        <v>40346</v>
      </c>
      <c r="AA1181" s="13">
        <f t="shared" si="271"/>
        <v>24</v>
      </c>
      <c r="AB1181" s="8">
        <f t="shared" si="274"/>
        <v>258206</v>
      </c>
      <c r="AC1181" s="8">
        <v>258307</v>
      </c>
      <c r="AD1181" s="13">
        <f t="shared" si="275"/>
        <v>101</v>
      </c>
      <c r="AE1181" s="135"/>
      <c r="AF1181" s="135"/>
      <c r="AG1181" s="135"/>
      <c r="AH1181" s="136"/>
      <c r="AI1181" s="50">
        <f t="shared" si="267"/>
        <v>1622</v>
      </c>
    </row>
    <row r="1182" spans="1:35">
      <c r="A1182" s="12">
        <v>45557</v>
      </c>
      <c r="B1182" s="8">
        <f t="shared" si="262"/>
        <v>2058260</v>
      </c>
      <c r="C1182" s="8">
        <v>2058920</v>
      </c>
      <c r="D1182" s="13">
        <f t="shared" si="268"/>
        <v>660</v>
      </c>
      <c r="E1182" s="77">
        <f t="shared" si="256"/>
        <v>43855</v>
      </c>
      <c r="F1182" s="69">
        <v>44637</v>
      </c>
      <c r="G1182" s="133">
        <f t="shared" si="254"/>
        <v>782</v>
      </c>
      <c r="H1182" s="8">
        <f t="shared" si="257"/>
        <v>360758</v>
      </c>
      <c r="I1182" s="8">
        <v>360758</v>
      </c>
      <c r="J1182" s="13">
        <f t="shared" si="266"/>
        <v>0</v>
      </c>
      <c r="K1182" s="138"/>
      <c r="L1182" s="8">
        <f t="shared" si="258"/>
        <v>1135831</v>
      </c>
      <c r="M1182" s="8">
        <v>1136913</v>
      </c>
      <c r="N1182" s="13">
        <f t="shared" si="273"/>
        <v>1082</v>
      </c>
      <c r="O1182" s="136">
        <f t="shared" si="265"/>
        <v>995</v>
      </c>
      <c r="P1182" s="8">
        <f t="shared" si="260"/>
        <v>594911</v>
      </c>
      <c r="Q1182" s="8">
        <v>595405</v>
      </c>
      <c r="R1182" s="133">
        <f t="shared" si="272"/>
        <v>494</v>
      </c>
      <c r="S1182" s="8">
        <f t="shared" si="261"/>
        <v>44018</v>
      </c>
      <c r="T1182" s="8">
        <v>44073</v>
      </c>
      <c r="U1182" s="133">
        <f t="shared" si="263"/>
        <v>55</v>
      </c>
      <c r="V1182" s="8">
        <f t="shared" si="259"/>
        <v>359682</v>
      </c>
      <c r="W1182" s="8">
        <v>359881</v>
      </c>
      <c r="X1182" s="13">
        <f t="shared" si="270"/>
        <v>199</v>
      </c>
      <c r="Y1182" s="8">
        <f t="shared" si="255"/>
        <v>40346</v>
      </c>
      <c r="Z1182" s="8">
        <v>40372</v>
      </c>
      <c r="AA1182" s="13">
        <f>Z1182-Y1182</f>
        <v>26</v>
      </c>
      <c r="AB1182" s="8">
        <f t="shared" si="274"/>
        <v>258307</v>
      </c>
      <c r="AC1182" s="8">
        <v>258409</v>
      </c>
      <c r="AD1182" s="13">
        <f t="shared" si="275"/>
        <v>102</v>
      </c>
      <c r="AE1182" s="135"/>
      <c r="AF1182" s="135"/>
      <c r="AG1182" s="135"/>
      <c r="AH1182" s="136"/>
      <c r="AI1182" s="50">
        <f t="shared" si="267"/>
        <v>1769</v>
      </c>
    </row>
    <row r="1183" spans="1:35">
      <c r="A1183" s="12">
        <v>45558</v>
      </c>
      <c r="B1183" s="8">
        <f t="shared" si="262"/>
        <v>2058920</v>
      </c>
      <c r="C1183" s="8">
        <v>2059341</v>
      </c>
      <c r="D1183" s="13">
        <f t="shared" si="268"/>
        <v>421</v>
      </c>
      <c r="E1183" s="77">
        <f t="shared" si="256"/>
        <v>44637</v>
      </c>
      <c r="F1183" s="69">
        <v>45397</v>
      </c>
      <c r="G1183" s="133">
        <f t="shared" si="254"/>
        <v>760</v>
      </c>
      <c r="H1183" s="8">
        <f t="shared" si="257"/>
        <v>360758</v>
      </c>
      <c r="I1183" s="8">
        <v>360758</v>
      </c>
      <c r="J1183" s="13">
        <f t="shared" si="266"/>
        <v>0</v>
      </c>
      <c r="K1183" s="138"/>
      <c r="L1183" s="8">
        <f t="shared" si="258"/>
        <v>1136913</v>
      </c>
      <c r="M1183" s="8">
        <v>1138043</v>
      </c>
      <c r="N1183" s="13">
        <f t="shared" si="273"/>
        <v>1130</v>
      </c>
      <c r="O1183" s="136">
        <f t="shared" si="265"/>
        <v>761</v>
      </c>
      <c r="P1183" s="8">
        <f t="shared" si="260"/>
        <v>595405</v>
      </c>
      <c r="Q1183" s="8">
        <v>595895</v>
      </c>
      <c r="R1183" s="133">
        <f t="shared" si="272"/>
        <v>490</v>
      </c>
      <c r="S1183" s="8">
        <f t="shared" si="261"/>
        <v>44073</v>
      </c>
      <c r="T1183" s="8">
        <v>44099</v>
      </c>
      <c r="U1183" s="133">
        <f t="shared" si="263"/>
        <v>26</v>
      </c>
      <c r="V1183" s="8">
        <f t="shared" si="259"/>
        <v>359881</v>
      </c>
      <c r="W1183" s="8">
        <v>360041</v>
      </c>
      <c r="X1183" s="13">
        <f t="shared" si="270"/>
        <v>160</v>
      </c>
      <c r="Y1183" s="8">
        <f t="shared" si="255"/>
        <v>40372</v>
      </c>
      <c r="Z1183" s="8">
        <v>40439</v>
      </c>
      <c r="AA1183" s="13">
        <f t="shared" si="271"/>
        <v>67</v>
      </c>
      <c r="AB1183" s="8">
        <f t="shared" si="274"/>
        <v>258409</v>
      </c>
      <c r="AC1183" s="8">
        <v>258505</v>
      </c>
      <c r="AD1183" s="13">
        <f t="shared" si="275"/>
        <v>96</v>
      </c>
      <c r="AE1183" s="135"/>
      <c r="AF1183" s="135"/>
      <c r="AG1183" s="135"/>
      <c r="AH1183" s="136"/>
      <c r="AI1183" s="50">
        <f t="shared" si="267"/>
        <v>1504</v>
      </c>
    </row>
    <row r="1184" spans="1:35">
      <c r="A1184" s="12">
        <v>45559</v>
      </c>
      <c r="B1184" s="8">
        <f t="shared" si="262"/>
        <v>2059341</v>
      </c>
      <c r="C1184" s="8">
        <v>2059970</v>
      </c>
      <c r="D1184" s="13">
        <f t="shared" si="268"/>
        <v>629</v>
      </c>
      <c r="E1184" s="77">
        <f t="shared" si="256"/>
        <v>45397</v>
      </c>
      <c r="F1184" s="69">
        <v>46190</v>
      </c>
      <c r="G1184" s="133">
        <f t="shared" si="254"/>
        <v>793</v>
      </c>
      <c r="H1184" s="8">
        <f t="shared" si="257"/>
        <v>360758</v>
      </c>
      <c r="I1184" s="8">
        <v>360758</v>
      </c>
      <c r="J1184" s="13">
        <f t="shared" si="266"/>
        <v>0</v>
      </c>
      <c r="K1184" s="138"/>
      <c r="L1184" s="8">
        <f t="shared" si="258"/>
        <v>1138043</v>
      </c>
      <c r="M1184" s="8">
        <v>1139211</v>
      </c>
      <c r="N1184" s="13">
        <f t="shared" si="273"/>
        <v>1168</v>
      </c>
      <c r="O1184" s="136">
        <f t="shared" si="265"/>
        <v>907</v>
      </c>
      <c r="P1184" s="8">
        <f t="shared" si="260"/>
        <v>595895</v>
      </c>
      <c r="Q1184" s="8">
        <v>596431</v>
      </c>
      <c r="R1184" s="133">
        <f t="shared" si="272"/>
        <v>536</v>
      </c>
      <c r="S1184" s="8">
        <f t="shared" si="261"/>
        <v>44099</v>
      </c>
      <c r="T1184" s="8">
        <v>44183</v>
      </c>
      <c r="U1184" s="133">
        <f t="shared" si="263"/>
        <v>84</v>
      </c>
      <c r="V1184" s="8">
        <f t="shared" si="259"/>
        <v>360041</v>
      </c>
      <c r="W1184" s="8">
        <v>360218</v>
      </c>
      <c r="X1184" s="13">
        <f t="shared" si="270"/>
        <v>177</v>
      </c>
      <c r="Y1184" s="8">
        <f t="shared" si="255"/>
        <v>40439</v>
      </c>
      <c r="Z1184" s="8">
        <v>40439</v>
      </c>
      <c r="AA1184" s="13">
        <f t="shared" si="271"/>
        <v>0</v>
      </c>
      <c r="AB1184" s="8">
        <f t="shared" si="274"/>
        <v>258505</v>
      </c>
      <c r="AC1184" s="8">
        <v>258610</v>
      </c>
      <c r="AD1184" s="13">
        <f t="shared" si="275"/>
        <v>105</v>
      </c>
      <c r="AE1184" s="135"/>
      <c r="AF1184" s="135"/>
      <c r="AG1184" s="135"/>
      <c r="AH1184" s="136"/>
      <c r="AI1184" s="50">
        <f t="shared" si="267"/>
        <v>1704</v>
      </c>
    </row>
    <row r="1185" spans="1:35">
      <c r="A1185" s="12">
        <v>45560</v>
      </c>
      <c r="B1185" s="8">
        <f t="shared" si="262"/>
        <v>2059970</v>
      </c>
      <c r="C1185" s="8">
        <v>2060558</v>
      </c>
      <c r="D1185" s="13">
        <f t="shared" si="268"/>
        <v>588</v>
      </c>
      <c r="E1185" s="77">
        <f t="shared" si="256"/>
        <v>46190</v>
      </c>
      <c r="F1185" s="69">
        <v>46887</v>
      </c>
      <c r="G1185" s="133">
        <f t="shared" ref="G1185:G1248" si="276">F1185-E1185</f>
        <v>697</v>
      </c>
      <c r="H1185" s="8">
        <f t="shared" si="257"/>
        <v>360758</v>
      </c>
      <c r="I1185" s="8">
        <v>360758</v>
      </c>
      <c r="J1185" s="13">
        <f t="shared" si="266"/>
        <v>0</v>
      </c>
      <c r="K1185" s="138"/>
      <c r="L1185" s="8">
        <f t="shared" si="258"/>
        <v>1139211</v>
      </c>
      <c r="M1185" s="8">
        <v>1140375</v>
      </c>
      <c r="N1185" s="13">
        <f t="shared" si="273"/>
        <v>1164</v>
      </c>
      <c r="O1185" s="136">
        <f t="shared" si="265"/>
        <v>722</v>
      </c>
      <c r="P1185" s="8">
        <f t="shared" si="260"/>
        <v>596431</v>
      </c>
      <c r="Q1185" s="8">
        <v>597001</v>
      </c>
      <c r="R1185" s="133">
        <f t="shared" si="272"/>
        <v>570</v>
      </c>
      <c r="S1185" s="8">
        <f t="shared" si="261"/>
        <v>44183</v>
      </c>
      <c r="T1185" s="8">
        <v>44255</v>
      </c>
      <c r="U1185" s="133">
        <f t="shared" si="263"/>
        <v>72</v>
      </c>
      <c r="V1185" s="8">
        <f t="shared" si="259"/>
        <v>360218</v>
      </c>
      <c r="W1185" s="8">
        <v>360392</v>
      </c>
      <c r="X1185" s="13">
        <f t="shared" si="270"/>
        <v>174</v>
      </c>
      <c r="Y1185" s="8">
        <f t="shared" si="255"/>
        <v>40439</v>
      </c>
      <c r="Z1185" s="8">
        <v>40470</v>
      </c>
      <c r="AA1185" s="13">
        <f t="shared" si="271"/>
        <v>31</v>
      </c>
      <c r="AB1185" s="8">
        <f t="shared" si="274"/>
        <v>258610</v>
      </c>
      <c r="AC1185" s="8">
        <v>258689</v>
      </c>
      <c r="AD1185" s="13">
        <f t="shared" si="275"/>
        <v>79</v>
      </c>
      <c r="AE1185" s="135"/>
      <c r="AF1185" s="135"/>
      <c r="AG1185" s="135"/>
      <c r="AH1185" s="136"/>
      <c r="AI1185" s="50">
        <f t="shared" si="267"/>
        <v>1569</v>
      </c>
    </row>
    <row r="1186" spans="1:35">
      <c r="A1186" s="12">
        <v>45561</v>
      </c>
      <c r="B1186" s="8">
        <f t="shared" si="262"/>
        <v>2060558</v>
      </c>
      <c r="C1186" s="8">
        <v>2060965</v>
      </c>
      <c r="D1186" s="13">
        <f t="shared" si="268"/>
        <v>407</v>
      </c>
      <c r="E1186" s="77">
        <f t="shared" si="256"/>
        <v>46887</v>
      </c>
      <c r="F1186" s="69">
        <v>47687</v>
      </c>
      <c r="G1186" s="133">
        <f t="shared" si="276"/>
        <v>800</v>
      </c>
      <c r="H1186" s="8">
        <f t="shared" si="257"/>
        <v>360758</v>
      </c>
      <c r="I1186" s="8">
        <v>360758</v>
      </c>
      <c r="J1186" s="13">
        <f t="shared" si="266"/>
        <v>0</v>
      </c>
      <c r="K1186" s="138"/>
      <c r="L1186" s="8">
        <f t="shared" si="258"/>
        <v>1140375</v>
      </c>
      <c r="M1186" s="8">
        <v>1141627</v>
      </c>
      <c r="N1186" s="13">
        <f t="shared" si="273"/>
        <v>1252</v>
      </c>
      <c r="O1186" s="136">
        <f t="shared" si="265"/>
        <v>573</v>
      </c>
      <c r="P1186" s="8">
        <f t="shared" si="260"/>
        <v>597001</v>
      </c>
      <c r="Q1186" s="8">
        <v>597611</v>
      </c>
      <c r="R1186" s="133">
        <f t="shared" si="272"/>
        <v>610</v>
      </c>
      <c r="S1186" s="8">
        <f t="shared" si="261"/>
        <v>44255</v>
      </c>
      <c r="T1186" s="8">
        <v>44299</v>
      </c>
      <c r="U1186" s="133">
        <f t="shared" si="263"/>
        <v>44</v>
      </c>
      <c r="V1186" s="8">
        <f t="shared" si="259"/>
        <v>360392</v>
      </c>
      <c r="W1186" s="8">
        <v>360578</v>
      </c>
      <c r="X1186" s="13">
        <f t="shared" si="270"/>
        <v>186</v>
      </c>
      <c r="Y1186" s="8">
        <f t="shared" si="255"/>
        <v>40470</v>
      </c>
      <c r="Z1186" s="8">
        <v>40489</v>
      </c>
      <c r="AA1186" s="13">
        <f t="shared" si="271"/>
        <v>19</v>
      </c>
      <c r="AB1186" s="8">
        <f t="shared" si="274"/>
        <v>258689</v>
      </c>
      <c r="AC1186" s="8">
        <v>258709</v>
      </c>
      <c r="AD1186" s="13">
        <f t="shared" si="275"/>
        <v>20</v>
      </c>
      <c r="AE1186" s="135"/>
      <c r="AF1186" s="135"/>
      <c r="AG1186" s="135"/>
      <c r="AH1186" s="136"/>
      <c r="AI1186" s="50">
        <f t="shared" si="267"/>
        <v>1432</v>
      </c>
    </row>
    <row r="1187" spans="1:35">
      <c r="A1187" s="12">
        <v>45562</v>
      </c>
      <c r="B1187" s="8">
        <f t="shared" si="262"/>
        <v>2060965</v>
      </c>
      <c r="C1187" s="8">
        <v>2061653</v>
      </c>
      <c r="D1187" s="13">
        <f t="shared" si="268"/>
        <v>688</v>
      </c>
      <c r="E1187" s="77">
        <f t="shared" si="256"/>
        <v>47687</v>
      </c>
      <c r="F1187" s="69">
        <v>48443</v>
      </c>
      <c r="G1187" s="133">
        <f t="shared" si="276"/>
        <v>756</v>
      </c>
      <c r="H1187" s="8">
        <f t="shared" si="257"/>
        <v>360758</v>
      </c>
      <c r="I1187" s="8">
        <v>360758</v>
      </c>
      <c r="J1187" s="13">
        <f t="shared" si="266"/>
        <v>0</v>
      </c>
      <c r="K1187" s="138"/>
      <c r="L1187" s="8">
        <f t="shared" si="258"/>
        <v>1141627</v>
      </c>
      <c r="M1187" s="8">
        <v>1142758</v>
      </c>
      <c r="N1187" s="13">
        <f t="shared" si="273"/>
        <v>1131</v>
      </c>
      <c r="O1187" s="136">
        <f t="shared" si="265"/>
        <v>920</v>
      </c>
      <c r="P1187" s="8">
        <f t="shared" si="260"/>
        <v>597611</v>
      </c>
      <c r="Q1187" s="8">
        <v>598151</v>
      </c>
      <c r="R1187" s="133">
        <f t="shared" si="272"/>
        <v>540</v>
      </c>
      <c r="S1187" s="8">
        <f t="shared" si="261"/>
        <v>44299</v>
      </c>
      <c r="T1187" s="8">
        <v>44333</v>
      </c>
      <c r="U1187" s="133">
        <f t="shared" si="263"/>
        <v>34</v>
      </c>
      <c r="V1187" s="8">
        <f t="shared" si="259"/>
        <v>360578</v>
      </c>
      <c r="W1187" s="8">
        <v>360806</v>
      </c>
      <c r="X1187" s="13">
        <f t="shared" si="270"/>
        <v>228</v>
      </c>
      <c r="Y1187" s="8">
        <f t="shared" si="255"/>
        <v>40489</v>
      </c>
      <c r="Z1187" s="8">
        <v>40512</v>
      </c>
      <c r="AA1187" s="13">
        <f t="shared" si="271"/>
        <v>23</v>
      </c>
      <c r="AB1187" s="8">
        <f t="shared" si="274"/>
        <v>258709</v>
      </c>
      <c r="AC1187" s="8">
        <v>258759</v>
      </c>
      <c r="AD1187" s="13">
        <f t="shared" si="275"/>
        <v>50</v>
      </c>
      <c r="AE1187" s="135"/>
      <c r="AF1187" s="135"/>
      <c r="AG1187" s="135"/>
      <c r="AH1187" s="136"/>
      <c r="AI1187" s="50">
        <f t="shared" si="267"/>
        <v>1745</v>
      </c>
    </row>
    <row r="1188" spans="1:35">
      <c r="A1188" s="12">
        <v>45563</v>
      </c>
      <c r="B1188" s="8">
        <f t="shared" si="262"/>
        <v>2061653</v>
      </c>
      <c r="C1188" s="8">
        <v>2062165</v>
      </c>
      <c r="D1188" s="13">
        <f t="shared" si="268"/>
        <v>512</v>
      </c>
      <c r="E1188" s="77">
        <f t="shared" si="256"/>
        <v>48443</v>
      </c>
      <c r="F1188" s="69">
        <v>49148</v>
      </c>
      <c r="G1188" s="133">
        <f t="shared" si="276"/>
        <v>705</v>
      </c>
      <c r="H1188" s="8">
        <f t="shared" si="257"/>
        <v>360758</v>
      </c>
      <c r="I1188" s="8">
        <v>360758</v>
      </c>
      <c r="J1188" s="13">
        <f t="shared" si="266"/>
        <v>0</v>
      </c>
      <c r="K1188" s="138"/>
      <c r="L1188" s="8">
        <f t="shared" si="258"/>
        <v>1142758</v>
      </c>
      <c r="M1188" s="8">
        <v>1144019</v>
      </c>
      <c r="N1188" s="13">
        <f t="shared" si="273"/>
        <v>1261</v>
      </c>
      <c r="O1188" s="136">
        <f t="shared" si="265"/>
        <v>613</v>
      </c>
      <c r="P1188" s="8">
        <f t="shared" si="260"/>
        <v>598151</v>
      </c>
      <c r="Q1188" s="8">
        <v>598776</v>
      </c>
      <c r="R1188" s="133">
        <f t="shared" si="272"/>
        <v>625</v>
      </c>
      <c r="S1188" s="8">
        <f t="shared" si="261"/>
        <v>44333</v>
      </c>
      <c r="T1188" s="8">
        <v>44360</v>
      </c>
      <c r="U1188" s="133">
        <f t="shared" si="263"/>
        <v>27</v>
      </c>
      <c r="V1188" s="8">
        <f t="shared" si="259"/>
        <v>360806</v>
      </c>
      <c r="W1188" s="8">
        <v>361044</v>
      </c>
      <c r="X1188" s="13">
        <f t="shared" si="270"/>
        <v>238</v>
      </c>
      <c r="Y1188" s="8">
        <f t="shared" si="255"/>
        <v>40512</v>
      </c>
      <c r="Z1188" s="8">
        <v>40532</v>
      </c>
      <c r="AA1188" s="13">
        <f t="shared" si="271"/>
        <v>20</v>
      </c>
      <c r="AB1188" s="8">
        <f t="shared" si="274"/>
        <v>258759</v>
      </c>
      <c r="AC1188" s="8">
        <v>258807</v>
      </c>
      <c r="AD1188" s="13">
        <f t="shared" si="275"/>
        <v>48</v>
      </c>
      <c r="AE1188" s="135"/>
      <c r="AF1188" s="135"/>
      <c r="AG1188" s="135"/>
      <c r="AH1188" s="136"/>
      <c r="AI1188" s="50">
        <f t="shared" si="267"/>
        <v>1523</v>
      </c>
    </row>
    <row r="1189" spans="1:35">
      <c r="A1189" s="12">
        <v>45564</v>
      </c>
      <c r="B1189" s="8">
        <f t="shared" si="262"/>
        <v>2062165</v>
      </c>
      <c r="C1189" s="8">
        <v>2062876</v>
      </c>
      <c r="D1189" s="13">
        <f t="shared" si="268"/>
        <v>711</v>
      </c>
      <c r="E1189" s="77">
        <f t="shared" si="256"/>
        <v>49148</v>
      </c>
      <c r="F1189" s="69">
        <v>49923</v>
      </c>
      <c r="G1189" s="133">
        <f t="shared" si="276"/>
        <v>775</v>
      </c>
      <c r="H1189" s="8">
        <f t="shared" si="257"/>
        <v>360758</v>
      </c>
      <c r="I1189" s="8">
        <v>360758</v>
      </c>
      <c r="J1189" s="13">
        <f t="shared" si="266"/>
        <v>0</v>
      </c>
      <c r="K1189" s="138"/>
      <c r="L1189" s="8">
        <f t="shared" si="258"/>
        <v>1144019</v>
      </c>
      <c r="M1189" s="8">
        <v>1145006</v>
      </c>
      <c r="N1189" s="13">
        <f t="shared" si="273"/>
        <v>987</v>
      </c>
      <c r="O1189" s="136">
        <f t="shared" si="265"/>
        <v>1080</v>
      </c>
      <c r="P1189" s="8">
        <f t="shared" si="260"/>
        <v>598776</v>
      </c>
      <c r="Q1189" s="8">
        <v>599249</v>
      </c>
      <c r="R1189" s="133">
        <f t="shared" si="272"/>
        <v>473</v>
      </c>
      <c r="S1189" s="8">
        <f t="shared" si="261"/>
        <v>44360</v>
      </c>
      <c r="T1189" s="8">
        <v>44380</v>
      </c>
      <c r="U1189" s="133">
        <f t="shared" si="263"/>
        <v>20</v>
      </c>
      <c r="V1189" s="8">
        <f t="shared" si="259"/>
        <v>361044</v>
      </c>
      <c r="W1189" s="8">
        <v>361245</v>
      </c>
      <c r="X1189" s="13">
        <f t="shared" si="270"/>
        <v>201</v>
      </c>
      <c r="Y1189" s="8">
        <f t="shared" si="255"/>
        <v>40532</v>
      </c>
      <c r="Z1189" s="8">
        <v>40575</v>
      </c>
      <c r="AA1189" s="13">
        <f t="shared" si="271"/>
        <v>43</v>
      </c>
      <c r="AB1189" s="8">
        <f t="shared" si="274"/>
        <v>258807</v>
      </c>
      <c r="AC1189" s="8">
        <v>258894</v>
      </c>
      <c r="AD1189" s="13">
        <f t="shared" si="275"/>
        <v>87</v>
      </c>
      <c r="AE1189" s="135"/>
      <c r="AF1189" s="135"/>
      <c r="AG1189" s="135"/>
      <c r="AH1189" s="136"/>
      <c r="AI1189" s="50">
        <f t="shared" si="267"/>
        <v>1817</v>
      </c>
    </row>
    <row r="1190" spans="1:35">
      <c r="A1190" s="12">
        <v>45565</v>
      </c>
      <c r="B1190" s="8">
        <f t="shared" si="262"/>
        <v>2062876</v>
      </c>
      <c r="C1190" s="8">
        <v>2063640</v>
      </c>
      <c r="D1190" s="13">
        <f t="shared" si="268"/>
        <v>764</v>
      </c>
      <c r="E1190" s="77">
        <f t="shared" si="256"/>
        <v>49923</v>
      </c>
      <c r="F1190" s="69">
        <v>50726</v>
      </c>
      <c r="G1190" s="133">
        <f t="shared" si="276"/>
        <v>803</v>
      </c>
      <c r="H1190" s="8">
        <f t="shared" si="257"/>
        <v>360758</v>
      </c>
      <c r="I1190" s="8">
        <v>360758</v>
      </c>
      <c r="J1190" s="13">
        <f t="shared" si="266"/>
        <v>0</v>
      </c>
      <c r="K1190" s="138"/>
      <c r="L1190" s="8">
        <f t="shared" si="258"/>
        <v>1145006</v>
      </c>
      <c r="M1190" s="8">
        <v>1146096</v>
      </c>
      <c r="N1190" s="13">
        <f t="shared" si="273"/>
        <v>1090</v>
      </c>
      <c r="O1190" s="136">
        <f t="shared" si="265"/>
        <v>1118</v>
      </c>
      <c r="P1190" s="8">
        <f t="shared" si="260"/>
        <v>599249</v>
      </c>
      <c r="Q1190" s="8">
        <v>599783</v>
      </c>
      <c r="R1190" s="133">
        <f t="shared" si="272"/>
        <v>534</v>
      </c>
      <c r="S1190" s="8">
        <f t="shared" si="261"/>
        <v>44380</v>
      </c>
      <c r="T1190" s="8">
        <v>44395</v>
      </c>
      <c r="U1190" s="133">
        <f t="shared" si="263"/>
        <v>15</v>
      </c>
      <c r="V1190" s="8">
        <f t="shared" si="259"/>
        <v>361245</v>
      </c>
      <c r="W1190" s="8">
        <v>361432</v>
      </c>
      <c r="X1190" s="13">
        <f t="shared" si="270"/>
        <v>187</v>
      </c>
      <c r="Y1190" s="8">
        <f t="shared" si="255"/>
        <v>40575</v>
      </c>
      <c r="Z1190" s="8">
        <v>40595</v>
      </c>
      <c r="AA1190" s="13">
        <f t="shared" si="271"/>
        <v>20</v>
      </c>
      <c r="AB1190" s="8">
        <f t="shared" si="274"/>
        <v>258894</v>
      </c>
      <c r="AC1190" s="8">
        <v>258994</v>
      </c>
      <c r="AD1190" s="13">
        <f t="shared" si="275"/>
        <v>100</v>
      </c>
      <c r="AE1190" s="135"/>
      <c r="AF1190" s="135"/>
      <c r="AG1190" s="135"/>
      <c r="AH1190" s="136"/>
      <c r="AI1190" s="50">
        <f t="shared" si="267"/>
        <v>1874</v>
      </c>
    </row>
    <row r="1191" spans="1:35">
      <c r="A1191" s="12">
        <v>45566</v>
      </c>
      <c r="B1191" s="8">
        <f t="shared" si="262"/>
        <v>2063640</v>
      </c>
      <c r="C1191" s="8">
        <v>2064372</v>
      </c>
      <c r="D1191" s="13">
        <f t="shared" si="268"/>
        <v>732</v>
      </c>
      <c r="E1191" s="77">
        <f t="shared" si="256"/>
        <v>50726</v>
      </c>
      <c r="F1191" s="69">
        <v>51387</v>
      </c>
      <c r="G1191" s="133">
        <f t="shared" si="276"/>
        <v>661</v>
      </c>
      <c r="H1191" s="8">
        <f t="shared" si="257"/>
        <v>360758</v>
      </c>
      <c r="I1191" s="8">
        <v>360758</v>
      </c>
      <c r="J1191" s="13">
        <f t="shared" si="266"/>
        <v>0</v>
      </c>
      <c r="K1191" s="138"/>
      <c r="L1191" s="8">
        <f t="shared" si="258"/>
        <v>1146096</v>
      </c>
      <c r="M1191" s="8">
        <v>1147208</v>
      </c>
      <c r="N1191" s="13">
        <f t="shared" si="273"/>
        <v>1112</v>
      </c>
      <c r="O1191" s="136">
        <f t="shared" si="265"/>
        <v>1011</v>
      </c>
      <c r="P1191" s="8">
        <f t="shared" si="260"/>
        <v>599783</v>
      </c>
      <c r="Q1191" s="8">
        <v>600269</v>
      </c>
      <c r="R1191" s="133">
        <f t="shared" si="272"/>
        <v>486</v>
      </c>
      <c r="S1191" s="8">
        <f t="shared" si="261"/>
        <v>44395</v>
      </c>
      <c r="T1191" s="8">
        <v>44399</v>
      </c>
      <c r="U1191" s="133">
        <f t="shared" si="263"/>
        <v>4</v>
      </c>
      <c r="V1191" s="8">
        <f t="shared" si="259"/>
        <v>361432</v>
      </c>
      <c r="W1191" s="8">
        <v>361616</v>
      </c>
      <c r="X1191" s="13">
        <f t="shared" si="270"/>
        <v>184</v>
      </c>
      <c r="Y1191" s="8">
        <f t="shared" si="255"/>
        <v>40595</v>
      </c>
      <c r="Z1191" s="8">
        <v>40615</v>
      </c>
      <c r="AA1191" s="13">
        <f t="shared" si="271"/>
        <v>20</v>
      </c>
      <c r="AB1191" s="8">
        <f t="shared" si="274"/>
        <v>258994</v>
      </c>
      <c r="AC1191" s="8">
        <v>259102</v>
      </c>
      <c r="AD1191" s="13">
        <f t="shared" si="275"/>
        <v>108</v>
      </c>
      <c r="AE1191" s="135"/>
      <c r="AF1191" s="135"/>
      <c r="AG1191" s="135"/>
      <c r="AH1191" s="136"/>
      <c r="AI1191" s="50">
        <f t="shared" si="267"/>
        <v>1705</v>
      </c>
    </row>
    <row r="1192" spans="1:35">
      <c r="A1192" s="12">
        <v>45567</v>
      </c>
      <c r="B1192" s="8">
        <f t="shared" si="262"/>
        <v>2064372</v>
      </c>
      <c r="C1192" s="8">
        <v>2065107</v>
      </c>
      <c r="D1192" s="13">
        <f t="shared" si="268"/>
        <v>735</v>
      </c>
      <c r="E1192" s="77">
        <f t="shared" si="256"/>
        <v>51387</v>
      </c>
      <c r="F1192" s="69">
        <v>51818</v>
      </c>
      <c r="G1192" s="133">
        <f t="shared" si="276"/>
        <v>431</v>
      </c>
      <c r="H1192" s="8">
        <f t="shared" si="257"/>
        <v>360758</v>
      </c>
      <c r="I1192" s="8">
        <v>360758</v>
      </c>
      <c r="J1192" s="13">
        <f t="shared" si="266"/>
        <v>0</v>
      </c>
      <c r="K1192" s="138"/>
      <c r="L1192" s="8">
        <f t="shared" si="258"/>
        <v>1147208</v>
      </c>
      <c r="M1192" s="8">
        <v>1148453</v>
      </c>
      <c r="N1192" s="13">
        <f t="shared" si="273"/>
        <v>1245</v>
      </c>
      <c r="O1192" s="136">
        <f t="shared" si="265"/>
        <v>544</v>
      </c>
      <c r="P1192" s="8">
        <f t="shared" si="260"/>
        <v>600269</v>
      </c>
      <c r="Q1192" s="8">
        <v>600886</v>
      </c>
      <c r="R1192" s="133">
        <f t="shared" si="272"/>
        <v>617</v>
      </c>
      <c r="S1192" s="8">
        <f t="shared" si="261"/>
        <v>44399</v>
      </c>
      <c r="T1192" s="8">
        <v>44486</v>
      </c>
      <c r="U1192" s="133">
        <f t="shared" si="263"/>
        <v>87</v>
      </c>
      <c r="V1192" s="8">
        <f t="shared" si="259"/>
        <v>361616</v>
      </c>
      <c r="W1192" s="8">
        <v>361841</v>
      </c>
      <c r="X1192" s="13">
        <f t="shared" si="270"/>
        <v>225</v>
      </c>
      <c r="Y1192" s="8">
        <f t="shared" si="255"/>
        <v>40615</v>
      </c>
      <c r="Z1192" s="8">
        <v>40637</v>
      </c>
      <c r="AA1192" s="13">
        <f t="shared" si="271"/>
        <v>22</v>
      </c>
      <c r="AB1192" s="8">
        <f t="shared" si="274"/>
        <v>259102</v>
      </c>
      <c r="AC1192" s="8">
        <v>259184</v>
      </c>
      <c r="AD1192" s="13">
        <f t="shared" si="275"/>
        <v>82</v>
      </c>
      <c r="AE1192" s="135"/>
      <c r="AF1192" s="135"/>
      <c r="AG1192" s="135"/>
      <c r="AH1192" s="136"/>
      <c r="AI1192" s="50">
        <f t="shared" si="267"/>
        <v>1495</v>
      </c>
    </row>
    <row r="1193" spans="1:35">
      <c r="A1193" s="12">
        <v>45568</v>
      </c>
      <c r="B1193" s="8">
        <f t="shared" si="262"/>
        <v>2065107</v>
      </c>
      <c r="C1193" s="8">
        <v>2065820</v>
      </c>
      <c r="D1193" s="13">
        <f t="shared" si="268"/>
        <v>713</v>
      </c>
      <c r="E1193" s="77">
        <f t="shared" si="256"/>
        <v>51818</v>
      </c>
      <c r="F1193" s="69">
        <v>52420</v>
      </c>
      <c r="G1193" s="133">
        <f t="shared" si="276"/>
        <v>602</v>
      </c>
      <c r="H1193" s="8">
        <f t="shared" si="257"/>
        <v>360758</v>
      </c>
      <c r="I1193" s="8">
        <v>360758</v>
      </c>
      <c r="J1193" s="13">
        <f t="shared" si="266"/>
        <v>0</v>
      </c>
      <c r="K1193" s="138"/>
      <c r="L1193" s="8">
        <f t="shared" si="258"/>
        <v>1148453</v>
      </c>
      <c r="M1193" s="8">
        <v>1149647</v>
      </c>
      <c r="N1193" s="13">
        <f t="shared" si="273"/>
        <v>1194</v>
      </c>
      <c r="O1193" s="136">
        <f t="shared" si="265"/>
        <v>809</v>
      </c>
      <c r="P1193" s="8">
        <f t="shared" si="260"/>
        <v>600886</v>
      </c>
      <c r="Q1193" s="8">
        <v>601476</v>
      </c>
      <c r="R1193" s="133">
        <f t="shared" si="272"/>
        <v>590</v>
      </c>
      <c r="S1193" s="8">
        <f t="shared" si="261"/>
        <v>44486</v>
      </c>
      <c r="T1193" s="8">
        <v>44504</v>
      </c>
      <c r="U1193" s="133">
        <f t="shared" si="263"/>
        <v>18</v>
      </c>
      <c r="V1193" s="8">
        <f t="shared" si="259"/>
        <v>361841</v>
      </c>
      <c r="W1193" s="8">
        <v>362038</v>
      </c>
      <c r="X1193" s="13">
        <f t="shared" si="270"/>
        <v>197</v>
      </c>
      <c r="Y1193" s="8">
        <f t="shared" si="255"/>
        <v>40637</v>
      </c>
      <c r="Z1193" s="8">
        <v>40656</v>
      </c>
      <c r="AA1193" s="13">
        <f t="shared" si="271"/>
        <v>19</v>
      </c>
      <c r="AB1193" s="8">
        <f t="shared" si="274"/>
        <v>259184</v>
      </c>
      <c r="AC1193" s="8">
        <v>259286</v>
      </c>
      <c r="AD1193" s="13">
        <f t="shared" si="275"/>
        <v>102</v>
      </c>
      <c r="AE1193" s="135"/>
      <c r="AF1193" s="135"/>
      <c r="AG1193" s="135"/>
      <c r="AH1193" s="136"/>
      <c r="AI1193" s="50">
        <f t="shared" si="267"/>
        <v>1633</v>
      </c>
    </row>
    <row r="1194" spans="1:35">
      <c r="A1194" s="12">
        <v>45569</v>
      </c>
      <c r="B1194" s="8">
        <f t="shared" si="262"/>
        <v>2065820</v>
      </c>
      <c r="C1194" s="8">
        <v>2066489</v>
      </c>
      <c r="D1194" s="13">
        <f t="shared" si="268"/>
        <v>669</v>
      </c>
      <c r="E1194" s="77">
        <f t="shared" si="256"/>
        <v>52420</v>
      </c>
      <c r="F1194" s="69">
        <v>53222</v>
      </c>
      <c r="G1194" s="133">
        <f t="shared" si="276"/>
        <v>802</v>
      </c>
      <c r="H1194" s="8">
        <f t="shared" si="257"/>
        <v>360758</v>
      </c>
      <c r="I1194" s="8">
        <v>360758</v>
      </c>
      <c r="J1194" s="13">
        <f t="shared" si="266"/>
        <v>0</v>
      </c>
      <c r="K1194" s="138"/>
      <c r="L1194" s="8">
        <f t="shared" si="258"/>
        <v>1149647</v>
      </c>
      <c r="M1194" s="8">
        <v>1150997</v>
      </c>
      <c r="N1194" s="13">
        <f t="shared" si="273"/>
        <v>1350</v>
      </c>
      <c r="O1194" s="136">
        <f t="shared" si="265"/>
        <v>864</v>
      </c>
      <c r="P1194" s="8">
        <f t="shared" si="260"/>
        <v>601476</v>
      </c>
      <c r="Q1194" s="8">
        <v>602065</v>
      </c>
      <c r="R1194" s="133">
        <f t="shared" si="272"/>
        <v>589</v>
      </c>
      <c r="S1194" s="8">
        <f t="shared" si="261"/>
        <v>44504</v>
      </c>
      <c r="T1194" s="8">
        <v>44609</v>
      </c>
      <c r="U1194" s="133">
        <f t="shared" si="263"/>
        <v>105</v>
      </c>
      <c r="V1194" s="8">
        <f t="shared" si="259"/>
        <v>362038</v>
      </c>
      <c r="W1194" s="8">
        <v>362210</v>
      </c>
      <c r="X1194" s="13">
        <f t="shared" si="270"/>
        <v>172</v>
      </c>
      <c r="Y1194" s="8">
        <f t="shared" ref="Y1194:Y1257" si="277">Z1193</f>
        <v>40656</v>
      </c>
      <c r="Z1194" s="8">
        <v>40671</v>
      </c>
      <c r="AA1194" s="13">
        <f t="shared" si="271"/>
        <v>15</v>
      </c>
      <c r="AB1194" s="8">
        <f t="shared" si="274"/>
        <v>259286</v>
      </c>
      <c r="AC1194" s="8">
        <v>259373</v>
      </c>
      <c r="AD1194" s="13">
        <f t="shared" si="275"/>
        <v>87</v>
      </c>
      <c r="AE1194" s="135"/>
      <c r="AF1194" s="135"/>
      <c r="AG1194" s="135"/>
      <c r="AH1194" s="136"/>
      <c r="AI1194" s="50">
        <f t="shared" si="267"/>
        <v>1745</v>
      </c>
    </row>
    <row r="1195" spans="1:35">
      <c r="A1195" s="12">
        <v>45570</v>
      </c>
      <c r="B1195" s="8">
        <f t="shared" si="262"/>
        <v>2066489</v>
      </c>
      <c r="C1195" s="8">
        <v>2066814</v>
      </c>
      <c r="D1195" s="13">
        <f t="shared" si="268"/>
        <v>325</v>
      </c>
      <c r="E1195" s="77">
        <f t="shared" si="256"/>
        <v>53222</v>
      </c>
      <c r="F1195" s="69">
        <v>53943</v>
      </c>
      <c r="G1195" s="133">
        <f t="shared" si="276"/>
        <v>721</v>
      </c>
      <c r="H1195" s="8">
        <f t="shared" si="257"/>
        <v>360758</v>
      </c>
      <c r="I1195" s="8">
        <v>360758</v>
      </c>
      <c r="J1195" s="13">
        <f t="shared" si="266"/>
        <v>0</v>
      </c>
      <c r="K1195" s="138"/>
      <c r="L1195" s="8">
        <f t="shared" si="258"/>
        <v>1150997</v>
      </c>
      <c r="M1195" s="8">
        <v>1152111</v>
      </c>
      <c r="N1195" s="13">
        <f t="shared" si="273"/>
        <v>1114</v>
      </c>
      <c r="O1195" s="136">
        <f t="shared" si="265"/>
        <v>562</v>
      </c>
      <c r="P1195" s="8">
        <f t="shared" si="260"/>
        <v>602065</v>
      </c>
      <c r="Q1195" s="8">
        <v>602596</v>
      </c>
      <c r="R1195" s="133">
        <f t="shared" si="272"/>
        <v>531</v>
      </c>
      <c r="S1195" s="8">
        <f t="shared" si="261"/>
        <v>44609</v>
      </c>
      <c r="T1195" s="8">
        <v>44659</v>
      </c>
      <c r="U1195" s="133">
        <f t="shared" si="263"/>
        <v>50</v>
      </c>
      <c r="V1195" s="8">
        <f t="shared" si="259"/>
        <v>362210</v>
      </c>
      <c r="W1195" s="8">
        <v>362401</v>
      </c>
      <c r="X1195" s="13">
        <f t="shared" si="270"/>
        <v>191</v>
      </c>
      <c r="Y1195" s="8">
        <f t="shared" si="277"/>
        <v>40671</v>
      </c>
      <c r="Z1195" s="8">
        <v>40689</v>
      </c>
      <c r="AA1195" s="13">
        <f t="shared" si="271"/>
        <v>18</v>
      </c>
      <c r="AB1195" s="8">
        <f t="shared" si="274"/>
        <v>259373</v>
      </c>
      <c r="AC1195" s="8">
        <v>259470</v>
      </c>
      <c r="AD1195" s="13">
        <f t="shared" si="275"/>
        <v>97</v>
      </c>
      <c r="AE1195" s="135"/>
      <c r="AF1195" s="135"/>
      <c r="AG1195" s="135"/>
      <c r="AH1195" s="136"/>
      <c r="AI1195" s="50">
        <f t="shared" si="267"/>
        <v>1352</v>
      </c>
    </row>
    <row r="1196" spans="1:35">
      <c r="A1196" s="12">
        <v>45571</v>
      </c>
      <c r="B1196" s="8">
        <f t="shared" si="262"/>
        <v>2066814</v>
      </c>
      <c r="C1196" s="8">
        <v>2067552</v>
      </c>
      <c r="D1196" s="13">
        <f t="shared" si="268"/>
        <v>738</v>
      </c>
      <c r="E1196" s="77">
        <f t="shared" ref="E1196:E1260" si="278">F1195</f>
        <v>53943</v>
      </c>
      <c r="F1196" s="69">
        <v>54748</v>
      </c>
      <c r="G1196" s="133">
        <f t="shared" si="276"/>
        <v>805</v>
      </c>
      <c r="H1196" s="8">
        <f t="shared" si="257"/>
        <v>360758</v>
      </c>
      <c r="I1196" s="8">
        <v>360758</v>
      </c>
      <c r="J1196" s="13">
        <f t="shared" si="266"/>
        <v>0</v>
      </c>
      <c r="K1196" s="138"/>
      <c r="L1196" s="8">
        <f t="shared" si="258"/>
        <v>1152111</v>
      </c>
      <c r="M1196" s="8">
        <v>1153317</v>
      </c>
      <c r="N1196" s="13">
        <f t="shared" si="273"/>
        <v>1206</v>
      </c>
      <c r="O1196" s="136">
        <f t="shared" si="265"/>
        <v>1031</v>
      </c>
      <c r="P1196" s="8">
        <f t="shared" si="260"/>
        <v>602596</v>
      </c>
      <c r="Q1196" s="8">
        <v>603170</v>
      </c>
      <c r="R1196" s="133">
        <f t="shared" si="272"/>
        <v>574</v>
      </c>
      <c r="S1196" s="8">
        <f t="shared" si="261"/>
        <v>44659</v>
      </c>
      <c r="T1196" s="8">
        <v>44694</v>
      </c>
      <c r="U1196" s="133">
        <f t="shared" si="263"/>
        <v>35</v>
      </c>
      <c r="V1196" s="8">
        <f t="shared" si="259"/>
        <v>362401</v>
      </c>
      <c r="W1196" s="8">
        <v>362570</v>
      </c>
      <c r="X1196" s="13">
        <f t="shared" si="270"/>
        <v>169</v>
      </c>
      <c r="Y1196" s="8">
        <f t="shared" si="277"/>
        <v>40689</v>
      </c>
      <c r="Z1196" s="8">
        <v>40736</v>
      </c>
      <c r="AA1196" s="13">
        <f t="shared" si="271"/>
        <v>47</v>
      </c>
      <c r="AB1196" s="8">
        <f t="shared" si="274"/>
        <v>259470</v>
      </c>
      <c r="AC1196" s="8">
        <v>259567</v>
      </c>
      <c r="AD1196" s="13">
        <f t="shared" si="275"/>
        <v>97</v>
      </c>
      <c r="AE1196" s="135"/>
      <c r="AF1196" s="135"/>
      <c r="AG1196" s="135"/>
      <c r="AH1196" s="136"/>
      <c r="AI1196" s="50">
        <f t="shared" si="267"/>
        <v>1856</v>
      </c>
    </row>
    <row r="1197" spans="1:35">
      <c r="A1197" s="12">
        <v>45572</v>
      </c>
      <c r="B1197" s="8">
        <f t="shared" si="262"/>
        <v>2067552</v>
      </c>
      <c r="C1197" s="8">
        <v>2068157</v>
      </c>
      <c r="D1197" s="13">
        <f t="shared" si="268"/>
        <v>605</v>
      </c>
      <c r="E1197" s="77">
        <f t="shared" si="278"/>
        <v>54748</v>
      </c>
      <c r="F1197" s="69">
        <v>55510</v>
      </c>
      <c r="G1197" s="133">
        <f t="shared" si="276"/>
        <v>762</v>
      </c>
      <c r="H1197" s="8">
        <f t="shared" si="257"/>
        <v>360758</v>
      </c>
      <c r="I1197" s="8">
        <v>360758</v>
      </c>
      <c r="J1197" s="13">
        <f t="shared" si="266"/>
        <v>0</v>
      </c>
      <c r="K1197" s="138"/>
      <c r="L1197" s="8">
        <f t="shared" si="258"/>
        <v>1153317</v>
      </c>
      <c r="M1197" s="8">
        <v>1154351</v>
      </c>
      <c r="N1197" s="13">
        <f t="shared" si="273"/>
        <v>1034</v>
      </c>
      <c r="O1197" s="136">
        <f t="shared" si="265"/>
        <v>949</v>
      </c>
      <c r="P1197" s="8">
        <f t="shared" si="260"/>
        <v>603170</v>
      </c>
      <c r="Q1197" s="8">
        <v>603591</v>
      </c>
      <c r="R1197" s="133">
        <f t="shared" si="272"/>
        <v>421</v>
      </c>
      <c r="S1197" s="8">
        <f t="shared" si="261"/>
        <v>44694</v>
      </c>
      <c r="T1197" s="8">
        <v>44799</v>
      </c>
      <c r="U1197" s="133">
        <f t="shared" si="263"/>
        <v>105</v>
      </c>
      <c r="V1197" s="8">
        <f t="shared" si="259"/>
        <v>362570</v>
      </c>
      <c r="W1197" s="8">
        <v>362768</v>
      </c>
      <c r="X1197" s="13">
        <f t="shared" si="270"/>
        <v>198</v>
      </c>
      <c r="Y1197" s="8">
        <f t="shared" si="277"/>
        <v>40736</v>
      </c>
      <c r="Z1197" s="8">
        <v>40758</v>
      </c>
      <c r="AA1197" s="13">
        <f t="shared" si="271"/>
        <v>22</v>
      </c>
      <c r="AB1197" s="8">
        <f t="shared" si="274"/>
        <v>259567</v>
      </c>
      <c r="AC1197" s="8">
        <v>259675</v>
      </c>
      <c r="AD1197" s="13">
        <f t="shared" si="275"/>
        <v>108</v>
      </c>
      <c r="AE1197" s="135"/>
      <c r="AF1197" s="135"/>
      <c r="AG1197" s="135"/>
      <c r="AH1197" s="136"/>
      <c r="AI1197" s="50">
        <f t="shared" si="267"/>
        <v>1695</v>
      </c>
    </row>
    <row r="1198" spans="1:35">
      <c r="A1198" s="12">
        <v>45573</v>
      </c>
      <c r="B1198" s="8">
        <f t="shared" si="262"/>
        <v>2068157</v>
      </c>
      <c r="C1198" s="8">
        <v>2068899</v>
      </c>
      <c r="D1198" s="13">
        <f t="shared" si="268"/>
        <v>742</v>
      </c>
      <c r="E1198" s="77">
        <f t="shared" si="278"/>
        <v>55510</v>
      </c>
      <c r="F1198" s="69">
        <v>56295</v>
      </c>
      <c r="G1198" s="133">
        <f t="shared" si="276"/>
        <v>785</v>
      </c>
      <c r="H1198" s="8">
        <f t="shared" ref="H1198:H1261" si="279">I1197</f>
        <v>360758</v>
      </c>
      <c r="I1198" s="8">
        <v>360758</v>
      </c>
      <c r="J1198" s="13">
        <f t="shared" si="266"/>
        <v>0</v>
      </c>
      <c r="K1198" s="138"/>
      <c r="L1198" s="8">
        <f t="shared" ref="L1198:L1261" si="280">M1197</f>
        <v>1154351</v>
      </c>
      <c r="M1198" s="8">
        <v>1155667</v>
      </c>
      <c r="N1198" s="13">
        <f t="shared" si="273"/>
        <v>1316</v>
      </c>
      <c r="O1198" s="136">
        <f t="shared" si="265"/>
        <v>1038</v>
      </c>
      <c r="P1198" s="8">
        <f t="shared" si="260"/>
        <v>603591</v>
      </c>
      <c r="Q1198" s="8">
        <v>604181</v>
      </c>
      <c r="R1198" s="133">
        <f t="shared" si="272"/>
        <v>590</v>
      </c>
      <c r="S1198" s="8">
        <f t="shared" si="261"/>
        <v>44799</v>
      </c>
      <c r="T1198" s="8">
        <v>44799</v>
      </c>
      <c r="U1198" s="133">
        <f t="shared" si="263"/>
        <v>0</v>
      </c>
      <c r="V1198" s="8">
        <f t="shared" ref="V1198:V1261" si="281">W1197</f>
        <v>362768</v>
      </c>
      <c r="W1198" s="8">
        <v>362925</v>
      </c>
      <c r="X1198" s="13">
        <f t="shared" si="270"/>
        <v>157</v>
      </c>
      <c r="Y1198" s="8">
        <f t="shared" si="277"/>
        <v>40758</v>
      </c>
      <c r="Z1198" s="8">
        <v>40774</v>
      </c>
      <c r="AA1198" s="13">
        <f t="shared" si="271"/>
        <v>16</v>
      </c>
      <c r="AB1198" s="8">
        <f t="shared" si="274"/>
        <v>259675</v>
      </c>
      <c r="AC1198" s="8">
        <v>259776</v>
      </c>
      <c r="AD1198" s="13">
        <f t="shared" si="275"/>
        <v>101</v>
      </c>
      <c r="AE1198" s="135"/>
      <c r="AF1198" s="135"/>
      <c r="AG1198" s="135"/>
      <c r="AH1198" s="136"/>
      <c r="AI1198" s="50">
        <f t="shared" si="267"/>
        <v>1801</v>
      </c>
    </row>
    <row r="1199" spans="1:35">
      <c r="A1199" s="12">
        <v>45574</v>
      </c>
      <c r="B1199" s="8">
        <f t="shared" si="262"/>
        <v>2068899</v>
      </c>
      <c r="C1199" s="8">
        <v>2069631</v>
      </c>
      <c r="D1199" s="13">
        <f t="shared" si="268"/>
        <v>732</v>
      </c>
      <c r="E1199" s="77">
        <f t="shared" si="278"/>
        <v>56295</v>
      </c>
      <c r="F1199" s="69">
        <v>56970</v>
      </c>
      <c r="G1199" s="133">
        <f t="shared" si="276"/>
        <v>675</v>
      </c>
      <c r="H1199" s="8">
        <f t="shared" si="279"/>
        <v>360758</v>
      </c>
      <c r="I1199" s="8">
        <v>360758</v>
      </c>
      <c r="J1199" s="13">
        <f t="shared" si="266"/>
        <v>0</v>
      </c>
      <c r="K1199" s="138"/>
      <c r="L1199" s="8">
        <f t="shared" si="280"/>
        <v>1155667</v>
      </c>
      <c r="M1199" s="8">
        <v>1156894</v>
      </c>
      <c r="N1199" s="13">
        <f t="shared" si="273"/>
        <v>1227</v>
      </c>
      <c r="O1199" s="136">
        <f t="shared" si="265"/>
        <v>880</v>
      </c>
      <c r="P1199" s="8">
        <f t="shared" si="260"/>
        <v>604181</v>
      </c>
      <c r="Q1199" s="8">
        <v>604787</v>
      </c>
      <c r="R1199" s="133">
        <f t="shared" si="272"/>
        <v>606</v>
      </c>
      <c r="S1199" s="8">
        <f t="shared" si="261"/>
        <v>44799</v>
      </c>
      <c r="T1199" s="8">
        <v>44828</v>
      </c>
      <c r="U1199" s="133">
        <f t="shared" si="263"/>
        <v>29</v>
      </c>
      <c r="V1199" s="8">
        <f t="shared" si="281"/>
        <v>362925</v>
      </c>
      <c r="W1199" s="8">
        <v>363092</v>
      </c>
      <c r="X1199" s="13">
        <f t="shared" si="270"/>
        <v>167</v>
      </c>
      <c r="Y1199" s="8">
        <f t="shared" si="277"/>
        <v>40774</v>
      </c>
      <c r="Z1199" s="8">
        <v>40792</v>
      </c>
      <c r="AA1199" s="13">
        <f t="shared" si="271"/>
        <v>18</v>
      </c>
      <c r="AB1199" s="8">
        <f t="shared" si="274"/>
        <v>259776</v>
      </c>
      <c r="AC1199" s="8">
        <v>259884</v>
      </c>
      <c r="AD1199" s="13">
        <f t="shared" si="275"/>
        <v>108</v>
      </c>
      <c r="AE1199" s="135"/>
      <c r="AF1199" s="135"/>
      <c r="AG1199" s="135"/>
      <c r="AH1199" s="136"/>
      <c r="AI1199" s="50">
        <f t="shared" si="267"/>
        <v>1700</v>
      </c>
    </row>
    <row r="1200" spans="1:35">
      <c r="A1200" s="12">
        <v>45575</v>
      </c>
      <c r="B1200" s="8">
        <f t="shared" si="262"/>
        <v>2069631</v>
      </c>
      <c r="C1200" s="8">
        <v>2070275</v>
      </c>
      <c r="D1200" s="13">
        <f t="shared" si="268"/>
        <v>644</v>
      </c>
      <c r="E1200" s="77">
        <f t="shared" si="278"/>
        <v>56970</v>
      </c>
      <c r="F1200" s="69">
        <v>57700</v>
      </c>
      <c r="G1200" s="133">
        <f t="shared" si="276"/>
        <v>730</v>
      </c>
      <c r="H1200" s="8">
        <f t="shared" si="279"/>
        <v>360758</v>
      </c>
      <c r="I1200" s="8">
        <v>360758</v>
      </c>
      <c r="J1200" s="13">
        <f t="shared" si="266"/>
        <v>0</v>
      </c>
      <c r="K1200" s="138"/>
      <c r="L1200" s="8">
        <f t="shared" si="280"/>
        <v>1156894</v>
      </c>
      <c r="M1200" s="8">
        <v>1158057</v>
      </c>
      <c r="N1200" s="13">
        <f t="shared" si="273"/>
        <v>1163</v>
      </c>
      <c r="O1200" s="136">
        <f t="shared" si="265"/>
        <v>946</v>
      </c>
      <c r="P1200" s="8">
        <f t="shared" si="260"/>
        <v>604787</v>
      </c>
      <c r="Q1200" s="8">
        <v>605279</v>
      </c>
      <c r="R1200" s="133">
        <f t="shared" si="272"/>
        <v>492</v>
      </c>
      <c r="S1200" s="8">
        <f t="shared" si="261"/>
        <v>44828</v>
      </c>
      <c r="T1200" s="8">
        <v>44893</v>
      </c>
      <c r="U1200" s="133">
        <f t="shared" si="263"/>
        <v>65</v>
      </c>
      <c r="V1200" s="8">
        <f t="shared" si="281"/>
        <v>363092</v>
      </c>
      <c r="W1200" s="8">
        <v>363236</v>
      </c>
      <c r="X1200" s="13">
        <f t="shared" si="270"/>
        <v>144</v>
      </c>
      <c r="Y1200" s="8">
        <f t="shared" si="277"/>
        <v>40792</v>
      </c>
      <c r="Z1200" s="8">
        <v>40821</v>
      </c>
      <c r="AA1200" s="13">
        <f t="shared" si="271"/>
        <v>29</v>
      </c>
      <c r="AB1200" s="8">
        <f t="shared" si="274"/>
        <v>259884</v>
      </c>
      <c r="AC1200" s="8">
        <v>260013</v>
      </c>
      <c r="AD1200" s="13">
        <f t="shared" si="275"/>
        <v>129</v>
      </c>
      <c r="AE1200" s="135"/>
      <c r="AF1200" s="135"/>
      <c r="AG1200" s="135"/>
      <c r="AH1200" s="136"/>
      <c r="AI1200" s="50">
        <f t="shared" si="267"/>
        <v>1676</v>
      </c>
    </row>
    <row r="1201" spans="1:35">
      <c r="A1201" s="12">
        <v>45576</v>
      </c>
      <c r="B1201" s="8">
        <f t="shared" si="262"/>
        <v>2070275</v>
      </c>
      <c r="C1201" s="8">
        <v>2070815</v>
      </c>
      <c r="D1201" s="13">
        <f t="shared" si="268"/>
        <v>540</v>
      </c>
      <c r="E1201" s="77">
        <f t="shared" si="278"/>
        <v>57700</v>
      </c>
      <c r="F1201" s="69">
        <v>58490</v>
      </c>
      <c r="G1201" s="133">
        <f t="shared" si="276"/>
        <v>790</v>
      </c>
      <c r="H1201" s="8">
        <f t="shared" si="279"/>
        <v>360758</v>
      </c>
      <c r="I1201" s="8">
        <v>360758</v>
      </c>
      <c r="J1201" s="13">
        <f t="shared" si="266"/>
        <v>0</v>
      </c>
      <c r="K1201" s="138"/>
      <c r="L1201" s="8">
        <f t="shared" si="280"/>
        <v>1158057</v>
      </c>
      <c r="M1201" s="8">
        <v>1159271</v>
      </c>
      <c r="N1201" s="13">
        <f t="shared" si="273"/>
        <v>1214</v>
      </c>
      <c r="O1201" s="136">
        <f t="shared" si="265"/>
        <v>696</v>
      </c>
      <c r="P1201" s="8">
        <f t="shared" ref="P1201:P1264" si="282">Q1200</f>
        <v>605279</v>
      </c>
      <c r="Q1201" s="8">
        <v>605922</v>
      </c>
      <c r="R1201" s="133">
        <f t="shared" si="272"/>
        <v>643</v>
      </c>
      <c r="S1201" s="8">
        <f t="shared" ref="S1201:S1264" si="283">T1200</f>
        <v>44893</v>
      </c>
      <c r="T1201" s="8">
        <v>44984</v>
      </c>
      <c r="U1201" s="133">
        <f t="shared" si="263"/>
        <v>91</v>
      </c>
      <c r="V1201" s="8">
        <f t="shared" si="281"/>
        <v>363236</v>
      </c>
      <c r="W1201" s="8">
        <v>363328</v>
      </c>
      <c r="X1201" s="13">
        <f t="shared" si="270"/>
        <v>92</v>
      </c>
      <c r="Y1201" s="8">
        <f t="shared" si="277"/>
        <v>40821</v>
      </c>
      <c r="Z1201" s="8">
        <v>40842</v>
      </c>
      <c r="AA1201" s="13">
        <f t="shared" si="271"/>
        <v>21</v>
      </c>
      <c r="AB1201" s="8">
        <f t="shared" si="274"/>
        <v>260013</v>
      </c>
      <c r="AC1201" s="8">
        <v>260113</v>
      </c>
      <c r="AD1201" s="13">
        <f t="shared" si="275"/>
        <v>100</v>
      </c>
      <c r="AE1201" s="135"/>
      <c r="AF1201" s="135"/>
      <c r="AG1201" s="135"/>
      <c r="AH1201" s="136"/>
      <c r="AI1201" s="50">
        <f t="shared" si="267"/>
        <v>1543</v>
      </c>
    </row>
    <row r="1202" spans="1:35">
      <c r="A1202" s="12">
        <v>45577</v>
      </c>
      <c r="B1202" s="8">
        <f t="shared" si="262"/>
        <v>2070815</v>
      </c>
      <c r="C1202" s="8">
        <v>2071389</v>
      </c>
      <c r="D1202" s="13">
        <f t="shared" si="268"/>
        <v>574</v>
      </c>
      <c r="E1202" s="77">
        <f t="shared" si="278"/>
        <v>58490</v>
      </c>
      <c r="F1202" s="69">
        <v>59167</v>
      </c>
      <c r="G1202" s="133">
        <f t="shared" si="276"/>
        <v>677</v>
      </c>
      <c r="H1202" s="8">
        <f t="shared" si="279"/>
        <v>360758</v>
      </c>
      <c r="I1202" s="8">
        <v>360758</v>
      </c>
      <c r="J1202" s="13">
        <f t="shared" si="266"/>
        <v>0</v>
      </c>
      <c r="K1202" s="138"/>
      <c r="L1202" s="8">
        <f t="shared" si="280"/>
        <v>1159271</v>
      </c>
      <c r="M1202" s="8">
        <v>1160499</v>
      </c>
      <c r="N1202" s="13">
        <f t="shared" si="273"/>
        <v>1228</v>
      </c>
      <c r="O1202" s="136">
        <f t="shared" si="265"/>
        <v>902</v>
      </c>
      <c r="P1202" s="8">
        <f t="shared" si="282"/>
        <v>605922</v>
      </c>
      <c r="Q1202" s="8">
        <v>606327</v>
      </c>
      <c r="R1202" s="133">
        <f t="shared" si="272"/>
        <v>405</v>
      </c>
      <c r="S1202" s="8">
        <f t="shared" si="283"/>
        <v>44984</v>
      </c>
      <c r="T1202" s="8">
        <v>45034</v>
      </c>
      <c r="U1202" s="133">
        <f t="shared" si="263"/>
        <v>50</v>
      </c>
      <c r="V1202" s="8">
        <f t="shared" si="281"/>
        <v>363328</v>
      </c>
      <c r="W1202" s="8">
        <v>363517</v>
      </c>
      <c r="X1202" s="13">
        <f t="shared" si="270"/>
        <v>189</v>
      </c>
      <c r="Y1202" s="8">
        <f t="shared" si="277"/>
        <v>40842</v>
      </c>
      <c r="Z1202" s="8">
        <v>40865</v>
      </c>
      <c r="AA1202" s="13">
        <f t="shared" si="271"/>
        <v>23</v>
      </c>
      <c r="AB1202" s="8">
        <f t="shared" si="274"/>
        <v>260113</v>
      </c>
      <c r="AC1202" s="8">
        <v>260219</v>
      </c>
      <c r="AD1202" s="13">
        <f t="shared" si="275"/>
        <v>106</v>
      </c>
      <c r="AE1202" s="135"/>
      <c r="AF1202" s="135"/>
      <c r="AG1202" s="135"/>
      <c r="AH1202" s="136"/>
      <c r="AI1202" s="50">
        <f t="shared" si="267"/>
        <v>1569</v>
      </c>
    </row>
    <row r="1203" spans="1:35">
      <c r="A1203" s="12">
        <v>45578</v>
      </c>
      <c r="B1203" s="8">
        <f t="shared" si="262"/>
        <v>2071389</v>
      </c>
      <c r="C1203" s="8">
        <v>2072084</v>
      </c>
      <c r="D1203" s="13">
        <f t="shared" si="268"/>
        <v>695</v>
      </c>
      <c r="E1203" s="77">
        <f t="shared" si="278"/>
        <v>59167</v>
      </c>
      <c r="F1203" s="69">
        <v>59941</v>
      </c>
      <c r="G1203" s="133">
        <f t="shared" si="276"/>
        <v>774</v>
      </c>
      <c r="H1203" s="8">
        <f t="shared" si="279"/>
        <v>360758</v>
      </c>
      <c r="I1203" s="8">
        <v>360758</v>
      </c>
      <c r="J1203" s="13">
        <f t="shared" si="266"/>
        <v>0</v>
      </c>
      <c r="K1203" s="138"/>
      <c r="L1203" s="8">
        <f t="shared" si="280"/>
        <v>1160499</v>
      </c>
      <c r="M1203" s="8">
        <v>1161710</v>
      </c>
      <c r="N1203" s="13">
        <f t="shared" si="273"/>
        <v>1211</v>
      </c>
      <c r="O1203" s="136">
        <f t="shared" si="265"/>
        <v>875</v>
      </c>
      <c r="P1203" s="8">
        <f t="shared" si="282"/>
        <v>606327</v>
      </c>
      <c r="Q1203" s="8">
        <v>606997</v>
      </c>
      <c r="R1203" s="133">
        <f t="shared" si="272"/>
        <v>670</v>
      </c>
      <c r="S1203" s="8">
        <f t="shared" si="283"/>
        <v>45034</v>
      </c>
      <c r="T1203" s="8">
        <v>45053</v>
      </c>
      <c r="U1203" s="133">
        <f t="shared" si="263"/>
        <v>19</v>
      </c>
      <c r="V1203" s="8">
        <f t="shared" si="281"/>
        <v>363517</v>
      </c>
      <c r="W1203" s="8">
        <v>363724</v>
      </c>
      <c r="X1203" s="13">
        <f t="shared" si="270"/>
        <v>207</v>
      </c>
      <c r="Y1203" s="8">
        <f t="shared" si="277"/>
        <v>40865</v>
      </c>
      <c r="Z1203" s="8">
        <v>40895</v>
      </c>
      <c r="AA1203" s="13">
        <f t="shared" si="271"/>
        <v>30</v>
      </c>
      <c r="AB1203" s="8">
        <f t="shared" si="274"/>
        <v>260219</v>
      </c>
      <c r="AC1203" s="8">
        <v>260314</v>
      </c>
      <c r="AD1203" s="13">
        <f t="shared" si="275"/>
        <v>95</v>
      </c>
      <c r="AE1203" s="135"/>
      <c r="AF1203" s="135"/>
      <c r="AG1203" s="135"/>
      <c r="AH1203" s="136"/>
      <c r="AI1203" s="50">
        <f t="shared" si="267"/>
        <v>1801</v>
      </c>
    </row>
    <row r="1204" spans="1:35">
      <c r="A1204" s="12">
        <v>45579</v>
      </c>
      <c r="B1204" s="8">
        <f t="shared" si="262"/>
        <v>2072084</v>
      </c>
      <c r="C1204" s="8">
        <v>2072676</v>
      </c>
      <c r="D1204" s="13">
        <f t="shared" si="268"/>
        <v>592</v>
      </c>
      <c r="E1204" s="77">
        <f t="shared" si="278"/>
        <v>59941</v>
      </c>
      <c r="F1204" s="69">
        <v>60756</v>
      </c>
      <c r="G1204" s="133">
        <f t="shared" si="276"/>
        <v>815</v>
      </c>
      <c r="H1204" s="8">
        <f t="shared" si="279"/>
        <v>360758</v>
      </c>
      <c r="I1204" s="8">
        <v>360758</v>
      </c>
      <c r="J1204" s="13">
        <f t="shared" si="266"/>
        <v>0</v>
      </c>
      <c r="K1204" s="138"/>
      <c r="L1204" s="8">
        <f t="shared" si="280"/>
        <v>1161710</v>
      </c>
      <c r="M1204" s="8">
        <v>1163030</v>
      </c>
      <c r="N1204" s="13">
        <f t="shared" si="273"/>
        <v>1320</v>
      </c>
      <c r="O1204" s="136">
        <f t="shared" si="265"/>
        <v>896</v>
      </c>
      <c r="P1204" s="8">
        <f t="shared" si="282"/>
        <v>606997</v>
      </c>
      <c r="Q1204" s="8">
        <v>607620</v>
      </c>
      <c r="R1204" s="133">
        <f t="shared" si="272"/>
        <v>623</v>
      </c>
      <c r="S1204" s="8">
        <f t="shared" si="283"/>
        <v>45053</v>
      </c>
      <c r="T1204" s="8">
        <v>45075</v>
      </c>
      <c r="U1204" s="133">
        <f t="shared" si="263"/>
        <v>22</v>
      </c>
      <c r="V1204" s="8">
        <f t="shared" si="281"/>
        <v>363724</v>
      </c>
      <c r="W1204" s="8">
        <v>363891</v>
      </c>
      <c r="X1204" s="13">
        <f t="shared" si="270"/>
        <v>167</v>
      </c>
      <c r="Y1204" s="8">
        <f t="shared" si="277"/>
        <v>40895</v>
      </c>
      <c r="Z1204" s="8">
        <v>40930</v>
      </c>
      <c r="AA1204" s="13">
        <f t="shared" si="271"/>
        <v>35</v>
      </c>
      <c r="AB1204" s="8">
        <f t="shared" si="274"/>
        <v>260314</v>
      </c>
      <c r="AC1204" s="8">
        <v>260448</v>
      </c>
      <c r="AD1204" s="13">
        <f t="shared" si="275"/>
        <v>134</v>
      </c>
      <c r="AE1204" s="135"/>
      <c r="AF1204" s="135"/>
      <c r="AG1204" s="135"/>
      <c r="AH1204" s="136"/>
      <c r="AI1204" s="50">
        <f t="shared" si="267"/>
        <v>1743</v>
      </c>
    </row>
    <row r="1205" spans="1:35">
      <c r="A1205" s="12">
        <v>45580</v>
      </c>
      <c r="B1205" s="8">
        <f t="shared" si="262"/>
        <v>2072676</v>
      </c>
      <c r="C1205" s="8">
        <v>2073362</v>
      </c>
      <c r="D1205" s="13">
        <f t="shared" si="268"/>
        <v>686</v>
      </c>
      <c r="E1205" s="77">
        <f t="shared" si="278"/>
        <v>60756</v>
      </c>
      <c r="F1205" s="69">
        <v>61514</v>
      </c>
      <c r="G1205" s="133">
        <f t="shared" si="276"/>
        <v>758</v>
      </c>
      <c r="H1205" s="8">
        <f t="shared" si="279"/>
        <v>360758</v>
      </c>
      <c r="I1205" s="8">
        <v>360758</v>
      </c>
      <c r="J1205" s="13">
        <f t="shared" si="266"/>
        <v>0</v>
      </c>
      <c r="K1205" s="138"/>
      <c r="L1205" s="8">
        <f t="shared" si="280"/>
        <v>1163030</v>
      </c>
      <c r="M1205" s="8">
        <v>1164358</v>
      </c>
      <c r="N1205" s="13">
        <f t="shared" si="273"/>
        <v>1328</v>
      </c>
      <c r="O1205" s="136">
        <f t="shared" si="265"/>
        <v>947</v>
      </c>
      <c r="P1205" s="8">
        <f t="shared" si="282"/>
        <v>607620</v>
      </c>
      <c r="Q1205" s="8">
        <v>608249</v>
      </c>
      <c r="R1205" s="133">
        <f t="shared" si="272"/>
        <v>629</v>
      </c>
      <c r="S1205" s="8">
        <f t="shared" si="283"/>
        <v>45075</v>
      </c>
      <c r="T1205" s="8">
        <v>45075</v>
      </c>
      <c r="U1205" s="133">
        <f t="shared" si="263"/>
        <v>0</v>
      </c>
      <c r="V1205" s="8">
        <f t="shared" si="281"/>
        <v>363891</v>
      </c>
      <c r="W1205" s="8">
        <v>364111</v>
      </c>
      <c r="X1205" s="13">
        <f t="shared" si="270"/>
        <v>220</v>
      </c>
      <c r="Y1205" s="8">
        <f t="shared" si="277"/>
        <v>40930</v>
      </c>
      <c r="Z1205" s="8">
        <v>40963</v>
      </c>
      <c r="AA1205" s="13">
        <f t="shared" si="271"/>
        <v>33</v>
      </c>
      <c r="AB1205" s="8">
        <f t="shared" si="274"/>
        <v>260448</v>
      </c>
      <c r="AC1205" s="8">
        <v>260580</v>
      </c>
      <c r="AD1205" s="13">
        <f t="shared" si="275"/>
        <v>132</v>
      </c>
      <c r="AE1205" s="135"/>
      <c r="AF1205" s="135"/>
      <c r="AG1205" s="135"/>
      <c r="AH1205" s="136"/>
      <c r="AI1205" s="50">
        <f t="shared" si="267"/>
        <v>1829</v>
      </c>
    </row>
    <row r="1206" spans="1:35">
      <c r="A1206" s="12">
        <v>45581</v>
      </c>
      <c r="B1206" s="8">
        <f t="shared" si="262"/>
        <v>2073362</v>
      </c>
      <c r="C1206" s="8">
        <v>2074043</v>
      </c>
      <c r="D1206" s="13">
        <f t="shared" si="268"/>
        <v>681</v>
      </c>
      <c r="E1206" s="77">
        <f t="shared" si="278"/>
        <v>61514</v>
      </c>
      <c r="F1206" s="69">
        <v>62271</v>
      </c>
      <c r="G1206" s="133">
        <f t="shared" si="276"/>
        <v>757</v>
      </c>
      <c r="H1206" s="8">
        <f t="shared" si="279"/>
        <v>360758</v>
      </c>
      <c r="I1206" s="8">
        <v>360758</v>
      </c>
      <c r="J1206" s="13">
        <f t="shared" si="266"/>
        <v>0</v>
      </c>
      <c r="K1206" s="138"/>
      <c r="L1206" s="8">
        <f t="shared" si="280"/>
        <v>1164358</v>
      </c>
      <c r="M1206" s="8">
        <v>1165552</v>
      </c>
      <c r="N1206" s="13">
        <f t="shared" si="273"/>
        <v>1194</v>
      </c>
      <c r="O1206" s="136">
        <f t="shared" si="265"/>
        <v>900</v>
      </c>
      <c r="P1206" s="8">
        <f t="shared" si="282"/>
        <v>608249</v>
      </c>
      <c r="Q1206" s="8">
        <v>608848</v>
      </c>
      <c r="R1206" s="133">
        <f t="shared" si="272"/>
        <v>599</v>
      </c>
      <c r="S1206" s="8">
        <f t="shared" si="283"/>
        <v>45075</v>
      </c>
      <c r="T1206" s="8">
        <v>45107</v>
      </c>
      <c r="U1206" s="133">
        <f t="shared" si="263"/>
        <v>32</v>
      </c>
      <c r="V1206" s="8">
        <f t="shared" si="281"/>
        <v>364111</v>
      </c>
      <c r="W1206" s="8">
        <v>364278</v>
      </c>
      <c r="X1206" s="13">
        <f t="shared" si="270"/>
        <v>167</v>
      </c>
      <c r="Y1206" s="8">
        <f t="shared" si="277"/>
        <v>40963</v>
      </c>
      <c r="Z1206" s="8">
        <v>40988</v>
      </c>
      <c r="AA1206" s="13">
        <f t="shared" si="271"/>
        <v>25</v>
      </c>
      <c r="AB1206" s="8">
        <f t="shared" si="274"/>
        <v>260580</v>
      </c>
      <c r="AC1206" s="8">
        <v>260673</v>
      </c>
      <c r="AD1206" s="13">
        <f t="shared" si="275"/>
        <v>93</v>
      </c>
      <c r="AE1206" s="135"/>
      <c r="AF1206" s="135"/>
      <c r="AG1206" s="135"/>
      <c r="AH1206" s="136"/>
      <c r="AI1206" s="50">
        <f t="shared" si="267"/>
        <v>1723</v>
      </c>
    </row>
    <row r="1207" spans="1:35">
      <c r="A1207" s="12">
        <v>45582</v>
      </c>
      <c r="B1207" s="8">
        <f t="shared" ref="B1207:B1270" si="284">C1206</f>
        <v>2074043</v>
      </c>
      <c r="C1207" s="8">
        <v>2074365</v>
      </c>
      <c r="D1207" s="13">
        <f>C1207-B1207</f>
        <v>322</v>
      </c>
      <c r="E1207" s="77">
        <f t="shared" si="278"/>
        <v>62271</v>
      </c>
      <c r="F1207" s="69">
        <v>63012</v>
      </c>
      <c r="G1207" s="133">
        <f t="shared" si="276"/>
        <v>741</v>
      </c>
      <c r="H1207" s="8">
        <f t="shared" si="279"/>
        <v>360758</v>
      </c>
      <c r="I1207" s="8">
        <v>360758</v>
      </c>
      <c r="J1207" s="13">
        <f t="shared" si="266"/>
        <v>0</v>
      </c>
      <c r="K1207" s="138"/>
      <c r="L1207" s="8">
        <f t="shared" si="280"/>
        <v>1165552</v>
      </c>
      <c r="M1207" s="8">
        <v>1166421</v>
      </c>
      <c r="N1207" s="13">
        <f t="shared" si="273"/>
        <v>869</v>
      </c>
      <c r="O1207" s="136">
        <f t="shared" si="265"/>
        <v>680</v>
      </c>
      <c r="P1207" s="8">
        <f t="shared" si="282"/>
        <v>608848</v>
      </c>
      <c r="Q1207" s="8">
        <v>609312</v>
      </c>
      <c r="R1207" s="133">
        <f t="shared" si="272"/>
        <v>464</v>
      </c>
      <c r="S1207" s="8">
        <f t="shared" si="283"/>
        <v>45107</v>
      </c>
      <c r="T1207" s="8">
        <v>45107</v>
      </c>
      <c r="U1207" s="133">
        <f t="shared" si="263"/>
        <v>0</v>
      </c>
      <c r="V1207" s="8">
        <f t="shared" si="281"/>
        <v>364278</v>
      </c>
      <c r="W1207" s="8">
        <v>364444</v>
      </c>
      <c r="X1207" s="13">
        <f t="shared" si="270"/>
        <v>166</v>
      </c>
      <c r="Y1207" s="8">
        <f t="shared" si="277"/>
        <v>40988</v>
      </c>
      <c r="Z1207" s="8">
        <v>41003</v>
      </c>
      <c r="AA1207" s="13">
        <f t="shared" si="271"/>
        <v>15</v>
      </c>
      <c r="AB1207" s="8">
        <f t="shared" si="274"/>
        <v>260673</v>
      </c>
      <c r="AC1207" s="8">
        <v>260754</v>
      </c>
      <c r="AD1207" s="13">
        <f t="shared" si="275"/>
        <v>81</v>
      </c>
      <c r="AE1207" s="135"/>
      <c r="AF1207" s="135"/>
      <c r="AG1207" s="135"/>
      <c r="AH1207" s="136"/>
      <c r="AI1207" s="50">
        <f t="shared" si="267"/>
        <v>1325</v>
      </c>
    </row>
    <row r="1208" spans="1:35">
      <c r="A1208" s="12">
        <v>45583</v>
      </c>
      <c r="B1208" s="8">
        <f t="shared" si="284"/>
        <v>2074365</v>
      </c>
      <c r="C1208" s="8">
        <v>2075025</v>
      </c>
      <c r="D1208" s="13">
        <f t="shared" ref="D1208:D1271" si="285">C1208-B1208</f>
        <v>660</v>
      </c>
      <c r="E1208" s="77">
        <f t="shared" si="278"/>
        <v>63012</v>
      </c>
      <c r="F1208" s="69">
        <v>63774</v>
      </c>
      <c r="G1208" s="133">
        <f t="shared" si="276"/>
        <v>762</v>
      </c>
      <c r="H1208" s="8">
        <f t="shared" si="279"/>
        <v>360758</v>
      </c>
      <c r="I1208" s="8">
        <v>360758</v>
      </c>
      <c r="J1208" s="13">
        <f t="shared" si="266"/>
        <v>0</v>
      </c>
      <c r="K1208" s="138"/>
      <c r="L1208" s="8">
        <f t="shared" si="280"/>
        <v>1166421</v>
      </c>
      <c r="M1208" s="8">
        <v>1167592</v>
      </c>
      <c r="N1208" s="13">
        <f t="shared" si="273"/>
        <v>1171</v>
      </c>
      <c r="O1208" s="136">
        <f t="shared" si="265"/>
        <v>956</v>
      </c>
      <c r="P1208" s="8">
        <f t="shared" si="282"/>
        <v>609312</v>
      </c>
      <c r="Q1208" s="8">
        <v>609839</v>
      </c>
      <c r="R1208" s="133">
        <f t="shared" si="272"/>
        <v>527</v>
      </c>
      <c r="S1208" s="8">
        <f t="shared" si="283"/>
        <v>45107</v>
      </c>
      <c r="T1208" s="8">
        <v>45140</v>
      </c>
      <c r="U1208" s="133">
        <f t="shared" si="263"/>
        <v>33</v>
      </c>
      <c r="V1208" s="8">
        <f t="shared" si="281"/>
        <v>364444</v>
      </c>
      <c r="W1208" s="8">
        <v>364615</v>
      </c>
      <c r="X1208" s="13">
        <f t="shared" si="270"/>
        <v>171</v>
      </c>
      <c r="Y1208" s="8">
        <f t="shared" si="277"/>
        <v>41003</v>
      </c>
      <c r="Z1208" s="8">
        <v>41030</v>
      </c>
      <c r="AA1208" s="13">
        <f t="shared" si="271"/>
        <v>27</v>
      </c>
      <c r="AB1208" s="8">
        <f t="shared" si="274"/>
        <v>260754</v>
      </c>
      <c r="AC1208" s="8">
        <v>260848</v>
      </c>
      <c r="AD1208" s="13">
        <f t="shared" si="275"/>
        <v>94</v>
      </c>
      <c r="AE1208" s="135"/>
      <c r="AF1208" s="135"/>
      <c r="AG1208" s="135"/>
      <c r="AH1208" s="136"/>
      <c r="AI1208" s="50">
        <f t="shared" si="267"/>
        <v>1714</v>
      </c>
    </row>
    <row r="1209" spans="1:35">
      <c r="A1209" s="12">
        <v>45584</v>
      </c>
      <c r="B1209" s="8">
        <f t="shared" si="284"/>
        <v>2075025</v>
      </c>
      <c r="C1209" s="8">
        <v>2075609</v>
      </c>
      <c r="D1209" s="13">
        <f t="shared" si="285"/>
        <v>584</v>
      </c>
      <c r="E1209" s="77">
        <f t="shared" si="278"/>
        <v>63774</v>
      </c>
      <c r="F1209" s="69">
        <v>64562</v>
      </c>
      <c r="G1209" s="133">
        <f t="shared" si="276"/>
        <v>788</v>
      </c>
      <c r="H1209" s="8">
        <f t="shared" si="279"/>
        <v>360758</v>
      </c>
      <c r="I1209" s="8">
        <v>360758</v>
      </c>
      <c r="J1209" s="13">
        <f t="shared" si="266"/>
        <v>0</v>
      </c>
      <c r="K1209" s="138"/>
      <c r="L1209" s="8">
        <f t="shared" si="280"/>
        <v>1167592</v>
      </c>
      <c r="M1209" s="8">
        <v>1168809</v>
      </c>
      <c r="N1209" s="13">
        <f t="shared" si="273"/>
        <v>1217</v>
      </c>
      <c r="O1209" s="136">
        <f t="shared" si="265"/>
        <v>899</v>
      </c>
      <c r="P1209" s="8">
        <f t="shared" si="282"/>
        <v>609839</v>
      </c>
      <c r="Q1209" s="8">
        <v>610421</v>
      </c>
      <c r="R1209" s="133">
        <f t="shared" si="272"/>
        <v>582</v>
      </c>
      <c r="S1209" s="8">
        <f t="shared" si="283"/>
        <v>45140</v>
      </c>
      <c r="T1209" s="8">
        <v>45151</v>
      </c>
      <c r="U1209" s="133">
        <f t="shared" si="263"/>
        <v>11</v>
      </c>
      <c r="V1209" s="8">
        <f t="shared" si="281"/>
        <v>364615</v>
      </c>
      <c r="W1209" s="8">
        <v>364814</v>
      </c>
      <c r="X1209" s="13">
        <f t="shared" si="270"/>
        <v>199</v>
      </c>
      <c r="Y1209" s="8">
        <f t="shared" si="277"/>
        <v>41030</v>
      </c>
      <c r="Z1209" s="8">
        <v>41060</v>
      </c>
      <c r="AA1209" s="13">
        <f t="shared" si="271"/>
        <v>30</v>
      </c>
      <c r="AB1209" s="8">
        <f t="shared" si="274"/>
        <v>260848</v>
      </c>
      <c r="AC1209" s="8">
        <v>260968</v>
      </c>
      <c r="AD1209" s="13">
        <f t="shared" si="275"/>
        <v>120</v>
      </c>
      <c r="AE1209" s="135"/>
      <c r="AF1209" s="135"/>
      <c r="AG1209" s="135"/>
      <c r="AH1209" s="136"/>
      <c r="AI1209" s="50">
        <f t="shared" si="267"/>
        <v>1721</v>
      </c>
    </row>
    <row r="1210" spans="1:35">
      <c r="A1210" s="12">
        <v>45585</v>
      </c>
      <c r="B1210" s="8">
        <f t="shared" si="284"/>
        <v>2075609</v>
      </c>
      <c r="C1210" s="8">
        <v>2076289</v>
      </c>
      <c r="D1210" s="13">
        <f t="shared" si="285"/>
        <v>680</v>
      </c>
      <c r="E1210" s="77">
        <f t="shared" si="278"/>
        <v>64562</v>
      </c>
      <c r="F1210" s="69">
        <v>65335</v>
      </c>
      <c r="G1210" s="133">
        <f t="shared" si="276"/>
        <v>773</v>
      </c>
      <c r="H1210" s="8">
        <f t="shared" si="279"/>
        <v>360758</v>
      </c>
      <c r="I1210" s="8">
        <v>360758</v>
      </c>
      <c r="J1210" s="13">
        <f t="shared" si="266"/>
        <v>0</v>
      </c>
      <c r="K1210" s="138"/>
      <c r="L1210" s="8">
        <f t="shared" si="280"/>
        <v>1168809</v>
      </c>
      <c r="M1210" s="8">
        <v>1169985</v>
      </c>
      <c r="N1210" s="13">
        <f t="shared" si="273"/>
        <v>1176</v>
      </c>
      <c r="O1210" s="136">
        <f t="shared" si="265"/>
        <v>923</v>
      </c>
      <c r="P1210" s="8">
        <f t="shared" si="282"/>
        <v>610421</v>
      </c>
      <c r="Q1210" s="8">
        <v>611043</v>
      </c>
      <c r="R1210" s="133">
        <f t="shared" si="272"/>
        <v>622</v>
      </c>
      <c r="S1210" s="8">
        <f t="shared" si="283"/>
        <v>45151</v>
      </c>
      <c r="T1210" s="8">
        <v>45169</v>
      </c>
      <c r="U1210" s="133">
        <f t="shared" ref="U1210:U1266" si="286">T1210-S1210</f>
        <v>18</v>
      </c>
      <c r="V1210" s="8">
        <f t="shared" si="281"/>
        <v>364814</v>
      </c>
      <c r="W1210" s="8">
        <v>364972</v>
      </c>
      <c r="X1210" s="13">
        <f t="shared" si="270"/>
        <v>158</v>
      </c>
      <c r="Y1210" s="8">
        <f t="shared" si="277"/>
        <v>41060</v>
      </c>
      <c r="Z1210" s="8">
        <v>41085</v>
      </c>
      <c r="AA1210" s="13">
        <f t="shared" si="271"/>
        <v>25</v>
      </c>
      <c r="AB1210" s="8">
        <f t="shared" si="274"/>
        <v>260968</v>
      </c>
      <c r="AC1210" s="8">
        <v>261078</v>
      </c>
      <c r="AD1210" s="13">
        <f t="shared" ref="AD1210:AD1234" si="287">AC1210-AB1210</f>
        <v>110</v>
      </c>
      <c r="AE1210" s="135"/>
      <c r="AF1210" s="135"/>
      <c r="AG1210" s="135"/>
      <c r="AH1210" s="136"/>
      <c r="AI1210" s="50">
        <f t="shared" si="267"/>
        <v>1746</v>
      </c>
    </row>
    <row r="1211" spans="1:35">
      <c r="A1211" s="12">
        <v>45586</v>
      </c>
      <c r="B1211" s="8">
        <f t="shared" si="284"/>
        <v>2076289</v>
      </c>
      <c r="C1211" s="8">
        <v>2076794</v>
      </c>
      <c r="D1211" s="13">
        <f t="shared" si="285"/>
        <v>505</v>
      </c>
      <c r="E1211" s="77">
        <f t="shared" si="278"/>
        <v>65335</v>
      </c>
      <c r="F1211" s="69">
        <v>66068</v>
      </c>
      <c r="G1211" s="133">
        <f t="shared" si="276"/>
        <v>733</v>
      </c>
      <c r="H1211" s="8">
        <f t="shared" si="279"/>
        <v>360758</v>
      </c>
      <c r="I1211" s="8">
        <v>360758</v>
      </c>
      <c r="J1211" s="13">
        <f t="shared" si="266"/>
        <v>0</v>
      </c>
      <c r="K1211" s="138"/>
      <c r="L1211" s="8">
        <f t="shared" si="280"/>
        <v>1169985</v>
      </c>
      <c r="M1211" s="8">
        <v>1171021</v>
      </c>
      <c r="N1211" s="13">
        <f t="shared" si="273"/>
        <v>1036</v>
      </c>
      <c r="O1211" s="136">
        <f t="shared" ref="O1211:O1274" si="288">(D1211+G1211+J1211+AD1211)-(U1211+R1211)</f>
        <v>813</v>
      </c>
      <c r="P1211" s="8">
        <f t="shared" si="282"/>
        <v>611043</v>
      </c>
      <c r="Q1211" s="8">
        <v>611550</v>
      </c>
      <c r="R1211" s="133">
        <f t="shared" si="272"/>
        <v>507</v>
      </c>
      <c r="S1211" s="8">
        <f t="shared" si="283"/>
        <v>45169</v>
      </c>
      <c r="T1211" s="8">
        <v>45191</v>
      </c>
      <c r="U1211" s="133">
        <f t="shared" si="286"/>
        <v>22</v>
      </c>
      <c r="V1211" s="8">
        <f t="shared" si="281"/>
        <v>364972</v>
      </c>
      <c r="W1211" s="8">
        <v>365125</v>
      </c>
      <c r="X1211" s="13">
        <f t="shared" si="270"/>
        <v>153</v>
      </c>
      <c r="Y1211" s="8">
        <f t="shared" si="277"/>
        <v>41085</v>
      </c>
      <c r="Z1211" s="8">
        <v>41152</v>
      </c>
      <c r="AA1211" s="13">
        <f t="shared" si="271"/>
        <v>67</v>
      </c>
      <c r="AB1211" s="8">
        <f t="shared" si="274"/>
        <v>261078</v>
      </c>
      <c r="AC1211" s="8">
        <v>261182</v>
      </c>
      <c r="AD1211" s="13">
        <f t="shared" si="287"/>
        <v>104</v>
      </c>
      <c r="AE1211" s="135"/>
      <c r="AF1211" s="135"/>
      <c r="AG1211" s="135"/>
      <c r="AH1211" s="136"/>
      <c r="AI1211" s="50">
        <f t="shared" ref="AI1211:AI1274" si="289">AA1211+U1211+R1211+O1211+X1211</f>
        <v>1562</v>
      </c>
    </row>
    <row r="1212" spans="1:35">
      <c r="A1212" s="12">
        <v>45587</v>
      </c>
      <c r="B1212" s="8">
        <f t="shared" si="284"/>
        <v>2076794</v>
      </c>
      <c r="C1212" s="8">
        <v>2077260</v>
      </c>
      <c r="D1212" s="13">
        <f t="shared" si="285"/>
        <v>466</v>
      </c>
      <c r="E1212" s="77">
        <f t="shared" si="278"/>
        <v>66068</v>
      </c>
      <c r="F1212" s="69">
        <v>66806</v>
      </c>
      <c r="G1212" s="133">
        <f t="shared" si="276"/>
        <v>738</v>
      </c>
      <c r="H1212" s="8">
        <f t="shared" si="279"/>
        <v>360758</v>
      </c>
      <c r="I1212" s="8">
        <v>360758</v>
      </c>
      <c r="J1212" s="13">
        <f t="shared" si="266"/>
        <v>0</v>
      </c>
      <c r="K1212" s="138"/>
      <c r="L1212" s="8">
        <f t="shared" si="280"/>
        <v>1171021</v>
      </c>
      <c r="M1212" s="8">
        <v>1172222</v>
      </c>
      <c r="N1212" s="13">
        <f t="shared" si="273"/>
        <v>1201</v>
      </c>
      <c r="O1212" s="136">
        <f t="shared" si="288"/>
        <v>593</v>
      </c>
      <c r="P1212" s="8">
        <f t="shared" si="282"/>
        <v>611550</v>
      </c>
      <c r="Q1212" s="8">
        <v>612162</v>
      </c>
      <c r="R1212" s="133">
        <f t="shared" si="272"/>
        <v>612</v>
      </c>
      <c r="S1212" s="8">
        <f t="shared" si="283"/>
        <v>45191</v>
      </c>
      <c r="T1212" s="8">
        <v>45259</v>
      </c>
      <c r="U1212" s="133">
        <f t="shared" si="286"/>
        <v>68</v>
      </c>
      <c r="V1212" s="8">
        <f t="shared" si="281"/>
        <v>365125</v>
      </c>
      <c r="W1212" s="8">
        <v>365263</v>
      </c>
      <c r="X1212" s="13">
        <f t="shared" si="270"/>
        <v>138</v>
      </c>
      <c r="Y1212" s="8">
        <f t="shared" si="277"/>
        <v>41152</v>
      </c>
      <c r="Z1212" s="8">
        <v>41196</v>
      </c>
      <c r="AA1212" s="13">
        <f t="shared" si="271"/>
        <v>44</v>
      </c>
      <c r="AB1212" s="8">
        <f t="shared" si="274"/>
        <v>261182</v>
      </c>
      <c r="AC1212" s="8">
        <v>261251</v>
      </c>
      <c r="AD1212" s="13">
        <f t="shared" si="287"/>
        <v>69</v>
      </c>
      <c r="AE1212" s="135"/>
      <c r="AF1212" s="135"/>
      <c r="AG1212" s="135"/>
      <c r="AH1212" s="136"/>
      <c r="AI1212" s="50">
        <f t="shared" si="289"/>
        <v>1455</v>
      </c>
    </row>
    <row r="1213" spans="1:35">
      <c r="A1213" s="12">
        <v>45588</v>
      </c>
      <c r="B1213" s="8">
        <f t="shared" si="284"/>
        <v>2077260</v>
      </c>
      <c r="C1213" s="8">
        <v>2077659</v>
      </c>
      <c r="D1213" s="13">
        <f t="shared" si="285"/>
        <v>399</v>
      </c>
      <c r="E1213" s="77">
        <f t="shared" si="278"/>
        <v>66806</v>
      </c>
      <c r="F1213" s="69">
        <v>67571</v>
      </c>
      <c r="G1213" s="133">
        <f t="shared" si="276"/>
        <v>765</v>
      </c>
      <c r="H1213" s="8">
        <f t="shared" si="279"/>
        <v>360758</v>
      </c>
      <c r="I1213" s="8">
        <v>360758</v>
      </c>
      <c r="J1213" s="13">
        <f t="shared" ref="J1213:J1276" si="290">I1213-H1213</f>
        <v>0</v>
      </c>
      <c r="K1213" s="138"/>
      <c r="L1213" s="8">
        <f t="shared" si="280"/>
        <v>1172222</v>
      </c>
      <c r="M1213" s="8">
        <v>1173222</v>
      </c>
      <c r="N1213" s="13">
        <f t="shared" si="273"/>
        <v>1000</v>
      </c>
      <c r="O1213" s="136">
        <f t="shared" si="288"/>
        <v>800</v>
      </c>
      <c r="P1213" s="8">
        <f t="shared" si="282"/>
        <v>612162</v>
      </c>
      <c r="Q1213" s="8">
        <v>612604</v>
      </c>
      <c r="R1213" s="133">
        <f t="shared" si="272"/>
        <v>442</v>
      </c>
      <c r="S1213" s="8">
        <f t="shared" si="283"/>
        <v>45259</v>
      </c>
      <c r="T1213" s="8">
        <v>45259</v>
      </c>
      <c r="U1213" s="133">
        <f t="shared" si="286"/>
        <v>0</v>
      </c>
      <c r="V1213" s="8">
        <f t="shared" si="281"/>
        <v>365263</v>
      </c>
      <c r="W1213" s="8">
        <v>365446</v>
      </c>
      <c r="X1213" s="13">
        <f t="shared" si="270"/>
        <v>183</v>
      </c>
      <c r="Y1213" s="8">
        <f t="shared" si="277"/>
        <v>41196</v>
      </c>
      <c r="Z1213" s="8">
        <v>41212</v>
      </c>
      <c r="AA1213" s="13">
        <f t="shared" si="271"/>
        <v>16</v>
      </c>
      <c r="AB1213" s="8">
        <f t="shared" si="274"/>
        <v>261251</v>
      </c>
      <c r="AC1213" s="8">
        <v>261329</v>
      </c>
      <c r="AD1213" s="13">
        <f t="shared" si="287"/>
        <v>78</v>
      </c>
      <c r="AE1213" s="135"/>
      <c r="AF1213" s="135"/>
      <c r="AG1213" s="135"/>
      <c r="AH1213" s="136"/>
      <c r="AI1213" s="50">
        <f t="shared" si="289"/>
        <v>1441</v>
      </c>
    </row>
    <row r="1214" spans="1:35">
      <c r="A1214" s="12">
        <v>45589</v>
      </c>
      <c r="B1214" s="8">
        <f t="shared" si="284"/>
        <v>2077659</v>
      </c>
      <c r="C1214" s="8">
        <v>2078304</v>
      </c>
      <c r="D1214" s="13">
        <f t="shared" si="285"/>
        <v>645</v>
      </c>
      <c r="E1214" s="77">
        <f t="shared" si="278"/>
        <v>67571</v>
      </c>
      <c r="F1214" s="69">
        <v>68330</v>
      </c>
      <c r="G1214" s="133">
        <f t="shared" si="276"/>
        <v>759</v>
      </c>
      <c r="H1214" s="8">
        <f t="shared" si="279"/>
        <v>360758</v>
      </c>
      <c r="I1214" s="8">
        <v>360758</v>
      </c>
      <c r="J1214" s="13">
        <f t="shared" si="290"/>
        <v>0</v>
      </c>
      <c r="K1214" s="138"/>
      <c r="L1214" s="8">
        <f t="shared" si="280"/>
        <v>1173222</v>
      </c>
      <c r="M1214" s="8">
        <v>1174411</v>
      </c>
      <c r="N1214" s="13">
        <f t="shared" si="273"/>
        <v>1189</v>
      </c>
      <c r="O1214" s="136">
        <f t="shared" si="288"/>
        <v>913</v>
      </c>
      <c r="P1214" s="8">
        <f t="shared" si="282"/>
        <v>612604</v>
      </c>
      <c r="Q1214" s="8">
        <v>613197</v>
      </c>
      <c r="R1214" s="133">
        <f t="shared" si="272"/>
        <v>593</v>
      </c>
      <c r="S1214" s="8">
        <f t="shared" si="283"/>
        <v>45259</v>
      </c>
      <c r="T1214" s="8">
        <v>45259</v>
      </c>
      <c r="U1214" s="133">
        <f t="shared" si="286"/>
        <v>0</v>
      </c>
      <c r="V1214" s="8">
        <f t="shared" si="281"/>
        <v>365446</v>
      </c>
      <c r="W1214" s="8">
        <v>365621</v>
      </c>
      <c r="X1214" s="13">
        <f t="shared" si="270"/>
        <v>175</v>
      </c>
      <c r="Y1214" s="8">
        <f t="shared" si="277"/>
        <v>41212</v>
      </c>
      <c r="Z1214" s="8">
        <v>41236</v>
      </c>
      <c r="AA1214" s="13">
        <f t="shared" si="271"/>
        <v>24</v>
      </c>
      <c r="AB1214" s="8">
        <f t="shared" si="274"/>
        <v>261329</v>
      </c>
      <c r="AC1214" s="8">
        <v>261431</v>
      </c>
      <c r="AD1214" s="13">
        <f t="shared" si="287"/>
        <v>102</v>
      </c>
      <c r="AE1214" s="135"/>
      <c r="AF1214" s="135"/>
      <c r="AG1214" s="135"/>
      <c r="AH1214" s="136"/>
      <c r="AI1214" s="50">
        <f t="shared" si="289"/>
        <v>1705</v>
      </c>
    </row>
    <row r="1215" spans="1:35">
      <c r="A1215" s="12">
        <v>45590</v>
      </c>
      <c r="B1215" s="8">
        <f t="shared" si="284"/>
        <v>2078304</v>
      </c>
      <c r="C1215" s="8">
        <v>2078903</v>
      </c>
      <c r="D1215" s="13">
        <f t="shared" si="285"/>
        <v>599</v>
      </c>
      <c r="E1215" s="77">
        <f t="shared" si="278"/>
        <v>68330</v>
      </c>
      <c r="F1215" s="69">
        <v>69101</v>
      </c>
      <c r="G1215" s="133">
        <f t="shared" si="276"/>
        <v>771</v>
      </c>
      <c r="H1215" s="8">
        <f t="shared" si="279"/>
        <v>360758</v>
      </c>
      <c r="I1215" s="8">
        <v>360758</v>
      </c>
      <c r="J1215" s="13">
        <f t="shared" si="290"/>
        <v>0</v>
      </c>
      <c r="K1215" s="138"/>
      <c r="L1215" s="8">
        <f t="shared" si="280"/>
        <v>1174411</v>
      </c>
      <c r="M1215" s="8">
        <v>1175688</v>
      </c>
      <c r="N1215" s="13">
        <f t="shared" si="273"/>
        <v>1277</v>
      </c>
      <c r="O1215" s="136">
        <f t="shared" si="288"/>
        <v>916</v>
      </c>
      <c r="P1215" s="8">
        <f t="shared" si="282"/>
        <v>613197</v>
      </c>
      <c r="Q1215" s="8">
        <v>613692</v>
      </c>
      <c r="R1215" s="133">
        <f t="shared" si="272"/>
        <v>495</v>
      </c>
      <c r="S1215" s="8">
        <f t="shared" si="283"/>
        <v>45259</v>
      </c>
      <c r="T1215" s="8">
        <v>45314</v>
      </c>
      <c r="U1215" s="133">
        <f t="shared" si="286"/>
        <v>55</v>
      </c>
      <c r="V1215" s="8">
        <f t="shared" si="281"/>
        <v>365621</v>
      </c>
      <c r="W1215" s="8">
        <v>365836</v>
      </c>
      <c r="X1215" s="13">
        <f t="shared" si="270"/>
        <v>215</v>
      </c>
      <c r="Y1215" s="8">
        <f t="shared" si="277"/>
        <v>41236</v>
      </c>
      <c r="Z1215" s="8">
        <v>41261</v>
      </c>
      <c r="AA1215" s="13">
        <f t="shared" si="271"/>
        <v>25</v>
      </c>
      <c r="AB1215" s="8">
        <f t="shared" si="274"/>
        <v>261431</v>
      </c>
      <c r="AC1215" s="8">
        <v>261527</v>
      </c>
      <c r="AD1215" s="13">
        <f t="shared" si="287"/>
        <v>96</v>
      </c>
      <c r="AE1215" s="135"/>
      <c r="AF1215" s="135"/>
      <c r="AG1215" s="135"/>
      <c r="AH1215" s="136"/>
      <c r="AI1215" s="50">
        <f t="shared" si="289"/>
        <v>1706</v>
      </c>
    </row>
    <row r="1216" spans="1:35">
      <c r="A1216" s="12">
        <v>45591</v>
      </c>
      <c r="B1216" s="8">
        <f t="shared" si="284"/>
        <v>2078903</v>
      </c>
      <c r="C1216" s="8">
        <v>2079464</v>
      </c>
      <c r="D1216" s="13">
        <f t="shared" si="285"/>
        <v>561</v>
      </c>
      <c r="E1216" s="77">
        <f t="shared" si="278"/>
        <v>69101</v>
      </c>
      <c r="F1216" s="69">
        <v>69812</v>
      </c>
      <c r="G1216" s="133">
        <f t="shared" si="276"/>
        <v>711</v>
      </c>
      <c r="H1216" s="8">
        <f t="shared" si="279"/>
        <v>360758</v>
      </c>
      <c r="I1216" s="8">
        <v>360929</v>
      </c>
      <c r="J1216" s="13">
        <f t="shared" si="290"/>
        <v>171</v>
      </c>
      <c r="K1216" s="138"/>
      <c r="L1216" s="8">
        <f t="shared" si="280"/>
        <v>1175688</v>
      </c>
      <c r="M1216" s="8">
        <v>1176543</v>
      </c>
      <c r="N1216" s="13">
        <f t="shared" si="273"/>
        <v>855</v>
      </c>
      <c r="O1216" s="136">
        <f t="shared" si="288"/>
        <v>1028</v>
      </c>
      <c r="P1216" s="8">
        <f t="shared" si="282"/>
        <v>613692</v>
      </c>
      <c r="Q1216" s="8">
        <v>614188</v>
      </c>
      <c r="R1216" s="133">
        <f t="shared" si="272"/>
        <v>496</v>
      </c>
      <c r="S1216" s="8">
        <f t="shared" si="283"/>
        <v>45314</v>
      </c>
      <c r="T1216" s="8">
        <v>45316</v>
      </c>
      <c r="U1216" s="133">
        <f t="shared" si="286"/>
        <v>2</v>
      </c>
      <c r="V1216" s="8">
        <f t="shared" si="281"/>
        <v>365836</v>
      </c>
      <c r="W1216" s="8">
        <v>366042</v>
      </c>
      <c r="X1216" s="13">
        <f t="shared" si="270"/>
        <v>206</v>
      </c>
      <c r="Y1216" s="8">
        <f t="shared" si="277"/>
        <v>41261</v>
      </c>
      <c r="Z1216" s="8">
        <v>41284</v>
      </c>
      <c r="AA1216" s="13">
        <f t="shared" si="271"/>
        <v>23</v>
      </c>
      <c r="AB1216" s="8">
        <f t="shared" si="274"/>
        <v>261527</v>
      </c>
      <c r="AC1216" s="8">
        <v>261610</v>
      </c>
      <c r="AD1216" s="13">
        <f t="shared" si="287"/>
        <v>83</v>
      </c>
      <c r="AE1216" s="135"/>
      <c r="AF1216" s="135"/>
      <c r="AG1216" s="135"/>
      <c r="AH1216" s="136"/>
      <c r="AI1216" s="50">
        <f t="shared" si="289"/>
        <v>1755</v>
      </c>
    </row>
    <row r="1217" spans="1:35">
      <c r="A1217" s="12">
        <v>45592</v>
      </c>
      <c r="B1217" s="8">
        <f t="shared" si="284"/>
        <v>2079464</v>
      </c>
      <c r="C1217" s="8">
        <v>2080153</v>
      </c>
      <c r="D1217" s="13">
        <f t="shared" si="285"/>
        <v>689</v>
      </c>
      <c r="E1217" s="77">
        <f t="shared" si="278"/>
        <v>69812</v>
      </c>
      <c r="F1217" s="69">
        <v>70571</v>
      </c>
      <c r="G1217" s="133">
        <f t="shared" si="276"/>
        <v>759</v>
      </c>
      <c r="H1217" s="8">
        <f t="shared" si="279"/>
        <v>360929</v>
      </c>
      <c r="I1217" s="8">
        <v>360929</v>
      </c>
      <c r="J1217" s="13">
        <f t="shared" si="290"/>
        <v>0</v>
      </c>
      <c r="K1217" s="138"/>
      <c r="L1217" s="8">
        <f t="shared" si="280"/>
        <v>1176543</v>
      </c>
      <c r="M1217" s="8">
        <v>1177830</v>
      </c>
      <c r="N1217" s="13">
        <f t="shared" si="273"/>
        <v>1287</v>
      </c>
      <c r="O1217" s="136">
        <f t="shared" si="288"/>
        <v>746</v>
      </c>
      <c r="P1217" s="8">
        <f t="shared" si="282"/>
        <v>614188</v>
      </c>
      <c r="Q1217" s="8">
        <v>614938</v>
      </c>
      <c r="R1217" s="133">
        <f t="shared" si="272"/>
        <v>750</v>
      </c>
      <c r="S1217" s="8">
        <f t="shared" si="283"/>
        <v>45316</v>
      </c>
      <c r="T1217" s="8">
        <v>45360</v>
      </c>
      <c r="U1217" s="133">
        <f t="shared" si="286"/>
        <v>44</v>
      </c>
      <c r="V1217" s="8">
        <f t="shared" si="281"/>
        <v>366042</v>
      </c>
      <c r="W1217" s="8">
        <v>366198</v>
      </c>
      <c r="X1217" s="13">
        <f t="shared" si="270"/>
        <v>156</v>
      </c>
      <c r="Y1217" s="8">
        <f t="shared" si="277"/>
        <v>41284</v>
      </c>
      <c r="Z1217" s="8">
        <v>41310</v>
      </c>
      <c r="AA1217" s="13">
        <f t="shared" si="271"/>
        <v>26</v>
      </c>
      <c r="AB1217" s="8">
        <f t="shared" si="274"/>
        <v>261610</v>
      </c>
      <c r="AC1217" s="8">
        <v>261702</v>
      </c>
      <c r="AD1217" s="13">
        <f t="shared" si="287"/>
        <v>92</v>
      </c>
      <c r="AE1217" s="135"/>
      <c r="AF1217" s="135"/>
      <c r="AG1217" s="135"/>
      <c r="AH1217" s="136"/>
      <c r="AI1217" s="50">
        <f t="shared" si="289"/>
        <v>1722</v>
      </c>
    </row>
    <row r="1218" spans="1:35">
      <c r="A1218" s="12">
        <v>45593</v>
      </c>
      <c r="B1218" s="8">
        <f t="shared" si="284"/>
        <v>2080153</v>
      </c>
      <c r="C1218" s="8">
        <v>2080755</v>
      </c>
      <c r="D1218" s="13">
        <f t="shared" si="285"/>
        <v>602</v>
      </c>
      <c r="E1218" s="77">
        <f t="shared" si="278"/>
        <v>70571</v>
      </c>
      <c r="F1218" s="69">
        <v>71331</v>
      </c>
      <c r="G1218" s="133">
        <f t="shared" si="276"/>
        <v>760</v>
      </c>
      <c r="H1218" s="8">
        <f t="shared" si="279"/>
        <v>360929</v>
      </c>
      <c r="I1218" s="8">
        <v>360929</v>
      </c>
      <c r="J1218" s="13">
        <f t="shared" si="290"/>
        <v>0</v>
      </c>
      <c r="K1218" s="138"/>
      <c r="L1218" s="8">
        <f t="shared" si="280"/>
        <v>1177830</v>
      </c>
      <c r="M1218" s="8">
        <v>1178980</v>
      </c>
      <c r="N1218" s="13">
        <f t="shared" si="273"/>
        <v>1150</v>
      </c>
      <c r="O1218" s="136">
        <f t="shared" si="288"/>
        <v>1120</v>
      </c>
      <c r="P1218" s="8">
        <f t="shared" si="282"/>
        <v>614938</v>
      </c>
      <c r="Q1218" s="8">
        <v>615290</v>
      </c>
      <c r="R1218" s="133">
        <f t="shared" si="272"/>
        <v>352</v>
      </c>
      <c r="S1218" s="8">
        <f t="shared" si="283"/>
        <v>45360</v>
      </c>
      <c r="T1218" s="8">
        <v>45360</v>
      </c>
      <c r="U1218" s="133">
        <f t="shared" si="286"/>
        <v>0</v>
      </c>
      <c r="V1218" s="8">
        <f t="shared" si="281"/>
        <v>366198</v>
      </c>
      <c r="W1218" s="8">
        <v>366365</v>
      </c>
      <c r="X1218" s="13">
        <f t="shared" ref="X1218:X1281" si="291">W1218-V1218</f>
        <v>167</v>
      </c>
      <c r="Y1218" s="8">
        <f t="shared" si="277"/>
        <v>41310</v>
      </c>
      <c r="Z1218" s="8">
        <v>41377</v>
      </c>
      <c r="AA1218" s="13">
        <f t="shared" si="271"/>
        <v>67</v>
      </c>
      <c r="AB1218" s="8">
        <f t="shared" si="274"/>
        <v>261702</v>
      </c>
      <c r="AC1218" s="8">
        <v>261812</v>
      </c>
      <c r="AD1218" s="13">
        <f t="shared" si="287"/>
        <v>110</v>
      </c>
      <c r="AE1218" s="135"/>
      <c r="AF1218" s="135"/>
      <c r="AG1218" s="135"/>
      <c r="AH1218" s="136"/>
      <c r="AI1218" s="50">
        <f t="shared" si="289"/>
        <v>1706</v>
      </c>
    </row>
    <row r="1219" spans="1:35">
      <c r="A1219" s="12">
        <v>45594</v>
      </c>
      <c r="B1219" s="8">
        <f t="shared" si="284"/>
        <v>2080755</v>
      </c>
      <c r="C1219" s="8">
        <v>2081247</v>
      </c>
      <c r="D1219" s="13">
        <f t="shared" si="285"/>
        <v>492</v>
      </c>
      <c r="E1219" s="77">
        <f t="shared" si="278"/>
        <v>71331</v>
      </c>
      <c r="F1219" s="77">
        <v>72127</v>
      </c>
      <c r="G1219" s="133">
        <f t="shared" si="276"/>
        <v>796</v>
      </c>
      <c r="H1219" s="8">
        <f t="shared" si="279"/>
        <v>360929</v>
      </c>
      <c r="I1219" s="8">
        <v>360929</v>
      </c>
      <c r="J1219" s="13">
        <f t="shared" si="290"/>
        <v>0</v>
      </c>
      <c r="K1219" s="138"/>
      <c r="L1219" s="8">
        <f t="shared" si="280"/>
        <v>1178980</v>
      </c>
      <c r="M1219" s="8">
        <v>1180112</v>
      </c>
      <c r="N1219" s="13">
        <f t="shared" si="273"/>
        <v>1132</v>
      </c>
      <c r="O1219" s="136">
        <f t="shared" si="288"/>
        <v>917</v>
      </c>
      <c r="P1219" s="8">
        <f t="shared" si="282"/>
        <v>615290</v>
      </c>
      <c r="Q1219" s="8">
        <v>615739</v>
      </c>
      <c r="R1219" s="133">
        <f t="shared" si="272"/>
        <v>449</v>
      </c>
      <c r="S1219" s="8">
        <f t="shared" si="283"/>
        <v>45360</v>
      </c>
      <c r="T1219" s="8">
        <v>45360</v>
      </c>
      <c r="U1219" s="133">
        <f t="shared" si="286"/>
        <v>0</v>
      </c>
      <c r="V1219" s="8">
        <f t="shared" si="281"/>
        <v>366365</v>
      </c>
      <c r="W1219" s="8">
        <v>366542</v>
      </c>
      <c r="X1219" s="13">
        <f t="shared" si="291"/>
        <v>177</v>
      </c>
      <c r="Y1219" s="8">
        <f t="shared" si="277"/>
        <v>41377</v>
      </c>
      <c r="Z1219" s="8">
        <v>41399</v>
      </c>
      <c r="AA1219" s="13">
        <f t="shared" si="271"/>
        <v>22</v>
      </c>
      <c r="AB1219" s="8">
        <f t="shared" si="274"/>
        <v>261812</v>
      </c>
      <c r="AC1219" s="8">
        <v>261890</v>
      </c>
      <c r="AD1219" s="13">
        <f t="shared" si="287"/>
        <v>78</v>
      </c>
      <c r="AE1219" s="135"/>
      <c r="AF1219" s="135"/>
      <c r="AG1219" s="135"/>
      <c r="AH1219" s="136"/>
      <c r="AI1219" s="50">
        <f t="shared" si="289"/>
        <v>1565</v>
      </c>
    </row>
    <row r="1220" spans="1:35">
      <c r="A1220" s="12">
        <v>45595</v>
      </c>
      <c r="B1220" s="8">
        <v>2081247</v>
      </c>
      <c r="C1220" s="8">
        <v>2081675</v>
      </c>
      <c r="D1220" s="13">
        <f t="shared" si="285"/>
        <v>428</v>
      </c>
      <c r="E1220" s="77">
        <v>72127</v>
      </c>
      <c r="F1220" s="69">
        <v>72879</v>
      </c>
      <c r="G1220" s="133">
        <f t="shared" si="276"/>
        <v>752</v>
      </c>
      <c r="H1220" s="8">
        <f t="shared" si="279"/>
        <v>360929</v>
      </c>
      <c r="I1220" s="8">
        <v>360929</v>
      </c>
      <c r="J1220" s="13">
        <f t="shared" si="290"/>
        <v>0</v>
      </c>
      <c r="K1220" s="138"/>
      <c r="L1220" s="8">
        <f t="shared" si="280"/>
        <v>1180112</v>
      </c>
      <c r="M1220" s="8">
        <v>1181308</v>
      </c>
      <c r="N1220" s="13">
        <f t="shared" si="273"/>
        <v>1196</v>
      </c>
      <c r="O1220" s="136">
        <f t="shared" si="288"/>
        <v>585</v>
      </c>
      <c r="P1220" s="8">
        <f t="shared" si="282"/>
        <v>615739</v>
      </c>
      <c r="Q1220" s="8">
        <v>616228</v>
      </c>
      <c r="R1220" s="133">
        <f t="shared" si="272"/>
        <v>489</v>
      </c>
      <c r="S1220" s="8">
        <f t="shared" si="283"/>
        <v>45360</v>
      </c>
      <c r="T1220" s="8">
        <v>45551</v>
      </c>
      <c r="U1220" s="133">
        <f t="shared" si="286"/>
        <v>191</v>
      </c>
      <c r="V1220" s="8">
        <f t="shared" si="281"/>
        <v>366542</v>
      </c>
      <c r="W1220" s="8">
        <v>366730</v>
      </c>
      <c r="X1220" s="13">
        <f t="shared" si="291"/>
        <v>188</v>
      </c>
      <c r="Y1220" s="8">
        <f t="shared" si="277"/>
        <v>41399</v>
      </c>
      <c r="Z1220" s="8">
        <v>41506</v>
      </c>
      <c r="AA1220" s="13">
        <f t="shared" si="271"/>
        <v>107</v>
      </c>
      <c r="AB1220" s="8">
        <f t="shared" si="274"/>
        <v>261890</v>
      </c>
      <c r="AC1220" s="8">
        <v>261975</v>
      </c>
      <c r="AD1220" s="13">
        <f t="shared" si="287"/>
        <v>85</v>
      </c>
      <c r="AE1220" s="135"/>
      <c r="AF1220" s="135"/>
      <c r="AG1220" s="135"/>
      <c r="AH1220" s="136"/>
      <c r="AI1220" s="50">
        <f t="shared" si="289"/>
        <v>1560</v>
      </c>
    </row>
    <row r="1221" spans="1:35">
      <c r="A1221" s="12">
        <v>45596</v>
      </c>
      <c r="B1221" s="8">
        <v>2081675</v>
      </c>
      <c r="C1221" s="8">
        <v>2081785</v>
      </c>
      <c r="D1221" s="13">
        <f t="shared" si="285"/>
        <v>110</v>
      </c>
      <c r="E1221" s="77">
        <f t="shared" si="278"/>
        <v>72879</v>
      </c>
      <c r="F1221" s="69">
        <v>73628</v>
      </c>
      <c r="G1221" s="133">
        <f t="shared" si="276"/>
        <v>749</v>
      </c>
      <c r="H1221" s="8">
        <f t="shared" si="279"/>
        <v>360929</v>
      </c>
      <c r="I1221" s="8">
        <v>360979</v>
      </c>
      <c r="J1221" s="13">
        <f t="shared" si="290"/>
        <v>50</v>
      </c>
      <c r="K1221" s="138"/>
      <c r="L1221" s="8">
        <f t="shared" si="280"/>
        <v>1181308</v>
      </c>
      <c r="M1221" s="8">
        <v>1182164</v>
      </c>
      <c r="N1221" s="13">
        <f t="shared" si="273"/>
        <v>856</v>
      </c>
      <c r="O1221" s="136">
        <f t="shared" si="288"/>
        <v>376</v>
      </c>
      <c r="P1221" s="8">
        <f t="shared" si="282"/>
        <v>616228</v>
      </c>
      <c r="Q1221" s="8">
        <v>616716</v>
      </c>
      <c r="R1221" s="133">
        <f t="shared" si="272"/>
        <v>488</v>
      </c>
      <c r="S1221" s="8">
        <f t="shared" si="283"/>
        <v>45551</v>
      </c>
      <c r="T1221" s="8">
        <v>45671</v>
      </c>
      <c r="U1221" s="133">
        <f t="shared" si="286"/>
        <v>120</v>
      </c>
      <c r="V1221" s="8">
        <f t="shared" si="281"/>
        <v>366730</v>
      </c>
      <c r="W1221" s="8">
        <v>366919</v>
      </c>
      <c r="X1221" s="13">
        <f t="shared" si="291"/>
        <v>189</v>
      </c>
      <c r="Y1221" s="8">
        <f t="shared" si="277"/>
        <v>41506</v>
      </c>
      <c r="Z1221" s="8">
        <v>41506</v>
      </c>
      <c r="AA1221" s="13">
        <f t="shared" ref="AA1221:AA1284" si="292">Z1221-Y1221</f>
        <v>0</v>
      </c>
      <c r="AB1221" s="8">
        <f t="shared" si="274"/>
        <v>261975</v>
      </c>
      <c r="AC1221" s="8">
        <v>262050</v>
      </c>
      <c r="AD1221" s="13">
        <f t="shared" si="287"/>
        <v>75</v>
      </c>
      <c r="AE1221" s="135"/>
      <c r="AF1221" s="135"/>
      <c r="AG1221" s="135"/>
      <c r="AH1221" s="136"/>
      <c r="AI1221" s="50">
        <f t="shared" si="289"/>
        <v>1173</v>
      </c>
    </row>
    <row r="1222" spans="1:35">
      <c r="A1222" s="12">
        <v>45597</v>
      </c>
      <c r="B1222" s="8">
        <f t="shared" si="284"/>
        <v>2081785</v>
      </c>
      <c r="C1222" s="8">
        <v>2081997</v>
      </c>
      <c r="D1222" s="13">
        <f t="shared" si="285"/>
        <v>212</v>
      </c>
      <c r="E1222" s="77">
        <f t="shared" si="278"/>
        <v>73628</v>
      </c>
      <c r="F1222" s="69">
        <v>74390</v>
      </c>
      <c r="G1222" s="133">
        <f t="shared" si="276"/>
        <v>762</v>
      </c>
      <c r="H1222" s="8">
        <f t="shared" si="279"/>
        <v>360979</v>
      </c>
      <c r="I1222" s="8">
        <v>361151</v>
      </c>
      <c r="J1222" s="13">
        <f t="shared" si="290"/>
        <v>172</v>
      </c>
      <c r="K1222" s="138"/>
      <c r="L1222" s="8">
        <f t="shared" si="280"/>
        <v>1182164</v>
      </c>
      <c r="M1222" s="8">
        <v>1183061</v>
      </c>
      <c r="N1222" s="13">
        <f t="shared" si="273"/>
        <v>897</v>
      </c>
      <c r="O1222" s="136">
        <f t="shared" si="288"/>
        <v>584</v>
      </c>
      <c r="P1222" s="8">
        <f t="shared" si="282"/>
        <v>616716</v>
      </c>
      <c r="Q1222" s="8">
        <v>617280</v>
      </c>
      <c r="R1222" s="133">
        <f t="shared" si="272"/>
        <v>564</v>
      </c>
      <c r="S1222" s="8">
        <f t="shared" si="283"/>
        <v>45671</v>
      </c>
      <c r="T1222" s="8">
        <v>45774</v>
      </c>
      <c r="U1222" s="133">
        <f t="shared" si="286"/>
        <v>103</v>
      </c>
      <c r="V1222" s="8">
        <f t="shared" si="281"/>
        <v>366919</v>
      </c>
      <c r="W1222" s="8">
        <v>367099</v>
      </c>
      <c r="X1222" s="13">
        <f t="shared" si="291"/>
        <v>180</v>
      </c>
      <c r="Y1222" s="8">
        <f t="shared" si="277"/>
        <v>41506</v>
      </c>
      <c r="Z1222" s="8">
        <v>41506</v>
      </c>
      <c r="AA1222" s="13">
        <f t="shared" si="292"/>
        <v>0</v>
      </c>
      <c r="AB1222" s="8">
        <f t="shared" si="274"/>
        <v>262050</v>
      </c>
      <c r="AC1222" s="8">
        <v>262155</v>
      </c>
      <c r="AD1222" s="13">
        <f t="shared" si="287"/>
        <v>105</v>
      </c>
      <c r="AE1222" s="135"/>
      <c r="AF1222" s="135"/>
      <c r="AG1222" s="135"/>
      <c r="AH1222" s="136"/>
      <c r="AI1222" s="50">
        <f t="shared" si="289"/>
        <v>1431</v>
      </c>
    </row>
    <row r="1223" spans="1:35">
      <c r="A1223" s="12">
        <v>45598</v>
      </c>
      <c r="B1223" s="8">
        <f t="shared" si="284"/>
        <v>2081997</v>
      </c>
      <c r="C1223" s="8">
        <v>2082442</v>
      </c>
      <c r="D1223" s="13">
        <f t="shared" si="285"/>
        <v>445</v>
      </c>
      <c r="E1223" s="77">
        <f t="shared" si="278"/>
        <v>74390</v>
      </c>
      <c r="F1223" s="69">
        <v>75064</v>
      </c>
      <c r="G1223" s="133">
        <f t="shared" si="276"/>
        <v>674</v>
      </c>
      <c r="H1223" s="8">
        <f t="shared" si="279"/>
        <v>361151</v>
      </c>
      <c r="I1223" s="8">
        <v>361391</v>
      </c>
      <c r="J1223" s="13">
        <f t="shared" si="290"/>
        <v>240</v>
      </c>
      <c r="K1223" s="138"/>
      <c r="L1223" s="8">
        <f t="shared" si="280"/>
        <v>1183061</v>
      </c>
      <c r="M1223" s="8">
        <v>1183824</v>
      </c>
      <c r="N1223" s="13">
        <f t="shared" si="273"/>
        <v>763</v>
      </c>
      <c r="O1223" s="136">
        <f t="shared" si="288"/>
        <v>909</v>
      </c>
      <c r="P1223" s="8">
        <f t="shared" si="282"/>
        <v>617280</v>
      </c>
      <c r="Q1223" s="8">
        <v>617760</v>
      </c>
      <c r="R1223" s="133">
        <f t="shared" si="272"/>
        <v>480</v>
      </c>
      <c r="S1223" s="8">
        <f t="shared" si="283"/>
        <v>45774</v>
      </c>
      <c r="T1223" s="8">
        <v>45856</v>
      </c>
      <c r="U1223" s="133">
        <f t="shared" si="286"/>
        <v>82</v>
      </c>
      <c r="V1223" s="8">
        <f t="shared" si="281"/>
        <v>367099</v>
      </c>
      <c r="W1223" s="8">
        <v>367281</v>
      </c>
      <c r="X1223" s="13">
        <f t="shared" si="291"/>
        <v>182</v>
      </c>
      <c r="Y1223" s="8">
        <f t="shared" si="277"/>
        <v>41506</v>
      </c>
      <c r="Z1223" s="8">
        <v>41506</v>
      </c>
      <c r="AA1223" s="13">
        <f t="shared" si="292"/>
        <v>0</v>
      </c>
      <c r="AB1223" s="8">
        <f t="shared" si="274"/>
        <v>262155</v>
      </c>
      <c r="AC1223" s="8">
        <v>262267</v>
      </c>
      <c r="AD1223" s="13">
        <f t="shared" si="287"/>
        <v>112</v>
      </c>
      <c r="AE1223" s="135"/>
      <c r="AF1223" s="135"/>
      <c r="AG1223" s="135"/>
      <c r="AH1223" s="136"/>
      <c r="AI1223" s="50">
        <f t="shared" si="289"/>
        <v>1653</v>
      </c>
    </row>
    <row r="1224" spans="1:35">
      <c r="A1224" s="12">
        <v>45599</v>
      </c>
      <c r="B1224" s="8">
        <f t="shared" si="284"/>
        <v>2082442</v>
      </c>
      <c r="C1224" s="8">
        <v>2083074</v>
      </c>
      <c r="D1224" s="13">
        <f t="shared" si="285"/>
        <v>632</v>
      </c>
      <c r="E1224" s="77">
        <f t="shared" si="278"/>
        <v>75064</v>
      </c>
      <c r="F1224" s="69">
        <v>75871</v>
      </c>
      <c r="G1224" s="133">
        <f t="shared" si="276"/>
        <v>807</v>
      </c>
      <c r="H1224" s="8">
        <f t="shared" si="279"/>
        <v>361391</v>
      </c>
      <c r="I1224" s="8">
        <v>361391</v>
      </c>
      <c r="J1224" s="13">
        <f t="shared" si="290"/>
        <v>0</v>
      </c>
      <c r="K1224" s="138"/>
      <c r="L1224" s="8">
        <f t="shared" si="280"/>
        <v>1183824</v>
      </c>
      <c r="M1224" s="8">
        <v>1185189</v>
      </c>
      <c r="N1224" s="13">
        <f t="shared" si="273"/>
        <v>1365</v>
      </c>
      <c r="O1224" s="136">
        <f t="shared" si="288"/>
        <v>826</v>
      </c>
      <c r="P1224" s="8">
        <f t="shared" si="282"/>
        <v>617760</v>
      </c>
      <c r="Q1224" s="8">
        <v>618426</v>
      </c>
      <c r="R1224" s="133">
        <f t="shared" si="272"/>
        <v>666</v>
      </c>
      <c r="S1224" s="8">
        <f t="shared" si="283"/>
        <v>45856</v>
      </c>
      <c r="T1224" s="8">
        <v>45923</v>
      </c>
      <c r="U1224" s="133">
        <f t="shared" si="286"/>
        <v>67</v>
      </c>
      <c r="V1224" s="8">
        <f t="shared" si="281"/>
        <v>367281</v>
      </c>
      <c r="W1224" s="8">
        <v>367470</v>
      </c>
      <c r="X1224" s="13">
        <f t="shared" si="291"/>
        <v>189</v>
      </c>
      <c r="Y1224" s="8">
        <f t="shared" si="277"/>
        <v>41506</v>
      </c>
      <c r="Z1224" s="8">
        <v>41506</v>
      </c>
      <c r="AA1224" s="13">
        <f t="shared" si="292"/>
        <v>0</v>
      </c>
      <c r="AB1224" s="8">
        <f t="shared" si="274"/>
        <v>262267</v>
      </c>
      <c r="AC1224" s="8">
        <v>262387</v>
      </c>
      <c r="AD1224" s="13">
        <f t="shared" si="287"/>
        <v>120</v>
      </c>
      <c r="AE1224" s="135"/>
      <c r="AF1224" s="135"/>
      <c r="AG1224" s="135"/>
      <c r="AH1224" s="136"/>
      <c r="AI1224" s="50">
        <f t="shared" si="289"/>
        <v>1748</v>
      </c>
    </row>
    <row r="1225" spans="1:35">
      <c r="A1225" s="12">
        <v>45600</v>
      </c>
      <c r="B1225" s="8">
        <f t="shared" si="284"/>
        <v>2083074</v>
      </c>
      <c r="C1225" s="8">
        <v>2083802</v>
      </c>
      <c r="D1225" s="13">
        <f t="shared" si="285"/>
        <v>728</v>
      </c>
      <c r="E1225" s="77">
        <f t="shared" si="278"/>
        <v>75871</v>
      </c>
      <c r="F1225" s="69">
        <v>76632</v>
      </c>
      <c r="G1225" s="133">
        <f t="shared" si="276"/>
        <v>761</v>
      </c>
      <c r="H1225" s="8">
        <f t="shared" si="279"/>
        <v>361391</v>
      </c>
      <c r="I1225" s="8">
        <v>361391</v>
      </c>
      <c r="J1225" s="13">
        <f t="shared" si="290"/>
        <v>0</v>
      </c>
      <c r="K1225" s="138"/>
      <c r="L1225" s="8">
        <f t="shared" si="280"/>
        <v>1185189</v>
      </c>
      <c r="M1225" s="8">
        <v>1186430</v>
      </c>
      <c r="N1225" s="13">
        <f t="shared" si="273"/>
        <v>1241</v>
      </c>
      <c r="O1225" s="136">
        <f t="shared" si="288"/>
        <v>987</v>
      </c>
      <c r="P1225" s="8">
        <f t="shared" si="282"/>
        <v>618426</v>
      </c>
      <c r="Q1225" s="8">
        <v>618969</v>
      </c>
      <c r="R1225" s="133">
        <f t="shared" si="272"/>
        <v>543</v>
      </c>
      <c r="S1225" s="8">
        <f t="shared" si="283"/>
        <v>45923</v>
      </c>
      <c r="T1225" s="8">
        <v>45953</v>
      </c>
      <c r="U1225" s="133">
        <f t="shared" si="286"/>
        <v>30</v>
      </c>
      <c r="V1225" s="8">
        <f t="shared" si="281"/>
        <v>367470</v>
      </c>
      <c r="W1225" s="8">
        <v>367606</v>
      </c>
      <c r="X1225" s="13">
        <f t="shared" si="291"/>
        <v>136</v>
      </c>
      <c r="Y1225" s="8">
        <f t="shared" si="277"/>
        <v>41506</v>
      </c>
      <c r="Z1225" s="8">
        <v>41544</v>
      </c>
      <c r="AA1225" s="13">
        <f t="shared" si="292"/>
        <v>38</v>
      </c>
      <c r="AB1225" s="8">
        <f t="shared" si="274"/>
        <v>262387</v>
      </c>
      <c r="AC1225" s="8">
        <v>262458</v>
      </c>
      <c r="AD1225" s="13">
        <f t="shared" si="287"/>
        <v>71</v>
      </c>
      <c r="AE1225" s="135"/>
      <c r="AF1225" s="135"/>
      <c r="AG1225" s="135"/>
      <c r="AH1225" s="136"/>
      <c r="AI1225" s="50">
        <f t="shared" si="289"/>
        <v>1734</v>
      </c>
    </row>
    <row r="1226" spans="1:35">
      <c r="A1226" s="12">
        <v>45601</v>
      </c>
      <c r="B1226" s="8">
        <f t="shared" si="284"/>
        <v>2083802</v>
      </c>
      <c r="C1226" s="8">
        <v>2084180</v>
      </c>
      <c r="D1226" s="13">
        <f t="shared" si="285"/>
        <v>378</v>
      </c>
      <c r="E1226" s="77">
        <f t="shared" si="278"/>
        <v>76632</v>
      </c>
      <c r="F1226" s="69">
        <v>77391</v>
      </c>
      <c r="G1226" s="133">
        <f t="shared" si="276"/>
        <v>759</v>
      </c>
      <c r="H1226" s="8">
        <f t="shared" si="279"/>
        <v>361391</v>
      </c>
      <c r="I1226" s="8">
        <v>361391</v>
      </c>
      <c r="J1226" s="13">
        <f t="shared" si="290"/>
        <v>0</v>
      </c>
      <c r="K1226" s="138"/>
      <c r="L1226" s="8">
        <f t="shared" si="280"/>
        <v>1186430</v>
      </c>
      <c r="M1226" s="8">
        <v>1187615</v>
      </c>
      <c r="N1226" s="13">
        <f t="shared" si="273"/>
        <v>1185</v>
      </c>
      <c r="O1226" s="136">
        <f t="shared" si="288"/>
        <v>638</v>
      </c>
      <c r="P1226" s="8">
        <f t="shared" si="282"/>
        <v>618969</v>
      </c>
      <c r="Q1226" s="8">
        <v>619512</v>
      </c>
      <c r="R1226" s="133">
        <f t="shared" si="272"/>
        <v>543</v>
      </c>
      <c r="S1226" s="8">
        <f t="shared" si="283"/>
        <v>45953</v>
      </c>
      <c r="T1226" s="8">
        <v>45975</v>
      </c>
      <c r="U1226" s="133">
        <f t="shared" si="286"/>
        <v>22</v>
      </c>
      <c r="V1226" s="8">
        <f t="shared" si="281"/>
        <v>367606</v>
      </c>
      <c r="W1226" s="8">
        <v>367752</v>
      </c>
      <c r="X1226" s="13">
        <f t="shared" si="291"/>
        <v>146</v>
      </c>
      <c r="Y1226" s="8">
        <f t="shared" si="277"/>
        <v>41544</v>
      </c>
      <c r="Z1226" s="8">
        <v>41567</v>
      </c>
      <c r="AA1226" s="13">
        <f t="shared" si="292"/>
        <v>23</v>
      </c>
      <c r="AB1226" s="8">
        <f t="shared" si="274"/>
        <v>262458</v>
      </c>
      <c r="AC1226" s="8">
        <v>262524</v>
      </c>
      <c r="AD1226" s="13">
        <f t="shared" si="287"/>
        <v>66</v>
      </c>
      <c r="AE1226" s="135"/>
      <c r="AF1226" s="135"/>
      <c r="AG1226" s="135"/>
      <c r="AH1226" s="136"/>
      <c r="AI1226" s="50">
        <f t="shared" si="289"/>
        <v>1372</v>
      </c>
    </row>
    <row r="1227" spans="1:35">
      <c r="A1227" s="12">
        <v>45602</v>
      </c>
      <c r="B1227" s="8">
        <f t="shared" si="284"/>
        <v>2084180</v>
      </c>
      <c r="C1227" s="8">
        <v>2084950</v>
      </c>
      <c r="D1227" s="13">
        <f t="shared" si="285"/>
        <v>770</v>
      </c>
      <c r="E1227" s="77">
        <f t="shared" si="278"/>
        <v>77391</v>
      </c>
      <c r="F1227" s="69">
        <v>78149</v>
      </c>
      <c r="G1227" s="133">
        <f t="shared" si="276"/>
        <v>758</v>
      </c>
      <c r="H1227" s="8">
        <f t="shared" si="279"/>
        <v>361391</v>
      </c>
      <c r="I1227" s="8">
        <v>361391</v>
      </c>
      <c r="J1227" s="13">
        <f t="shared" si="290"/>
        <v>0</v>
      </c>
      <c r="K1227" s="138"/>
      <c r="L1227" s="8">
        <f t="shared" si="280"/>
        <v>1187615</v>
      </c>
      <c r="M1227" s="8">
        <v>1188650</v>
      </c>
      <c r="N1227" s="13">
        <f t="shared" si="273"/>
        <v>1035</v>
      </c>
      <c r="O1227" s="136">
        <f t="shared" si="288"/>
        <v>1152</v>
      </c>
      <c r="P1227" s="8">
        <f t="shared" si="282"/>
        <v>619512</v>
      </c>
      <c r="Q1227" s="8">
        <v>619922</v>
      </c>
      <c r="R1227" s="133">
        <f t="shared" si="272"/>
        <v>410</v>
      </c>
      <c r="S1227" s="8">
        <f t="shared" si="283"/>
        <v>45975</v>
      </c>
      <c r="T1227" s="8">
        <v>46040</v>
      </c>
      <c r="U1227" s="133">
        <f t="shared" si="286"/>
        <v>65</v>
      </c>
      <c r="V1227" s="8">
        <f t="shared" si="281"/>
        <v>367752</v>
      </c>
      <c r="W1227" s="8">
        <v>367939</v>
      </c>
      <c r="X1227" s="13">
        <f t="shared" si="291"/>
        <v>187</v>
      </c>
      <c r="Y1227" s="8">
        <f t="shared" si="277"/>
        <v>41567</v>
      </c>
      <c r="Z1227" s="8">
        <v>41589</v>
      </c>
      <c r="AA1227" s="13">
        <f t="shared" si="292"/>
        <v>22</v>
      </c>
      <c r="AB1227" s="8">
        <f t="shared" si="274"/>
        <v>262524</v>
      </c>
      <c r="AC1227" s="8">
        <v>262623</v>
      </c>
      <c r="AD1227" s="13">
        <f t="shared" si="287"/>
        <v>99</v>
      </c>
      <c r="AE1227" s="135"/>
      <c r="AF1227" s="135"/>
      <c r="AG1227" s="135"/>
      <c r="AH1227" s="136"/>
      <c r="AI1227" s="50">
        <f t="shared" si="289"/>
        <v>1836</v>
      </c>
    </row>
    <row r="1228" spans="1:35">
      <c r="A1228" s="12">
        <v>45603</v>
      </c>
      <c r="B1228" s="8">
        <f t="shared" si="284"/>
        <v>2084950</v>
      </c>
      <c r="C1228" s="8">
        <v>2086125</v>
      </c>
      <c r="D1228" s="13">
        <f t="shared" si="285"/>
        <v>1175</v>
      </c>
      <c r="E1228" s="77">
        <f t="shared" si="278"/>
        <v>78149</v>
      </c>
      <c r="F1228" s="69">
        <v>78899</v>
      </c>
      <c r="G1228" s="133">
        <f t="shared" si="276"/>
        <v>750</v>
      </c>
      <c r="H1228" s="8">
        <f t="shared" si="279"/>
        <v>361391</v>
      </c>
      <c r="I1228" s="8">
        <v>361391</v>
      </c>
      <c r="J1228" s="13">
        <f t="shared" si="290"/>
        <v>0</v>
      </c>
      <c r="K1228" s="138"/>
      <c r="L1228" s="8">
        <f t="shared" si="280"/>
        <v>1188650</v>
      </c>
      <c r="M1228" s="8">
        <v>1189913</v>
      </c>
      <c r="N1228" s="13">
        <f t="shared" si="273"/>
        <v>1263</v>
      </c>
      <c r="O1228" s="136">
        <f t="shared" si="288"/>
        <v>1331</v>
      </c>
      <c r="P1228" s="8">
        <f t="shared" si="282"/>
        <v>619922</v>
      </c>
      <c r="Q1228" s="8">
        <v>620528</v>
      </c>
      <c r="R1228" s="133">
        <f t="shared" si="272"/>
        <v>606</v>
      </c>
      <c r="S1228" s="8">
        <f t="shared" si="283"/>
        <v>46040</v>
      </c>
      <c r="T1228" s="8">
        <v>46106</v>
      </c>
      <c r="U1228" s="133">
        <f t="shared" si="286"/>
        <v>66</v>
      </c>
      <c r="V1228" s="8">
        <f t="shared" si="281"/>
        <v>367939</v>
      </c>
      <c r="W1228" s="8">
        <v>368081</v>
      </c>
      <c r="X1228" s="13">
        <f t="shared" si="291"/>
        <v>142</v>
      </c>
      <c r="Y1228" s="8">
        <f t="shared" si="277"/>
        <v>41589</v>
      </c>
      <c r="Z1228" s="8">
        <v>41611</v>
      </c>
      <c r="AA1228" s="13">
        <f t="shared" si="292"/>
        <v>22</v>
      </c>
      <c r="AB1228" s="8">
        <f t="shared" si="274"/>
        <v>262623</v>
      </c>
      <c r="AC1228" s="8">
        <v>262701</v>
      </c>
      <c r="AD1228" s="13">
        <f t="shared" si="287"/>
        <v>78</v>
      </c>
      <c r="AE1228" s="135"/>
      <c r="AF1228" s="135"/>
      <c r="AG1228" s="135"/>
      <c r="AH1228" s="136"/>
      <c r="AI1228" s="50">
        <f t="shared" si="289"/>
        <v>2167</v>
      </c>
    </row>
    <row r="1229" spans="1:35">
      <c r="A1229" s="12">
        <v>45604</v>
      </c>
      <c r="B1229" s="8">
        <f t="shared" si="284"/>
        <v>2086125</v>
      </c>
      <c r="C1229" s="8">
        <v>2087027</v>
      </c>
      <c r="D1229" s="13">
        <f t="shared" si="285"/>
        <v>902</v>
      </c>
      <c r="E1229" s="77">
        <f t="shared" si="278"/>
        <v>78899</v>
      </c>
      <c r="F1229" s="69">
        <v>79218</v>
      </c>
      <c r="G1229" s="133">
        <f t="shared" si="276"/>
        <v>319</v>
      </c>
      <c r="H1229" s="8">
        <f t="shared" si="279"/>
        <v>361391</v>
      </c>
      <c r="I1229" s="8">
        <v>361391</v>
      </c>
      <c r="J1229" s="13">
        <f>I1229-H1229</f>
        <v>0</v>
      </c>
      <c r="K1229" s="138"/>
      <c r="L1229" s="8">
        <f t="shared" si="280"/>
        <v>1189913</v>
      </c>
      <c r="M1229" s="8">
        <v>1191200</v>
      </c>
      <c r="N1229" s="13">
        <f t="shared" si="273"/>
        <v>1287</v>
      </c>
      <c r="O1229" s="136">
        <f t="shared" si="288"/>
        <v>669</v>
      </c>
      <c r="P1229" s="8">
        <f t="shared" si="282"/>
        <v>620528</v>
      </c>
      <c r="Q1229" s="8">
        <v>621118</v>
      </c>
      <c r="R1229" s="133">
        <f t="shared" si="272"/>
        <v>590</v>
      </c>
      <c r="S1229" s="8">
        <f t="shared" si="283"/>
        <v>46106</v>
      </c>
      <c r="T1229" s="8">
        <v>46153</v>
      </c>
      <c r="U1229" s="133">
        <f t="shared" si="286"/>
        <v>47</v>
      </c>
      <c r="V1229" s="8">
        <f t="shared" si="281"/>
        <v>368081</v>
      </c>
      <c r="W1229" s="8">
        <v>368240</v>
      </c>
      <c r="X1229" s="13">
        <f t="shared" si="291"/>
        <v>159</v>
      </c>
      <c r="Y1229" s="8">
        <f t="shared" si="277"/>
        <v>41611</v>
      </c>
      <c r="Z1229" s="8">
        <v>41635</v>
      </c>
      <c r="AA1229" s="13">
        <f t="shared" si="292"/>
        <v>24</v>
      </c>
      <c r="AB1229" s="8">
        <f t="shared" si="274"/>
        <v>262701</v>
      </c>
      <c r="AC1229" s="8">
        <v>262786</v>
      </c>
      <c r="AD1229" s="13">
        <f t="shared" si="287"/>
        <v>85</v>
      </c>
      <c r="AE1229" s="135"/>
      <c r="AF1229" s="135"/>
      <c r="AG1229" s="135"/>
      <c r="AH1229" s="136"/>
      <c r="AI1229" s="50">
        <f t="shared" si="289"/>
        <v>1489</v>
      </c>
    </row>
    <row r="1230" spans="1:35">
      <c r="A1230" s="12">
        <v>45605</v>
      </c>
      <c r="B1230" s="8">
        <f t="shared" si="284"/>
        <v>2087027</v>
      </c>
      <c r="C1230" s="8">
        <v>2087899</v>
      </c>
      <c r="D1230" s="13">
        <f t="shared" si="285"/>
        <v>872</v>
      </c>
      <c r="E1230" s="77">
        <f t="shared" si="278"/>
        <v>79218</v>
      </c>
      <c r="F1230" s="69">
        <v>79853</v>
      </c>
      <c r="G1230" s="133">
        <f t="shared" si="276"/>
        <v>635</v>
      </c>
      <c r="H1230" s="8">
        <f>I1229</f>
        <v>361391</v>
      </c>
      <c r="I1230" s="8">
        <v>361391</v>
      </c>
      <c r="J1230" s="13">
        <f>I1230-H1230</f>
        <v>0</v>
      </c>
      <c r="K1230" s="138"/>
      <c r="L1230" s="8">
        <f t="shared" si="280"/>
        <v>1191200</v>
      </c>
      <c r="M1230" s="8">
        <v>1192451</v>
      </c>
      <c r="N1230" s="13">
        <f t="shared" si="273"/>
        <v>1251</v>
      </c>
      <c r="O1230" s="136">
        <f t="shared" si="288"/>
        <v>1072</v>
      </c>
      <c r="P1230" s="8">
        <f t="shared" si="282"/>
        <v>621118</v>
      </c>
      <c r="Q1230" s="8">
        <v>621610</v>
      </c>
      <c r="R1230" s="133">
        <f t="shared" si="272"/>
        <v>492</v>
      </c>
      <c r="S1230" s="8">
        <f t="shared" si="283"/>
        <v>46153</v>
      </c>
      <c r="T1230" s="8">
        <v>46195</v>
      </c>
      <c r="U1230" s="133">
        <f t="shared" si="286"/>
        <v>42</v>
      </c>
      <c r="V1230" s="8">
        <f t="shared" si="281"/>
        <v>368240</v>
      </c>
      <c r="W1230" s="8">
        <v>368393</v>
      </c>
      <c r="X1230" s="13">
        <f t="shared" si="291"/>
        <v>153</v>
      </c>
      <c r="Y1230" s="8">
        <f t="shared" si="277"/>
        <v>41635</v>
      </c>
      <c r="Z1230" s="8">
        <v>41662</v>
      </c>
      <c r="AA1230" s="13">
        <f t="shared" si="292"/>
        <v>27</v>
      </c>
      <c r="AB1230" s="8">
        <f t="shared" si="274"/>
        <v>262786</v>
      </c>
      <c r="AC1230" s="8">
        <v>262885</v>
      </c>
      <c r="AD1230" s="13">
        <f t="shared" si="287"/>
        <v>99</v>
      </c>
      <c r="AE1230" s="135"/>
      <c r="AF1230" s="135"/>
      <c r="AG1230" s="135"/>
      <c r="AH1230" s="136"/>
      <c r="AI1230" s="50">
        <f t="shared" si="289"/>
        <v>1786</v>
      </c>
    </row>
    <row r="1231" spans="1:35">
      <c r="A1231" s="12">
        <v>45606</v>
      </c>
      <c r="B1231" s="8">
        <f t="shared" si="284"/>
        <v>2087899</v>
      </c>
      <c r="C1231" s="8">
        <v>2088638</v>
      </c>
      <c r="D1231" s="13">
        <f t="shared" si="285"/>
        <v>739</v>
      </c>
      <c r="E1231" s="77">
        <f t="shared" si="278"/>
        <v>79853</v>
      </c>
      <c r="F1231" s="69">
        <v>80860</v>
      </c>
      <c r="G1231" s="133">
        <f t="shared" si="276"/>
        <v>1007</v>
      </c>
      <c r="H1231" s="8">
        <f>I1230</f>
        <v>361391</v>
      </c>
      <c r="I1231" s="8">
        <v>361391</v>
      </c>
      <c r="J1231" s="13">
        <f t="shared" si="290"/>
        <v>0</v>
      </c>
      <c r="K1231" s="138"/>
      <c r="L1231" s="8">
        <f t="shared" si="280"/>
        <v>1192451</v>
      </c>
      <c r="M1231" s="8">
        <v>1193738</v>
      </c>
      <c r="N1231" s="13">
        <f t="shared" si="273"/>
        <v>1287</v>
      </c>
      <c r="O1231" s="136">
        <f t="shared" si="288"/>
        <v>1331</v>
      </c>
      <c r="P1231" s="8">
        <f t="shared" si="282"/>
        <v>621610</v>
      </c>
      <c r="Q1231" s="8">
        <v>622069</v>
      </c>
      <c r="R1231" s="133">
        <f t="shared" si="272"/>
        <v>459</v>
      </c>
      <c r="S1231" s="8">
        <f t="shared" si="283"/>
        <v>46195</v>
      </c>
      <c r="T1231" s="8">
        <v>46239</v>
      </c>
      <c r="U1231" s="133">
        <f t="shared" si="286"/>
        <v>44</v>
      </c>
      <c r="V1231" s="8">
        <f t="shared" si="281"/>
        <v>368393</v>
      </c>
      <c r="W1231" s="8">
        <v>368541</v>
      </c>
      <c r="X1231" s="13">
        <f t="shared" si="291"/>
        <v>148</v>
      </c>
      <c r="Y1231" s="8">
        <f t="shared" si="277"/>
        <v>41662</v>
      </c>
      <c r="Z1231" s="8">
        <v>41685</v>
      </c>
      <c r="AA1231" s="13">
        <f t="shared" si="292"/>
        <v>23</v>
      </c>
      <c r="AB1231" s="8">
        <f t="shared" si="274"/>
        <v>262885</v>
      </c>
      <c r="AC1231" s="8">
        <v>262973</v>
      </c>
      <c r="AD1231" s="13">
        <f t="shared" si="287"/>
        <v>88</v>
      </c>
      <c r="AE1231" s="135"/>
      <c r="AF1231" s="135"/>
      <c r="AG1231" s="135"/>
      <c r="AH1231" s="136"/>
      <c r="AI1231" s="50">
        <f t="shared" si="289"/>
        <v>2005</v>
      </c>
    </row>
    <row r="1232" spans="1:35">
      <c r="A1232" s="12">
        <v>45607</v>
      </c>
      <c r="B1232" s="8">
        <f t="shared" si="284"/>
        <v>2088638</v>
      </c>
      <c r="C1232" s="8">
        <v>2089331</v>
      </c>
      <c r="D1232" s="13">
        <f t="shared" si="285"/>
        <v>693</v>
      </c>
      <c r="E1232" s="77">
        <f t="shared" si="278"/>
        <v>80860</v>
      </c>
      <c r="F1232" s="69">
        <v>81267</v>
      </c>
      <c r="G1232" s="133">
        <f t="shared" si="276"/>
        <v>407</v>
      </c>
      <c r="H1232" s="8">
        <f t="shared" si="279"/>
        <v>361391</v>
      </c>
      <c r="I1232" s="8">
        <v>361391</v>
      </c>
      <c r="J1232" s="13">
        <f t="shared" si="290"/>
        <v>0</v>
      </c>
      <c r="K1232" s="138"/>
      <c r="L1232" s="8">
        <f t="shared" si="280"/>
        <v>1193738</v>
      </c>
      <c r="M1232" s="8">
        <v>1194880</v>
      </c>
      <c r="N1232" s="13">
        <f t="shared" si="273"/>
        <v>1142</v>
      </c>
      <c r="O1232" s="136">
        <f t="shared" si="288"/>
        <v>660</v>
      </c>
      <c r="P1232" s="8">
        <f t="shared" si="282"/>
        <v>622069</v>
      </c>
      <c r="Q1232" s="8">
        <v>622534</v>
      </c>
      <c r="R1232" s="133">
        <f t="shared" si="272"/>
        <v>465</v>
      </c>
      <c r="S1232" s="8">
        <f t="shared" si="283"/>
        <v>46239</v>
      </c>
      <c r="T1232" s="8">
        <v>46289</v>
      </c>
      <c r="U1232" s="133">
        <f t="shared" si="286"/>
        <v>50</v>
      </c>
      <c r="V1232" s="8">
        <f t="shared" si="281"/>
        <v>368541</v>
      </c>
      <c r="W1232" s="8">
        <v>368657</v>
      </c>
      <c r="X1232" s="13">
        <f t="shared" si="291"/>
        <v>116</v>
      </c>
      <c r="Y1232" s="8">
        <f t="shared" si="277"/>
        <v>41685</v>
      </c>
      <c r="Z1232" s="8">
        <v>41811</v>
      </c>
      <c r="AA1232" s="13">
        <f t="shared" si="292"/>
        <v>126</v>
      </c>
      <c r="AB1232" s="8">
        <f t="shared" si="274"/>
        <v>262973</v>
      </c>
      <c r="AC1232" s="8">
        <v>263048</v>
      </c>
      <c r="AD1232" s="13">
        <f t="shared" si="287"/>
        <v>75</v>
      </c>
      <c r="AE1232" s="135"/>
      <c r="AF1232" s="135"/>
      <c r="AG1232" s="135"/>
      <c r="AH1232" s="136"/>
      <c r="AI1232" s="50">
        <f t="shared" si="289"/>
        <v>1417</v>
      </c>
    </row>
    <row r="1233" spans="1:35">
      <c r="A1233" s="12">
        <v>45608</v>
      </c>
      <c r="B1233" s="8">
        <f t="shared" si="284"/>
        <v>2089331</v>
      </c>
      <c r="C1233" s="8">
        <v>2090061</v>
      </c>
      <c r="D1233" s="13">
        <f t="shared" si="285"/>
        <v>730</v>
      </c>
      <c r="E1233" s="77">
        <f t="shared" si="278"/>
        <v>81267</v>
      </c>
      <c r="F1233" s="69">
        <v>82032</v>
      </c>
      <c r="G1233" s="133">
        <f t="shared" si="276"/>
        <v>765</v>
      </c>
      <c r="H1233" s="8">
        <f t="shared" si="279"/>
        <v>361391</v>
      </c>
      <c r="I1233" s="8">
        <v>361391</v>
      </c>
      <c r="J1233" s="13">
        <f t="shared" si="290"/>
        <v>0</v>
      </c>
      <c r="K1233" s="138"/>
      <c r="L1233" s="8">
        <f t="shared" si="280"/>
        <v>1194880</v>
      </c>
      <c r="M1233" s="8">
        <v>1196146</v>
      </c>
      <c r="N1233" s="13">
        <f t="shared" si="273"/>
        <v>1266</v>
      </c>
      <c r="O1233" s="136">
        <f t="shared" si="288"/>
        <v>985</v>
      </c>
      <c r="P1233" s="8">
        <f t="shared" si="282"/>
        <v>622534</v>
      </c>
      <c r="Q1233" s="8">
        <v>623109</v>
      </c>
      <c r="R1233" s="133">
        <f t="shared" si="272"/>
        <v>575</v>
      </c>
      <c r="S1233" s="8">
        <f t="shared" si="283"/>
        <v>46289</v>
      </c>
      <c r="T1233" s="8">
        <v>46313</v>
      </c>
      <c r="U1233" s="133">
        <f t="shared" si="286"/>
        <v>24</v>
      </c>
      <c r="V1233" s="8">
        <f t="shared" si="281"/>
        <v>368657</v>
      </c>
      <c r="W1233" s="8">
        <v>368821</v>
      </c>
      <c r="X1233" s="13">
        <f t="shared" si="291"/>
        <v>164</v>
      </c>
      <c r="Y1233" s="8">
        <f t="shared" si="277"/>
        <v>41811</v>
      </c>
      <c r="Z1233" s="8">
        <v>41856</v>
      </c>
      <c r="AA1233" s="13">
        <f t="shared" si="292"/>
        <v>45</v>
      </c>
      <c r="AB1233" s="8">
        <f t="shared" si="274"/>
        <v>263048</v>
      </c>
      <c r="AC1233" s="8">
        <v>263137</v>
      </c>
      <c r="AD1233" s="13">
        <f t="shared" si="287"/>
        <v>89</v>
      </c>
      <c r="AE1233" s="135"/>
      <c r="AF1233" s="135"/>
      <c r="AG1233" s="135"/>
      <c r="AH1233" s="136"/>
      <c r="AI1233" s="50">
        <f t="shared" si="289"/>
        <v>1793</v>
      </c>
    </row>
    <row r="1234" spans="1:35">
      <c r="A1234" s="12">
        <v>45609</v>
      </c>
      <c r="B1234" s="8">
        <f t="shared" si="284"/>
        <v>2090061</v>
      </c>
      <c r="C1234" s="8">
        <v>2090556</v>
      </c>
      <c r="D1234" s="13">
        <f t="shared" si="285"/>
        <v>495</v>
      </c>
      <c r="E1234" s="77">
        <f t="shared" si="278"/>
        <v>82032</v>
      </c>
      <c r="F1234" s="69">
        <v>82803</v>
      </c>
      <c r="G1234" s="133">
        <f t="shared" si="276"/>
        <v>771</v>
      </c>
      <c r="H1234" s="8">
        <f t="shared" si="279"/>
        <v>361391</v>
      </c>
      <c r="I1234" s="8">
        <v>361391</v>
      </c>
      <c r="J1234" s="13">
        <f t="shared" si="290"/>
        <v>0</v>
      </c>
      <c r="K1234" s="138"/>
      <c r="L1234" s="8">
        <f t="shared" si="280"/>
        <v>1196146</v>
      </c>
      <c r="M1234" s="8">
        <v>1197327</v>
      </c>
      <c r="N1234" s="13">
        <f t="shared" si="273"/>
        <v>1181</v>
      </c>
      <c r="O1234" s="136">
        <f t="shared" si="288"/>
        <v>761</v>
      </c>
      <c r="P1234" s="8">
        <f t="shared" si="282"/>
        <v>623109</v>
      </c>
      <c r="Q1234" s="8">
        <v>623692</v>
      </c>
      <c r="R1234" s="133">
        <f t="shared" si="272"/>
        <v>583</v>
      </c>
      <c r="S1234" s="8">
        <f t="shared" si="283"/>
        <v>46313</v>
      </c>
      <c r="T1234" s="8">
        <v>46355</v>
      </c>
      <c r="U1234" s="133">
        <f t="shared" si="286"/>
        <v>42</v>
      </c>
      <c r="V1234" s="8">
        <f t="shared" si="281"/>
        <v>368821</v>
      </c>
      <c r="W1234" s="8">
        <v>368976</v>
      </c>
      <c r="X1234" s="13">
        <f t="shared" si="291"/>
        <v>155</v>
      </c>
      <c r="Y1234" s="8">
        <f t="shared" si="277"/>
        <v>41856</v>
      </c>
      <c r="Z1234" s="8">
        <v>41911</v>
      </c>
      <c r="AA1234" s="13">
        <f t="shared" si="292"/>
        <v>55</v>
      </c>
      <c r="AB1234" s="8">
        <f t="shared" si="274"/>
        <v>263137</v>
      </c>
      <c r="AC1234" s="8">
        <v>263257</v>
      </c>
      <c r="AD1234" s="13">
        <f t="shared" si="287"/>
        <v>120</v>
      </c>
      <c r="AE1234" s="135"/>
      <c r="AF1234" s="135"/>
      <c r="AG1234" s="135"/>
      <c r="AH1234" s="136"/>
      <c r="AI1234" s="50">
        <f t="shared" si="289"/>
        <v>1596</v>
      </c>
    </row>
    <row r="1235" spans="1:35">
      <c r="A1235" s="12">
        <v>45610</v>
      </c>
      <c r="B1235" s="8">
        <f t="shared" si="284"/>
        <v>2090556</v>
      </c>
      <c r="C1235" s="8">
        <v>2090556</v>
      </c>
      <c r="D1235" s="13">
        <f t="shared" si="285"/>
        <v>0</v>
      </c>
      <c r="E1235" s="77">
        <f t="shared" si="278"/>
        <v>82803</v>
      </c>
      <c r="F1235" s="69">
        <v>83579</v>
      </c>
      <c r="G1235" s="133">
        <f t="shared" si="276"/>
        <v>776</v>
      </c>
      <c r="H1235" s="8">
        <f t="shared" si="279"/>
        <v>361391</v>
      </c>
      <c r="I1235" s="8">
        <v>361391</v>
      </c>
      <c r="J1235" s="13">
        <f t="shared" si="290"/>
        <v>0</v>
      </c>
      <c r="K1235" s="138"/>
      <c r="L1235" s="8">
        <f t="shared" si="280"/>
        <v>1197327</v>
      </c>
      <c r="M1235" s="8">
        <v>1198504</v>
      </c>
      <c r="N1235" s="13">
        <f t="shared" si="273"/>
        <v>1177</v>
      </c>
      <c r="O1235" s="136">
        <f t="shared" si="288"/>
        <v>177</v>
      </c>
      <c r="P1235" s="8">
        <f t="shared" si="282"/>
        <v>623692</v>
      </c>
      <c r="Q1235" s="8">
        <v>624237</v>
      </c>
      <c r="R1235" s="133">
        <f t="shared" si="272"/>
        <v>545</v>
      </c>
      <c r="S1235" s="8">
        <f t="shared" si="283"/>
        <v>46355</v>
      </c>
      <c r="T1235" s="8">
        <v>46469</v>
      </c>
      <c r="U1235" s="133">
        <f t="shared" si="286"/>
        <v>114</v>
      </c>
      <c r="V1235" s="8">
        <f t="shared" si="281"/>
        <v>368976</v>
      </c>
      <c r="W1235" s="8">
        <v>369117</v>
      </c>
      <c r="X1235" s="13">
        <f t="shared" si="291"/>
        <v>141</v>
      </c>
      <c r="Y1235" s="8">
        <f t="shared" si="277"/>
        <v>41911</v>
      </c>
      <c r="Z1235" s="8">
        <v>41946</v>
      </c>
      <c r="AA1235" s="13">
        <f t="shared" si="292"/>
        <v>35</v>
      </c>
      <c r="AB1235" s="8">
        <f t="shared" si="274"/>
        <v>263257</v>
      </c>
      <c r="AC1235" s="8">
        <v>263287</v>
      </c>
      <c r="AD1235" s="13">
        <v>60</v>
      </c>
      <c r="AE1235" s="135"/>
      <c r="AF1235" s="135"/>
      <c r="AG1235" s="135"/>
      <c r="AH1235" s="136"/>
      <c r="AI1235" s="50">
        <f t="shared" si="289"/>
        <v>1012</v>
      </c>
    </row>
    <row r="1236" spans="1:35">
      <c r="A1236" s="12">
        <v>45611</v>
      </c>
      <c r="B1236" s="8">
        <f t="shared" si="284"/>
        <v>2090556</v>
      </c>
      <c r="C1236" s="8">
        <v>2090633</v>
      </c>
      <c r="D1236" s="13">
        <f t="shared" si="285"/>
        <v>77</v>
      </c>
      <c r="E1236" s="77">
        <f t="shared" si="278"/>
        <v>83579</v>
      </c>
      <c r="F1236" s="69">
        <v>84356</v>
      </c>
      <c r="G1236" s="133">
        <f t="shared" si="276"/>
        <v>777</v>
      </c>
      <c r="H1236" s="8">
        <f t="shared" si="279"/>
        <v>361391</v>
      </c>
      <c r="I1236" s="8">
        <v>361391</v>
      </c>
      <c r="J1236" s="13">
        <f t="shared" si="290"/>
        <v>0</v>
      </c>
      <c r="K1236" s="138"/>
      <c r="L1236" s="8">
        <f t="shared" si="280"/>
        <v>1198504</v>
      </c>
      <c r="M1236" s="8">
        <v>1199272</v>
      </c>
      <c r="N1236" s="13">
        <f t="shared" si="273"/>
        <v>768</v>
      </c>
      <c r="O1236" s="136">
        <f t="shared" si="288"/>
        <v>500</v>
      </c>
      <c r="P1236" s="8">
        <f t="shared" si="282"/>
        <v>624237</v>
      </c>
      <c r="Q1236" s="8">
        <v>624587</v>
      </c>
      <c r="R1236" s="133">
        <f t="shared" si="272"/>
        <v>350</v>
      </c>
      <c r="S1236" s="8">
        <f t="shared" si="283"/>
        <v>46469</v>
      </c>
      <c r="T1236" s="8">
        <v>46525</v>
      </c>
      <c r="U1236" s="133">
        <f t="shared" si="286"/>
        <v>56</v>
      </c>
      <c r="V1236" s="8">
        <f t="shared" si="281"/>
        <v>369117</v>
      </c>
      <c r="W1236" s="8">
        <v>369298</v>
      </c>
      <c r="X1236" s="13">
        <f t="shared" si="291"/>
        <v>181</v>
      </c>
      <c r="Y1236" s="8">
        <f t="shared" si="277"/>
        <v>41946</v>
      </c>
      <c r="Z1236" s="8">
        <v>41969</v>
      </c>
      <c r="AA1236" s="13">
        <f t="shared" si="292"/>
        <v>23</v>
      </c>
      <c r="AB1236" s="8">
        <f t="shared" si="274"/>
        <v>263287</v>
      </c>
      <c r="AC1236" s="8">
        <v>263299</v>
      </c>
      <c r="AD1236" s="13">
        <v>52</v>
      </c>
      <c r="AE1236" s="135"/>
      <c r="AF1236" s="135"/>
      <c r="AG1236" s="135"/>
      <c r="AH1236" s="136"/>
      <c r="AI1236" s="50">
        <f t="shared" si="289"/>
        <v>1110</v>
      </c>
    </row>
    <row r="1237" spans="1:35">
      <c r="A1237" s="12">
        <v>45612</v>
      </c>
      <c r="B1237" s="8">
        <f t="shared" si="284"/>
        <v>2090633</v>
      </c>
      <c r="C1237" s="8">
        <v>2090633</v>
      </c>
      <c r="D1237" s="13">
        <f t="shared" si="285"/>
        <v>0</v>
      </c>
      <c r="E1237" s="77">
        <f t="shared" si="278"/>
        <v>84356</v>
      </c>
      <c r="F1237" s="69">
        <v>85005</v>
      </c>
      <c r="G1237" s="133">
        <f t="shared" si="276"/>
        <v>649</v>
      </c>
      <c r="H1237" s="8">
        <f t="shared" si="279"/>
        <v>361391</v>
      </c>
      <c r="I1237" s="8">
        <v>361391</v>
      </c>
      <c r="J1237" s="13">
        <f t="shared" si="290"/>
        <v>0</v>
      </c>
      <c r="K1237" s="138"/>
      <c r="L1237" s="8">
        <f t="shared" si="280"/>
        <v>1199272</v>
      </c>
      <c r="M1237" s="8">
        <v>1199825</v>
      </c>
      <c r="N1237" s="13">
        <f t="shared" si="273"/>
        <v>553</v>
      </c>
      <c r="O1237" s="136">
        <f t="shared" si="288"/>
        <v>543</v>
      </c>
      <c r="P1237" s="8">
        <f t="shared" si="282"/>
        <v>624587</v>
      </c>
      <c r="Q1237" s="8">
        <v>624738</v>
      </c>
      <c r="R1237" s="133">
        <f t="shared" si="272"/>
        <v>151</v>
      </c>
      <c r="S1237" s="8">
        <f t="shared" si="283"/>
        <v>46525</v>
      </c>
      <c r="T1237" s="8">
        <v>46538</v>
      </c>
      <c r="U1237" s="133">
        <f t="shared" si="286"/>
        <v>13</v>
      </c>
      <c r="V1237" s="8">
        <f t="shared" si="281"/>
        <v>369298</v>
      </c>
      <c r="W1237" s="8">
        <v>369474</v>
      </c>
      <c r="X1237" s="13">
        <f t="shared" si="291"/>
        <v>176</v>
      </c>
      <c r="Y1237" s="8">
        <f t="shared" si="277"/>
        <v>41969</v>
      </c>
      <c r="Z1237" s="8">
        <v>41969</v>
      </c>
      <c r="AA1237" s="13">
        <f t="shared" si="292"/>
        <v>0</v>
      </c>
      <c r="AB1237" s="8">
        <f t="shared" si="274"/>
        <v>263299</v>
      </c>
      <c r="AC1237" s="8">
        <v>263299</v>
      </c>
      <c r="AD1237" s="13">
        <v>58</v>
      </c>
      <c r="AE1237" s="135"/>
      <c r="AF1237" s="135"/>
      <c r="AG1237" s="135"/>
      <c r="AH1237" s="136"/>
      <c r="AI1237" s="50">
        <f t="shared" si="289"/>
        <v>883</v>
      </c>
    </row>
    <row r="1238" spans="1:35">
      <c r="A1238" s="12">
        <v>45613</v>
      </c>
      <c r="B1238" s="8">
        <f t="shared" si="284"/>
        <v>2090633</v>
      </c>
      <c r="C1238" s="8">
        <v>2091120</v>
      </c>
      <c r="D1238" s="13">
        <f t="shared" si="285"/>
        <v>487</v>
      </c>
      <c r="E1238" s="77">
        <f t="shared" si="278"/>
        <v>85005</v>
      </c>
      <c r="F1238" s="69">
        <v>85833</v>
      </c>
      <c r="G1238" s="133">
        <f t="shared" si="276"/>
        <v>828</v>
      </c>
      <c r="H1238" s="8">
        <f t="shared" si="279"/>
        <v>361391</v>
      </c>
      <c r="I1238" s="8">
        <v>361391</v>
      </c>
      <c r="J1238" s="13">
        <f t="shared" si="290"/>
        <v>0</v>
      </c>
      <c r="K1238" s="138"/>
      <c r="L1238" s="8">
        <f t="shared" si="280"/>
        <v>1199825</v>
      </c>
      <c r="M1238" s="8">
        <v>1200850</v>
      </c>
      <c r="N1238" s="13">
        <f t="shared" si="273"/>
        <v>1025</v>
      </c>
      <c r="O1238" s="136">
        <f t="shared" si="288"/>
        <v>910</v>
      </c>
      <c r="P1238" s="8">
        <f t="shared" si="282"/>
        <v>624738</v>
      </c>
      <c r="Q1238" s="8">
        <v>625135</v>
      </c>
      <c r="R1238" s="133">
        <f t="shared" si="272"/>
        <v>397</v>
      </c>
      <c r="S1238" s="8">
        <f t="shared" si="283"/>
        <v>46538</v>
      </c>
      <c r="T1238" s="8">
        <v>46636</v>
      </c>
      <c r="U1238" s="133">
        <f t="shared" si="286"/>
        <v>98</v>
      </c>
      <c r="V1238" s="8">
        <f t="shared" si="281"/>
        <v>369474</v>
      </c>
      <c r="W1238" s="8">
        <v>369649</v>
      </c>
      <c r="X1238" s="13">
        <f t="shared" si="291"/>
        <v>175</v>
      </c>
      <c r="Y1238" s="8">
        <f t="shared" si="277"/>
        <v>41969</v>
      </c>
      <c r="Z1238" s="8">
        <v>42062</v>
      </c>
      <c r="AA1238" s="13">
        <f t="shared" si="292"/>
        <v>93</v>
      </c>
      <c r="AB1238" s="8">
        <f t="shared" si="274"/>
        <v>263299</v>
      </c>
      <c r="AC1238" s="8">
        <v>263517</v>
      </c>
      <c r="AD1238" s="13">
        <v>90</v>
      </c>
      <c r="AE1238" s="135"/>
      <c r="AF1238" s="135"/>
      <c r="AG1238" s="135"/>
      <c r="AH1238" s="136"/>
      <c r="AI1238" s="50">
        <f t="shared" si="289"/>
        <v>1673</v>
      </c>
    </row>
    <row r="1239" spans="1:35">
      <c r="A1239" s="12">
        <v>45614</v>
      </c>
      <c r="B1239" s="8">
        <f t="shared" si="284"/>
        <v>2091120</v>
      </c>
      <c r="C1239" s="8">
        <v>2091780</v>
      </c>
      <c r="D1239" s="13">
        <f t="shared" si="285"/>
        <v>660</v>
      </c>
      <c r="E1239" s="77">
        <f t="shared" si="278"/>
        <v>85833</v>
      </c>
      <c r="F1239" s="69">
        <v>86594</v>
      </c>
      <c r="G1239" s="133">
        <f t="shared" si="276"/>
        <v>761</v>
      </c>
      <c r="H1239" s="8">
        <f t="shared" si="279"/>
        <v>361391</v>
      </c>
      <c r="I1239" s="8">
        <v>361509</v>
      </c>
      <c r="J1239" s="13">
        <f t="shared" si="290"/>
        <v>118</v>
      </c>
      <c r="K1239" s="138"/>
      <c r="L1239" s="8">
        <f t="shared" si="280"/>
        <v>1200850</v>
      </c>
      <c r="M1239" s="8">
        <v>1201975</v>
      </c>
      <c r="N1239" s="13">
        <f t="shared" si="273"/>
        <v>1125</v>
      </c>
      <c r="O1239" s="136">
        <f t="shared" si="288"/>
        <v>1008</v>
      </c>
      <c r="P1239" s="8">
        <f t="shared" si="282"/>
        <v>625135</v>
      </c>
      <c r="Q1239" s="8">
        <v>625708</v>
      </c>
      <c r="R1239" s="133">
        <f t="shared" si="272"/>
        <v>573</v>
      </c>
      <c r="S1239" s="8">
        <f t="shared" si="283"/>
        <v>46636</v>
      </c>
      <c r="T1239" s="8">
        <v>46673</v>
      </c>
      <c r="U1239" s="133">
        <f t="shared" si="286"/>
        <v>37</v>
      </c>
      <c r="V1239" s="8">
        <f t="shared" si="281"/>
        <v>369649</v>
      </c>
      <c r="W1239" s="8">
        <v>369780</v>
      </c>
      <c r="X1239" s="13">
        <f t="shared" si="291"/>
        <v>131</v>
      </c>
      <c r="Y1239" s="8">
        <f t="shared" si="277"/>
        <v>42062</v>
      </c>
      <c r="Z1239" s="8">
        <v>42077</v>
      </c>
      <c r="AA1239" s="13">
        <f t="shared" si="292"/>
        <v>15</v>
      </c>
      <c r="AB1239" s="8">
        <f t="shared" si="274"/>
        <v>263517</v>
      </c>
      <c r="AC1239" s="8">
        <v>263596</v>
      </c>
      <c r="AD1239" s="13">
        <f t="shared" ref="AD1239:AD1256" si="293">AC1239-AB1239</f>
        <v>79</v>
      </c>
      <c r="AE1239" s="135"/>
      <c r="AF1239" s="135"/>
      <c r="AG1239" s="135"/>
      <c r="AH1239" s="136"/>
      <c r="AI1239" s="50">
        <f t="shared" si="289"/>
        <v>1764</v>
      </c>
    </row>
    <row r="1240" spans="1:35">
      <c r="A1240" s="12">
        <v>45615</v>
      </c>
      <c r="B1240" s="8">
        <f t="shared" si="284"/>
        <v>2091780</v>
      </c>
      <c r="C1240" s="8">
        <v>2092517</v>
      </c>
      <c r="D1240" s="13">
        <f t="shared" si="285"/>
        <v>737</v>
      </c>
      <c r="E1240" s="77">
        <f t="shared" si="278"/>
        <v>86594</v>
      </c>
      <c r="F1240" s="69">
        <v>87329</v>
      </c>
      <c r="G1240" s="133">
        <f t="shared" si="276"/>
        <v>735</v>
      </c>
      <c r="H1240" s="8">
        <f t="shared" si="279"/>
        <v>361509</v>
      </c>
      <c r="I1240" s="8">
        <v>361509</v>
      </c>
      <c r="J1240" s="13">
        <f t="shared" si="290"/>
        <v>0</v>
      </c>
      <c r="K1240" s="138"/>
      <c r="L1240" s="8">
        <f t="shared" si="280"/>
        <v>1201975</v>
      </c>
      <c r="M1240" s="8">
        <v>1203158</v>
      </c>
      <c r="N1240" s="13">
        <f t="shared" si="273"/>
        <v>1183</v>
      </c>
      <c r="O1240" s="136">
        <f t="shared" si="288"/>
        <v>947</v>
      </c>
      <c r="P1240" s="8">
        <f t="shared" si="282"/>
        <v>625708</v>
      </c>
      <c r="Q1240" s="8">
        <v>626286</v>
      </c>
      <c r="R1240" s="133">
        <f t="shared" ref="R1240:R1303" si="294">Q1240-P1240</f>
        <v>578</v>
      </c>
      <c r="S1240" s="8">
        <f t="shared" si="283"/>
        <v>46673</v>
      </c>
      <c r="T1240" s="8">
        <v>46731</v>
      </c>
      <c r="U1240" s="133">
        <f t="shared" si="286"/>
        <v>58</v>
      </c>
      <c r="V1240" s="8">
        <f t="shared" si="281"/>
        <v>369780</v>
      </c>
      <c r="W1240" s="8">
        <v>369919</v>
      </c>
      <c r="X1240" s="13">
        <f t="shared" si="291"/>
        <v>139</v>
      </c>
      <c r="Y1240" s="8">
        <f t="shared" si="277"/>
        <v>42077</v>
      </c>
      <c r="Z1240" s="8">
        <v>42099</v>
      </c>
      <c r="AA1240" s="13">
        <f t="shared" si="292"/>
        <v>22</v>
      </c>
      <c r="AB1240" s="8">
        <f t="shared" si="274"/>
        <v>263596</v>
      </c>
      <c r="AC1240" s="8">
        <v>263707</v>
      </c>
      <c r="AD1240" s="13">
        <f t="shared" si="293"/>
        <v>111</v>
      </c>
      <c r="AE1240" s="135"/>
      <c r="AF1240" s="135"/>
      <c r="AG1240" s="135"/>
      <c r="AH1240" s="136"/>
      <c r="AI1240" s="50">
        <f t="shared" si="289"/>
        <v>1744</v>
      </c>
    </row>
    <row r="1241" spans="1:35">
      <c r="A1241" s="12">
        <v>45616</v>
      </c>
      <c r="B1241" s="8">
        <f t="shared" si="284"/>
        <v>2092517</v>
      </c>
      <c r="C1241" s="8">
        <v>2093266</v>
      </c>
      <c r="D1241" s="13">
        <f t="shared" si="285"/>
        <v>749</v>
      </c>
      <c r="E1241" s="77">
        <f t="shared" si="278"/>
        <v>87329</v>
      </c>
      <c r="F1241" s="69">
        <v>88098</v>
      </c>
      <c r="G1241" s="133">
        <f t="shared" si="276"/>
        <v>769</v>
      </c>
      <c r="H1241" s="8">
        <f t="shared" si="279"/>
        <v>361509</v>
      </c>
      <c r="I1241" s="8">
        <v>361509</v>
      </c>
      <c r="J1241" s="13">
        <f t="shared" si="290"/>
        <v>0</v>
      </c>
      <c r="K1241" s="138"/>
      <c r="L1241" s="8">
        <f t="shared" si="280"/>
        <v>1203158</v>
      </c>
      <c r="M1241" s="8">
        <v>1204457</v>
      </c>
      <c r="N1241" s="13">
        <f t="shared" ref="N1241:N1304" si="295">M1241-L1241</f>
        <v>1299</v>
      </c>
      <c r="O1241" s="136">
        <f t="shared" si="288"/>
        <v>985</v>
      </c>
      <c r="P1241" s="8">
        <f t="shared" si="282"/>
        <v>626286</v>
      </c>
      <c r="Q1241" s="8">
        <v>626835</v>
      </c>
      <c r="R1241" s="133">
        <f t="shared" si="294"/>
        <v>549</v>
      </c>
      <c r="S1241" s="8">
        <f t="shared" si="283"/>
        <v>46731</v>
      </c>
      <c r="T1241" s="8">
        <v>46789</v>
      </c>
      <c r="U1241" s="133">
        <f t="shared" si="286"/>
        <v>58</v>
      </c>
      <c r="V1241" s="8">
        <f t="shared" si="281"/>
        <v>369919</v>
      </c>
      <c r="W1241" s="8">
        <v>370044</v>
      </c>
      <c r="X1241" s="13">
        <f t="shared" si="291"/>
        <v>125</v>
      </c>
      <c r="Y1241" s="8">
        <f t="shared" si="277"/>
        <v>42099</v>
      </c>
      <c r="Z1241" s="8">
        <v>42111</v>
      </c>
      <c r="AA1241" s="13">
        <f t="shared" si="292"/>
        <v>12</v>
      </c>
      <c r="AB1241" s="8">
        <f t="shared" ref="AB1241:AB1304" si="296">AC1240</f>
        <v>263707</v>
      </c>
      <c r="AC1241" s="8">
        <v>263781</v>
      </c>
      <c r="AD1241" s="13">
        <f t="shared" si="293"/>
        <v>74</v>
      </c>
      <c r="AE1241" s="135"/>
      <c r="AF1241" s="135"/>
      <c r="AG1241" s="135"/>
      <c r="AH1241" s="136"/>
      <c r="AI1241" s="50">
        <f t="shared" si="289"/>
        <v>1729</v>
      </c>
    </row>
    <row r="1242" spans="1:35">
      <c r="A1242" s="12">
        <v>45617</v>
      </c>
      <c r="B1242" s="8">
        <f t="shared" si="284"/>
        <v>2093266</v>
      </c>
      <c r="C1242" s="8">
        <v>2094103</v>
      </c>
      <c r="D1242" s="13">
        <f t="shared" si="285"/>
        <v>837</v>
      </c>
      <c r="E1242" s="77">
        <f t="shared" si="278"/>
        <v>88098</v>
      </c>
      <c r="F1242" s="69">
        <v>88881</v>
      </c>
      <c r="G1242" s="133">
        <f t="shared" si="276"/>
        <v>783</v>
      </c>
      <c r="H1242" s="8">
        <f t="shared" si="279"/>
        <v>361509</v>
      </c>
      <c r="I1242" s="8">
        <v>361509</v>
      </c>
      <c r="J1242" s="13">
        <f t="shared" si="290"/>
        <v>0</v>
      </c>
      <c r="K1242" s="138"/>
      <c r="L1242" s="8">
        <f t="shared" si="280"/>
        <v>1204457</v>
      </c>
      <c r="M1242" s="8">
        <v>1205688</v>
      </c>
      <c r="N1242" s="13">
        <f t="shared" si="295"/>
        <v>1231</v>
      </c>
      <c r="O1242" s="136">
        <f t="shared" si="288"/>
        <v>1091</v>
      </c>
      <c r="P1242" s="8">
        <f t="shared" si="282"/>
        <v>626835</v>
      </c>
      <c r="Q1242" s="8">
        <v>627401</v>
      </c>
      <c r="R1242" s="133">
        <f t="shared" si="294"/>
        <v>566</v>
      </c>
      <c r="S1242" s="8">
        <f t="shared" si="283"/>
        <v>46789</v>
      </c>
      <c r="T1242" s="8">
        <v>46834</v>
      </c>
      <c r="U1242" s="133">
        <f t="shared" si="286"/>
        <v>45</v>
      </c>
      <c r="V1242" s="8">
        <f t="shared" si="281"/>
        <v>370044</v>
      </c>
      <c r="W1242" s="8">
        <v>370194</v>
      </c>
      <c r="X1242" s="13">
        <f t="shared" si="291"/>
        <v>150</v>
      </c>
      <c r="Y1242" s="8">
        <f t="shared" si="277"/>
        <v>42111</v>
      </c>
      <c r="Z1242" s="8">
        <v>42126</v>
      </c>
      <c r="AA1242" s="13">
        <f t="shared" si="292"/>
        <v>15</v>
      </c>
      <c r="AB1242" s="8">
        <f t="shared" si="296"/>
        <v>263781</v>
      </c>
      <c r="AC1242" s="8">
        <v>263863</v>
      </c>
      <c r="AD1242" s="13">
        <f t="shared" si="293"/>
        <v>82</v>
      </c>
      <c r="AE1242" s="135"/>
      <c r="AF1242" s="135"/>
      <c r="AG1242" s="135"/>
      <c r="AH1242" s="136"/>
      <c r="AI1242" s="50">
        <f t="shared" si="289"/>
        <v>1867</v>
      </c>
    </row>
    <row r="1243" spans="1:35">
      <c r="A1243" s="12">
        <v>45618</v>
      </c>
      <c r="B1243" s="8">
        <f t="shared" si="284"/>
        <v>2094103</v>
      </c>
      <c r="C1243" s="8">
        <v>2094755</v>
      </c>
      <c r="D1243" s="13">
        <f t="shared" si="285"/>
        <v>652</v>
      </c>
      <c r="E1243" s="77">
        <f t="shared" si="278"/>
        <v>88881</v>
      </c>
      <c r="F1243" s="69">
        <v>89576</v>
      </c>
      <c r="G1243" s="133">
        <f t="shared" si="276"/>
        <v>695</v>
      </c>
      <c r="H1243" s="8">
        <f t="shared" si="279"/>
        <v>361509</v>
      </c>
      <c r="I1243" s="8">
        <v>361509</v>
      </c>
      <c r="J1243" s="13">
        <f t="shared" si="290"/>
        <v>0</v>
      </c>
      <c r="K1243" s="138"/>
      <c r="L1243" s="8">
        <f t="shared" si="280"/>
        <v>1205688</v>
      </c>
      <c r="M1243" s="8">
        <v>1206855</v>
      </c>
      <c r="N1243" s="13">
        <f t="shared" si="295"/>
        <v>1167</v>
      </c>
      <c r="O1243" s="136">
        <f t="shared" si="288"/>
        <v>843</v>
      </c>
      <c r="P1243" s="8">
        <f t="shared" si="282"/>
        <v>627401</v>
      </c>
      <c r="Q1243" s="8">
        <v>627916</v>
      </c>
      <c r="R1243" s="133">
        <f t="shared" si="294"/>
        <v>515</v>
      </c>
      <c r="S1243" s="8">
        <f t="shared" si="283"/>
        <v>46834</v>
      </c>
      <c r="T1243" s="8">
        <v>46897</v>
      </c>
      <c r="U1243" s="133">
        <f t="shared" si="286"/>
        <v>63</v>
      </c>
      <c r="V1243" s="8">
        <f t="shared" si="281"/>
        <v>370194</v>
      </c>
      <c r="W1243" s="8">
        <v>370342</v>
      </c>
      <c r="X1243" s="13">
        <f t="shared" si="291"/>
        <v>148</v>
      </c>
      <c r="Y1243" s="8">
        <f t="shared" si="277"/>
        <v>42126</v>
      </c>
      <c r="Z1243" s="8">
        <v>42142</v>
      </c>
      <c r="AA1243" s="13">
        <f t="shared" si="292"/>
        <v>16</v>
      </c>
      <c r="AB1243" s="8">
        <f t="shared" si="296"/>
        <v>263863</v>
      </c>
      <c r="AC1243" s="8">
        <v>263937</v>
      </c>
      <c r="AD1243" s="13">
        <f t="shared" si="293"/>
        <v>74</v>
      </c>
      <c r="AE1243" s="135"/>
      <c r="AF1243" s="135"/>
      <c r="AG1243" s="135"/>
      <c r="AH1243" s="136"/>
      <c r="AI1243" s="50">
        <f t="shared" si="289"/>
        <v>1585</v>
      </c>
    </row>
    <row r="1244" spans="1:35">
      <c r="A1244" s="12">
        <v>45619</v>
      </c>
      <c r="B1244" s="8">
        <f t="shared" si="284"/>
        <v>2094755</v>
      </c>
      <c r="C1244" s="8">
        <v>2095533</v>
      </c>
      <c r="D1244" s="13">
        <f t="shared" si="285"/>
        <v>778</v>
      </c>
      <c r="E1244" s="77">
        <f t="shared" si="278"/>
        <v>89576</v>
      </c>
      <c r="F1244" s="69">
        <v>90311</v>
      </c>
      <c r="G1244" s="133">
        <f t="shared" si="276"/>
        <v>735</v>
      </c>
      <c r="H1244" s="8">
        <f t="shared" si="279"/>
        <v>361509</v>
      </c>
      <c r="I1244" s="8">
        <v>361509</v>
      </c>
      <c r="J1244" s="13">
        <f t="shared" si="290"/>
        <v>0</v>
      </c>
      <c r="K1244" s="138"/>
      <c r="L1244" s="8">
        <f t="shared" si="280"/>
        <v>1206855</v>
      </c>
      <c r="M1244" s="8">
        <v>1207745</v>
      </c>
      <c r="N1244" s="13">
        <f t="shared" si="295"/>
        <v>890</v>
      </c>
      <c r="O1244" s="136">
        <f t="shared" si="288"/>
        <v>1154</v>
      </c>
      <c r="P1244" s="8">
        <f t="shared" si="282"/>
        <v>627916</v>
      </c>
      <c r="Q1244" s="8">
        <v>628287</v>
      </c>
      <c r="R1244" s="133">
        <f t="shared" si="294"/>
        <v>371</v>
      </c>
      <c r="S1244" s="8">
        <f t="shared" si="283"/>
        <v>46897</v>
      </c>
      <c r="T1244" s="8">
        <v>46964</v>
      </c>
      <c r="U1244" s="133">
        <f t="shared" si="286"/>
        <v>67</v>
      </c>
      <c r="V1244" s="8">
        <f t="shared" si="281"/>
        <v>370342</v>
      </c>
      <c r="W1244" s="8">
        <v>370474</v>
      </c>
      <c r="X1244" s="13">
        <f t="shared" si="291"/>
        <v>132</v>
      </c>
      <c r="Y1244" s="8">
        <f t="shared" si="277"/>
        <v>42142</v>
      </c>
      <c r="Z1244" s="8">
        <v>42155</v>
      </c>
      <c r="AA1244" s="13">
        <f t="shared" si="292"/>
        <v>13</v>
      </c>
      <c r="AB1244" s="8">
        <f t="shared" si="296"/>
        <v>263937</v>
      </c>
      <c r="AC1244" s="8">
        <v>264016</v>
      </c>
      <c r="AD1244" s="13">
        <f t="shared" si="293"/>
        <v>79</v>
      </c>
      <c r="AE1244" s="135"/>
      <c r="AF1244" s="135"/>
      <c r="AG1244" s="135"/>
      <c r="AH1244" s="136"/>
      <c r="AI1244" s="50">
        <f t="shared" si="289"/>
        <v>1737</v>
      </c>
    </row>
    <row r="1245" spans="1:35">
      <c r="A1245" s="12">
        <v>45620</v>
      </c>
      <c r="B1245" s="8">
        <f t="shared" si="284"/>
        <v>2095533</v>
      </c>
      <c r="C1245" s="8">
        <v>2096509</v>
      </c>
      <c r="D1245" s="13">
        <f t="shared" si="285"/>
        <v>976</v>
      </c>
      <c r="E1245" s="77">
        <f t="shared" si="278"/>
        <v>90311</v>
      </c>
      <c r="F1245" s="69">
        <v>90476</v>
      </c>
      <c r="G1245" s="133">
        <f t="shared" si="276"/>
        <v>165</v>
      </c>
      <c r="H1245" s="8">
        <f t="shared" si="279"/>
        <v>361509</v>
      </c>
      <c r="I1245" s="8">
        <v>361509</v>
      </c>
      <c r="J1245" s="13">
        <f t="shared" si="290"/>
        <v>0</v>
      </c>
      <c r="K1245" s="138"/>
      <c r="L1245" s="8">
        <f t="shared" si="280"/>
        <v>1207745</v>
      </c>
      <c r="M1245" s="8">
        <v>1208947</v>
      </c>
      <c r="N1245" s="13">
        <f t="shared" si="295"/>
        <v>1202</v>
      </c>
      <c r="O1245" s="136">
        <f t="shared" si="288"/>
        <v>774</v>
      </c>
      <c r="P1245" s="8">
        <f t="shared" si="282"/>
        <v>628287</v>
      </c>
      <c r="Q1245" s="8">
        <v>628701</v>
      </c>
      <c r="R1245" s="133">
        <f t="shared" si="294"/>
        <v>414</v>
      </c>
      <c r="S1245" s="8">
        <f t="shared" si="283"/>
        <v>46964</v>
      </c>
      <c r="T1245" s="8">
        <v>47003</v>
      </c>
      <c r="U1245" s="133">
        <f t="shared" si="286"/>
        <v>39</v>
      </c>
      <c r="V1245" s="8">
        <f t="shared" si="281"/>
        <v>370474</v>
      </c>
      <c r="W1245" s="8">
        <v>370631</v>
      </c>
      <c r="X1245" s="13">
        <f t="shared" si="291"/>
        <v>157</v>
      </c>
      <c r="Y1245" s="8">
        <f t="shared" si="277"/>
        <v>42155</v>
      </c>
      <c r="Z1245" s="8">
        <v>42171</v>
      </c>
      <c r="AA1245" s="13">
        <f t="shared" si="292"/>
        <v>16</v>
      </c>
      <c r="AB1245" s="8">
        <f t="shared" si="296"/>
        <v>264016</v>
      </c>
      <c r="AC1245" s="8">
        <v>264102</v>
      </c>
      <c r="AD1245" s="13">
        <f t="shared" si="293"/>
        <v>86</v>
      </c>
      <c r="AE1245" s="135"/>
      <c r="AF1245" s="135"/>
      <c r="AG1245" s="135"/>
      <c r="AH1245" s="136"/>
      <c r="AI1245" s="50">
        <f t="shared" si="289"/>
        <v>1400</v>
      </c>
    </row>
    <row r="1246" spans="1:35">
      <c r="A1246" s="12">
        <v>45621</v>
      </c>
      <c r="B1246" s="8">
        <f t="shared" si="284"/>
        <v>2096509</v>
      </c>
      <c r="C1246" s="8">
        <v>2096870</v>
      </c>
      <c r="D1246" s="13">
        <f t="shared" si="285"/>
        <v>361</v>
      </c>
      <c r="E1246" s="77">
        <f t="shared" si="278"/>
        <v>90476</v>
      </c>
      <c r="F1246" s="69">
        <v>91217</v>
      </c>
      <c r="G1246" s="133">
        <f t="shared" si="276"/>
        <v>741</v>
      </c>
      <c r="H1246" s="8">
        <f t="shared" si="279"/>
        <v>361509</v>
      </c>
      <c r="I1246" s="8">
        <v>361509</v>
      </c>
      <c r="J1246" s="13">
        <f t="shared" si="290"/>
        <v>0</v>
      </c>
      <c r="K1246" s="138"/>
      <c r="L1246" s="8">
        <f t="shared" si="280"/>
        <v>1208947</v>
      </c>
      <c r="M1246" s="8">
        <v>1209993</v>
      </c>
      <c r="N1246" s="13">
        <f t="shared" si="295"/>
        <v>1046</v>
      </c>
      <c r="O1246" s="136">
        <f t="shared" si="288"/>
        <v>631</v>
      </c>
      <c r="P1246" s="8">
        <f t="shared" si="282"/>
        <v>628701</v>
      </c>
      <c r="Q1246" s="8">
        <v>629213</v>
      </c>
      <c r="R1246" s="133">
        <f t="shared" si="294"/>
        <v>512</v>
      </c>
      <c r="S1246" s="8">
        <f t="shared" si="283"/>
        <v>47003</v>
      </c>
      <c r="T1246" s="8">
        <v>47051</v>
      </c>
      <c r="U1246" s="133">
        <f t="shared" si="286"/>
        <v>48</v>
      </c>
      <c r="V1246" s="8">
        <f t="shared" si="281"/>
        <v>370631</v>
      </c>
      <c r="W1246" s="8">
        <v>370767</v>
      </c>
      <c r="X1246" s="13">
        <f t="shared" si="291"/>
        <v>136</v>
      </c>
      <c r="Y1246" s="8">
        <f t="shared" si="277"/>
        <v>42171</v>
      </c>
      <c r="Z1246" s="8">
        <v>42189</v>
      </c>
      <c r="AA1246" s="13">
        <f t="shared" si="292"/>
        <v>18</v>
      </c>
      <c r="AB1246" s="8">
        <f t="shared" si="296"/>
        <v>264102</v>
      </c>
      <c r="AC1246" s="8">
        <v>264191</v>
      </c>
      <c r="AD1246" s="13">
        <f t="shared" si="293"/>
        <v>89</v>
      </c>
      <c r="AE1246" s="135"/>
      <c r="AF1246" s="135"/>
      <c r="AG1246" s="135"/>
      <c r="AH1246" s="136"/>
      <c r="AI1246" s="50">
        <f t="shared" si="289"/>
        <v>1345</v>
      </c>
    </row>
    <row r="1247" spans="1:35">
      <c r="A1247" s="12">
        <v>45622</v>
      </c>
      <c r="B1247" s="8">
        <f t="shared" si="284"/>
        <v>2096870</v>
      </c>
      <c r="C1247" s="8">
        <v>2097571</v>
      </c>
      <c r="D1247" s="13">
        <f t="shared" si="285"/>
        <v>701</v>
      </c>
      <c r="E1247" s="77">
        <f t="shared" si="278"/>
        <v>91217</v>
      </c>
      <c r="F1247" s="69">
        <v>91947</v>
      </c>
      <c r="G1247" s="133">
        <f t="shared" si="276"/>
        <v>730</v>
      </c>
      <c r="H1247" s="8">
        <f t="shared" si="279"/>
        <v>361509</v>
      </c>
      <c r="I1247" s="8">
        <v>361509</v>
      </c>
      <c r="J1247" s="13">
        <f t="shared" si="290"/>
        <v>0</v>
      </c>
      <c r="K1247" s="138"/>
      <c r="L1247" s="8">
        <f t="shared" si="280"/>
        <v>1209993</v>
      </c>
      <c r="M1247" s="8">
        <v>1211181</v>
      </c>
      <c r="N1247" s="13">
        <f t="shared" si="295"/>
        <v>1188</v>
      </c>
      <c r="O1247" s="136">
        <f t="shared" si="288"/>
        <v>891</v>
      </c>
      <c r="P1247" s="8">
        <f t="shared" si="282"/>
        <v>629213</v>
      </c>
      <c r="Q1247" s="8">
        <v>629762</v>
      </c>
      <c r="R1247" s="133">
        <f t="shared" si="294"/>
        <v>549</v>
      </c>
      <c r="S1247" s="8">
        <f t="shared" si="283"/>
        <v>47051</v>
      </c>
      <c r="T1247" s="8">
        <v>47096</v>
      </c>
      <c r="U1247" s="133">
        <f t="shared" si="286"/>
        <v>45</v>
      </c>
      <c r="V1247" s="8">
        <f t="shared" si="281"/>
        <v>370767</v>
      </c>
      <c r="W1247" s="8">
        <v>370923</v>
      </c>
      <c r="X1247" s="13">
        <f t="shared" si="291"/>
        <v>156</v>
      </c>
      <c r="Y1247" s="8">
        <f t="shared" si="277"/>
        <v>42189</v>
      </c>
      <c r="Z1247" s="8">
        <v>42202</v>
      </c>
      <c r="AA1247" s="13">
        <f t="shared" si="292"/>
        <v>13</v>
      </c>
      <c r="AB1247" s="8">
        <f t="shared" si="296"/>
        <v>264191</v>
      </c>
      <c r="AC1247" s="8">
        <v>264245</v>
      </c>
      <c r="AD1247" s="13">
        <f t="shared" si="293"/>
        <v>54</v>
      </c>
      <c r="AE1247" s="135"/>
      <c r="AF1247" s="135"/>
      <c r="AG1247" s="135"/>
      <c r="AH1247" s="136"/>
      <c r="AI1247" s="50">
        <f t="shared" si="289"/>
        <v>1654</v>
      </c>
    </row>
    <row r="1248" spans="1:35">
      <c r="A1248" s="12">
        <v>45623</v>
      </c>
      <c r="B1248" s="8">
        <f t="shared" si="284"/>
        <v>2097571</v>
      </c>
      <c r="C1248" s="8">
        <v>2097721</v>
      </c>
      <c r="D1248" s="13">
        <f t="shared" si="285"/>
        <v>150</v>
      </c>
      <c r="E1248" s="77">
        <f t="shared" si="278"/>
        <v>91947</v>
      </c>
      <c r="F1248" s="69">
        <v>92690</v>
      </c>
      <c r="G1248" s="133">
        <f t="shared" si="276"/>
        <v>743</v>
      </c>
      <c r="H1248" s="8">
        <f t="shared" si="279"/>
        <v>361509</v>
      </c>
      <c r="I1248" s="8">
        <v>361509</v>
      </c>
      <c r="J1248" s="13">
        <f t="shared" si="290"/>
        <v>0</v>
      </c>
      <c r="K1248" s="138"/>
      <c r="L1248" s="8">
        <f t="shared" si="280"/>
        <v>1211181</v>
      </c>
      <c r="M1248" s="8">
        <v>1212375</v>
      </c>
      <c r="N1248" s="13">
        <f t="shared" si="295"/>
        <v>1194</v>
      </c>
      <c r="O1248" s="136">
        <f t="shared" si="288"/>
        <v>277</v>
      </c>
      <c r="P1248" s="8">
        <f t="shared" si="282"/>
        <v>629762</v>
      </c>
      <c r="Q1248" s="8">
        <v>630345</v>
      </c>
      <c r="R1248" s="133">
        <f t="shared" si="294"/>
        <v>583</v>
      </c>
      <c r="S1248" s="8">
        <f t="shared" si="283"/>
        <v>47096</v>
      </c>
      <c r="T1248" s="8">
        <v>47159</v>
      </c>
      <c r="U1248" s="133">
        <f t="shared" si="286"/>
        <v>63</v>
      </c>
      <c r="V1248" s="8">
        <f t="shared" si="281"/>
        <v>370923</v>
      </c>
      <c r="W1248" s="8">
        <v>371068</v>
      </c>
      <c r="X1248" s="13">
        <f t="shared" si="291"/>
        <v>145</v>
      </c>
      <c r="Y1248" s="8">
        <f t="shared" si="277"/>
        <v>42202</v>
      </c>
      <c r="Z1248" s="8">
        <v>42216</v>
      </c>
      <c r="AA1248" s="13">
        <f t="shared" si="292"/>
        <v>14</v>
      </c>
      <c r="AB1248" s="8">
        <f t="shared" si="296"/>
        <v>264245</v>
      </c>
      <c r="AC1248" s="8">
        <v>264275</v>
      </c>
      <c r="AD1248" s="13">
        <f t="shared" si="293"/>
        <v>30</v>
      </c>
      <c r="AE1248" s="135"/>
      <c r="AF1248" s="135"/>
      <c r="AG1248" s="135"/>
      <c r="AH1248" s="136"/>
      <c r="AI1248" s="50">
        <f t="shared" si="289"/>
        <v>1082</v>
      </c>
    </row>
    <row r="1249" spans="1:35">
      <c r="A1249" s="12">
        <v>45624</v>
      </c>
      <c r="B1249" s="8">
        <f t="shared" si="284"/>
        <v>2097721</v>
      </c>
      <c r="C1249" s="8">
        <v>2098189</v>
      </c>
      <c r="D1249" s="13">
        <f t="shared" si="285"/>
        <v>468</v>
      </c>
      <c r="E1249" s="77">
        <f t="shared" si="278"/>
        <v>92690</v>
      </c>
      <c r="F1249" s="69">
        <v>93420</v>
      </c>
      <c r="G1249" s="133">
        <f t="shared" ref="G1249:G1312" si="297">F1249-E1249</f>
        <v>730</v>
      </c>
      <c r="H1249" s="8">
        <f t="shared" si="279"/>
        <v>361509</v>
      </c>
      <c r="I1249" s="8">
        <v>361509</v>
      </c>
      <c r="J1249" s="13">
        <f t="shared" si="290"/>
        <v>0</v>
      </c>
      <c r="K1249" s="138"/>
      <c r="L1249" s="8">
        <f t="shared" si="280"/>
        <v>1212375</v>
      </c>
      <c r="M1249" s="8">
        <v>1213530</v>
      </c>
      <c r="N1249" s="13">
        <f t="shared" si="295"/>
        <v>1155</v>
      </c>
      <c r="O1249" s="136">
        <f t="shared" si="288"/>
        <v>759</v>
      </c>
      <c r="P1249" s="8">
        <f t="shared" si="282"/>
        <v>630345</v>
      </c>
      <c r="Q1249" s="8">
        <v>630818</v>
      </c>
      <c r="R1249" s="133">
        <f t="shared" si="294"/>
        <v>473</v>
      </c>
      <c r="S1249" s="8">
        <f t="shared" si="283"/>
        <v>47159</v>
      </c>
      <c r="T1249" s="8">
        <v>47175</v>
      </c>
      <c r="U1249" s="133">
        <f t="shared" si="286"/>
        <v>16</v>
      </c>
      <c r="V1249" s="8">
        <f t="shared" si="281"/>
        <v>371068</v>
      </c>
      <c r="W1249" s="8">
        <v>371259</v>
      </c>
      <c r="X1249" s="13">
        <f t="shared" si="291"/>
        <v>191</v>
      </c>
      <c r="Y1249" s="8">
        <f t="shared" si="277"/>
        <v>42216</v>
      </c>
      <c r="Z1249" s="8">
        <v>42231</v>
      </c>
      <c r="AA1249" s="13">
        <f t="shared" si="292"/>
        <v>15</v>
      </c>
      <c r="AB1249" s="8">
        <f t="shared" si="296"/>
        <v>264275</v>
      </c>
      <c r="AC1249" s="8">
        <v>264325</v>
      </c>
      <c r="AD1249" s="13">
        <f t="shared" si="293"/>
        <v>50</v>
      </c>
      <c r="AE1249" s="135"/>
      <c r="AF1249" s="135"/>
      <c r="AG1249" s="135"/>
      <c r="AH1249" s="136"/>
      <c r="AI1249" s="50">
        <f t="shared" si="289"/>
        <v>1454</v>
      </c>
    </row>
    <row r="1250" spans="1:35">
      <c r="A1250" s="12">
        <v>45625</v>
      </c>
      <c r="B1250" s="8">
        <f t="shared" si="284"/>
        <v>2098189</v>
      </c>
      <c r="C1250" s="8">
        <v>2098629</v>
      </c>
      <c r="D1250" s="13">
        <f t="shared" si="285"/>
        <v>440</v>
      </c>
      <c r="E1250" s="77">
        <f t="shared" si="278"/>
        <v>93420</v>
      </c>
      <c r="F1250" s="69">
        <v>93461</v>
      </c>
      <c r="G1250" s="133">
        <f t="shared" si="297"/>
        <v>41</v>
      </c>
      <c r="H1250" s="8">
        <f t="shared" si="279"/>
        <v>361509</v>
      </c>
      <c r="I1250" s="8">
        <v>361509</v>
      </c>
      <c r="J1250" s="13">
        <f t="shared" si="290"/>
        <v>0</v>
      </c>
      <c r="K1250" s="138"/>
      <c r="L1250" s="8">
        <f t="shared" si="280"/>
        <v>1213530</v>
      </c>
      <c r="M1250" s="8">
        <v>1213996</v>
      </c>
      <c r="N1250" s="13">
        <f t="shared" si="295"/>
        <v>466</v>
      </c>
      <c r="O1250" s="136">
        <f t="shared" si="288"/>
        <v>315</v>
      </c>
      <c r="P1250" s="8">
        <f t="shared" si="282"/>
        <v>630818</v>
      </c>
      <c r="Q1250" s="8">
        <v>631006</v>
      </c>
      <c r="R1250" s="133">
        <f t="shared" si="294"/>
        <v>188</v>
      </c>
      <c r="S1250" s="8">
        <f t="shared" si="283"/>
        <v>47175</v>
      </c>
      <c r="T1250" s="8">
        <v>47216</v>
      </c>
      <c r="U1250" s="133">
        <f t="shared" si="286"/>
        <v>41</v>
      </c>
      <c r="V1250" s="8">
        <f t="shared" si="281"/>
        <v>371259</v>
      </c>
      <c r="W1250" s="8">
        <v>371500</v>
      </c>
      <c r="X1250" s="13">
        <f t="shared" si="291"/>
        <v>241</v>
      </c>
      <c r="Y1250" s="8">
        <f t="shared" si="277"/>
        <v>42231</v>
      </c>
      <c r="Z1250" s="8">
        <v>42244</v>
      </c>
      <c r="AA1250" s="13">
        <f t="shared" si="292"/>
        <v>13</v>
      </c>
      <c r="AB1250" s="8">
        <f t="shared" si="296"/>
        <v>264325</v>
      </c>
      <c r="AC1250" s="8">
        <v>264388</v>
      </c>
      <c r="AD1250" s="13">
        <f t="shared" si="293"/>
        <v>63</v>
      </c>
      <c r="AE1250" s="135"/>
      <c r="AF1250" s="135"/>
      <c r="AG1250" s="135"/>
      <c r="AH1250" s="136"/>
      <c r="AI1250" s="50">
        <f t="shared" si="289"/>
        <v>798</v>
      </c>
    </row>
    <row r="1251" spans="1:35">
      <c r="A1251" s="12">
        <v>45626</v>
      </c>
      <c r="B1251" s="8">
        <f t="shared" si="284"/>
        <v>2098629</v>
      </c>
      <c r="C1251" s="8">
        <v>2099361</v>
      </c>
      <c r="D1251" s="13">
        <f t="shared" si="285"/>
        <v>732</v>
      </c>
      <c r="E1251" s="77">
        <f t="shared" si="278"/>
        <v>93461</v>
      </c>
      <c r="F1251" s="69">
        <v>93899</v>
      </c>
      <c r="G1251" s="133">
        <f t="shared" si="297"/>
        <v>438</v>
      </c>
      <c r="H1251" s="8">
        <f t="shared" si="279"/>
        <v>361509</v>
      </c>
      <c r="I1251" s="8">
        <v>361509</v>
      </c>
      <c r="J1251" s="13">
        <f t="shared" si="290"/>
        <v>0</v>
      </c>
      <c r="K1251" s="138"/>
      <c r="L1251" s="8">
        <f t="shared" si="280"/>
        <v>1213996</v>
      </c>
      <c r="M1251" s="8">
        <v>1214791</v>
      </c>
      <c r="N1251" s="13">
        <f t="shared" si="295"/>
        <v>795</v>
      </c>
      <c r="O1251" s="136">
        <f t="shared" si="288"/>
        <v>843</v>
      </c>
      <c r="P1251" s="8">
        <f t="shared" si="282"/>
        <v>631006</v>
      </c>
      <c r="Q1251" s="8">
        <v>631356</v>
      </c>
      <c r="R1251" s="133">
        <f t="shared" si="294"/>
        <v>350</v>
      </c>
      <c r="S1251" s="8">
        <f t="shared" si="283"/>
        <v>47216</v>
      </c>
      <c r="T1251" s="8">
        <v>47291</v>
      </c>
      <c r="U1251" s="133">
        <f t="shared" si="286"/>
        <v>75</v>
      </c>
      <c r="V1251" s="8">
        <f t="shared" si="281"/>
        <v>371500</v>
      </c>
      <c r="W1251" s="8">
        <v>371731</v>
      </c>
      <c r="X1251" s="13">
        <f t="shared" si="291"/>
        <v>231</v>
      </c>
      <c r="Y1251" s="8">
        <f t="shared" si="277"/>
        <v>42244</v>
      </c>
      <c r="Z1251" s="8">
        <v>42260</v>
      </c>
      <c r="AA1251" s="13">
        <f t="shared" si="292"/>
        <v>16</v>
      </c>
      <c r="AB1251" s="8">
        <f t="shared" si="296"/>
        <v>264388</v>
      </c>
      <c r="AC1251" s="8">
        <v>264486</v>
      </c>
      <c r="AD1251" s="13">
        <f t="shared" si="293"/>
        <v>98</v>
      </c>
      <c r="AE1251" s="135"/>
      <c r="AF1251" s="135"/>
      <c r="AG1251" s="135"/>
      <c r="AH1251" s="136"/>
      <c r="AI1251" s="50">
        <f t="shared" si="289"/>
        <v>1515</v>
      </c>
    </row>
    <row r="1252" spans="1:35">
      <c r="A1252" s="12">
        <v>45627</v>
      </c>
      <c r="B1252" s="8">
        <f t="shared" si="284"/>
        <v>2099361</v>
      </c>
      <c r="C1252" s="8">
        <v>2100288</v>
      </c>
      <c r="D1252" s="13">
        <f t="shared" si="285"/>
        <v>927</v>
      </c>
      <c r="E1252" s="77">
        <f t="shared" si="278"/>
        <v>93899</v>
      </c>
      <c r="F1252" s="69">
        <v>94534</v>
      </c>
      <c r="G1252" s="133">
        <f t="shared" si="297"/>
        <v>635</v>
      </c>
      <c r="H1252" s="8">
        <f t="shared" si="279"/>
        <v>361509</v>
      </c>
      <c r="I1252" s="8">
        <v>361509</v>
      </c>
      <c r="J1252" s="13">
        <f t="shared" si="290"/>
        <v>0</v>
      </c>
      <c r="K1252" s="138"/>
      <c r="L1252" s="8">
        <f t="shared" si="280"/>
        <v>1214791</v>
      </c>
      <c r="M1252" s="8">
        <v>1216139</v>
      </c>
      <c r="N1252" s="13">
        <f t="shared" si="295"/>
        <v>1348</v>
      </c>
      <c r="O1252" s="136">
        <f t="shared" si="288"/>
        <v>910</v>
      </c>
      <c r="P1252" s="8">
        <f t="shared" si="282"/>
        <v>631356</v>
      </c>
      <c r="Q1252" s="8">
        <v>632000</v>
      </c>
      <c r="R1252" s="133">
        <f t="shared" si="294"/>
        <v>644</v>
      </c>
      <c r="S1252" s="8">
        <f t="shared" si="283"/>
        <v>47291</v>
      </c>
      <c r="T1252" s="8">
        <v>47377</v>
      </c>
      <c r="U1252" s="133">
        <f t="shared" si="286"/>
        <v>86</v>
      </c>
      <c r="V1252" s="8">
        <f t="shared" si="281"/>
        <v>371731</v>
      </c>
      <c r="W1252" s="8">
        <v>371874</v>
      </c>
      <c r="X1252" s="13">
        <f t="shared" si="291"/>
        <v>143</v>
      </c>
      <c r="Y1252" s="8">
        <f t="shared" si="277"/>
        <v>42260</v>
      </c>
      <c r="Z1252" s="8">
        <v>42279</v>
      </c>
      <c r="AA1252" s="13">
        <f t="shared" si="292"/>
        <v>19</v>
      </c>
      <c r="AB1252" s="8">
        <f t="shared" si="296"/>
        <v>264486</v>
      </c>
      <c r="AC1252" s="8">
        <v>264564</v>
      </c>
      <c r="AD1252" s="13">
        <f t="shared" si="293"/>
        <v>78</v>
      </c>
      <c r="AE1252" s="135"/>
      <c r="AF1252" s="135"/>
      <c r="AG1252" s="135"/>
      <c r="AH1252" s="136"/>
      <c r="AI1252" s="50">
        <f t="shared" si="289"/>
        <v>1802</v>
      </c>
    </row>
    <row r="1253" spans="1:35">
      <c r="A1253" s="12">
        <v>45628</v>
      </c>
      <c r="B1253" s="8">
        <f t="shared" si="284"/>
        <v>2100288</v>
      </c>
      <c r="C1253" s="8">
        <v>2100710</v>
      </c>
      <c r="D1253" s="13">
        <f t="shared" si="285"/>
        <v>422</v>
      </c>
      <c r="E1253" s="77">
        <f t="shared" si="278"/>
        <v>94534</v>
      </c>
      <c r="F1253" s="69">
        <v>95285</v>
      </c>
      <c r="G1253" s="133">
        <f t="shared" si="297"/>
        <v>751</v>
      </c>
      <c r="H1253" s="8">
        <f t="shared" si="279"/>
        <v>361509</v>
      </c>
      <c r="I1253" s="8">
        <v>361509</v>
      </c>
      <c r="J1253" s="13">
        <f t="shared" si="290"/>
        <v>0</v>
      </c>
      <c r="K1253" s="138"/>
      <c r="L1253" s="8">
        <f t="shared" si="280"/>
        <v>1216139</v>
      </c>
      <c r="M1253" s="8">
        <v>1217303</v>
      </c>
      <c r="N1253" s="13">
        <f t="shared" si="295"/>
        <v>1164</v>
      </c>
      <c r="O1253" s="136">
        <f t="shared" si="288"/>
        <v>645</v>
      </c>
      <c r="P1253" s="8">
        <f t="shared" si="282"/>
        <v>632000</v>
      </c>
      <c r="Q1253" s="8">
        <v>632528</v>
      </c>
      <c r="R1253" s="133">
        <f t="shared" si="294"/>
        <v>528</v>
      </c>
      <c r="S1253" s="8">
        <f t="shared" si="283"/>
        <v>47377</v>
      </c>
      <c r="T1253" s="8">
        <v>47426</v>
      </c>
      <c r="U1253" s="133">
        <f t="shared" si="286"/>
        <v>49</v>
      </c>
      <c r="V1253" s="8">
        <f t="shared" si="281"/>
        <v>371874</v>
      </c>
      <c r="W1253" s="8">
        <v>372013</v>
      </c>
      <c r="X1253" s="13">
        <f t="shared" si="291"/>
        <v>139</v>
      </c>
      <c r="Y1253" s="8">
        <f t="shared" si="277"/>
        <v>42279</v>
      </c>
      <c r="Z1253" s="8">
        <v>42295</v>
      </c>
      <c r="AA1253" s="13">
        <f t="shared" si="292"/>
        <v>16</v>
      </c>
      <c r="AB1253" s="8">
        <f t="shared" si="296"/>
        <v>264564</v>
      </c>
      <c r="AC1253" s="8">
        <v>264613</v>
      </c>
      <c r="AD1253" s="13">
        <f t="shared" si="293"/>
        <v>49</v>
      </c>
      <c r="AE1253" s="135"/>
      <c r="AF1253" s="135"/>
      <c r="AG1253" s="135"/>
      <c r="AH1253" s="136"/>
      <c r="AI1253" s="50">
        <f t="shared" si="289"/>
        <v>1377</v>
      </c>
    </row>
    <row r="1254" spans="1:35">
      <c r="A1254" s="12">
        <v>45629</v>
      </c>
      <c r="B1254" s="8">
        <f t="shared" si="284"/>
        <v>2100710</v>
      </c>
      <c r="C1254" s="8">
        <v>2101040</v>
      </c>
      <c r="D1254" s="13">
        <f t="shared" si="285"/>
        <v>330</v>
      </c>
      <c r="E1254" s="77">
        <f t="shared" si="278"/>
        <v>95285</v>
      </c>
      <c r="F1254" s="69">
        <v>96059</v>
      </c>
      <c r="G1254" s="133">
        <f t="shared" si="297"/>
        <v>774</v>
      </c>
      <c r="H1254" s="8">
        <f t="shared" si="279"/>
        <v>361509</v>
      </c>
      <c r="I1254" s="8">
        <v>361509</v>
      </c>
      <c r="J1254" s="13">
        <f t="shared" si="290"/>
        <v>0</v>
      </c>
      <c r="K1254" s="138"/>
      <c r="L1254" s="8">
        <f t="shared" si="280"/>
        <v>1217303</v>
      </c>
      <c r="M1254" s="8">
        <v>1218473</v>
      </c>
      <c r="N1254" s="13">
        <f t="shared" si="295"/>
        <v>1170</v>
      </c>
      <c r="O1254" s="136">
        <f t="shared" si="288"/>
        <v>542</v>
      </c>
      <c r="P1254" s="8">
        <f t="shared" si="282"/>
        <v>632528</v>
      </c>
      <c r="Q1254" s="8">
        <v>633137</v>
      </c>
      <c r="R1254" s="133">
        <f t="shared" si="294"/>
        <v>609</v>
      </c>
      <c r="S1254" s="8">
        <f t="shared" si="283"/>
        <v>47426</v>
      </c>
      <c r="T1254" s="8">
        <v>47447</v>
      </c>
      <c r="U1254" s="133">
        <f t="shared" si="286"/>
        <v>21</v>
      </c>
      <c r="V1254" s="8">
        <f t="shared" si="281"/>
        <v>372013</v>
      </c>
      <c r="W1254" s="8">
        <v>372183</v>
      </c>
      <c r="X1254" s="13">
        <f t="shared" si="291"/>
        <v>170</v>
      </c>
      <c r="Y1254" s="8">
        <f t="shared" si="277"/>
        <v>42295</v>
      </c>
      <c r="Z1254" s="8">
        <v>42312</v>
      </c>
      <c r="AA1254" s="13">
        <f t="shared" si="292"/>
        <v>17</v>
      </c>
      <c r="AB1254" s="8">
        <f t="shared" si="296"/>
        <v>264613</v>
      </c>
      <c r="AC1254" s="8">
        <v>264681</v>
      </c>
      <c r="AD1254" s="13">
        <f t="shared" si="293"/>
        <v>68</v>
      </c>
      <c r="AE1254" s="135"/>
      <c r="AF1254" s="135"/>
      <c r="AG1254" s="135"/>
      <c r="AH1254" s="136"/>
      <c r="AI1254" s="50">
        <f t="shared" si="289"/>
        <v>1359</v>
      </c>
    </row>
    <row r="1255" spans="1:35">
      <c r="A1255" s="12">
        <v>45630</v>
      </c>
      <c r="B1255" s="8">
        <f t="shared" si="284"/>
        <v>2101040</v>
      </c>
      <c r="C1255" s="8">
        <v>2101040</v>
      </c>
      <c r="D1255" s="13">
        <v>400</v>
      </c>
      <c r="E1255" s="77">
        <f t="shared" si="278"/>
        <v>96059</v>
      </c>
      <c r="F1255" s="69">
        <v>96779</v>
      </c>
      <c r="G1255" s="133">
        <f t="shared" si="297"/>
        <v>720</v>
      </c>
      <c r="H1255" s="8">
        <f t="shared" si="279"/>
        <v>361509</v>
      </c>
      <c r="I1255" s="8">
        <v>361509</v>
      </c>
      <c r="J1255" s="13">
        <f t="shared" si="290"/>
        <v>0</v>
      </c>
      <c r="K1255" s="138">
        <f>J1255+G1255+D1255</f>
        <v>1120</v>
      </c>
      <c r="L1255" s="8">
        <f t="shared" si="280"/>
        <v>1218473</v>
      </c>
      <c r="M1255" s="8">
        <v>1219643</v>
      </c>
      <c r="N1255" s="13">
        <f t="shared" si="295"/>
        <v>1170</v>
      </c>
      <c r="O1255" s="136">
        <f t="shared" si="288"/>
        <v>508</v>
      </c>
      <c r="P1255" s="8">
        <f t="shared" si="282"/>
        <v>633137</v>
      </c>
      <c r="Q1255" s="8">
        <v>633774</v>
      </c>
      <c r="R1255" s="133">
        <f t="shared" si="294"/>
        <v>637</v>
      </c>
      <c r="S1255" s="8">
        <f t="shared" si="283"/>
        <v>47447</v>
      </c>
      <c r="T1255" s="8">
        <v>47447</v>
      </c>
      <c r="U1255" s="133">
        <v>30</v>
      </c>
      <c r="V1255" s="8">
        <f t="shared" si="281"/>
        <v>372183</v>
      </c>
      <c r="W1255" s="8">
        <v>372387</v>
      </c>
      <c r="X1255" s="13">
        <f t="shared" si="291"/>
        <v>204</v>
      </c>
      <c r="Y1255" s="8">
        <f t="shared" si="277"/>
        <v>42312</v>
      </c>
      <c r="Z1255" s="8">
        <v>42330</v>
      </c>
      <c r="AA1255" s="13">
        <f t="shared" si="292"/>
        <v>18</v>
      </c>
      <c r="AB1255" s="8">
        <f t="shared" si="296"/>
        <v>264681</v>
      </c>
      <c r="AC1255" s="8">
        <v>264736</v>
      </c>
      <c r="AD1255" s="13">
        <f t="shared" si="293"/>
        <v>55</v>
      </c>
      <c r="AE1255" s="135"/>
      <c r="AF1255" s="135"/>
      <c r="AG1255" s="135"/>
      <c r="AH1255" s="136"/>
      <c r="AI1255" s="50">
        <f t="shared" si="289"/>
        <v>1397</v>
      </c>
    </row>
    <row r="1256" spans="1:35">
      <c r="A1256" s="12">
        <v>45631</v>
      </c>
      <c r="B1256" s="8">
        <f t="shared" si="284"/>
        <v>2101040</v>
      </c>
      <c r="C1256" s="8">
        <v>2101497</v>
      </c>
      <c r="D1256" s="13">
        <f t="shared" si="285"/>
        <v>457</v>
      </c>
      <c r="E1256" s="77">
        <f t="shared" si="278"/>
        <v>96779</v>
      </c>
      <c r="F1256" s="69">
        <v>97558</v>
      </c>
      <c r="G1256" s="133">
        <f t="shared" si="297"/>
        <v>779</v>
      </c>
      <c r="H1256" s="8">
        <f t="shared" si="279"/>
        <v>361509</v>
      </c>
      <c r="I1256" s="8">
        <v>361509</v>
      </c>
      <c r="J1256" s="13">
        <f t="shared" si="290"/>
        <v>0</v>
      </c>
      <c r="K1256" s="138">
        <f t="shared" ref="K1256:K1319" si="298">J1256+G1256+D1256</f>
        <v>1236</v>
      </c>
      <c r="L1256" s="8">
        <f t="shared" si="280"/>
        <v>1219643</v>
      </c>
      <c r="M1256" s="8">
        <v>1220830</v>
      </c>
      <c r="N1256" s="13">
        <f t="shared" si="295"/>
        <v>1187</v>
      </c>
      <c r="O1256" s="136">
        <f t="shared" si="288"/>
        <v>733</v>
      </c>
      <c r="P1256" s="8">
        <f t="shared" si="282"/>
        <v>633774</v>
      </c>
      <c r="Q1256" s="8">
        <v>634318</v>
      </c>
      <c r="R1256" s="133">
        <f t="shared" si="294"/>
        <v>544</v>
      </c>
      <c r="S1256" s="8">
        <f t="shared" si="283"/>
        <v>47447</v>
      </c>
      <c r="T1256" s="8">
        <v>47447</v>
      </c>
      <c r="U1256" s="133">
        <v>18</v>
      </c>
      <c r="V1256" s="8">
        <f t="shared" si="281"/>
        <v>372387</v>
      </c>
      <c r="W1256" s="8">
        <v>372555</v>
      </c>
      <c r="X1256" s="13">
        <f t="shared" si="291"/>
        <v>168</v>
      </c>
      <c r="Y1256" s="8">
        <f t="shared" si="277"/>
        <v>42330</v>
      </c>
      <c r="Z1256" s="8">
        <v>42343</v>
      </c>
      <c r="AA1256" s="13">
        <f t="shared" si="292"/>
        <v>13</v>
      </c>
      <c r="AB1256" s="8">
        <f t="shared" si="296"/>
        <v>264736</v>
      </c>
      <c r="AC1256" s="8">
        <v>264795</v>
      </c>
      <c r="AD1256" s="13">
        <f t="shared" si="293"/>
        <v>59</v>
      </c>
      <c r="AE1256" s="135"/>
      <c r="AF1256" s="135"/>
      <c r="AG1256" s="135"/>
      <c r="AH1256" s="136"/>
      <c r="AI1256" s="50">
        <f t="shared" si="289"/>
        <v>1476</v>
      </c>
    </row>
    <row r="1257" spans="1:35">
      <c r="A1257" s="12">
        <v>45632</v>
      </c>
      <c r="B1257" s="8">
        <f t="shared" si="284"/>
        <v>2101497</v>
      </c>
      <c r="C1257" s="8">
        <v>2102054</v>
      </c>
      <c r="D1257" s="13">
        <f t="shared" si="285"/>
        <v>557</v>
      </c>
      <c r="E1257" s="77">
        <f t="shared" si="278"/>
        <v>97558</v>
      </c>
      <c r="F1257" s="69">
        <v>98288</v>
      </c>
      <c r="G1257" s="133">
        <f t="shared" si="297"/>
        <v>730</v>
      </c>
      <c r="H1257" s="8">
        <f t="shared" si="279"/>
        <v>361509</v>
      </c>
      <c r="I1257" s="8">
        <v>361509</v>
      </c>
      <c r="J1257" s="13">
        <f t="shared" si="290"/>
        <v>0</v>
      </c>
      <c r="K1257" s="138">
        <f t="shared" si="298"/>
        <v>1287</v>
      </c>
      <c r="L1257" s="8">
        <f t="shared" si="280"/>
        <v>1220830</v>
      </c>
      <c r="M1257" s="8">
        <v>1222087</v>
      </c>
      <c r="N1257" s="13">
        <f t="shared" si="295"/>
        <v>1257</v>
      </c>
      <c r="O1257" s="136">
        <f t="shared" si="288"/>
        <v>669</v>
      </c>
      <c r="P1257" s="8">
        <f t="shared" si="282"/>
        <v>634318</v>
      </c>
      <c r="Q1257" s="8">
        <v>634964</v>
      </c>
      <c r="R1257" s="133">
        <f t="shared" si="294"/>
        <v>646</v>
      </c>
      <c r="S1257" s="8">
        <f t="shared" si="283"/>
        <v>47447</v>
      </c>
      <c r="T1257" s="8">
        <v>47489</v>
      </c>
      <c r="U1257" s="133">
        <v>23</v>
      </c>
      <c r="V1257" s="8">
        <f t="shared" si="281"/>
        <v>372555</v>
      </c>
      <c r="W1257" s="8">
        <v>372743</v>
      </c>
      <c r="X1257" s="13">
        <f t="shared" si="291"/>
        <v>188</v>
      </c>
      <c r="Y1257" s="8">
        <f t="shared" si="277"/>
        <v>42343</v>
      </c>
      <c r="Z1257" s="8">
        <v>42359</v>
      </c>
      <c r="AA1257" s="13">
        <f t="shared" si="292"/>
        <v>16</v>
      </c>
      <c r="AB1257" s="8">
        <f t="shared" si="296"/>
        <v>264795</v>
      </c>
      <c r="AC1257" s="8">
        <v>264795</v>
      </c>
      <c r="AD1257" s="13">
        <v>51</v>
      </c>
      <c r="AE1257" s="135"/>
      <c r="AF1257" s="135"/>
      <c r="AG1257" s="135"/>
      <c r="AH1257" s="136"/>
      <c r="AI1257" s="50">
        <f t="shared" si="289"/>
        <v>1542</v>
      </c>
    </row>
    <row r="1258" spans="1:35">
      <c r="A1258" s="12">
        <v>45633</v>
      </c>
      <c r="B1258" s="8">
        <f t="shared" si="284"/>
        <v>2102054</v>
      </c>
      <c r="C1258" s="8">
        <v>2102689</v>
      </c>
      <c r="D1258" s="13">
        <f t="shared" si="285"/>
        <v>635</v>
      </c>
      <c r="E1258" s="77">
        <f t="shared" si="278"/>
        <v>98288</v>
      </c>
      <c r="F1258" s="69">
        <v>99051</v>
      </c>
      <c r="G1258" s="133">
        <f t="shared" si="297"/>
        <v>763</v>
      </c>
      <c r="H1258" s="8">
        <f t="shared" si="279"/>
        <v>361509</v>
      </c>
      <c r="I1258" s="8">
        <v>361509</v>
      </c>
      <c r="J1258" s="13">
        <f t="shared" si="290"/>
        <v>0</v>
      </c>
      <c r="K1258" s="138">
        <f t="shared" si="298"/>
        <v>1398</v>
      </c>
      <c r="L1258" s="8">
        <f t="shared" si="280"/>
        <v>1222087</v>
      </c>
      <c r="M1258" s="8">
        <v>1223243</v>
      </c>
      <c r="N1258" s="13">
        <f t="shared" si="295"/>
        <v>1156</v>
      </c>
      <c r="O1258" s="136">
        <f t="shared" si="288"/>
        <v>915</v>
      </c>
      <c r="P1258" s="8">
        <f t="shared" si="282"/>
        <v>634964</v>
      </c>
      <c r="Q1258" s="8">
        <v>635484</v>
      </c>
      <c r="R1258" s="133">
        <f t="shared" si="294"/>
        <v>520</v>
      </c>
      <c r="S1258" s="8">
        <f t="shared" si="283"/>
        <v>47489</v>
      </c>
      <c r="T1258" s="8">
        <v>47595</v>
      </c>
      <c r="U1258" s="133">
        <v>18</v>
      </c>
      <c r="V1258" s="8">
        <f t="shared" si="281"/>
        <v>372743</v>
      </c>
      <c r="W1258" s="8">
        <v>372958</v>
      </c>
      <c r="X1258" s="13">
        <f t="shared" si="291"/>
        <v>215</v>
      </c>
      <c r="Y1258" s="8">
        <f t="shared" ref="Y1258:Y1321" si="299">Z1257</f>
        <v>42359</v>
      </c>
      <c r="Z1258" s="8">
        <v>42377</v>
      </c>
      <c r="AA1258" s="13">
        <f t="shared" si="292"/>
        <v>18</v>
      </c>
      <c r="AB1258" s="8">
        <f t="shared" si="296"/>
        <v>264795</v>
      </c>
      <c r="AC1258" s="8">
        <v>264795</v>
      </c>
      <c r="AD1258" s="13">
        <v>55</v>
      </c>
      <c r="AE1258" s="135"/>
      <c r="AF1258" s="135"/>
      <c r="AG1258" s="135"/>
      <c r="AH1258" s="136"/>
      <c r="AI1258" s="50">
        <f t="shared" si="289"/>
        <v>1686</v>
      </c>
    </row>
    <row r="1259" spans="1:35">
      <c r="A1259" s="12">
        <v>45634</v>
      </c>
      <c r="B1259" s="8">
        <f t="shared" si="284"/>
        <v>2102689</v>
      </c>
      <c r="C1259" s="8">
        <v>2103271</v>
      </c>
      <c r="D1259" s="13">
        <f t="shared" si="285"/>
        <v>582</v>
      </c>
      <c r="E1259" s="77">
        <f t="shared" si="278"/>
        <v>99051</v>
      </c>
      <c r="F1259" s="69">
        <v>99794</v>
      </c>
      <c r="G1259" s="133">
        <f t="shared" si="297"/>
        <v>743</v>
      </c>
      <c r="H1259" s="8">
        <f t="shared" si="279"/>
        <v>361509</v>
      </c>
      <c r="I1259" s="8">
        <v>361509</v>
      </c>
      <c r="J1259" s="13">
        <f t="shared" si="290"/>
        <v>0</v>
      </c>
      <c r="K1259" s="138">
        <f t="shared" si="298"/>
        <v>1325</v>
      </c>
      <c r="L1259" s="8">
        <f t="shared" si="280"/>
        <v>1223243</v>
      </c>
      <c r="M1259" s="8">
        <v>1224360</v>
      </c>
      <c r="N1259" s="13">
        <f t="shared" si="295"/>
        <v>1117</v>
      </c>
      <c r="O1259" s="136">
        <f t="shared" si="288"/>
        <v>663</v>
      </c>
      <c r="P1259" s="8">
        <f t="shared" si="282"/>
        <v>635484</v>
      </c>
      <c r="Q1259" s="8">
        <v>636132</v>
      </c>
      <c r="R1259" s="133">
        <f t="shared" si="294"/>
        <v>648</v>
      </c>
      <c r="S1259" s="8">
        <f t="shared" si="283"/>
        <v>47595</v>
      </c>
      <c r="T1259" s="8">
        <v>47671</v>
      </c>
      <c r="U1259" s="133">
        <f t="shared" si="286"/>
        <v>76</v>
      </c>
      <c r="V1259" s="8">
        <f t="shared" si="281"/>
        <v>372958</v>
      </c>
      <c r="W1259" s="8">
        <v>373161</v>
      </c>
      <c r="X1259" s="13">
        <f t="shared" si="291"/>
        <v>203</v>
      </c>
      <c r="Y1259" s="8">
        <f t="shared" si="299"/>
        <v>42377</v>
      </c>
      <c r="Z1259" s="8">
        <v>42391</v>
      </c>
      <c r="AA1259" s="13">
        <f t="shared" si="292"/>
        <v>14</v>
      </c>
      <c r="AB1259" s="8">
        <f t="shared" si="296"/>
        <v>264795</v>
      </c>
      <c r="AC1259" s="8">
        <v>264795</v>
      </c>
      <c r="AD1259" s="13">
        <v>62</v>
      </c>
      <c r="AE1259" s="135"/>
      <c r="AF1259" s="135"/>
      <c r="AG1259" s="135"/>
      <c r="AH1259" s="136"/>
      <c r="AI1259" s="50">
        <f t="shared" si="289"/>
        <v>1604</v>
      </c>
    </row>
    <row r="1260" spans="1:35">
      <c r="A1260" s="12">
        <v>45635</v>
      </c>
      <c r="B1260" s="8">
        <f t="shared" si="284"/>
        <v>2103271</v>
      </c>
      <c r="C1260" s="8">
        <v>2103955</v>
      </c>
      <c r="D1260" s="13">
        <f t="shared" si="285"/>
        <v>684</v>
      </c>
      <c r="E1260" s="77">
        <f t="shared" si="278"/>
        <v>99794</v>
      </c>
      <c r="F1260" s="69">
        <v>100240</v>
      </c>
      <c r="G1260" s="133">
        <f t="shared" si="297"/>
        <v>446</v>
      </c>
      <c r="H1260" s="8">
        <f t="shared" si="279"/>
        <v>361509</v>
      </c>
      <c r="I1260" s="8">
        <v>361509</v>
      </c>
      <c r="J1260" s="13">
        <f t="shared" si="290"/>
        <v>0</v>
      </c>
      <c r="K1260" s="138">
        <f t="shared" si="298"/>
        <v>1130</v>
      </c>
      <c r="L1260" s="8">
        <f t="shared" si="280"/>
        <v>1224360</v>
      </c>
      <c r="M1260" s="8">
        <v>1225517</v>
      </c>
      <c r="N1260" s="13">
        <f t="shared" si="295"/>
        <v>1157</v>
      </c>
      <c r="O1260" s="136">
        <f t="shared" si="288"/>
        <v>537</v>
      </c>
      <c r="P1260" s="8">
        <f t="shared" si="282"/>
        <v>636132</v>
      </c>
      <c r="Q1260" s="8">
        <v>636741</v>
      </c>
      <c r="R1260" s="133">
        <f t="shared" si="294"/>
        <v>609</v>
      </c>
      <c r="S1260" s="8">
        <f t="shared" si="283"/>
        <v>47671</v>
      </c>
      <c r="T1260" s="8">
        <v>47725</v>
      </c>
      <c r="U1260" s="133">
        <f t="shared" si="286"/>
        <v>54</v>
      </c>
      <c r="V1260" s="8">
        <f t="shared" si="281"/>
        <v>373161</v>
      </c>
      <c r="W1260" s="8">
        <v>373363</v>
      </c>
      <c r="X1260" s="13">
        <f t="shared" si="291"/>
        <v>202</v>
      </c>
      <c r="Y1260" s="8">
        <f t="shared" si="299"/>
        <v>42391</v>
      </c>
      <c r="Z1260" s="8">
        <v>42412</v>
      </c>
      <c r="AA1260" s="13">
        <f t="shared" si="292"/>
        <v>21</v>
      </c>
      <c r="AB1260" s="8">
        <f t="shared" si="296"/>
        <v>264795</v>
      </c>
      <c r="AC1260" s="8">
        <v>264865</v>
      </c>
      <c r="AD1260" s="13">
        <f t="shared" ref="AD1260:AD1271" si="300">AC1260-AB1260</f>
        <v>70</v>
      </c>
      <c r="AE1260" s="135"/>
      <c r="AF1260" s="135"/>
      <c r="AG1260" s="135"/>
      <c r="AH1260" s="136"/>
      <c r="AI1260" s="50">
        <f t="shared" si="289"/>
        <v>1423</v>
      </c>
    </row>
    <row r="1261" spans="1:35">
      <c r="A1261" s="12">
        <v>45636</v>
      </c>
      <c r="B1261" s="8">
        <f t="shared" si="284"/>
        <v>2103955</v>
      </c>
      <c r="C1261" s="8">
        <v>2104698</v>
      </c>
      <c r="D1261" s="13">
        <f t="shared" si="285"/>
        <v>743</v>
      </c>
      <c r="E1261" s="77">
        <f t="shared" ref="E1261:E1324" si="301">F1260</f>
        <v>100240</v>
      </c>
      <c r="F1261" s="69">
        <v>100735</v>
      </c>
      <c r="G1261" s="133">
        <f t="shared" si="297"/>
        <v>495</v>
      </c>
      <c r="H1261" s="8">
        <f t="shared" si="279"/>
        <v>361509</v>
      </c>
      <c r="I1261" s="8">
        <v>361509</v>
      </c>
      <c r="J1261" s="13">
        <f t="shared" si="290"/>
        <v>0</v>
      </c>
      <c r="K1261" s="138">
        <f t="shared" si="298"/>
        <v>1238</v>
      </c>
      <c r="L1261" s="8">
        <f t="shared" si="280"/>
        <v>1225517</v>
      </c>
      <c r="M1261" s="8">
        <v>1226663</v>
      </c>
      <c r="N1261" s="13">
        <f t="shared" si="295"/>
        <v>1146</v>
      </c>
      <c r="O1261" s="136">
        <f t="shared" si="288"/>
        <v>754</v>
      </c>
      <c r="P1261" s="8">
        <f t="shared" si="282"/>
        <v>636741</v>
      </c>
      <c r="Q1261" s="8">
        <v>637248</v>
      </c>
      <c r="R1261" s="133">
        <f t="shared" si="294"/>
        <v>507</v>
      </c>
      <c r="S1261" s="8">
        <f t="shared" si="283"/>
        <v>47725</v>
      </c>
      <c r="T1261" s="8">
        <v>47762</v>
      </c>
      <c r="U1261" s="133">
        <f t="shared" si="286"/>
        <v>37</v>
      </c>
      <c r="V1261" s="8">
        <f t="shared" si="281"/>
        <v>373363</v>
      </c>
      <c r="W1261" s="8">
        <v>373564</v>
      </c>
      <c r="X1261" s="13">
        <f t="shared" si="291"/>
        <v>201</v>
      </c>
      <c r="Y1261" s="8">
        <f t="shared" si="299"/>
        <v>42412</v>
      </c>
      <c r="Z1261" s="8">
        <v>42431</v>
      </c>
      <c r="AA1261" s="13">
        <f t="shared" si="292"/>
        <v>19</v>
      </c>
      <c r="AB1261" s="8">
        <f t="shared" si="296"/>
        <v>264865</v>
      </c>
      <c r="AC1261" s="8">
        <v>264925</v>
      </c>
      <c r="AD1261" s="13">
        <f t="shared" si="300"/>
        <v>60</v>
      </c>
      <c r="AE1261" s="135"/>
      <c r="AF1261" s="135"/>
      <c r="AG1261" s="135"/>
      <c r="AH1261" s="136"/>
      <c r="AI1261" s="50">
        <f t="shared" si="289"/>
        <v>1518</v>
      </c>
    </row>
    <row r="1262" spans="1:35">
      <c r="A1262" s="12">
        <v>45637</v>
      </c>
      <c r="B1262" s="8">
        <f t="shared" si="284"/>
        <v>2104698</v>
      </c>
      <c r="C1262" s="8">
        <v>2105371</v>
      </c>
      <c r="D1262" s="13">
        <f t="shared" si="285"/>
        <v>673</v>
      </c>
      <c r="E1262" s="77">
        <f t="shared" si="301"/>
        <v>100735</v>
      </c>
      <c r="F1262" s="69">
        <v>101539</v>
      </c>
      <c r="G1262" s="133">
        <f t="shared" si="297"/>
        <v>804</v>
      </c>
      <c r="H1262" s="8">
        <f t="shared" ref="H1262:H1325" si="302">I1261</f>
        <v>361509</v>
      </c>
      <c r="I1262" s="8">
        <v>361509</v>
      </c>
      <c r="J1262" s="13">
        <f t="shared" si="290"/>
        <v>0</v>
      </c>
      <c r="K1262" s="138">
        <f t="shared" si="298"/>
        <v>1477</v>
      </c>
      <c r="L1262" s="8">
        <f t="shared" ref="L1262:L1325" si="303">M1261</f>
        <v>1226663</v>
      </c>
      <c r="M1262" s="8">
        <v>1227695</v>
      </c>
      <c r="N1262" s="13">
        <f t="shared" si="295"/>
        <v>1032</v>
      </c>
      <c r="O1262" s="136">
        <f t="shared" si="288"/>
        <v>885</v>
      </c>
      <c r="P1262" s="8">
        <f t="shared" si="282"/>
        <v>637248</v>
      </c>
      <c r="Q1262" s="8">
        <v>637836</v>
      </c>
      <c r="R1262" s="133">
        <f t="shared" si="294"/>
        <v>588</v>
      </c>
      <c r="S1262" s="8">
        <f t="shared" si="283"/>
        <v>47762</v>
      </c>
      <c r="T1262" s="8">
        <v>47828</v>
      </c>
      <c r="U1262" s="133">
        <f t="shared" si="286"/>
        <v>66</v>
      </c>
      <c r="V1262" s="8">
        <f t="shared" ref="V1262:V1325" si="304">W1261</f>
        <v>373564</v>
      </c>
      <c r="W1262" s="8">
        <v>373744</v>
      </c>
      <c r="X1262" s="13">
        <f t="shared" si="291"/>
        <v>180</v>
      </c>
      <c r="Y1262" s="8">
        <f t="shared" si="299"/>
        <v>42431</v>
      </c>
      <c r="Z1262" s="8">
        <v>42452</v>
      </c>
      <c r="AA1262" s="13">
        <f t="shared" si="292"/>
        <v>21</v>
      </c>
      <c r="AB1262" s="8">
        <f t="shared" si="296"/>
        <v>264925</v>
      </c>
      <c r="AC1262" s="8">
        <v>264987</v>
      </c>
      <c r="AD1262" s="13">
        <f t="shared" si="300"/>
        <v>62</v>
      </c>
      <c r="AE1262" s="135"/>
      <c r="AF1262" s="135"/>
      <c r="AG1262" s="135"/>
      <c r="AH1262" s="136"/>
      <c r="AI1262" s="50">
        <f t="shared" si="289"/>
        <v>1740</v>
      </c>
    </row>
    <row r="1263" spans="1:35">
      <c r="A1263" s="12">
        <v>45638</v>
      </c>
      <c r="B1263" s="8">
        <f t="shared" si="284"/>
        <v>2105371</v>
      </c>
      <c r="C1263" s="8">
        <v>2106046</v>
      </c>
      <c r="D1263" s="13">
        <f t="shared" si="285"/>
        <v>675</v>
      </c>
      <c r="E1263" s="77">
        <f t="shared" si="301"/>
        <v>101539</v>
      </c>
      <c r="F1263" s="69">
        <v>102253</v>
      </c>
      <c r="G1263" s="133">
        <f t="shared" si="297"/>
        <v>714</v>
      </c>
      <c r="H1263" s="8">
        <f t="shared" si="302"/>
        <v>361509</v>
      </c>
      <c r="I1263" s="8">
        <v>361509</v>
      </c>
      <c r="J1263" s="13">
        <f t="shared" si="290"/>
        <v>0</v>
      </c>
      <c r="K1263" s="138">
        <f t="shared" si="298"/>
        <v>1389</v>
      </c>
      <c r="L1263" s="8">
        <f t="shared" si="303"/>
        <v>1227695</v>
      </c>
      <c r="M1263" s="8">
        <v>1228884</v>
      </c>
      <c r="N1263" s="13">
        <f t="shared" si="295"/>
        <v>1189</v>
      </c>
      <c r="O1263" s="136">
        <f t="shared" si="288"/>
        <v>937</v>
      </c>
      <c r="P1263" s="8">
        <f t="shared" si="282"/>
        <v>637836</v>
      </c>
      <c r="Q1263" s="8">
        <v>638351</v>
      </c>
      <c r="R1263" s="133">
        <f t="shared" si="294"/>
        <v>515</v>
      </c>
      <c r="S1263" s="8">
        <f t="shared" si="283"/>
        <v>47828</v>
      </c>
      <c r="T1263" s="8">
        <v>47859</v>
      </c>
      <c r="U1263" s="133">
        <f t="shared" si="286"/>
        <v>31</v>
      </c>
      <c r="V1263" s="8">
        <f t="shared" si="304"/>
        <v>373744</v>
      </c>
      <c r="W1263" s="8">
        <v>373947</v>
      </c>
      <c r="X1263" s="13">
        <f t="shared" si="291"/>
        <v>203</v>
      </c>
      <c r="Y1263" s="8">
        <f t="shared" si="299"/>
        <v>42452</v>
      </c>
      <c r="Z1263" s="8">
        <v>42461</v>
      </c>
      <c r="AA1263" s="13">
        <f t="shared" si="292"/>
        <v>9</v>
      </c>
      <c r="AB1263" s="8">
        <f t="shared" si="296"/>
        <v>264987</v>
      </c>
      <c r="AC1263" s="8">
        <v>265081</v>
      </c>
      <c r="AD1263" s="13">
        <f t="shared" si="300"/>
        <v>94</v>
      </c>
      <c r="AE1263" s="135"/>
      <c r="AF1263" s="135"/>
      <c r="AG1263" s="135"/>
      <c r="AH1263" s="136"/>
      <c r="AI1263" s="50">
        <f t="shared" si="289"/>
        <v>1695</v>
      </c>
    </row>
    <row r="1264" spans="1:35">
      <c r="A1264" s="12">
        <v>45639</v>
      </c>
      <c r="B1264" s="8">
        <f t="shared" si="284"/>
        <v>2106046</v>
      </c>
      <c r="C1264" s="8">
        <v>2106745</v>
      </c>
      <c r="D1264" s="13">
        <f t="shared" si="285"/>
        <v>699</v>
      </c>
      <c r="E1264" s="77">
        <f t="shared" si="301"/>
        <v>102253</v>
      </c>
      <c r="F1264" s="69">
        <v>103041</v>
      </c>
      <c r="G1264" s="133">
        <f t="shared" si="297"/>
        <v>788</v>
      </c>
      <c r="H1264" s="8">
        <f t="shared" si="302"/>
        <v>361509</v>
      </c>
      <c r="I1264" s="8">
        <v>361509</v>
      </c>
      <c r="J1264" s="13">
        <f t="shared" si="290"/>
        <v>0</v>
      </c>
      <c r="K1264" s="138">
        <f t="shared" si="298"/>
        <v>1487</v>
      </c>
      <c r="L1264" s="8">
        <f t="shared" si="303"/>
        <v>1228884</v>
      </c>
      <c r="M1264" s="8">
        <v>1230173</v>
      </c>
      <c r="N1264" s="13">
        <f t="shared" si="295"/>
        <v>1289</v>
      </c>
      <c r="O1264" s="136">
        <f t="shared" si="288"/>
        <v>986</v>
      </c>
      <c r="P1264" s="8">
        <f t="shared" si="282"/>
        <v>638351</v>
      </c>
      <c r="Q1264" s="8">
        <v>638947</v>
      </c>
      <c r="R1264" s="133">
        <f t="shared" si="294"/>
        <v>596</v>
      </c>
      <c r="S1264" s="8">
        <f t="shared" si="283"/>
        <v>47859</v>
      </c>
      <c r="T1264" s="8">
        <v>47881</v>
      </c>
      <c r="U1264" s="133">
        <f t="shared" si="286"/>
        <v>22</v>
      </c>
      <c r="V1264" s="8">
        <f t="shared" si="304"/>
        <v>373947</v>
      </c>
      <c r="W1264" s="8">
        <v>374156</v>
      </c>
      <c r="X1264" s="13">
        <f t="shared" si="291"/>
        <v>209</v>
      </c>
      <c r="Y1264" s="8">
        <f t="shared" si="299"/>
        <v>42461</v>
      </c>
      <c r="Z1264" s="8">
        <v>42476</v>
      </c>
      <c r="AA1264" s="13">
        <f t="shared" si="292"/>
        <v>15</v>
      </c>
      <c r="AB1264" s="8">
        <f t="shared" si="296"/>
        <v>265081</v>
      </c>
      <c r="AC1264" s="8">
        <v>265198</v>
      </c>
      <c r="AD1264" s="13">
        <f t="shared" si="300"/>
        <v>117</v>
      </c>
      <c r="AE1264" s="135"/>
      <c r="AF1264" s="135"/>
      <c r="AG1264" s="135"/>
      <c r="AH1264" s="136"/>
      <c r="AI1264" s="50">
        <f t="shared" si="289"/>
        <v>1828</v>
      </c>
    </row>
    <row r="1265" spans="1:35">
      <c r="A1265" s="12">
        <v>45640</v>
      </c>
      <c r="B1265" s="8">
        <f t="shared" si="284"/>
        <v>2106745</v>
      </c>
      <c r="C1265" s="8">
        <v>2107324</v>
      </c>
      <c r="D1265" s="13">
        <f t="shared" si="285"/>
        <v>579</v>
      </c>
      <c r="E1265" s="77">
        <f t="shared" si="301"/>
        <v>103041</v>
      </c>
      <c r="F1265" s="69">
        <v>103684</v>
      </c>
      <c r="G1265" s="133">
        <f t="shared" si="297"/>
        <v>643</v>
      </c>
      <c r="H1265" s="8">
        <f t="shared" si="302"/>
        <v>361509</v>
      </c>
      <c r="I1265" s="8">
        <v>361509</v>
      </c>
      <c r="J1265" s="13">
        <f t="shared" si="290"/>
        <v>0</v>
      </c>
      <c r="K1265" s="138">
        <f t="shared" si="298"/>
        <v>1222</v>
      </c>
      <c r="L1265" s="8">
        <f t="shared" si="303"/>
        <v>1230173</v>
      </c>
      <c r="M1265" s="8">
        <v>1231312</v>
      </c>
      <c r="N1265" s="13">
        <f t="shared" si="295"/>
        <v>1139</v>
      </c>
      <c r="O1265" s="136">
        <f t="shared" si="288"/>
        <v>653</v>
      </c>
      <c r="P1265" s="8">
        <f t="shared" ref="P1265:P1328" si="305">Q1264</f>
        <v>638947</v>
      </c>
      <c r="Q1265" s="8">
        <v>639550</v>
      </c>
      <c r="R1265" s="133">
        <f t="shared" si="294"/>
        <v>603</v>
      </c>
      <c r="S1265" s="8">
        <f t="shared" ref="S1265:S1312" si="306">T1264</f>
        <v>47881</v>
      </c>
      <c r="T1265" s="8">
        <v>47916</v>
      </c>
      <c r="U1265" s="133">
        <f t="shared" si="286"/>
        <v>35</v>
      </c>
      <c r="V1265" s="8">
        <f t="shared" si="304"/>
        <v>374156</v>
      </c>
      <c r="W1265" s="8">
        <v>374403</v>
      </c>
      <c r="X1265" s="13">
        <f t="shared" si="291"/>
        <v>247</v>
      </c>
      <c r="Y1265" s="8">
        <f t="shared" si="299"/>
        <v>42476</v>
      </c>
      <c r="Z1265" s="8">
        <v>42492</v>
      </c>
      <c r="AA1265" s="13">
        <f t="shared" si="292"/>
        <v>16</v>
      </c>
      <c r="AB1265" s="8">
        <f t="shared" si="296"/>
        <v>265198</v>
      </c>
      <c r="AC1265" s="8">
        <v>265267</v>
      </c>
      <c r="AD1265" s="13">
        <f t="shared" si="300"/>
        <v>69</v>
      </c>
      <c r="AE1265" s="135"/>
      <c r="AF1265" s="135"/>
      <c r="AG1265" s="135"/>
      <c r="AH1265" s="136"/>
      <c r="AI1265" s="50">
        <f t="shared" si="289"/>
        <v>1554</v>
      </c>
    </row>
    <row r="1266" spans="1:35">
      <c r="A1266" s="12">
        <v>45641</v>
      </c>
      <c r="B1266" s="8">
        <f t="shared" si="284"/>
        <v>2107324</v>
      </c>
      <c r="C1266" s="8">
        <v>2107920</v>
      </c>
      <c r="D1266" s="13">
        <f t="shared" si="285"/>
        <v>596</v>
      </c>
      <c r="E1266" s="77">
        <f t="shared" si="301"/>
        <v>103684</v>
      </c>
      <c r="F1266" s="69">
        <v>104378</v>
      </c>
      <c r="G1266" s="133">
        <f t="shared" si="297"/>
        <v>694</v>
      </c>
      <c r="H1266" s="8">
        <f t="shared" si="302"/>
        <v>361509</v>
      </c>
      <c r="I1266" s="8">
        <v>361509</v>
      </c>
      <c r="J1266" s="13">
        <f t="shared" si="290"/>
        <v>0</v>
      </c>
      <c r="K1266" s="138">
        <f t="shared" si="298"/>
        <v>1290</v>
      </c>
      <c r="L1266" s="8">
        <f t="shared" si="303"/>
        <v>1231312</v>
      </c>
      <c r="M1266" s="8">
        <v>1232321</v>
      </c>
      <c r="N1266" s="13">
        <f t="shared" si="295"/>
        <v>1009</v>
      </c>
      <c r="O1266" s="136">
        <f t="shared" si="288"/>
        <v>927</v>
      </c>
      <c r="P1266" s="8">
        <f t="shared" si="305"/>
        <v>639550</v>
      </c>
      <c r="Q1266" s="8">
        <v>639994</v>
      </c>
      <c r="R1266" s="133">
        <f t="shared" si="294"/>
        <v>444</v>
      </c>
      <c r="S1266" s="8">
        <f t="shared" si="306"/>
        <v>47916</v>
      </c>
      <c r="T1266" s="8">
        <v>47938</v>
      </c>
      <c r="U1266" s="133">
        <f t="shared" si="286"/>
        <v>22</v>
      </c>
      <c r="V1266" s="8">
        <f t="shared" si="304"/>
        <v>374403</v>
      </c>
      <c r="W1266" s="8">
        <v>374632</v>
      </c>
      <c r="X1266" s="13">
        <f t="shared" si="291"/>
        <v>229</v>
      </c>
      <c r="Y1266" s="8">
        <f t="shared" si="299"/>
        <v>42492</v>
      </c>
      <c r="Z1266" s="8">
        <v>42507</v>
      </c>
      <c r="AA1266" s="13">
        <f t="shared" si="292"/>
        <v>15</v>
      </c>
      <c r="AB1266" s="8">
        <f t="shared" si="296"/>
        <v>265267</v>
      </c>
      <c r="AC1266" s="8">
        <v>265370</v>
      </c>
      <c r="AD1266" s="13">
        <f t="shared" si="300"/>
        <v>103</v>
      </c>
      <c r="AE1266" s="135"/>
      <c r="AF1266" s="135"/>
      <c r="AG1266" s="135"/>
      <c r="AH1266" s="136"/>
      <c r="AI1266" s="50">
        <f t="shared" si="289"/>
        <v>1637</v>
      </c>
    </row>
    <row r="1267" spans="1:35">
      <c r="A1267" s="12">
        <v>45642</v>
      </c>
      <c r="B1267" s="8">
        <f t="shared" si="284"/>
        <v>2107920</v>
      </c>
      <c r="C1267" s="8">
        <v>2108543</v>
      </c>
      <c r="D1267" s="13">
        <f t="shared" si="285"/>
        <v>623</v>
      </c>
      <c r="E1267" s="77">
        <f t="shared" si="301"/>
        <v>104378</v>
      </c>
      <c r="F1267" s="69">
        <v>105081</v>
      </c>
      <c r="G1267" s="133">
        <f t="shared" si="297"/>
        <v>703</v>
      </c>
      <c r="H1267" s="8">
        <f t="shared" si="302"/>
        <v>361509</v>
      </c>
      <c r="I1267" s="8">
        <v>361509</v>
      </c>
      <c r="J1267" s="13">
        <f t="shared" si="290"/>
        <v>0</v>
      </c>
      <c r="K1267" s="138">
        <f t="shared" si="298"/>
        <v>1326</v>
      </c>
      <c r="L1267" s="8">
        <f t="shared" si="303"/>
        <v>1232321</v>
      </c>
      <c r="M1267" s="8">
        <v>1233560</v>
      </c>
      <c r="N1267" s="13">
        <f t="shared" si="295"/>
        <v>1239</v>
      </c>
      <c r="O1267" s="136">
        <f t="shared" si="288"/>
        <v>736</v>
      </c>
      <c r="P1267" s="8">
        <f t="shared" si="305"/>
        <v>639994</v>
      </c>
      <c r="Q1267" s="8">
        <v>640637</v>
      </c>
      <c r="R1267" s="133">
        <f t="shared" si="294"/>
        <v>643</v>
      </c>
      <c r="S1267" s="8">
        <f t="shared" si="306"/>
        <v>47938</v>
      </c>
      <c r="T1267" s="8">
        <v>47938</v>
      </c>
      <c r="U1267" s="133">
        <v>40</v>
      </c>
      <c r="V1267" s="8">
        <f t="shared" si="304"/>
        <v>374632</v>
      </c>
      <c r="W1267" s="8">
        <v>374878</v>
      </c>
      <c r="X1267" s="13">
        <f t="shared" si="291"/>
        <v>246</v>
      </c>
      <c r="Y1267" s="8">
        <f t="shared" si="299"/>
        <v>42507</v>
      </c>
      <c r="Z1267" s="8">
        <v>42535</v>
      </c>
      <c r="AA1267" s="13">
        <f t="shared" si="292"/>
        <v>28</v>
      </c>
      <c r="AB1267" s="8">
        <f t="shared" si="296"/>
        <v>265370</v>
      </c>
      <c r="AC1267" s="8">
        <v>265463</v>
      </c>
      <c r="AD1267" s="13">
        <f t="shared" si="300"/>
        <v>93</v>
      </c>
      <c r="AE1267" s="135"/>
      <c r="AF1267" s="135"/>
      <c r="AG1267" s="135"/>
      <c r="AH1267" s="136"/>
      <c r="AI1267" s="50">
        <f t="shared" si="289"/>
        <v>1693</v>
      </c>
    </row>
    <row r="1268" spans="1:35">
      <c r="A1268" s="12">
        <v>45643</v>
      </c>
      <c r="B1268" s="8">
        <f t="shared" si="284"/>
        <v>2108543</v>
      </c>
      <c r="C1268" s="8">
        <v>2108968</v>
      </c>
      <c r="D1268" s="13">
        <f t="shared" si="285"/>
        <v>425</v>
      </c>
      <c r="E1268" s="77">
        <f t="shared" si="301"/>
        <v>105081</v>
      </c>
      <c r="F1268" s="69">
        <v>105485</v>
      </c>
      <c r="G1268" s="133">
        <f t="shared" si="297"/>
        <v>404</v>
      </c>
      <c r="H1268" s="8">
        <f t="shared" si="302"/>
        <v>361509</v>
      </c>
      <c r="I1268" s="8">
        <v>361509</v>
      </c>
      <c r="J1268" s="13">
        <f t="shared" si="290"/>
        <v>0</v>
      </c>
      <c r="K1268" s="138">
        <f t="shared" si="298"/>
        <v>829</v>
      </c>
      <c r="L1268" s="8">
        <f t="shared" si="303"/>
        <v>1233560</v>
      </c>
      <c r="M1268" s="8">
        <v>1234583</v>
      </c>
      <c r="N1268" s="13">
        <f t="shared" si="295"/>
        <v>1023</v>
      </c>
      <c r="O1268" s="136">
        <f t="shared" si="288"/>
        <v>387</v>
      </c>
      <c r="P1268" s="8">
        <f t="shared" si="305"/>
        <v>640637</v>
      </c>
      <c r="Q1268" s="8">
        <v>641134</v>
      </c>
      <c r="R1268" s="133">
        <f t="shared" si="294"/>
        <v>497</v>
      </c>
      <c r="S1268" s="8">
        <f t="shared" si="306"/>
        <v>47938</v>
      </c>
      <c r="T1268" s="8">
        <v>47938</v>
      </c>
      <c r="U1268" s="133">
        <v>35</v>
      </c>
      <c r="V1268" s="8">
        <f t="shared" si="304"/>
        <v>374878</v>
      </c>
      <c r="W1268" s="8">
        <v>375084</v>
      </c>
      <c r="X1268" s="13">
        <f t="shared" si="291"/>
        <v>206</v>
      </c>
      <c r="Y1268" s="8">
        <f t="shared" si="299"/>
        <v>42535</v>
      </c>
      <c r="Z1268" s="8">
        <v>42555</v>
      </c>
      <c r="AA1268" s="13">
        <f t="shared" si="292"/>
        <v>20</v>
      </c>
      <c r="AB1268" s="8">
        <f t="shared" si="296"/>
        <v>265463</v>
      </c>
      <c r="AC1268" s="8">
        <v>265553</v>
      </c>
      <c r="AD1268" s="13">
        <f t="shared" si="300"/>
        <v>90</v>
      </c>
      <c r="AE1268" s="135"/>
      <c r="AF1268" s="135"/>
      <c r="AG1268" s="135"/>
      <c r="AH1268" s="136"/>
      <c r="AI1268" s="50">
        <f t="shared" si="289"/>
        <v>1145</v>
      </c>
    </row>
    <row r="1269" spans="1:35">
      <c r="A1269" s="12">
        <v>45644</v>
      </c>
      <c r="B1269" s="8">
        <f t="shared" si="284"/>
        <v>2108968</v>
      </c>
      <c r="C1269" s="8">
        <v>2109620</v>
      </c>
      <c r="D1269" s="13">
        <f t="shared" si="285"/>
        <v>652</v>
      </c>
      <c r="E1269" s="77">
        <f t="shared" si="301"/>
        <v>105485</v>
      </c>
      <c r="F1269" s="69">
        <v>105906</v>
      </c>
      <c r="G1269" s="133">
        <f t="shared" si="297"/>
        <v>421</v>
      </c>
      <c r="H1269" s="8">
        <f t="shared" si="302"/>
        <v>361509</v>
      </c>
      <c r="I1269" s="8">
        <v>361605</v>
      </c>
      <c r="J1269" s="13">
        <f t="shared" si="290"/>
        <v>96</v>
      </c>
      <c r="K1269" s="138">
        <f t="shared" si="298"/>
        <v>1169</v>
      </c>
      <c r="L1269" s="8">
        <f t="shared" si="303"/>
        <v>1234583</v>
      </c>
      <c r="M1269" s="8">
        <v>1235423</v>
      </c>
      <c r="N1269" s="13">
        <f t="shared" si="295"/>
        <v>840</v>
      </c>
      <c r="O1269" s="136">
        <f t="shared" si="288"/>
        <v>756</v>
      </c>
      <c r="P1269" s="8">
        <f t="shared" si="305"/>
        <v>641134</v>
      </c>
      <c r="Q1269" s="8">
        <v>641584</v>
      </c>
      <c r="R1269" s="133">
        <f t="shared" si="294"/>
        <v>450</v>
      </c>
      <c r="S1269" s="8">
        <f t="shared" si="306"/>
        <v>47938</v>
      </c>
      <c r="T1269" s="8">
        <v>47938</v>
      </c>
      <c r="U1269" s="133">
        <v>23</v>
      </c>
      <c r="V1269" s="8">
        <f t="shared" si="304"/>
        <v>375084</v>
      </c>
      <c r="W1269" s="8">
        <v>375350</v>
      </c>
      <c r="X1269" s="13">
        <f t="shared" si="291"/>
        <v>266</v>
      </c>
      <c r="Y1269" s="8">
        <f t="shared" si="299"/>
        <v>42555</v>
      </c>
      <c r="Z1269" s="8">
        <v>42583</v>
      </c>
      <c r="AA1269" s="13">
        <f t="shared" si="292"/>
        <v>28</v>
      </c>
      <c r="AB1269" s="8">
        <f t="shared" si="296"/>
        <v>265553</v>
      </c>
      <c r="AC1269" s="8">
        <v>265613</v>
      </c>
      <c r="AD1269" s="13">
        <f t="shared" si="300"/>
        <v>60</v>
      </c>
      <c r="AE1269" s="135"/>
      <c r="AF1269" s="135"/>
      <c r="AG1269" s="135"/>
      <c r="AH1269" s="136"/>
      <c r="AI1269" s="50">
        <f t="shared" si="289"/>
        <v>1523</v>
      </c>
    </row>
    <row r="1270" spans="1:35">
      <c r="A1270" s="12">
        <v>45645</v>
      </c>
      <c r="B1270" s="8">
        <f t="shared" si="284"/>
        <v>2109620</v>
      </c>
      <c r="C1270" s="8">
        <v>2110444</v>
      </c>
      <c r="D1270" s="13">
        <v>724</v>
      </c>
      <c r="E1270" s="77">
        <f t="shared" si="301"/>
        <v>105906</v>
      </c>
      <c r="F1270" s="69">
        <v>106668</v>
      </c>
      <c r="G1270" s="133">
        <f t="shared" si="297"/>
        <v>762</v>
      </c>
      <c r="H1270" s="8">
        <f t="shared" si="302"/>
        <v>361605</v>
      </c>
      <c r="I1270" s="8">
        <v>361605</v>
      </c>
      <c r="J1270" s="13">
        <f t="shared" si="290"/>
        <v>0</v>
      </c>
      <c r="K1270" s="138">
        <f t="shared" si="298"/>
        <v>1486</v>
      </c>
      <c r="L1270" s="8">
        <f t="shared" si="303"/>
        <v>1235423</v>
      </c>
      <c r="M1270" s="8">
        <v>1236315</v>
      </c>
      <c r="N1270" s="13">
        <f t="shared" si="295"/>
        <v>892</v>
      </c>
      <c r="O1270" s="136">
        <f t="shared" si="288"/>
        <v>959</v>
      </c>
      <c r="P1270" s="8">
        <f t="shared" si="305"/>
        <v>641584</v>
      </c>
      <c r="Q1270" s="8">
        <v>642141</v>
      </c>
      <c r="R1270" s="133">
        <f>Q1270-P1270</f>
        <v>557</v>
      </c>
      <c r="S1270" s="8">
        <f t="shared" si="306"/>
        <v>47938</v>
      </c>
      <c r="T1270" s="8">
        <v>47938</v>
      </c>
      <c r="U1270" s="133">
        <v>40</v>
      </c>
      <c r="V1270" s="8">
        <f t="shared" si="304"/>
        <v>375350</v>
      </c>
      <c r="W1270" s="8">
        <v>375589</v>
      </c>
      <c r="X1270" s="13">
        <f t="shared" si="291"/>
        <v>239</v>
      </c>
      <c r="Y1270" s="8">
        <f t="shared" si="299"/>
        <v>42583</v>
      </c>
      <c r="Z1270" s="8">
        <v>42607</v>
      </c>
      <c r="AA1270" s="13">
        <f t="shared" si="292"/>
        <v>24</v>
      </c>
      <c r="AB1270" s="8">
        <f t="shared" si="296"/>
        <v>265613</v>
      </c>
      <c r="AC1270" s="8">
        <v>265683</v>
      </c>
      <c r="AD1270" s="13">
        <f t="shared" si="300"/>
        <v>70</v>
      </c>
      <c r="AE1270" s="135"/>
      <c r="AF1270" s="135"/>
      <c r="AG1270" s="135"/>
      <c r="AH1270" s="136"/>
      <c r="AI1270" s="50">
        <f t="shared" si="289"/>
        <v>1819</v>
      </c>
    </row>
    <row r="1271" spans="1:35" ht="14.25" customHeight="1">
      <c r="A1271" s="12">
        <v>45646</v>
      </c>
      <c r="B1271" s="8">
        <f t="shared" ref="B1271:B1334" si="307">C1270</f>
        <v>2110444</v>
      </c>
      <c r="C1271" s="8">
        <v>2111201</v>
      </c>
      <c r="D1271" s="13">
        <f t="shared" si="285"/>
        <v>757</v>
      </c>
      <c r="E1271" s="77">
        <f t="shared" si="301"/>
        <v>106668</v>
      </c>
      <c r="F1271" s="69">
        <v>107048</v>
      </c>
      <c r="G1271" s="133">
        <f t="shared" si="297"/>
        <v>380</v>
      </c>
      <c r="H1271" s="8">
        <f t="shared" si="302"/>
        <v>361605</v>
      </c>
      <c r="I1271" s="8">
        <v>361605</v>
      </c>
      <c r="J1271" s="13">
        <f t="shared" si="290"/>
        <v>0</v>
      </c>
      <c r="K1271" s="138">
        <f t="shared" si="298"/>
        <v>1137</v>
      </c>
      <c r="L1271" s="8">
        <f t="shared" si="303"/>
        <v>1236315</v>
      </c>
      <c r="M1271" s="8">
        <v>1237681</v>
      </c>
      <c r="N1271" s="13">
        <f t="shared" si="295"/>
        <v>1366</v>
      </c>
      <c r="O1271" s="136">
        <f t="shared" si="288"/>
        <v>570</v>
      </c>
      <c r="P1271" s="8">
        <f t="shared" si="305"/>
        <v>642141</v>
      </c>
      <c r="Q1271" s="8">
        <v>642748</v>
      </c>
      <c r="R1271" s="133">
        <f t="shared" si="294"/>
        <v>607</v>
      </c>
      <c r="S1271" s="8">
        <f t="shared" si="306"/>
        <v>47938</v>
      </c>
      <c r="T1271" s="8">
        <v>47938</v>
      </c>
      <c r="U1271" s="133">
        <v>56</v>
      </c>
      <c r="V1271" s="8">
        <f t="shared" si="304"/>
        <v>375589</v>
      </c>
      <c r="W1271" s="8">
        <v>375810</v>
      </c>
      <c r="X1271" s="13">
        <f t="shared" si="291"/>
        <v>221</v>
      </c>
      <c r="Y1271" s="8">
        <f t="shared" si="299"/>
        <v>42607</v>
      </c>
      <c r="Z1271" s="8">
        <v>42627</v>
      </c>
      <c r="AA1271" s="13">
        <f t="shared" si="292"/>
        <v>20</v>
      </c>
      <c r="AB1271" s="8">
        <f t="shared" si="296"/>
        <v>265683</v>
      </c>
      <c r="AC1271" s="8">
        <v>265779</v>
      </c>
      <c r="AD1271" s="13">
        <f t="shared" si="300"/>
        <v>96</v>
      </c>
      <c r="AE1271" s="135"/>
      <c r="AF1271" s="135"/>
      <c r="AG1271" s="135"/>
      <c r="AH1271" s="136"/>
      <c r="AI1271" s="50">
        <f t="shared" si="289"/>
        <v>1474</v>
      </c>
    </row>
    <row r="1272" spans="1:35">
      <c r="A1272" s="12">
        <v>45647</v>
      </c>
      <c r="B1272" s="8">
        <f t="shared" si="307"/>
        <v>2111201</v>
      </c>
      <c r="C1272" s="8">
        <v>2111781</v>
      </c>
      <c r="D1272" s="13">
        <f t="shared" ref="D1272:D1335" si="308">C1272-B1272</f>
        <v>580</v>
      </c>
      <c r="E1272" s="77">
        <f t="shared" si="301"/>
        <v>107048</v>
      </c>
      <c r="F1272" s="69">
        <v>107623</v>
      </c>
      <c r="G1272" s="133">
        <f t="shared" si="297"/>
        <v>575</v>
      </c>
      <c r="H1272" s="8">
        <f t="shared" si="302"/>
        <v>361605</v>
      </c>
      <c r="I1272" s="8">
        <v>361605</v>
      </c>
      <c r="J1272" s="13">
        <f t="shared" si="290"/>
        <v>0</v>
      </c>
      <c r="K1272" s="138">
        <f t="shared" si="298"/>
        <v>1155</v>
      </c>
      <c r="L1272" s="8">
        <f t="shared" si="303"/>
        <v>1237681</v>
      </c>
      <c r="M1272" s="8">
        <v>1238555</v>
      </c>
      <c r="N1272" s="13">
        <f t="shared" si="295"/>
        <v>874</v>
      </c>
      <c r="O1272" s="136">
        <f t="shared" si="288"/>
        <v>742</v>
      </c>
      <c r="P1272" s="8">
        <f t="shared" si="305"/>
        <v>642748</v>
      </c>
      <c r="Q1272" s="8">
        <v>643171</v>
      </c>
      <c r="R1272" s="133">
        <f t="shared" si="294"/>
        <v>423</v>
      </c>
      <c r="S1272" s="8">
        <f t="shared" si="306"/>
        <v>47938</v>
      </c>
      <c r="T1272" s="8">
        <v>47938</v>
      </c>
      <c r="U1272" s="133">
        <v>45</v>
      </c>
      <c r="V1272" s="8">
        <f t="shared" si="304"/>
        <v>375810</v>
      </c>
      <c r="W1272" s="8">
        <v>376051</v>
      </c>
      <c r="X1272" s="13">
        <f t="shared" si="291"/>
        <v>241</v>
      </c>
      <c r="Y1272" s="8">
        <f t="shared" si="299"/>
        <v>42627</v>
      </c>
      <c r="Z1272" s="8">
        <v>42649</v>
      </c>
      <c r="AA1272" s="13">
        <f t="shared" si="292"/>
        <v>22</v>
      </c>
      <c r="AB1272" s="8">
        <f t="shared" si="296"/>
        <v>265779</v>
      </c>
      <c r="AC1272" s="8">
        <v>265882</v>
      </c>
      <c r="AD1272" s="13">
        <v>55</v>
      </c>
      <c r="AE1272" s="135"/>
      <c r="AF1272" s="135"/>
      <c r="AG1272" s="135"/>
      <c r="AH1272" s="136"/>
      <c r="AI1272" s="50">
        <f t="shared" si="289"/>
        <v>1473</v>
      </c>
    </row>
    <row r="1273" spans="1:35">
      <c r="A1273" s="12">
        <v>45648</v>
      </c>
      <c r="B1273" s="8">
        <f t="shared" si="307"/>
        <v>2111781</v>
      </c>
      <c r="C1273" s="8">
        <v>2112543</v>
      </c>
      <c r="D1273" s="13">
        <f t="shared" si="308"/>
        <v>762</v>
      </c>
      <c r="E1273" s="77">
        <f t="shared" si="301"/>
        <v>107623</v>
      </c>
      <c r="F1273" s="69">
        <v>108455</v>
      </c>
      <c r="G1273" s="133">
        <f t="shared" si="297"/>
        <v>832</v>
      </c>
      <c r="H1273" s="8">
        <f t="shared" si="302"/>
        <v>361605</v>
      </c>
      <c r="I1273" s="8">
        <v>361605</v>
      </c>
      <c r="J1273" s="13">
        <f t="shared" si="290"/>
        <v>0</v>
      </c>
      <c r="K1273" s="138">
        <f t="shared" si="298"/>
        <v>1594</v>
      </c>
      <c r="L1273" s="8">
        <f t="shared" si="303"/>
        <v>1238555</v>
      </c>
      <c r="M1273" s="8">
        <v>1239819</v>
      </c>
      <c r="N1273" s="13">
        <f t="shared" si="295"/>
        <v>1264</v>
      </c>
      <c r="O1273" s="136">
        <f t="shared" si="288"/>
        <v>1027</v>
      </c>
      <c r="P1273" s="8">
        <f t="shared" si="305"/>
        <v>643171</v>
      </c>
      <c r="Q1273" s="8">
        <v>643754</v>
      </c>
      <c r="R1273" s="133">
        <f t="shared" si="294"/>
        <v>583</v>
      </c>
      <c r="S1273" s="8">
        <f t="shared" si="306"/>
        <v>47938</v>
      </c>
      <c r="T1273" s="8">
        <v>47938</v>
      </c>
      <c r="U1273" s="133">
        <v>55</v>
      </c>
      <c r="V1273" s="8">
        <f t="shared" si="304"/>
        <v>376051</v>
      </c>
      <c r="W1273" s="8">
        <v>376279</v>
      </c>
      <c r="X1273" s="13">
        <f t="shared" si="291"/>
        <v>228</v>
      </c>
      <c r="Y1273" s="8">
        <f t="shared" si="299"/>
        <v>42649</v>
      </c>
      <c r="Z1273" s="8">
        <v>42669</v>
      </c>
      <c r="AA1273" s="13">
        <f t="shared" si="292"/>
        <v>20</v>
      </c>
      <c r="AB1273" s="8">
        <f t="shared" si="296"/>
        <v>265882</v>
      </c>
      <c r="AC1273" s="8">
        <v>265953</v>
      </c>
      <c r="AD1273" s="13">
        <f t="shared" ref="AD1273:AD1283" si="309">AC1273-AB1273</f>
        <v>71</v>
      </c>
      <c r="AE1273" s="135"/>
      <c r="AF1273" s="135"/>
      <c r="AG1273" s="135"/>
      <c r="AH1273" s="136"/>
      <c r="AI1273" s="50">
        <f t="shared" si="289"/>
        <v>1913</v>
      </c>
    </row>
    <row r="1274" spans="1:35">
      <c r="A1274" s="12">
        <v>45649</v>
      </c>
      <c r="B1274" s="8">
        <f t="shared" si="307"/>
        <v>2112543</v>
      </c>
      <c r="C1274" s="8">
        <v>2113217</v>
      </c>
      <c r="D1274" s="13">
        <f t="shared" si="308"/>
        <v>674</v>
      </c>
      <c r="E1274" s="77">
        <f t="shared" si="301"/>
        <v>108455</v>
      </c>
      <c r="F1274" s="69">
        <v>109237</v>
      </c>
      <c r="G1274" s="133">
        <f t="shared" si="297"/>
        <v>782</v>
      </c>
      <c r="H1274" s="8">
        <f t="shared" si="302"/>
        <v>361605</v>
      </c>
      <c r="I1274" s="8">
        <v>361605</v>
      </c>
      <c r="J1274" s="13">
        <f t="shared" si="290"/>
        <v>0</v>
      </c>
      <c r="K1274" s="138">
        <f t="shared" si="298"/>
        <v>1456</v>
      </c>
      <c r="L1274" s="8">
        <f t="shared" si="303"/>
        <v>1239819</v>
      </c>
      <c r="M1274" s="8">
        <v>1241159</v>
      </c>
      <c r="N1274" s="13">
        <f t="shared" si="295"/>
        <v>1340</v>
      </c>
      <c r="O1274" s="136">
        <f t="shared" si="288"/>
        <v>841</v>
      </c>
      <c r="P1274" s="8">
        <f t="shared" si="305"/>
        <v>643754</v>
      </c>
      <c r="Q1274" s="8">
        <v>644379</v>
      </c>
      <c r="R1274" s="133">
        <f t="shared" si="294"/>
        <v>625</v>
      </c>
      <c r="S1274" s="8">
        <f t="shared" si="306"/>
        <v>47938</v>
      </c>
      <c r="T1274" s="8">
        <v>47938</v>
      </c>
      <c r="U1274" s="133">
        <v>80</v>
      </c>
      <c r="V1274" s="8">
        <f t="shared" si="304"/>
        <v>376279</v>
      </c>
      <c r="W1274" s="8">
        <v>376480</v>
      </c>
      <c r="X1274" s="13">
        <f t="shared" si="291"/>
        <v>201</v>
      </c>
      <c r="Y1274" s="8">
        <f t="shared" si="299"/>
        <v>42669</v>
      </c>
      <c r="Z1274" s="8">
        <v>42759</v>
      </c>
      <c r="AA1274" s="13">
        <f t="shared" si="292"/>
        <v>90</v>
      </c>
      <c r="AB1274" s="8">
        <f t="shared" si="296"/>
        <v>265953</v>
      </c>
      <c r="AC1274" s="8">
        <v>266043</v>
      </c>
      <c r="AD1274" s="13">
        <f t="shared" si="309"/>
        <v>90</v>
      </c>
      <c r="AE1274" s="135"/>
      <c r="AF1274" s="135"/>
      <c r="AG1274" s="135"/>
      <c r="AH1274" s="136"/>
      <c r="AI1274" s="50">
        <f t="shared" si="289"/>
        <v>1837</v>
      </c>
    </row>
    <row r="1275" spans="1:35">
      <c r="A1275" s="12">
        <v>45650</v>
      </c>
      <c r="B1275" s="8">
        <f t="shared" si="307"/>
        <v>2113217</v>
      </c>
      <c r="C1275" s="8">
        <v>2113936</v>
      </c>
      <c r="D1275" s="13">
        <f t="shared" si="308"/>
        <v>719</v>
      </c>
      <c r="E1275" s="77">
        <f t="shared" si="301"/>
        <v>109237</v>
      </c>
      <c r="F1275" s="69">
        <v>109969</v>
      </c>
      <c r="G1275" s="133">
        <f t="shared" si="297"/>
        <v>732</v>
      </c>
      <c r="H1275" s="8">
        <f t="shared" si="302"/>
        <v>361605</v>
      </c>
      <c r="I1275" s="8">
        <v>361605</v>
      </c>
      <c r="J1275" s="13">
        <f t="shared" si="290"/>
        <v>0</v>
      </c>
      <c r="K1275" s="138">
        <f t="shared" si="298"/>
        <v>1451</v>
      </c>
      <c r="L1275" s="8">
        <f t="shared" si="303"/>
        <v>1241159</v>
      </c>
      <c r="M1275" s="8">
        <v>1241983</v>
      </c>
      <c r="N1275" s="13">
        <f t="shared" si="295"/>
        <v>824</v>
      </c>
      <c r="O1275" s="136">
        <f t="shared" ref="O1275:O1338" si="310">(D1275+G1275+J1275+AD1275)-(U1275+R1275)</f>
        <v>1102</v>
      </c>
      <c r="P1275" s="8">
        <f t="shared" si="305"/>
        <v>644379</v>
      </c>
      <c r="Q1275" s="8">
        <v>644783</v>
      </c>
      <c r="R1275" s="133">
        <f t="shared" si="294"/>
        <v>404</v>
      </c>
      <c r="S1275" s="8">
        <f t="shared" si="306"/>
        <v>47938</v>
      </c>
      <c r="T1275" s="8">
        <v>47938</v>
      </c>
      <c r="U1275" s="133">
        <v>40</v>
      </c>
      <c r="V1275" s="8">
        <f t="shared" si="304"/>
        <v>376480</v>
      </c>
      <c r="W1275" s="8">
        <v>376692</v>
      </c>
      <c r="X1275" s="13">
        <f t="shared" si="291"/>
        <v>212</v>
      </c>
      <c r="Y1275" s="8">
        <f t="shared" si="299"/>
        <v>42759</v>
      </c>
      <c r="Z1275" s="8">
        <v>42779</v>
      </c>
      <c r="AA1275" s="13">
        <f t="shared" si="292"/>
        <v>20</v>
      </c>
      <c r="AB1275" s="8">
        <f t="shared" si="296"/>
        <v>266043</v>
      </c>
      <c r="AC1275" s="8">
        <v>266138</v>
      </c>
      <c r="AD1275" s="13">
        <f t="shared" si="309"/>
        <v>95</v>
      </c>
      <c r="AE1275" s="135"/>
      <c r="AF1275" s="135"/>
      <c r="AG1275" s="135"/>
      <c r="AH1275" s="136"/>
      <c r="AI1275" s="50">
        <f t="shared" ref="AI1275:AI1338" si="311">AA1275+U1275+R1275+O1275+X1275</f>
        <v>1778</v>
      </c>
    </row>
    <row r="1276" spans="1:35">
      <c r="A1276" s="12">
        <v>45651</v>
      </c>
      <c r="B1276" s="8">
        <f t="shared" si="307"/>
        <v>2113936</v>
      </c>
      <c r="C1276" s="8">
        <v>2114527</v>
      </c>
      <c r="D1276" s="13">
        <f t="shared" si="308"/>
        <v>591</v>
      </c>
      <c r="E1276" s="77">
        <f t="shared" si="301"/>
        <v>109969</v>
      </c>
      <c r="F1276" s="69">
        <v>110372</v>
      </c>
      <c r="G1276" s="133">
        <f t="shared" si="297"/>
        <v>403</v>
      </c>
      <c r="H1276" s="8">
        <f t="shared" si="302"/>
        <v>361605</v>
      </c>
      <c r="I1276" s="8">
        <v>361605</v>
      </c>
      <c r="J1276" s="13">
        <f t="shared" si="290"/>
        <v>0</v>
      </c>
      <c r="K1276" s="138">
        <f t="shared" si="298"/>
        <v>994</v>
      </c>
      <c r="L1276" s="8">
        <f t="shared" si="303"/>
        <v>1241983</v>
      </c>
      <c r="M1276" s="8">
        <v>1243115</v>
      </c>
      <c r="N1276" s="13">
        <f t="shared" si="295"/>
        <v>1132</v>
      </c>
      <c r="O1276" s="136">
        <f t="shared" si="310"/>
        <v>428</v>
      </c>
      <c r="P1276" s="8">
        <f t="shared" si="305"/>
        <v>644783</v>
      </c>
      <c r="Q1276" s="8">
        <v>645318</v>
      </c>
      <c r="R1276" s="133">
        <f t="shared" si="294"/>
        <v>535</v>
      </c>
      <c r="S1276" s="8">
        <f t="shared" si="306"/>
        <v>47938</v>
      </c>
      <c r="T1276" s="8">
        <v>47938</v>
      </c>
      <c r="U1276" s="133">
        <v>65</v>
      </c>
      <c r="V1276" s="8">
        <f t="shared" si="304"/>
        <v>376692</v>
      </c>
      <c r="W1276" s="8">
        <v>376910</v>
      </c>
      <c r="X1276" s="13">
        <f t="shared" si="291"/>
        <v>218</v>
      </c>
      <c r="Y1276" s="8">
        <f t="shared" si="299"/>
        <v>42779</v>
      </c>
      <c r="Z1276" s="8">
        <v>42802</v>
      </c>
      <c r="AA1276" s="13">
        <f t="shared" si="292"/>
        <v>23</v>
      </c>
      <c r="AB1276" s="8">
        <f t="shared" si="296"/>
        <v>266138</v>
      </c>
      <c r="AC1276" s="8">
        <v>266172</v>
      </c>
      <c r="AD1276" s="13">
        <f t="shared" si="309"/>
        <v>34</v>
      </c>
      <c r="AE1276" s="135"/>
      <c r="AF1276" s="135"/>
      <c r="AG1276" s="135"/>
      <c r="AH1276" s="136"/>
      <c r="AI1276" s="50">
        <f t="shared" si="311"/>
        <v>1269</v>
      </c>
    </row>
    <row r="1277" spans="1:35">
      <c r="A1277" s="12">
        <v>45652</v>
      </c>
      <c r="B1277" s="8">
        <f t="shared" si="307"/>
        <v>2114527</v>
      </c>
      <c r="C1277" s="8">
        <v>2115028</v>
      </c>
      <c r="D1277" s="13">
        <f t="shared" si="308"/>
        <v>501</v>
      </c>
      <c r="E1277" s="77">
        <f t="shared" si="301"/>
        <v>110372</v>
      </c>
      <c r="F1277" s="69">
        <v>111108</v>
      </c>
      <c r="G1277" s="133">
        <f t="shared" si="297"/>
        <v>736</v>
      </c>
      <c r="H1277" s="8">
        <f t="shared" si="302"/>
        <v>361605</v>
      </c>
      <c r="I1277" s="8">
        <v>361605</v>
      </c>
      <c r="J1277" s="13">
        <f t="shared" ref="J1277:J1341" si="312">I1277-H1277</f>
        <v>0</v>
      </c>
      <c r="K1277" s="138">
        <f t="shared" si="298"/>
        <v>1237</v>
      </c>
      <c r="L1277" s="8">
        <f t="shared" si="303"/>
        <v>1243115</v>
      </c>
      <c r="M1277" s="8">
        <v>1244171</v>
      </c>
      <c r="N1277" s="13">
        <f t="shared" si="295"/>
        <v>1056</v>
      </c>
      <c r="O1277" s="136">
        <f t="shared" si="310"/>
        <v>768</v>
      </c>
      <c r="P1277" s="8">
        <f t="shared" si="305"/>
        <v>645318</v>
      </c>
      <c r="Q1277" s="8">
        <v>645800</v>
      </c>
      <c r="R1277" s="133">
        <f t="shared" si="294"/>
        <v>482</v>
      </c>
      <c r="S1277" s="8">
        <f t="shared" si="306"/>
        <v>47938</v>
      </c>
      <c r="T1277" s="8">
        <v>47987</v>
      </c>
      <c r="U1277" s="133">
        <f>T1277-S1277</f>
        <v>49</v>
      </c>
      <c r="V1277" s="8">
        <f t="shared" si="304"/>
        <v>376910</v>
      </c>
      <c r="W1277" s="8">
        <v>377069</v>
      </c>
      <c r="X1277" s="13">
        <f t="shared" si="291"/>
        <v>159</v>
      </c>
      <c r="Y1277" s="8">
        <f t="shared" si="299"/>
        <v>42802</v>
      </c>
      <c r="Z1277" s="8">
        <v>42815</v>
      </c>
      <c r="AA1277" s="13">
        <f t="shared" si="292"/>
        <v>13</v>
      </c>
      <c r="AB1277" s="8">
        <f t="shared" si="296"/>
        <v>266172</v>
      </c>
      <c r="AC1277" s="8">
        <v>266234</v>
      </c>
      <c r="AD1277" s="13">
        <f t="shared" si="309"/>
        <v>62</v>
      </c>
      <c r="AE1277" s="135"/>
      <c r="AF1277" s="135"/>
      <c r="AG1277" s="135"/>
      <c r="AH1277" s="136"/>
      <c r="AI1277" s="50">
        <f t="shared" si="311"/>
        <v>1471</v>
      </c>
    </row>
    <row r="1278" spans="1:35">
      <c r="A1278" s="12">
        <v>45653</v>
      </c>
      <c r="B1278" s="8">
        <f t="shared" si="307"/>
        <v>2115028</v>
      </c>
      <c r="C1278" s="8">
        <v>2115447</v>
      </c>
      <c r="D1278" s="13">
        <f t="shared" si="308"/>
        <v>419</v>
      </c>
      <c r="E1278" s="77">
        <f t="shared" si="301"/>
        <v>111108</v>
      </c>
      <c r="F1278" s="69">
        <v>111889</v>
      </c>
      <c r="G1278" s="133">
        <f t="shared" si="297"/>
        <v>781</v>
      </c>
      <c r="H1278" s="8">
        <f t="shared" si="302"/>
        <v>361605</v>
      </c>
      <c r="I1278" s="8">
        <v>361605</v>
      </c>
      <c r="J1278" s="13">
        <f t="shared" si="312"/>
        <v>0</v>
      </c>
      <c r="K1278" s="138">
        <f t="shared" si="298"/>
        <v>1200</v>
      </c>
      <c r="L1278" s="8">
        <f t="shared" si="303"/>
        <v>1244171</v>
      </c>
      <c r="M1278" s="8">
        <v>1245407</v>
      </c>
      <c r="N1278" s="13">
        <f t="shared" si="295"/>
        <v>1236</v>
      </c>
      <c r="O1278" s="136">
        <f t="shared" si="310"/>
        <v>648</v>
      </c>
      <c r="P1278" s="8">
        <f t="shared" si="305"/>
        <v>645800</v>
      </c>
      <c r="Q1278" s="8">
        <v>646428</v>
      </c>
      <c r="R1278" s="133">
        <f t="shared" si="294"/>
        <v>628</v>
      </c>
      <c r="S1278" s="8">
        <f t="shared" si="306"/>
        <v>47987</v>
      </c>
      <c r="T1278" s="8">
        <v>48022</v>
      </c>
      <c r="U1278" s="133">
        <f t="shared" ref="U1278:U1341" si="313">T1278-S1278</f>
        <v>35</v>
      </c>
      <c r="V1278" s="8">
        <f t="shared" si="304"/>
        <v>377069</v>
      </c>
      <c r="W1278" s="8">
        <v>377287</v>
      </c>
      <c r="X1278" s="13">
        <f t="shared" si="291"/>
        <v>218</v>
      </c>
      <c r="Y1278" s="8">
        <f t="shared" si="299"/>
        <v>42815</v>
      </c>
      <c r="Z1278" s="8">
        <v>42835</v>
      </c>
      <c r="AA1278" s="13">
        <f t="shared" si="292"/>
        <v>20</v>
      </c>
      <c r="AB1278" s="8">
        <f t="shared" si="296"/>
        <v>266234</v>
      </c>
      <c r="AC1278" s="8">
        <v>266345</v>
      </c>
      <c r="AD1278" s="13">
        <f t="shared" si="309"/>
        <v>111</v>
      </c>
      <c r="AE1278" s="135"/>
      <c r="AF1278" s="135"/>
      <c r="AG1278" s="135"/>
      <c r="AH1278" s="136"/>
      <c r="AI1278" s="50">
        <f t="shared" si="311"/>
        <v>1549</v>
      </c>
    </row>
    <row r="1279" spans="1:35">
      <c r="A1279" s="12">
        <v>45654</v>
      </c>
      <c r="B1279" s="8">
        <f t="shared" si="307"/>
        <v>2115447</v>
      </c>
      <c r="C1279" s="8">
        <v>2115790</v>
      </c>
      <c r="D1279" s="13">
        <f t="shared" si="308"/>
        <v>343</v>
      </c>
      <c r="E1279" s="77">
        <f t="shared" si="301"/>
        <v>111889</v>
      </c>
      <c r="F1279" s="69">
        <v>112514</v>
      </c>
      <c r="G1279" s="133">
        <f t="shared" si="297"/>
        <v>625</v>
      </c>
      <c r="H1279" s="8">
        <f t="shared" si="302"/>
        <v>361605</v>
      </c>
      <c r="I1279" s="8">
        <v>361605</v>
      </c>
      <c r="J1279" s="13">
        <f t="shared" si="312"/>
        <v>0</v>
      </c>
      <c r="K1279" s="138">
        <f t="shared" si="298"/>
        <v>968</v>
      </c>
      <c r="L1279" s="8">
        <f t="shared" si="303"/>
        <v>1245407</v>
      </c>
      <c r="M1279" s="8">
        <v>1246369</v>
      </c>
      <c r="N1279" s="13">
        <f t="shared" si="295"/>
        <v>962</v>
      </c>
      <c r="O1279" s="136">
        <f t="shared" si="310"/>
        <v>451</v>
      </c>
      <c r="P1279" s="8">
        <f t="shared" si="305"/>
        <v>646428</v>
      </c>
      <c r="Q1279" s="8">
        <v>646925</v>
      </c>
      <c r="R1279" s="133">
        <f t="shared" si="294"/>
        <v>497</v>
      </c>
      <c r="S1279" s="8">
        <f t="shared" si="306"/>
        <v>48022</v>
      </c>
      <c r="T1279" s="8">
        <v>48083</v>
      </c>
      <c r="U1279" s="133">
        <f t="shared" si="313"/>
        <v>61</v>
      </c>
      <c r="V1279" s="8">
        <f t="shared" si="304"/>
        <v>377287</v>
      </c>
      <c r="W1279" s="8">
        <v>377504</v>
      </c>
      <c r="X1279" s="13">
        <f t="shared" si="291"/>
        <v>217</v>
      </c>
      <c r="Y1279" s="8">
        <f t="shared" si="299"/>
        <v>42835</v>
      </c>
      <c r="Z1279" s="8">
        <v>42843</v>
      </c>
      <c r="AA1279" s="13">
        <f t="shared" si="292"/>
        <v>8</v>
      </c>
      <c r="AB1279" s="8">
        <f t="shared" si="296"/>
        <v>266345</v>
      </c>
      <c r="AC1279" s="8">
        <v>266386</v>
      </c>
      <c r="AD1279" s="13">
        <f t="shared" si="309"/>
        <v>41</v>
      </c>
      <c r="AE1279" s="135"/>
      <c r="AF1279" s="135"/>
      <c r="AG1279" s="135"/>
      <c r="AH1279" s="136"/>
      <c r="AI1279" s="50">
        <f t="shared" si="311"/>
        <v>1234</v>
      </c>
    </row>
    <row r="1280" spans="1:35">
      <c r="A1280" s="12">
        <v>45655</v>
      </c>
      <c r="B1280" s="8">
        <f t="shared" si="307"/>
        <v>2115790</v>
      </c>
      <c r="C1280" s="8">
        <v>2116656</v>
      </c>
      <c r="D1280" s="13">
        <v>666</v>
      </c>
      <c r="E1280" s="77">
        <f t="shared" si="301"/>
        <v>112514</v>
      </c>
      <c r="F1280" s="69">
        <v>113379</v>
      </c>
      <c r="G1280" s="133">
        <v>665</v>
      </c>
      <c r="H1280" s="8">
        <f t="shared" si="302"/>
        <v>361605</v>
      </c>
      <c r="I1280" s="8">
        <v>361605</v>
      </c>
      <c r="J1280" s="13">
        <f t="shared" si="312"/>
        <v>0</v>
      </c>
      <c r="K1280" s="138">
        <f t="shared" si="298"/>
        <v>1331</v>
      </c>
      <c r="L1280" s="8">
        <f t="shared" si="303"/>
        <v>1246369</v>
      </c>
      <c r="M1280" s="8">
        <v>1247623</v>
      </c>
      <c r="N1280" s="13">
        <f t="shared" si="295"/>
        <v>1254</v>
      </c>
      <c r="O1280" s="136">
        <f t="shared" si="310"/>
        <v>691</v>
      </c>
      <c r="P1280" s="8">
        <f t="shared" si="305"/>
        <v>646925</v>
      </c>
      <c r="Q1280" s="8">
        <v>647596</v>
      </c>
      <c r="R1280" s="133">
        <f t="shared" si="294"/>
        <v>671</v>
      </c>
      <c r="S1280" s="8">
        <f t="shared" si="306"/>
        <v>48083</v>
      </c>
      <c r="T1280" s="8">
        <v>48125</v>
      </c>
      <c r="U1280" s="133">
        <f t="shared" si="313"/>
        <v>42</v>
      </c>
      <c r="V1280" s="8">
        <f t="shared" si="304"/>
        <v>377504</v>
      </c>
      <c r="W1280" s="8">
        <v>377722</v>
      </c>
      <c r="X1280" s="13">
        <f t="shared" si="291"/>
        <v>218</v>
      </c>
      <c r="Y1280" s="8">
        <f t="shared" si="299"/>
        <v>42843</v>
      </c>
      <c r="Z1280" s="8">
        <v>42859</v>
      </c>
      <c r="AA1280" s="13">
        <f t="shared" si="292"/>
        <v>16</v>
      </c>
      <c r="AB1280" s="8">
        <f t="shared" si="296"/>
        <v>266386</v>
      </c>
      <c r="AC1280" s="8">
        <v>266459</v>
      </c>
      <c r="AD1280" s="13">
        <f t="shared" si="309"/>
        <v>73</v>
      </c>
      <c r="AE1280" s="135"/>
      <c r="AF1280" s="135"/>
      <c r="AG1280" s="135"/>
      <c r="AH1280" s="136"/>
      <c r="AI1280" s="50">
        <f t="shared" si="311"/>
        <v>1638</v>
      </c>
    </row>
    <row r="1281" spans="1:35">
      <c r="A1281" s="12">
        <v>45656</v>
      </c>
      <c r="B1281" s="8">
        <f t="shared" si="307"/>
        <v>2116656</v>
      </c>
      <c r="C1281" s="8">
        <v>2117436</v>
      </c>
      <c r="D1281" s="13">
        <f t="shared" si="308"/>
        <v>780</v>
      </c>
      <c r="E1281" s="77">
        <f t="shared" si="301"/>
        <v>113379</v>
      </c>
      <c r="F1281" s="69">
        <v>114096</v>
      </c>
      <c r="G1281" s="133">
        <f t="shared" si="297"/>
        <v>717</v>
      </c>
      <c r="H1281" s="8">
        <f t="shared" si="302"/>
        <v>361605</v>
      </c>
      <c r="I1281" s="8">
        <v>361605</v>
      </c>
      <c r="J1281" s="13">
        <f t="shared" si="312"/>
        <v>0</v>
      </c>
      <c r="K1281" s="138">
        <f t="shared" si="298"/>
        <v>1497</v>
      </c>
      <c r="L1281" s="8">
        <f t="shared" si="303"/>
        <v>1247623</v>
      </c>
      <c r="M1281" s="8">
        <v>1248750</v>
      </c>
      <c r="N1281" s="13">
        <f t="shared" si="295"/>
        <v>1127</v>
      </c>
      <c r="O1281" s="136">
        <f t="shared" si="310"/>
        <v>955</v>
      </c>
      <c r="P1281" s="8">
        <f t="shared" si="305"/>
        <v>647596</v>
      </c>
      <c r="Q1281" s="8">
        <v>648192</v>
      </c>
      <c r="R1281" s="133">
        <f t="shared" si="294"/>
        <v>596</v>
      </c>
      <c r="S1281" s="8">
        <f t="shared" si="306"/>
        <v>48125</v>
      </c>
      <c r="T1281" s="8">
        <v>48158</v>
      </c>
      <c r="U1281" s="133">
        <f t="shared" si="313"/>
        <v>33</v>
      </c>
      <c r="V1281" s="8">
        <f t="shared" si="304"/>
        <v>377722</v>
      </c>
      <c r="W1281" s="8">
        <v>377941</v>
      </c>
      <c r="X1281" s="13">
        <f t="shared" si="291"/>
        <v>219</v>
      </c>
      <c r="Y1281" s="8">
        <f t="shared" si="299"/>
        <v>42859</v>
      </c>
      <c r="Z1281" s="8">
        <v>42864</v>
      </c>
      <c r="AA1281" s="13">
        <f t="shared" si="292"/>
        <v>5</v>
      </c>
      <c r="AB1281" s="8">
        <f t="shared" si="296"/>
        <v>266459</v>
      </c>
      <c r="AC1281" s="8">
        <v>266546</v>
      </c>
      <c r="AD1281" s="13">
        <f t="shared" si="309"/>
        <v>87</v>
      </c>
      <c r="AE1281" s="135"/>
      <c r="AF1281" s="135"/>
      <c r="AG1281" s="135"/>
      <c r="AH1281" s="136"/>
      <c r="AI1281" s="50">
        <f t="shared" si="311"/>
        <v>1808</v>
      </c>
    </row>
    <row r="1282" spans="1:35">
      <c r="A1282" s="12">
        <v>45657</v>
      </c>
      <c r="B1282" s="8">
        <f t="shared" si="307"/>
        <v>2117436</v>
      </c>
      <c r="C1282" s="8">
        <v>2117989</v>
      </c>
      <c r="D1282" s="13">
        <f t="shared" si="308"/>
        <v>553</v>
      </c>
      <c r="E1282" s="77">
        <f t="shared" si="301"/>
        <v>114096</v>
      </c>
      <c r="F1282" s="69">
        <v>114720</v>
      </c>
      <c r="G1282" s="133">
        <f t="shared" si="297"/>
        <v>624</v>
      </c>
      <c r="H1282" s="8">
        <f t="shared" si="302"/>
        <v>361605</v>
      </c>
      <c r="I1282" s="8">
        <v>361605</v>
      </c>
      <c r="J1282" s="13">
        <f t="shared" si="312"/>
        <v>0</v>
      </c>
      <c r="K1282" s="138">
        <f t="shared" si="298"/>
        <v>1177</v>
      </c>
      <c r="L1282" s="8">
        <f t="shared" si="303"/>
        <v>1248750</v>
      </c>
      <c r="M1282" s="8">
        <v>1249863</v>
      </c>
      <c r="N1282" s="13">
        <f t="shared" si="295"/>
        <v>1113</v>
      </c>
      <c r="O1282" s="136">
        <f t="shared" si="310"/>
        <v>685</v>
      </c>
      <c r="P1282" s="8">
        <f t="shared" si="305"/>
        <v>648192</v>
      </c>
      <c r="Q1282" s="8">
        <v>648719</v>
      </c>
      <c r="R1282" s="133">
        <f t="shared" si="294"/>
        <v>527</v>
      </c>
      <c r="S1282" s="8">
        <f t="shared" si="306"/>
        <v>48158</v>
      </c>
      <c r="T1282" s="8">
        <v>48199</v>
      </c>
      <c r="U1282" s="133">
        <f t="shared" si="313"/>
        <v>41</v>
      </c>
      <c r="V1282" s="8">
        <f t="shared" si="304"/>
        <v>377941</v>
      </c>
      <c r="W1282" s="8">
        <v>378148</v>
      </c>
      <c r="X1282" s="13">
        <f t="shared" ref="X1282:X1345" si="314">W1282-V1282</f>
        <v>207</v>
      </c>
      <c r="Y1282" s="8">
        <f t="shared" si="299"/>
        <v>42864</v>
      </c>
      <c r="Z1282" s="8">
        <v>42879</v>
      </c>
      <c r="AA1282" s="13">
        <f t="shared" si="292"/>
        <v>15</v>
      </c>
      <c r="AB1282" s="8">
        <f t="shared" si="296"/>
        <v>266546</v>
      </c>
      <c r="AC1282" s="8">
        <v>266622</v>
      </c>
      <c r="AD1282" s="13">
        <f t="shared" si="309"/>
        <v>76</v>
      </c>
      <c r="AE1282" s="135"/>
      <c r="AF1282" s="135"/>
      <c r="AG1282" s="135"/>
      <c r="AH1282" s="136"/>
      <c r="AI1282" s="50">
        <f t="shared" si="311"/>
        <v>1475</v>
      </c>
    </row>
    <row r="1283" spans="1:35">
      <c r="A1283" s="12">
        <v>45658</v>
      </c>
      <c r="B1283" s="8">
        <f t="shared" si="307"/>
        <v>2117989</v>
      </c>
      <c r="C1283" s="8">
        <v>2118663</v>
      </c>
      <c r="D1283" s="13">
        <f t="shared" si="308"/>
        <v>674</v>
      </c>
      <c r="E1283" s="77">
        <f t="shared" si="301"/>
        <v>114720</v>
      </c>
      <c r="F1283" s="69">
        <v>115495</v>
      </c>
      <c r="G1283" s="133">
        <f t="shared" si="297"/>
        <v>775</v>
      </c>
      <c r="H1283" s="8">
        <f t="shared" si="302"/>
        <v>361605</v>
      </c>
      <c r="I1283" s="8">
        <v>361605</v>
      </c>
      <c r="J1283" s="13">
        <f t="shared" si="312"/>
        <v>0</v>
      </c>
      <c r="K1283" s="138">
        <f t="shared" si="298"/>
        <v>1449</v>
      </c>
      <c r="L1283" s="8">
        <f t="shared" si="303"/>
        <v>1249863</v>
      </c>
      <c r="M1283" s="8">
        <v>1251171</v>
      </c>
      <c r="N1283" s="13">
        <f t="shared" si="295"/>
        <v>1308</v>
      </c>
      <c r="O1283" s="136">
        <f t="shared" si="310"/>
        <v>937</v>
      </c>
      <c r="P1283" s="8">
        <f t="shared" si="305"/>
        <v>648719</v>
      </c>
      <c r="Q1283" s="8">
        <v>649299</v>
      </c>
      <c r="R1283" s="133">
        <f t="shared" si="294"/>
        <v>580</v>
      </c>
      <c r="S1283" s="8">
        <f t="shared" si="306"/>
        <v>48199</v>
      </c>
      <c r="T1283" s="8">
        <v>48243</v>
      </c>
      <c r="U1283" s="133">
        <f t="shared" si="313"/>
        <v>44</v>
      </c>
      <c r="V1283" s="8">
        <f t="shared" si="304"/>
        <v>378148</v>
      </c>
      <c r="W1283" s="8">
        <v>378378</v>
      </c>
      <c r="X1283" s="13">
        <f t="shared" si="314"/>
        <v>230</v>
      </c>
      <c r="Y1283" s="8">
        <f t="shared" si="299"/>
        <v>42879</v>
      </c>
      <c r="Z1283" s="8">
        <v>42905</v>
      </c>
      <c r="AA1283" s="13">
        <f t="shared" si="292"/>
        <v>26</v>
      </c>
      <c r="AB1283" s="8">
        <f t="shared" si="296"/>
        <v>266622</v>
      </c>
      <c r="AC1283" s="8">
        <v>266734</v>
      </c>
      <c r="AD1283" s="13">
        <f t="shared" si="309"/>
        <v>112</v>
      </c>
      <c r="AE1283" s="135"/>
      <c r="AF1283" s="135"/>
      <c r="AG1283" s="135"/>
      <c r="AH1283" s="136"/>
      <c r="AI1283" s="50">
        <f t="shared" si="311"/>
        <v>1817</v>
      </c>
    </row>
    <row r="1284" spans="1:35">
      <c r="A1284" s="12">
        <v>45659</v>
      </c>
      <c r="B1284" s="8">
        <f t="shared" si="307"/>
        <v>2118663</v>
      </c>
      <c r="C1284" s="8">
        <v>2119329</v>
      </c>
      <c r="D1284" s="13">
        <f t="shared" si="308"/>
        <v>666</v>
      </c>
      <c r="E1284" s="77">
        <f t="shared" si="301"/>
        <v>115495</v>
      </c>
      <c r="F1284" s="69">
        <v>116262</v>
      </c>
      <c r="G1284" s="133">
        <f t="shared" si="297"/>
        <v>767</v>
      </c>
      <c r="H1284" s="8">
        <f t="shared" si="302"/>
        <v>361605</v>
      </c>
      <c r="I1284" s="8">
        <v>361605</v>
      </c>
      <c r="J1284" s="13">
        <f t="shared" si="312"/>
        <v>0</v>
      </c>
      <c r="K1284" s="138">
        <f t="shared" si="298"/>
        <v>1433</v>
      </c>
      <c r="L1284" s="8">
        <f t="shared" si="303"/>
        <v>1251171</v>
      </c>
      <c r="M1284" s="8">
        <v>1252299</v>
      </c>
      <c r="N1284" s="13">
        <f t="shared" si="295"/>
        <v>1128</v>
      </c>
      <c r="O1284" s="136">
        <f t="shared" si="310"/>
        <v>900</v>
      </c>
      <c r="P1284" s="8">
        <f t="shared" si="305"/>
        <v>649299</v>
      </c>
      <c r="Q1284" s="8">
        <v>649881</v>
      </c>
      <c r="R1284" s="133">
        <f t="shared" si="294"/>
        <v>582</v>
      </c>
      <c r="S1284" s="8">
        <f t="shared" si="306"/>
        <v>48243</v>
      </c>
      <c r="T1284" s="8">
        <v>48294</v>
      </c>
      <c r="U1284" s="133">
        <f t="shared" si="313"/>
        <v>51</v>
      </c>
      <c r="V1284" s="8">
        <f t="shared" si="304"/>
        <v>378378</v>
      </c>
      <c r="W1284" s="8">
        <v>378631</v>
      </c>
      <c r="X1284" s="13">
        <f t="shared" si="314"/>
        <v>253</v>
      </c>
      <c r="Y1284" s="8">
        <f t="shared" si="299"/>
        <v>42905</v>
      </c>
      <c r="Z1284" s="8">
        <v>42929</v>
      </c>
      <c r="AA1284" s="13">
        <f t="shared" si="292"/>
        <v>24</v>
      </c>
      <c r="AB1284" s="8">
        <f t="shared" si="296"/>
        <v>266734</v>
      </c>
      <c r="AC1284" s="8">
        <v>266964</v>
      </c>
      <c r="AD1284" s="13">
        <v>100</v>
      </c>
      <c r="AE1284" s="135"/>
      <c r="AF1284" s="135"/>
      <c r="AG1284" s="135"/>
      <c r="AH1284" s="136"/>
      <c r="AI1284" s="50">
        <f t="shared" si="311"/>
        <v>1810</v>
      </c>
    </row>
    <row r="1285" spans="1:35">
      <c r="A1285" s="12">
        <v>45660</v>
      </c>
      <c r="B1285" s="8">
        <f t="shared" si="307"/>
        <v>2119329</v>
      </c>
      <c r="C1285" s="8">
        <v>2119908</v>
      </c>
      <c r="D1285" s="13">
        <f t="shared" si="308"/>
        <v>579</v>
      </c>
      <c r="E1285" s="77">
        <f t="shared" si="301"/>
        <v>116262</v>
      </c>
      <c r="F1285" s="69">
        <v>116907</v>
      </c>
      <c r="G1285" s="133">
        <f t="shared" si="297"/>
        <v>645</v>
      </c>
      <c r="H1285" s="8">
        <f t="shared" si="302"/>
        <v>361605</v>
      </c>
      <c r="I1285" s="8">
        <v>361605</v>
      </c>
      <c r="J1285" s="13">
        <f t="shared" si="312"/>
        <v>0</v>
      </c>
      <c r="K1285" s="138">
        <f t="shared" si="298"/>
        <v>1224</v>
      </c>
      <c r="L1285" s="8">
        <f t="shared" si="303"/>
        <v>1252299</v>
      </c>
      <c r="M1285" s="8">
        <v>1253599</v>
      </c>
      <c r="N1285" s="13">
        <f t="shared" si="295"/>
        <v>1300</v>
      </c>
      <c r="O1285" s="136">
        <f t="shared" si="310"/>
        <v>673</v>
      </c>
      <c r="P1285" s="8">
        <f t="shared" si="305"/>
        <v>649881</v>
      </c>
      <c r="Q1285" s="8">
        <v>650514</v>
      </c>
      <c r="R1285" s="133">
        <f t="shared" si="294"/>
        <v>633</v>
      </c>
      <c r="S1285" s="8">
        <f t="shared" si="306"/>
        <v>48294</v>
      </c>
      <c r="T1285" s="8">
        <v>48341</v>
      </c>
      <c r="U1285" s="133">
        <f t="shared" si="313"/>
        <v>47</v>
      </c>
      <c r="V1285" s="8">
        <f t="shared" si="304"/>
        <v>378631</v>
      </c>
      <c r="W1285" s="8">
        <v>378853</v>
      </c>
      <c r="X1285" s="13">
        <f t="shared" si="314"/>
        <v>222</v>
      </c>
      <c r="Y1285" s="8">
        <f t="shared" si="299"/>
        <v>42929</v>
      </c>
      <c r="Z1285" s="8">
        <v>42951</v>
      </c>
      <c r="AA1285" s="13">
        <f t="shared" ref="AA1285:AA1348" si="315">Z1285-Y1285</f>
        <v>22</v>
      </c>
      <c r="AB1285" s="8">
        <f t="shared" si="296"/>
        <v>266964</v>
      </c>
      <c r="AC1285" s="8">
        <v>267093</v>
      </c>
      <c r="AD1285" s="13">
        <f>AC1285-AB1285</f>
        <v>129</v>
      </c>
      <c r="AE1285" s="135"/>
      <c r="AF1285" s="135"/>
      <c r="AG1285" s="135"/>
      <c r="AH1285" s="136"/>
      <c r="AI1285" s="50">
        <f t="shared" si="311"/>
        <v>1597</v>
      </c>
    </row>
    <row r="1286" spans="1:35">
      <c r="A1286" s="12">
        <v>45661</v>
      </c>
      <c r="B1286" s="8">
        <f t="shared" si="307"/>
        <v>2119908</v>
      </c>
      <c r="C1286" s="8">
        <v>2120190</v>
      </c>
      <c r="D1286" s="13">
        <f t="shared" si="308"/>
        <v>282</v>
      </c>
      <c r="E1286" s="77">
        <f t="shared" si="301"/>
        <v>116907</v>
      </c>
      <c r="F1286" s="69">
        <v>117555</v>
      </c>
      <c r="G1286" s="133">
        <f t="shared" si="297"/>
        <v>648</v>
      </c>
      <c r="H1286" s="8">
        <f t="shared" si="302"/>
        <v>361605</v>
      </c>
      <c r="I1286" s="8">
        <v>361605</v>
      </c>
      <c r="J1286" s="13">
        <f t="shared" si="312"/>
        <v>0</v>
      </c>
      <c r="K1286" s="138">
        <f t="shared" si="298"/>
        <v>930</v>
      </c>
      <c r="L1286" s="8">
        <f t="shared" si="303"/>
        <v>1253599</v>
      </c>
      <c r="M1286" s="8">
        <v>1254649</v>
      </c>
      <c r="N1286" s="13">
        <f t="shared" si="295"/>
        <v>1050</v>
      </c>
      <c r="O1286" s="136">
        <f t="shared" si="310"/>
        <v>507</v>
      </c>
      <c r="P1286" s="8">
        <f t="shared" si="305"/>
        <v>650514</v>
      </c>
      <c r="Q1286" s="8">
        <v>650982</v>
      </c>
      <c r="R1286" s="133">
        <f t="shared" si="294"/>
        <v>468</v>
      </c>
      <c r="S1286" s="8">
        <f t="shared" si="306"/>
        <v>48341</v>
      </c>
      <c r="T1286" s="8">
        <v>48389</v>
      </c>
      <c r="U1286" s="133">
        <f t="shared" si="313"/>
        <v>48</v>
      </c>
      <c r="V1286" s="8">
        <f t="shared" si="304"/>
        <v>378853</v>
      </c>
      <c r="W1286" s="8">
        <v>379071</v>
      </c>
      <c r="X1286" s="13">
        <f t="shared" si="314"/>
        <v>218</v>
      </c>
      <c r="Y1286" s="8">
        <f t="shared" si="299"/>
        <v>42951</v>
      </c>
      <c r="Z1286" s="8">
        <v>42970</v>
      </c>
      <c r="AA1286" s="13">
        <f t="shared" si="315"/>
        <v>19</v>
      </c>
      <c r="AB1286" s="8">
        <f t="shared" si="296"/>
        <v>267093</v>
      </c>
      <c r="AC1286" s="8">
        <v>267186</v>
      </c>
      <c r="AD1286" s="13">
        <f>AC1286-AB1286</f>
        <v>93</v>
      </c>
      <c r="AE1286" s="135"/>
      <c r="AF1286" s="135"/>
      <c r="AG1286" s="135"/>
      <c r="AH1286" s="136"/>
      <c r="AI1286" s="50">
        <f t="shared" si="311"/>
        <v>1260</v>
      </c>
    </row>
    <row r="1287" spans="1:35">
      <c r="A1287" s="12">
        <v>45662</v>
      </c>
      <c r="B1287" s="8">
        <f t="shared" si="307"/>
        <v>2120190</v>
      </c>
      <c r="C1287" s="8">
        <v>2120230</v>
      </c>
      <c r="D1287" s="13">
        <f t="shared" si="308"/>
        <v>40</v>
      </c>
      <c r="E1287" s="77">
        <f t="shared" si="301"/>
        <v>117555</v>
      </c>
      <c r="F1287" s="69">
        <v>118321</v>
      </c>
      <c r="G1287" s="133">
        <v>666</v>
      </c>
      <c r="H1287" s="8">
        <f t="shared" si="302"/>
        <v>361605</v>
      </c>
      <c r="I1287" s="8">
        <v>361605</v>
      </c>
      <c r="J1287" s="13">
        <f t="shared" si="312"/>
        <v>0</v>
      </c>
      <c r="K1287" s="138">
        <f t="shared" si="298"/>
        <v>706</v>
      </c>
      <c r="L1287" s="8">
        <f t="shared" si="303"/>
        <v>1254649</v>
      </c>
      <c r="M1287" s="8">
        <v>1255586</v>
      </c>
      <c r="N1287" s="13">
        <f t="shared" si="295"/>
        <v>937</v>
      </c>
      <c r="O1287" s="136">
        <f t="shared" si="310"/>
        <v>273</v>
      </c>
      <c r="P1287" s="8">
        <f t="shared" si="305"/>
        <v>650982</v>
      </c>
      <c r="Q1287" s="8">
        <v>651447</v>
      </c>
      <c r="R1287" s="133">
        <f t="shared" si="294"/>
        <v>465</v>
      </c>
      <c r="S1287" s="8">
        <f t="shared" si="306"/>
        <v>48389</v>
      </c>
      <c r="T1287" s="8">
        <v>48393</v>
      </c>
      <c r="U1287" s="133">
        <f t="shared" si="313"/>
        <v>4</v>
      </c>
      <c r="V1287" s="8">
        <f t="shared" si="304"/>
        <v>379071</v>
      </c>
      <c r="W1287" s="8">
        <v>379335</v>
      </c>
      <c r="X1287" s="13">
        <f t="shared" si="314"/>
        <v>264</v>
      </c>
      <c r="Y1287" s="8">
        <f t="shared" si="299"/>
        <v>42970</v>
      </c>
      <c r="Z1287" s="8">
        <v>43035</v>
      </c>
      <c r="AA1287" s="13">
        <f t="shared" si="315"/>
        <v>65</v>
      </c>
      <c r="AB1287" s="8">
        <f t="shared" si="296"/>
        <v>267186</v>
      </c>
      <c r="AC1287" s="8">
        <v>267222</v>
      </c>
      <c r="AD1287" s="13">
        <f>AC1287-AB1287</f>
        <v>36</v>
      </c>
      <c r="AE1287" s="135"/>
      <c r="AF1287" s="135"/>
      <c r="AG1287" s="135"/>
      <c r="AH1287" s="136"/>
      <c r="AI1287" s="50">
        <f t="shared" si="311"/>
        <v>1071</v>
      </c>
    </row>
    <row r="1288" spans="1:35">
      <c r="A1288" s="12">
        <v>45663</v>
      </c>
      <c r="B1288" s="8">
        <f t="shared" si="307"/>
        <v>2120230</v>
      </c>
      <c r="C1288" s="8">
        <v>2120447</v>
      </c>
      <c r="D1288" s="13">
        <f t="shared" si="308"/>
        <v>217</v>
      </c>
      <c r="E1288" s="77">
        <f t="shared" si="301"/>
        <v>118321</v>
      </c>
      <c r="F1288" s="69">
        <v>119018</v>
      </c>
      <c r="G1288" s="133">
        <f t="shared" si="297"/>
        <v>697</v>
      </c>
      <c r="H1288" s="8">
        <f t="shared" si="302"/>
        <v>361605</v>
      </c>
      <c r="I1288" s="8">
        <v>361605</v>
      </c>
      <c r="J1288" s="13">
        <f t="shared" si="312"/>
        <v>0</v>
      </c>
      <c r="K1288" s="138">
        <f t="shared" si="298"/>
        <v>914</v>
      </c>
      <c r="L1288" s="8">
        <f t="shared" si="303"/>
        <v>1255586</v>
      </c>
      <c r="M1288" s="8">
        <v>1256368</v>
      </c>
      <c r="N1288" s="13">
        <v>1282</v>
      </c>
      <c r="O1288" s="136">
        <f t="shared" si="310"/>
        <v>574</v>
      </c>
      <c r="P1288" s="8">
        <f t="shared" si="305"/>
        <v>651447</v>
      </c>
      <c r="Q1288" s="8">
        <v>651810</v>
      </c>
      <c r="R1288" s="133">
        <f t="shared" si="294"/>
        <v>363</v>
      </c>
      <c r="S1288" s="8">
        <f t="shared" si="306"/>
        <v>48393</v>
      </c>
      <c r="T1288" s="8">
        <v>48445</v>
      </c>
      <c r="U1288" s="133">
        <f t="shared" si="313"/>
        <v>52</v>
      </c>
      <c r="V1288" s="8">
        <f t="shared" si="304"/>
        <v>379335</v>
      </c>
      <c r="W1288" s="8">
        <v>379581</v>
      </c>
      <c r="X1288" s="13">
        <f t="shared" si="314"/>
        <v>246</v>
      </c>
      <c r="Y1288" s="8">
        <f t="shared" si="299"/>
        <v>43035</v>
      </c>
      <c r="Z1288" s="8">
        <v>43106</v>
      </c>
      <c r="AA1288" s="13">
        <f t="shared" si="315"/>
        <v>71</v>
      </c>
      <c r="AB1288" s="8">
        <f t="shared" si="296"/>
        <v>267222</v>
      </c>
      <c r="AC1288" s="8">
        <v>267297</v>
      </c>
      <c r="AD1288" s="13">
        <f>AC1288-AB1288</f>
        <v>75</v>
      </c>
      <c r="AE1288" s="135"/>
      <c r="AF1288" s="135"/>
      <c r="AG1288" s="135"/>
      <c r="AH1288" s="136"/>
      <c r="AI1288" s="50">
        <f t="shared" si="311"/>
        <v>1306</v>
      </c>
    </row>
    <row r="1289" spans="1:35">
      <c r="A1289" s="12">
        <v>45664</v>
      </c>
      <c r="B1289" s="8">
        <f t="shared" si="307"/>
        <v>2120447</v>
      </c>
      <c r="C1289" s="8">
        <v>2120941</v>
      </c>
      <c r="D1289" s="13">
        <v>294</v>
      </c>
      <c r="E1289" s="77">
        <f t="shared" si="301"/>
        <v>119018</v>
      </c>
      <c r="F1289" s="69">
        <v>119713</v>
      </c>
      <c r="G1289" s="133">
        <f t="shared" si="297"/>
        <v>695</v>
      </c>
      <c r="H1289" s="8">
        <f t="shared" si="302"/>
        <v>361605</v>
      </c>
      <c r="I1289" s="8">
        <v>362031</v>
      </c>
      <c r="J1289" s="13">
        <f t="shared" si="312"/>
        <v>426</v>
      </c>
      <c r="K1289" s="138">
        <f t="shared" si="298"/>
        <v>1415</v>
      </c>
      <c r="L1289" s="8">
        <f t="shared" si="303"/>
        <v>1256368</v>
      </c>
      <c r="M1289" s="8">
        <v>1257410</v>
      </c>
      <c r="N1289" s="13">
        <f t="shared" si="295"/>
        <v>1042</v>
      </c>
      <c r="O1289" s="136">
        <f t="shared" si="310"/>
        <v>882</v>
      </c>
      <c r="P1289" s="8">
        <f t="shared" si="305"/>
        <v>651810</v>
      </c>
      <c r="Q1289" s="8">
        <v>652403</v>
      </c>
      <c r="R1289" s="133">
        <f t="shared" si="294"/>
        <v>593</v>
      </c>
      <c r="S1289" s="8">
        <f t="shared" si="306"/>
        <v>48445</v>
      </c>
      <c r="T1289" s="8">
        <v>48445</v>
      </c>
      <c r="U1289" s="133">
        <v>50</v>
      </c>
      <c r="V1289" s="8">
        <f t="shared" si="304"/>
        <v>379581</v>
      </c>
      <c r="W1289" s="8">
        <v>379836</v>
      </c>
      <c r="X1289" s="13">
        <f t="shared" si="314"/>
        <v>255</v>
      </c>
      <c r="Y1289" s="8">
        <f t="shared" si="299"/>
        <v>43106</v>
      </c>
      <c r="Z1289" s="8">
        <v>43133</v>
      </c>
      <c r="AA1289" s="13">
        <f t="shared" si="315"/>
        <v>27</v>
      </c>
      <c r="AB1289" s="8">
        <f t="shared" si="296"/>
        <v>267297</v>
      </c>
      <c r="AC1289" s="8">
        <v>267407</v>
      </c>
      <c r="AD1289" s="13">
        <f>AC1289-AB1289</f>
        <v>110</v>
      </c>
      <c r="AE1289" s="135"/>
      <c r="AF1289" s="135"/>
      <c r="AG1289" s="135"/>
      <c r="AH1289" s="136"/>
      <c r="AI1289" s="50">
        <f t="shared" si="311"/>
        <v>1807</v>
      </c>
    </row>
    <row r="1290" spans="1:35">
      <c r="A1290" s="12">
        <v>45665</v>
      </c>
      <c r="B1290" s="8">
        <f t="shared" si="307"/>
        <v>2120941</v>
      </c>
      <c r="C1290" s="8">
        <v>2121459</v>
      </c>
      <c r="D1290" s="13">
        <f t="shared" si="308"/>
        <v>518</v>
      </c>
      <c r="E1290" s="77">
        <f t="shared" si="301"/>
        <v>119713</v>
      </c>
      <c r="F1290" s="69">
        <v>120383</v>
      </c>
      <c r="G1290" s="133">
        <f t="shared" si="297"/>
        <v>670</v>
      </c>
      <c r="H1290" s="8">
        <f t="shared" si="302"/>
        <v>362031</v>
      </c>
      <c r="I1290" s="8">
        <v>362135</v>
      </c>
      <c r="J1290" s="13">
        <f t="shared" si="312"/>
        <v>104</v>
      </c>
      <c r="K1290" s="138">
        <f t="shared" si="298"/>
        <v>1292</v>
      </c>
      <c r="L1290" s="8">
        <f t="shared" si="303"/>
        <v>1257410</v>
      </c>
      <c r="M1290" s="8">
        <v>1258366</v>
      </c>
      <c r="N1290" s="13">
        <f t="shared" si="295"/>
        <v>956</v>
      </c>
      <c r="O1290" s="136">
        <f t="shared" si="310"/>
        <v>811</v>
      </c>
      <c r="P1290" s="8">
        <f t="shared" si="305"/>
        <v>652403</v>
      </c>
      <c r="Q1290" s="8">
        <v>652618</v>
      </c>
      <c r="R1290" s="133">
        <v>550</v>
      </c>
      <c r="S1290" s="8">
        <f t="shared" si="306"/>
        <v>48445</v>
      </c>
      <c r="T1290" s="8">
        <v>48448</v>
      </c>
      <c r="U1290" s="133">
        <v>45</v>
      </c>
      <c r="V1290" s="8">
        <f t="shared" si="304"/>
        <v>379836</v>
      </c>
      <c r="W1290" s="8">
        <v>380104</v>
      </c>
      <c r="X1290" s="13">
        <f t="shared" si="314"/>
        <v>268</v>
      </c>
      <c r="Y1290" s="8">
        <f t="shared" si="299"/>
        <v>43133</v>
      </c>
      <c r="Z1290" s="8">
        <v>43162</v>
      </c>
      <c r="AA1290" s="13">
        <f t="shared" si="315"/>
        <v>29</v>
      </c>
      <c r="AB1290" s="8">
        <f t="shared" si="296"/>
        <v>267407</v>
      </c>
      <c r="AC1290" s="8">
        <v>267541</v>
      </c>
      <c r="AD1290" s="13">
        <v>114</v>
      </c>
      <c r="AE1290" s="135"/>
      <c r="AF1290" s="135"/>
      <c r="AG1290" s="135"/>
      <c r="AH1290" s="136"/>
      <c r="AI1290" s="50">
        <f t="shared" si="311"/>
        <v>1703</v>
      </c>
    </row>
    <row r="1291" spans="1:35">
      <c r="A1291" s="12">
        <v>45666</v>
      </c>
      <c r="B1291" s="8">
        <f t="shared" si="307"/>
        <v>2121459</v>
      </c>
      <c r="C1291" s="8">
        <v>2122211</v>
      </c>
      <c r="D1291" s="13">
        <f t="shared" si="308"/>
        <v>752</v>
      </c>
      <c r="E1291" s="77">
        <f t="shared" si="301"/>
        <v>120383</v>
      </c>
      <c r="F1291" s="69">
        <v>121048</v>
      </c>
      <c r="G1291" s="133">
        <f t="shared" si="297"/>
        <v>665</v>
      </c>
      <c r="H1291" s="8">
        <f t="shared" si="302"/>
        <v>362135</v>
      </c>
      <c r="I1291" s="8">
        <v>362135</v>
      </c>
      <c r="J1291" s="13">
        <f t="shared" si="312"/>
        <v>0</v>
      </c>
      <c r="K1291" s="138">
        <f t="shared" si="298"/>
        <v>1417</v>
      </c>
      <c r="L1291" s="8">
        <f t="shared" si="303"/>
        <v>1258366</v>
      </c>
      <c r="M1291" s="8">
        <v>1259510</v>
      </c>
      <c r="N1291" s="13">
        <f t="shared" si="295"/>
        <v>1144</v>
      </c>
      <c r="O1291" s="136">
        <f t="shared" si="310"/>
        <v>895</v>
      </c>
      <c r="P1291" s="8">
        <f t="shared" si="305"/>
        <v>652618</v>
      </c>
      <c r="Q1291" s="8">
        <v>652618</v>
      </c>
      <c r="R1291" s="133">
        <v>598</v>
      </c>
      <c r="S1291" s="8">
        <f t="shared" si="306"/>
        <v>48448</v>
      </c>
      <c r="T1291" s="8">
        <v>48496</v>
      </c>
      <c r="U1291" s="133">
        <f t="shared" si="313"/>
        <v>48</v>
      </c>
      <c r="V1291" s="8">
        <f t="shared" si="304"/>
        <v>380104</v>
      </c>
      <c r="W1291" s="8">
        <v>380320</v>
      </c>
      <c r="X1291" s="13">
        <f t="shared" si="314"/>
        <v>216</v>
      </c>
      <c r="Y1291" s="8">
        <f t="shared" si="299"/>
        <v>43162</v>
      </c>
      <c r="Z1291" s="8">
        <v>43195</v>
      </c>
      <c r="AA1291" s="13">
        <f t="shared" si="315"/>
        <v>33</v>
      </c>
      <c r="AB1291" s="8">
        <f t="shared" si="296"/>
        <v>267541</v>
      </c>
      <c r="AC1291" s="8">
        <v>267765</v>
      </c>
      <c r="AD1291" s="13">
        <v>124</v>
      </c>
      <c r="AE1291" s="135"/>
      <c r="AF1291" s="135"/>
      <c r="AG1291" s="135"/>
      <c r="AH1291" s="136"/>
      <c r="AI1291" s="50">
        <f t="shared" si="311"/>
        <v>1790</v>
      </c>
    </row>
    <row r="1292" spans="1:35">
      <c r="A1292" s="12">
        <v>45667</v>
      </c>
      <c r="B1292" s="8">
        <f t="shared" si="307"/>
        <v>2122211</v>
      </c>
      <c r="C1292" s="8">
        <v>2122756</v>
      </c>
      <c r="D1292" s="13">
        <f t="shared" si="308"/>
        <v>545</v>
      </c>
      <c r="E1292" s="77">
        <f t="shared" si="301"/>
        <v>121048</v>
      </c>
      <c r="F1292" s="69">
        <v>121895</v>
      </c>
      <c r="G1292" s="133">
        <v>627</v>
      </c>
      <c r="H1292" s="8">
        <f t="shared" si="302"/>
        <v>362135</v>
      </c>
      <c r="I1292" s="8">
        <v>362135</v>
      </c>
      <c r="J1292" s="13">
        <f t="shared" si="312"/>
        <v>0</v>
      </c>
      <c r="K1292" s="138">
        <f t="shared" si="298"/>
        <v>1172</v>
      </c>
      <c r="L1292" s="8">
        <f t="shared" si="303"/>
        <v>1259510</v>
      </c>
      <c r="M1292" s="8">
        <v>1260783</v>
      </c>
      <c r="N1292" s="13">
        <f t="shared" si="295"/>
        <v>1273</v>
      </c>
      <c r="O1292" s="136">
        <f t="shared" si="310"/>
        <v>549</v>
      </c>
      <c r="P1292" s="8">
        <f t="shared" si="305"/>
        <v>652618</v>
      </c>
      <c r="Q1292" s="8">
        <v>653250</v>
      </c>
      <c r="R1292" s="133">
        <f t="shared" si="294"/>
        <v>632</v>
      </c>
      <c r="S1292" s="8">
        <f t="shared" si="306"/>
        <v>48496</v>
      </c>
      <c r="T1292" s="8">
        <v>48562</v>
      </c>
      <c r="U1292" s="133">
        <f t="shared" si="313"/>
        <v>66</v>
      </c>
      <c r="V1292" s="8">
        <f t="shared" si="304"/>
        <v>380320</v>
      </c>
      <c r="W1292" s="8">
        <v>380484</v>
      </c>
      <c r="X1292" s="13">
        <f t="shared" si="314"/>
        <v>164</v>
      </c>
      <c r="Y1292" s="8">
        <f t="shared" si="299"/>
        <v>43195</v>
      </c>
      <c r="Z1292" s="8">
        <v>43225</v>
      </c>
      <c r="AA1292" s="13">
        <f t="shared" si="315"/>
        <v>30</v>
      </c>
      <c r="AB1292" s="8">
        <f t="shared" si="296"/>
        <v>267765</v>
      </c>
      <c r="AC1292" s="8">
        <v>267909</v>
      </c>
      <c r="AD1292" s="13">
        <v>75</v>
      </c>
      <c r="AE1292" s="135"/>
      <c r="AF1292" s="135"/>
      <c r="AG1292" s="135"/>
      <c r="AH1292" s="136"/>
      <c r="AI1292" s="50">
        <f t="shared" si="311"/>
        <v>1441</v>
      </c>
    </row>
    <row r="1293" spans="1:35">
      <c r="A1293" s="12">
        <v>45668</v>
      </c>
      <c r="B1293" s="8">
        <f t="shared" si="307"/>
        <v>2122756</v>
      </c>
      <c r="C1293" s="8">
        <v>2123319</v>
      </c>
      <c r="D1293" s="13">
        <f t="shared" si="308"/>
        <v>563</v>
      </c>
      <c r="E1293" s="77">
        <f t="shared" si="301"/>
        <v>121895</v>
      </c>
      <c r="F1293" s="69">
        <v>122582</v>
      </c>
      <c r="G1293" s="133">
        <f t="shared" si="297"/>
        <v>687</v>
      </c>
      <c r="H1293" s="8">
        <f t="shared" si="302"/>
        <v>362135</v>
      </c>
      <c r="I1293" s="8">
        <v>362135</v>
      </c>
      <c r="J1293" s="13">
        <f t="shared" si="312"/>
        <v>0</v>
      </c>
      <c r="K1293" s="138">
        <f t="shared" si="298"/>
        <v>1250</v>
      </c>
      <c r="L1293" s="8">
        <f t="shared" si="303"/>
        <v>1260783</v>
      </c>
      <c r="M1293" s="8">
        <v>1261918</v>
      </c>
      <c r="N1293" s="13">
        <f t="shared" si="295"/>
        <v>1135</v>
      </c>
      <c r="O1293" s="136">
        <f t="shared" si="310"/>
        <v>647</v>
      </c>
      <c r="P1293" s="8">
        <f t="shared" si="305"/>
        <v>653250</v>
      </c>
      <c r="Q1293" s="8">
        <v>653859</v>
      </c>
      <c r="R1293" s="133">
        <f t="shared" si="294"/>
        <v>609</v>
      </c>
      <c r="S1293" s="8">
        <f t="shared" si="306"/>
        <v>48562</v>
      </c>
      <c r="T1293" s="8">
        <v>48650</v>
      </c>
      <c r="U1293" s="133">
        <f t="shared" si="313"/>
        <v>88</v>
      </c>
      <c r="V1293" s="8">
        <f t="shared" si="304"/>
        <v>380484</v>
      </c>
      <c r="W1293" s="8">
        <v>380661</v>
      </c>
      <c r="X1293" s="13">
        <f t="shared" si="314"/>
        <v>177</v>
      </c>
      <c r="Y1293" s="8">
        <f t="shared" si="299"/>
        <v>43225</v>
      </c>
      <c r="Z1293" s="8">
        <v>43250</v>
      </c>
      <c r="AA1293" s="13">
        <f t="shared" si="315"/>
        <v>25</v>
      </c>
      <c r="AB1293" s="8">
        <f t="shared" si="296"/>
        <v>267909</v>
      </c>
      <c r="AC1293" s="8">
        <v>268003</v>
      </c>
      <c r="AD1293" s="13">
        <f>AC1293-AB1293</f>
        <v>94</v>
      </c>
      <c r="AE1293" s="135"/>
      <c r="AF1293" s="135"/>
      <c r="AG1293" s="135"/>
      <c r="AH1293" s="136"/>
      <c r="AI1293" s="50">
        <f t="shared" si="311"/>
        <v>1546</v>
      </c>
    </row>
    <row r="1294" spans="1:35">
      <c r="A1294" s="12">
        <v>45669</v>
      </c>
      <c r="B1294" s="8">
        <f t="shared" si="307"/>
        <v>2123319</v>
      </c>
      <c r="C1294" s="8">
        <v>2124036</v>
      </c>
      <c r="D1294" s="13">
        <f t="shared" si="308"/>
        <v>717</v>
      </c>
      <c r="E1294" s="77">
        <f t="shared" si="301"/>
        <v>122582</v>
      </c>
      <c r="F1294" s="69">
        <v>123396</v>
      </c>
      <c r="G1294" s="133">
        <v>614</v>
      </c>
      <c r="H1294" s="8">
        <f t="shared" si="302"/>
        <v>362135</v>
      </c>
      <c r="I1294" s="8">
        <v>362135</v>
      </c>
      <c r="J1294" s="13">
        <f t="shared" si="312"/>
        <v>0</v>
      </c>
      <c r="K1294" s="138">
        <f t="shared" si="298"/>
        <v>1331</v>
      </c>
      <c r="L1294" s="8">
        <f t="shared" si="303"/>
        <v>1261918</v>
      </c>
      <c r="M1294" s="8">
        <v>1263037</v>
      </c>
      <c r="N1294" s="13">
        <f t="shared" si="295"/>
        <v>1119</v>
      </c>
      <c r="O1294" s="136">
        <f t="shared" si="310"/>
        <v>832</v>
      </c>
      <c r="P1294" s="8">
        <f t="shared" si="305"/>
        <v>653859</v>
      </c>
      <c r="Q1294" s="8">
        <v>654304</v>
      </c>
      <c r="R1294" s="133">
        <f t="shared" si="294"/>
        <v>445</v>
      </c>
      <c r="S1294" s="8">
        <f t="shared" si="306"/>
        <v>48650</v>
      </c>
      <c r="T1294" s="8">
        <v>48747</v>
      </c>
      <c r="U1294" s="133">
        <v>152</v>
      </c>
      <c r="V1294" s="8">
        <f t="shared" si="304"/>
        <v>380661</v>
      </c>
      <c r="W1294" s="8">
        <v>380887</v>
      </c>
      <c r="X1294" s="13">
        <f t="shared" si="314"/>
        <v>226</v>
      </c>
      <c r="Y1294" s="8">
        <f t="shared" si="299"/>
        <v>43250</v>
      </c>
      <c r="Z1294" s="8">
        <v>43317</v>
      </c>
      <c r="AA1294" s="13">
        <f t="shared" si="315"/>
        <v>67</v>
      </c>
      <c r="AB1294" s="8">
        <f t="shared" si="296"/>
        <v>268003</v>
      </c>
      <c r="AC1294" s="8">
        <v>268124</v>
      </c>
      <c r="AD1294" s="13">
        <v>98</v>
      </c>
      <c r="AE1294" s="135"/>
      <c r="AF1294" s="135"/>
      <c r="AG1294" s="135"/>
      <c r="AH1294" s="136"/>
      <c r="AI1294" s="50">
        <f t="shared" si="311"/>
        <v>1722</v>
      </c>
    </row>
    <row r="1295" spans="1:35">
      <c r="A1295" s="12">
        <v>45670</v>
      </c>
      <c r="B1295" s="8">
        <f t="shared" si="307"/>
        <v>2124036</v>
      </c>
      <c r="C1295" s="8">
        <v>2124783</v>
      </c>
      <c r="D1295" s="13">
        <f t="shared" si="308"/>
        <v>747</v>
      </c>
      <c r="E1295" s="77">
        <f t="shared" si="301"/>
        <v>123396</v>
      </c>
      <c r="F1295" s="69">
        <v>124172</v>
      </c>
      <c r="G1295" s="133">
        <f t="shared" si="297"/>
        <v>776</v>
      </c>
      <c r="H1295" s="8">
        <f t="shared" si="302"/>
        <v>362135</v>
      </c>
      <c r="I1295" s="8">
        <v>362135</v>
      </c>
      <c r="J1295" s="13">
        <f t="shared" si="312"/>
        <v>0</v>
      </c>
      <c r="K1295" s="138">
        <f t="shared" si="298"/>
        <v>1523</v>
      </c>
      <c r="L1295" s="8">
        <f t="shared" si="303"/>
        <v>1263037</v>
      </c>
      <c r="M1295" s="8">
        <v>1264423</v>
      </c>
      <c r="N1295" s="13">
        <f t="shared" si="295"/>
        <v>1386</v>
      </c>
      <c r="O1295" s="136">
        <f t="shared" si="310"/>
        <v>953</v>
      </c>
      <c r="P1295" s="8">
        <f t="shared" si="305"/>
        <v>654304</v>
      </c>
      <c r="Q1295" s="8">
        <v>654318</v>
      </c>
      <c r="R1295" s="133">
        <v>596</v>
      </c>
      <c r="S1295" s="8">
        <f t="shared" si="306"/>
        <v>48747</v>
      </c>
      <c r="T1295" s="8">
        <v>48853</v>
      </c>
      <c r="U1295" s="133">
        <f t="shared" si="313"/>
        <v>106</v>
      </c>
      <c r="V1295" s="8">
        <f t="shared" si="304"/>
        <v>380887</v>
      </c>
      <c r="W1295" s="8">
        <v>381071</v>
      </c>
      <c r="X1295" s="13">
        <f t="shared" si="314"/>
        <v>184</v>
      </c>
      <c r="Y1295" s="8">
        <f t="shared" si="299"/>
        <v>43317</v>
      </c>
      <c r="Z1295" s="8">
        <v>43350</v>
      </c>
      <c r="AA1295" s="13">
        <f t="shared" si="315"/>
        <v>33</v>
      </c>
      <c r="AB1295" s="8">
        <f t="shared" si="296"/>
        <v>268124</v>
      </c>
      <c r="AC1295" s="8">
        <v>268356</v>
      </c>
      <c r="AD1295" s="13">
        <v>132</v>
      </c>
      <c r="AE1295" s="135"/>
      <c r="AF1295" s="135"/>
      <c r="AG1295" s="135"/>
      <c r="AH1295" s="136"/>
      <c r="AI1295" s="50">
        <f t="shared" si="311"/>
        <v>1872</v>
      </c>
    </row>
    <row r="1296" spans="1:35">
      <c r="A1296" s="12">
        <v>45671</v>
      </c>
      <c r="B1296" s="8">
        <f t="shared" si="307"/>
        <v>2124783</v>
      </c>
      <c r="C1296" s="8">
        <v>2125511</v>
      </c>
      <c r="D1296" s="13">
        <f t="shared" si="308"/>
        <v>728</v>
      </c>
      <c r="E1296" s="77">
        <f t="shared" si="301"/>
        <v>124172</v>
      </c>
      <c r="F1296" s="69">
        <v>124933</v>
      </c>
      <c r="G1296" s="133">
        <f t="shared" si="297"/>
        <v>761</v>
      </c>
      <c r="H1296" s="8">
        <f t="shared" si="302"/>
        <v>362135</v>
      </c>
      <c r="I1296" s="8">
        <v>362135</v>
      </c>
      <c r="J1296" s="13">
        <f t="shared" si="312"/>
        <v>0</v>
      </c>
      <c r="K1296" s="138">
        <f t="shared" si="298"/>
        <v>1489</v>
      </c>
      <c r="L1296" s="8">
        <f t="shared" si="303"/>
        <v>1264423</v>
      </c>
      <c r="M1296" s="8">
        <v>1265657</v>
      </c>
      <c r="N1296" s="13">
        <f t="shared" si="295"/>
        <v>1234</v>
      </c>
      <c r="O1296" s="136">
        <f t="shared" si="310"/>
        <v>887</v>
      </c>
      <c r="P1296" s="8">
        <f t="shared" si="305"/>
        <v>654318</v>
      </c>
      <c r="Q1296" s="8">
        <v>654318</v>
      </c>
      <c r="R1296" s="133">
        <v>604</v>
      </c>
      <c r="S1296" s="8">
        <f t="shared" si="306"/>
        <v>48853</v>
      </c>
      <c r="T1296" s="8">
        <v>48961</v>
      </c>
      <c r="U1296" s="133">
        <f t="shared" si="313"/>
        <v>108</v>
      </c>
      <c r="V1296" s="8">
        <f t="shared" si="304"/>
        <v>381071</v>
      </c>
      <c r="W1296" s="8">
        <v>381238</v>
      </c>
      <c r="X1296" s="13">
        <f t="shared" si="314"/>
        <v>167</v>
      </c>
      <c r="Y1296" s="8">
        <f t="shared" si="299"/>
        <v>43350</v>
      </c>
      <c r="Z1296" s="8">
        <v>43390</v>
      </c>
      <c r="AA1296" s="13">
        <f t="shared" si="315"/>
        <v>40</v>
      </c>
      <c r="AB1296" s="8">
        <f t="shared" si="296"/>
        <v>268356</v>
      </c>
      <c r="AC1296" s="8">
        <v>268494</v>
      </c>
      <c r="AD1296" s="13">
        <v>110</v>
      </c>
      <c r="AE1296" s="135"/>
      <c r="AF1296" s="135"/>
      <c r="AG1296" s="135"/>
      <c r="AH1296" s="136"/>
      <c r="AI1296" s="50">
        <f t="shared" si="311"/>
        <v>1806</v>
      </c>
    </row>
    <row r="1297" spans="1:35">
      <c r="A1297" s="12">
        <v>45672</v>
      </c>
      <c r="B1297" s="8">
        <f t="shared" si="307"/>
        <v>2125511</v>
      </c>
      <c r="C1297" s="8">
        <v>2126595</v>
      </c>
      <c r="D1297" s="13">
        <v>584</v>
      </c>
      <c r="E1297" s="77">
        <f t="shared" si="301"/>
        <v>124933</v>
      </c>
      <c r="F1297" s="69">
        <v>125669</v>
      </c>
      <c r="G1297" s="133">
        <f t="shared" si="297"/>
        <v>736</v>
      </c>
      <c r="H1297" s="8">
        <f t="shared" si="302"/>
        <v>362135</v>
      </c>
      <c r="I1297" s="8">
        <v>362135</v>
      </c>
      <c r="J1297" s="13">
        <f t="shared" si="312"/>
        <v>0</v>
      </c>
      <c r="K1297" s="138">
        <f t="shared" si="298"/>
        <v>1320</v>
      </c>
      <c r="L1297" s="8">
        <f t="shared" si="303"/>
        <v>1265657</v>
      </c>
      <c r="M1297" s="8">
        <v>1266923</v>
      </c>
      <c r="N1297" s="13">
        <f t="shared" si="295"/>
        <v>1266</v>
      </c>
      <c r="O1297" s="136">
        <f t="shared" si="310"/>
        <v>841</v>
      </c>
      <c r="P1297" s="8">
        <f t="shared" si="305"/>
        <v>654318</v>
      </c>
      <c r="Q1297" s="8">
        <v>654647</v>
      </c>
      <c r="R1297" s="133">
        <v>529</v>
      </c>
      <c r="S1297" s="8">
        <f t="shared" si="306"/>
        <v>48961</v>
      </c>
      <c r="T1297" s="8">
        <v>49039</v>
      </c>
      <c r="U1297" s="133">
        <f t="shared" si="313"/>
        <v>78</v>
      </c>
      <c r="V1297" s="8">
        <f t="shared" si="304"/>
        <v>381238</v>
      </c>
      <c r="W1297" s="8">
        <v>381456</v>
      </c>
      <c r="X1297" s="13">
        <f t="shared" si="314"/>
        <v>218</v>
      </c>
      <c r="Y1297" s="8">
        <f t="shared" si="299"/>
        <v>43390</v>
      </c>
      <c r="Z1297" s="8">
        <v>43416</v>
      </c>
      <c r="AA1297" s="13">
        <f t="shared" si="315"/>
        <v>26</v>
      </c>
      <c r="AB1297" s="8">
        <f t="shared" si="296"/>
        <v>268494</v>
      </c>
      <c r="AC1297" s="8">
        <v>268642</v>
      </c>
      <c r="AD1297" s="13">
        <v>128</v>
      </c>
      <c r="AE1297" s="135"/>
      <c r="AF1297" s="135"/>
      <c r="AG1297" s="135"/>
      <c r="AH1297" s="136"/>
      <c r="AI1297" s="50">
        <f t="shared" si="311"/>
        <v>1692</v>
      </c>
    </row>
    <row r="1298" spans="1:35">
      <c r="A1298" s="12">
        <v>45673</v>
      </c>
      <c r="B1298" s="8">
        <f t="shared" si="307"/>
        <v>2126595</v>
      </c>
      <c r="C1298" s="8">
        <v>2126791</v>
      </c>
      <c r="D1298" s="13">
        <f t="shared" si="308"/>
        <v>196</v>
      </c>
      <c r="E1298" s="77">
        <f t="shared" si="301"/>
        <v>125669</v>
      </c>
      <c r="F1298" s="69">
        <v>126426</v>
      </c>
      <c r="G1298" s="133">
        <f t="shared" si="297"/>
        <v>757</v>
      </c>
      <c r="H1298" s="8">
        <f t="shared" si="302"/>
        <v>362135</v>
      </c>
      <c r="I1298" s="8">
        <v>362135</v>
      </c>
      <c r="J1298" s="13">
        <f t="shared" si="312"/>
        <v>0</v>
      </c>
      <c r="K1298" s="138">
        <f t="shared" si="298"/>
        <v>953</v>
      </c>
      <c r="L1298" s="8">
        <f t="shared" si="303"/>
        <v>1266923</v>
      </c>
      <c r="M1298" s="8">
        <v>1268116</v>
      </c>
      <c r="N1298" s="13">
        <f t="shared" si="295"/>
        <v>1193</v>
      </c>
      <c r="O1298" s="136">
        <f t="shared" si="310"/>
        <v>479</v>
      </c>
      <c r="P1298" s="8">
        <f t="shared" si="305"/>
        <v>654647</v>
      </c>
      <c r="Q1298" s="8">
        <v>654714</v>
      </c>
      <c r="R1298" s="133">
        <v>545</v>
      </c>
      <c r="S1298" s="8">
        <f t="shared" si="306"/>
        <v>49039</v>
      </c>
      <c r="T1298" s="8">
        <v>49039</v>
      </c>
      <c r="U1298" s="133">
        <v>70</v>
      </c>
      <c r="V1298" s="8">
        <f t="shared" si="304"/>
        <v>381456</v>
      </c>
      <c r="W1298" s="8">
        <v>381634</v>
      </c>
      <c r="X1298" s="13">
        <f t="shared" si="314"/>
        <v>178</v>
      </c>
      <c r="Y1298" s="8">
        <f t="shared" si="299"/>
        <v>43416</v>
      </c>
      <c r="Z1298" s="8">
        <v>43450</v>
      </c>
      <c r="AA1298" s="13">
        <f t="shared" si="315"/>
        <v>34</v>
      </c>
      <c r="AB1298" s="8">
        <f t="shared" si="296"/>
        <v>268642</v>
      </c>
      <c r="AC1298" s="8">
        <v>268783</v>
      </c>
      <c r="AD1298" s="13">
        <f>AC1298-AB1298</f>
        <v>141</v>
      </c>
      <c r="AE1298" s="135"/>
      <c r="AF1298" s="135"/>
      <c r="AG1298" s="135"/>
      <c r="AH1298" s="136"/>
      <c r="AI1298" s="50">
        <f t="shared" si="311"/>
        <v>1306</v>
      </c>
    </row>
    <row r="1299" spans="1:35">
      <c r="A1299" s="12">
        <v>45674</v>
      </c>
      <c r="B1299" s="8">
        <f t="shared" si="307"/>
        <v>2126791</v>
      </c>
      <c r="C1299" s="8">
        <v>2127436</v>
      </c>
      <c r="D1299" s="13">
        <f t="shared" si="308"/>
        <v>645</v>
      </c>
      <c r="E1299" s="77">
        <f t="shared" si="301"/>
        <v>126426</v>
      </c>
      <c r="F1299" s="69">
        <v>127191</v>
      </c>
      <c r="G1299" s="133">
        <f t="shared" si="297"/>
        <v>765</v>
      </c>
      <c r="H1299" s="8">
        <f t="shared" si="302"/>
        <v>362135</v>
      </c>
      <c r="I1299" s="8">
        <v>362135</v>
      </c>
      <c r="J1299" s="13">
        <f t="shared" si="312"/>
        <v>0</v>
      </c>
      <c r="K1299" s="138">
        <f t="shared" si="298"/>
        <v>1410</v>
      </c>
      <c r="L1299" s="8">
        <f t="shared" si="303"/>
        <v>1268116</v>
      </c>
      <c r="M1299" s="8">
        <v>1269355</v>
      </c>
      <c r="N1299" s="13">
        <f t="shared" si="295"/>
        <v>1239</v>
      </c>
      <c r="O1299" s="136">
        <f t="shared" si="310"/>
        <v>852</v>
      </c>
      <c r="P1299" s="8">
        <f t="shared" si="305"/>
        <v>654714</v>
      </c>
      <c r="Q1299" s="8">
        <v>654747</v>
      </c>
      <c r="R1299" s="133">
        <v>560</v>
      </c>
      <c r="S1299" s="8">
        <f t="shared" si="306"/>
        <v>49039</v>
      </c>
      <c r="T1299" s="8">
        <v>49144</v>
      </c>
      <c r="U1299" s="133">
        <f t="shared" si="313"/>
        <v>105</v>
      </c>
      <c r="V1299" s="8">
        <f t="shared" si="304"/>
        <v>381634</v>
      </c>
      <c r="W1299" s="8">
        <v>381836</v>
      </c>
      <c r="X1299" s="13">
        <f t="shared" si="314"/>
        <v>202</v>
      </c>
      <c r="Y1299" s="8">
        <f t="shared" si="299"/>
        <v>43450</v>
      </c>
      <c r="Z1299" s="8">
        <v>43478</v>
      </c>
      <c r="AA1299" s="13">
        <f t="shared" si="315"/>
        <v>28</v>
      </c>
      <c r="AB1299" s="8">
        <f t="shared" si="296"/>
        <v>268783</v>
      </c>
      <c r="AC1299" s="8">
        <v>268890</v>
      </c>
      <c r="AD1299" s="13">
        <f>AC1299-AB1299</f>
        <v>107</v>
      </c>
      <c r="AE1299" s="135"/>
      <c r="AF1299" s="135"/>
      <c r="AG1299" s="135"/>
      <c r="AH1299" s="136"/>
      <c r="AI1299" s="50">
        <f t="shared" si="311"/>
        <v>1747</v>
      </c>
    </row>
    <row r="1300" spans="1:35">
      <c r="A1300" s="12">
        <v>45675</v>
      </c>
      <c r="B1300" s="8">
        <f t="shared" si="307"/>
        <v>2127436</v>
      </c>
      <c r="C1300" s="8">
        <v>2128059</v>
      </c>
      <c r="D1300" s="13">
        <f t="shared" si="308"/>
        <v>623</v>
      </c>
      <c r="E1300" s="77">
        <f t="shared" si="301"/>
        <v>127191</v>
      </c>
      <c r="F1300" s="69">
        <v>127864</v>
      </c>
      <c r="G1300" s="133">
        <f t="shared" si="297"/>
        <v>673</v>
      </c>
      <c r="H1300" s="8">
        <f t="shared" si="302"/>
        <v>362135</v>
      </c>
      <c r="I1300" s="8">
        <v>362135</v>
      </c>
      <c r="J1300" s="13">
        <f t="shared" si="312"/>
        <v>0</v>
      </c>
      <c r="K1300" s="138">
        <f t="shared" si="298"/>
        <v>1296</v>
      </c>
      <c r="L1300" s="8">
        <f t="shared" si="303"/>
        <v>1269355</v>
      </c>
      <c r="M1300" s="8">
        <v>1270519</v>
      </c>
      <c r="N1300" s="13">
        <f t="shared" si="295"/>
        <v>1164</v>
      </c>
      <c r="O1300" s="136">
        <f t="shared" si="310"/>
        <v>824</v>
      </c>
      <c r="P1300" s="8">
        <f t="shared" si="305"/>
        <v>654747</v>
      </c>
      <c r="Q1300" s="8">
        <v>655132</v>
      </c>
      <c r="R1300" s="133">
        <v>585</v>
      </c>
      <c r="S1300" s="8">
        <f t="shared" si="306"/>
        <v>49144</v>
      </c>
      <c r="T1300" s="8">
        <v>49156</v>
      </c>
      <c r="U1300" s="133">
        <v>12</v>
      </c>
      <c r="V1300" s="8">
        <f t="shared" si="304"/>
        <v>381836</v>
      </c>
      <c r="W1300" s="8">
        <v>382047</v>
      </c>
      <c r="X1300" s="13">
        <f t="shared" si="314"/>
        <v>211</v>
      </c>
      <c r="Y1300" s="8">
        <f t="shared" si="299"/>
        <v>43478</v>
      </c>
      <c r="Z1300" s="8">
        <v>43499</v>
      </c>
      <c r="AA1300" s="13">
        <f t="shared" si="315"/>
        <v>21</v>
      </c>
      <c r="AB1300" s="8">
        <f t="shared" si="296"/>
        <v>268890</v>
      </c>
      <c r="AC1300" s="8">
        <v>269065</v>
      </c>
      <c r="AD1300" s="13">
        <v>125</v>
      </c>
      <c r="AE1300" s="135"/>
      <c r="AF1300" s="135"/>
      <c r="AG1300" s="135"/>
      <c r="AH1300" s="136"/>
      <c r="AI1300" s="50">
        <f t="shared" si="311"/>
        <v>1653</v>
      </c>
    </row>
    <row r="1301" spans="1:35">
      <c r="A1301" s="12">
        <v>45676</v>
      </c>
      <c r="B1301" s="8">
        <f t="shared" si="307"/>
        <v>2128059</v>
      </c>
      <c r="C1301" s="8">
        <v>2128879</v>
      </c>
      <c r="D1301" s="13">
        <v>620</v>
      </c>
      <c r="E1301" s="77">
        <f t="shared" si="301"/>
        <v>127864</v>
      </c>
      <c r="F1301" s="69">
        <v>128696</v>
      </c>
      <c r="G1301" s="133">
        <v>732</v>
      </c>
      <c r="H1301" s="8">
        <f t="shared" si="302"/>
        <v>362135</v>
      </c>
      <c r="I1301" s="8">
        <v>362135</v>
      </c>
      <c r="J1301" s="13">
        <f t="shared" si="312"/>
        <v>0</v>
      </c>
      <c r="K1301" s="138">
        <f t="shared" si="298"/>
        <v>1352</v>
      </c>
      <c r="L1301" s="8">
        <f t="shared" si="303"/>
        <v>1270519</v>
      </c>
      <c r="M1301" s="8">
        <v>1271869</v>
      </c>
      <c r="N1301" s="13">
        <f t="shared" si="295"/>
        <v>1350</v>
      </c>
      <c r="O1301" s="136">
        <f t="shared" si="310"/>
        <v>782</v>
      </c>
      <c r="P1301" s="8">
        <f t="shared" si="305"/>
        <v>655132</v>
      </c>
      <c r="Q1301" s="8">
        <v>655680</v>
      </c>
      <c r="R1301" s="133">
        <f t="shared" si="294"/>
        <v>548</v>
      </c>
      <c r="S1301" s="8">
        <f t="shared" si="306"/>
        <v>49156</v>
      </c>
      <c r="T1301" s="8">
        <v>49228</v>
      </c>
      <c r="U1301" s="133">
        <v>70</v>
      </c>
      <c r="V1301" s="8">
        <f t="shared" si="304"/>
        <v>382047</v>
      </c>
      <c r="W1301" s="8">
        <v>382270</v>
      </c>
      <c r="X1301" s="13">
        <f t="shared" si="314"/>
        <v>223</v>
      </c>
      <c r="Y1301" s="8">
        <f t="shared" si="299"/>
        <v>43499</v>
      </c>
      <c r="Z1301" s="8">
        <v>43554</v>
      </c>
      <c r="AA1301" s="13">
        <f t="shared" si="315"/>
        <v>55</v>
      </c>
      <c r="AB1301" s="8">
        <f t="shared" si="296"/>
        <v>269065</v>
      </c>
      <c r="AC1301" s="8">
        <v>269213</v>
      </c>
      <c r="AD1301" s="13">
        <v>48</v>
      </c>
      <c r="AE1301" s="135"/>
      <c r="AF1301" s="135"/>
      <c r="AG1301" s="135"/>
      <c r="AH1301" s="136"/>
      <c r="AI1301" s="50">
        <f t="shared" si="311"/>
        <v>1678</v>
      </c>
    </row>
    <row r="1302" spans="1:35">
      <c r="A1302" s="12">
        <v>45677</v>
      </c>
      <c r="B1302" s="8">
        <f t="shared" si="307"/>
        <v>2128879</v>
      </c>
      <c r="C1302" s="8">
        <v>2129586</v>
      </c>
      <c r="D1302" s="13">
        <f t="shared" si="308"/>
        <v>707</v>
      </c>
      <c r="E1302" s="77">
        <f t="shared" si="301"/>
        <v>128696</v>
      </c>
      <c r="F1302" s="69">
        <v>129441</v>
      </c>
      <c r="G1302" s="133">
        <f t="shared" si="297"/>
        <v>745</v>
      </c>
      <c r="H1302" s="8">
        <f t="shared" si="302"/>
        <v>362135</v>
      </c>
      <c r="I1302" s="8">
        <v>362135</v>
      </c>
      <c r="J1302" s="13">
        <f t="shared" si="312"/>
        <v>0</v>
      </c>
      <c r="K1302" s="138">
        <f t="shared" si="298"/>
        <v>1452</v>
      </c>
      <c r="L1302" s="8">
        <f t="shared" si="303"/>
        <v>1271869</v>
      </c>
      <c r="M1302" s="8">
        <v>1273133</v>
      </c>
      <c r="N1302" s="13">
        <f t="shared" si="295"/>
        <v>1264</v>
      </c>
      <c r="O1302" s="136">
        <f t="shared" si="310"/>
        <v>896</v>
      </c>
      <c r="P1302" s="8">
        <f t="shared" si="305"/>
        <v>655680</v>
      </c>
      <c r="Q1302" s="8">
        <v>656235</v>
      </c>
      <c r="R1302" s="133">
        <f t="shared" si="294"/>
        <v>555</v>
      </c>
      <c r="S1302" s="8">
        <f t="shared" si="306"/>
        <v>49228</v>
      </c>
      <c r="T1302" s="8">
        <v>49359</v>
      </c>
      <c r="U1302" s="133">
        <f t="shared" si="313"/>
        <v>131</v>
      </c>
      <c r="V1302" s="8">
        <f t="shared" si="304"/>
        <v>382270</v>
      </c>
      <c r="W1302" s="8">
        <v>382474</v>
      </c>
      <c r="X1302" s="13">
        <f t="shared" si="314"/>
        <v>204</v>
      </c>
      <c r="Y1302" s="8">
        <f t="shared" si="299"/>
        <v>43554</v>
      </c>
      <c r="Z1302" s="8">
        <v>43579</v>
      </c>
      <c r="AA1302" s="13">
        <f t="shared" si="315"/>
        <v>25</v>
      </c>
      <c r="AB1302" s="8">
        <f t="shared" si="296"/>
        <v>269213</v>
      </c>
      <c r="AC1302" s="8">
        <v>269343</v>
      </c>
      <c r="AD1302" s="13">
        <f>AC1302-AB1302</f>
        <v>130</v>
      </c>
      <c r="AE1302" s="135"/>
      <c r="AF1302" s="135"/>
      <c r="AG1302" s="135"/>
      <c r="AH1302" s="136"/>
      <c r="AI1302" s="50">
        <f t="shared" si="311"/>
        <v>1811</v>
      </c>
    </row>
    <row r="1303" spans="1:35">
      <c r="A1303" s="12">
        <v>45678</v>
      </c>
      <c r="B1303" s="8">
        <f t="shared" si="307"/>
        <v>2129586</v>
      </c>
      <c r="C1303" s="8">
        <v>2130284</v>
      </c>
      <c r="D1303" s="13">
        <f t="shared" si="308"/>
        <v>698</v>
      </c>
      <c r="E1303" s="77">
        <f t="shared" si="301"/>
        <v>129441</v>
      </c>
      <c r="F1303" s="69">
        <v>130211</v>
      </c>
      <c r="G1303" s="133">
        <f t="shared" si="297"/>
        <v>770</v>
      </c>
      <c r="H1303" s="8">
        <f t="shared" si="302"/>
        <v>362135</v>
      </c>
      <c r="I1303" s="8">
        <v>362135</v>
      </c>
      <c r="J1303" s="13">
        <f t="shared" si="312"/>
        <v>0</v>
      </c>
      <c r="K1303" s="138">
        <f t="shared" si="298"/>
        <v>1468</v>
      </c>
      <c r="L1303" s="8">
        <f t="shared" si="303"/>
        <v>1273133</v>
      </c>
      <c r="M1303" s="8">
        <v>1274464</v>
      </c>
      <c r="N1303" s="13">
        <f t="shared" si="295"/>
        <v>1331</v>
      </c>
      <c r="O1303" s="136">
        <f t="shared" si="310"/>
        <v>1112</v>
      </c>
      <c r="P1303" s="8">
        <f t="shared" si="305"/>
        <v>656235</v>
      </c>
      <c r="Q1303" s="8">
        <v>656619</v>
      </c>
      <c r="R1303" s="133">
        <f t="shared" si="294"/>
        <v>384</v>
      </c>
      <c r="S1303" s="8">
        <f t="shared" si="306"/>
        <v>49359</v>
      </c>
      <c r="T1303" s="8">
        <v>49443</v>
      </c>
      <c r="U1303" s="133">
        <f t="shared" si="313"/>
        <v>84</v>
      </c>
      <c r="V1303" s="8">
        <f t="shared" si="304"/>
        <v>382474</v>
      </c>
      <c r="W1303" s="8">
        <v>382665</v>
      </c>
      <c r="X1303" s="13">
        <f t="shared" si="314"/>
        <v>191</v>
      </c>
      <c r="Y1303" s="8">
        <f t="shared" si="299"/>
        <v>43579</v>
      </c>
      <c r="Z1303" s="8">
        <v>43609</v>
      </c>
      <c r="AA1303" s="13">
        <f t="shared" si="315"/>
        <v>30</v>
      </c>
      <c r="AB1303" s="8">
        <f t="shared" si="296"/>
        <v>269343</v>
      </c>
      <c r="AC1303" s="8">
        <v>269543</v>
      </c>
      <c r="AD1303" s="13">
        <v>112</v>
      </c>
      <c r="AE1303" s="135"/>
      <c r="AF1303" s="135"/>
      <c r="AG1303" s="135"/>
      <c r="AH1303" s="136"/>
      <c r="AI1303" s="50">
        <f t="shared" si="311"/>
        <v>1801</v>
      </c>
    </row>
    <row r="1304" spans="1:35">
      <c r="A1304" s="12">
        <v>45679</v>
      </c>
      <c r="B1304" s="8">
        <f t="shared" si="307"/>
        <v>2130284</v>
      </c>
      <c r="C1304" s="8">
        <v>2130854</v>
      </c>
      <c r="D1304" s="13">
        <f t="shared" si="308"/>
        <v>570</v>
      </c>
      <c r="E1304" s="77">
        <f t="shared" si="301"/>
        <v>130211</v>
      </c>
      <c r="F1304" s="69">
        <v>130942</v>
      </c>
      <c r="G1304" s="133">
        <f t="shared" si="297"/>
        <v>731</v>
      </c>
      <c r="H1304" s="8">
        <f t="shared" si="302"/>
        <v>362135</v>
      </c>
      <c r="I1304" s="8">
        <v>362135</v>
      </c>
      <c r="J1304" s="13">
        <f t="shared" si="312"/>
        <v>0</v>
      </c>
      <c r="K1304" s="138">
        <f t="shared" si="298"/>
        <v>1301</v>
      </c>
      <c r="L1304" s="8">
        <f t="shared" si="303"/>
        <v>1274464</v>
      </c>
      <c r="M1304" s="8">
        <v>1275704</v>
      </c>
      <c r="N1304" s="13">
        <f t="shared" si="295"/>
        <v>1240</v>
      </c>
      <c r="O1304" s="136">
        <f t="shared" si="310"/>
        <v>711</v>
      </c>
      <c r="P1304" s="8">
        <f t="shared" si="305"/>
        <v>656619</v>
      </c>
      <c r="Q1304" s="8">
        <v>656619</v>
      </c>
      <c r="R1304" s="133">
        <v>600</v>
      </c>
      <c r="S1304" s="8">
        <f t="shared" si="306"/>
        <v>49443</v>
      </c>
      <c r="T1304" s="8">
        <v>49544</v>
      </c>
      <c r="U1304" s="133">
        <f t="shared" si="313"/>
        <v>101</v>
      </c>
      <c r="V1304" s="8">
        <f t="shared" si="304"/>
        <v>382665</v>
      </c>
      <c r="W1304" s="8">
        <v>382878</v>
      </c>
      <c r="X1304" s="13">
        <f t="shared" si="314"/>
        <v>213</v>
      </c>
      <c r="Y1304" s="8">
        <f t="shared" si="299"/>
        <v>43609</v>
      </c>
      <c r="Z1304" s="8">
        <v>43638</v>
      </c>
      <c r="AA1304" s="13">
        <f t="shared" si="315"/>
        <v>29</v>
      </c>
      <c r="AB1304" s="8">
        <f t="shared" si="296"/>
        <v>269543</v>
      </c>
      <c r="AC1304" s="8">
        <v>269714</v>
      </c>
      <c r="AD1304" s="13">
        <v>111</v>
      </c>
      <c r="AE1304" s="135"/>
      <c r="AF1304" s="135"/>
      <c r="AG1304" s="135"/>
      <c r="AH1304" s="136"/>
      <c r="AI1304" s="50">
        <f t="shared" si="311"/>
        <v>1654</v>
      </c>
    </row>
    <row r="1305" spans="1:35">
      <c r="A1305" s="12">
        <v>45680</v>
      </c>
      <c r="B1305" s="8">
        <f t="shared" si="307"/>
        <v>2130854</v>
      </c>
      <c r="C1305" s="8">
        <v>2131576</v>
      </c>
      <c r="D1305" s="13">
        <f t="shared" si="308"/>
        <v>722</v>
      </c>
      <c r="E1305" s="77">
        <f t="shared" si="301"/>
        <v>130942</v>
      </c>
      <c r="F1305" s="69">
        <v>131712</v>
      </c>
      <c r="G1305" s="133">
        <f t="shared" si="297"/>
        <v>770</v>
      </c>
      <c r="H1305" s="8">
        <f t="shared" si="302"/>
        <v>362135</v>
      </c>
      <c r="I1305" s="8">
        <v>362135</v>
      </c>
      <c r="J1305" s="13">
        <f t="shared" si="312"/>
        <v>0</v>
      </c>
      <c r="K1305" s="138">
        <f t="shared" si="298"/>
        <v>1492</v>
      </c>
      <c r="L1305" s="8">
        <f t="shared" si="303"/>
        <v>1275704</v>
      </c>
      <c r="M1305" s="8">
        <v>1276995</v>
      </c>
      <c r="N1305" s="13">
        <f>M1305-L1305</f>
        <v>1291</v>
      </c>
      <c r="O1305" s="136">
        <f t="shared" si="310"/>
        <v>1066</v>
      </c>
      <c r="P1305" s="8">
        <f t="shared" si="305"/>
        <v>656619</v>
      </c>
      <c r="Q1305" s="8">
        <v>656619</v>
      </c>
      <c r="R1305" s="133">
        <v>530</v>
      </c>
      <c r="S1305" s="8">
        <f t="shared" si="306"/>
        <v>49544</v>
      </c>
      <c r="T1305" s="8">
        <v>49593</v>
      </c>
      <c r="U1305" s="133">
        <f t="shared" si="313"/>
        <v>49</v>
      </c>
      <c r="V1305" s="8">
        <f t="shared" si="304"/>
        <v>382878</v>
      </c>
      <c r="W1305" s="8">
        <v>383061</v>
      </c>
      <c r="X1305" s="13">
        <f t="shared" si="314"/>
        <v>183</v>
      </c>
      <c r="Y1305" s="8">
        <f t="shared" si="299"/>
        <v>43638</v>
      </c>
      <c r="Z1305" s="8">
        <v>43669</v>
      </c>
      <c r="AA1305" s="13">
        <f t="shared" si="315"/>
        <v>31</v>
      </c>
      <c r="AB1305" s="8">
        <f t="shared" ref="AB1305:AB1368" si="316">AC1304</f>
        <v>269714</v>
      </c>
      <c r="AC1305" s="8">
        <v>269867</v>
      </c>
      <c r="AD1305" s="13">
        <f>AC1305-AB1305</f>
        <v>153</v>
      </c>
      <c r="AE1305" s="135"/>
      <c r="AF1305" s="135"/>
      <c r="AG1305" s="135"/>
      <c r="AH1305" s="136"/>
      <c r="AI1305" s="50">
        <f t="shared" si="311"/>
        <v>1859</v>
      </c>
    </row>
    <row r="1306" spans="1:35">
      <c r="A1306" s="12">
        <v>45681</v>
      </c>
      <c r="B1306" s="8">
        <f t="shared" si="307"/>
        <v>2131576</v>
      </c>
      <c r="C1306" s="8">
        <v>2132297</v>
      </c>
      <c r="D1306" s="13">
        <f t="shared" si="308"/>
        <v>721</v>
      </c>
      <c r="E1306" s="77">
        <f t="shared" si="301"/>
        <v>131712</v>
      </c>
      <c r="F1306" s="69">
        <v>132477</v>
      </c>
      <c r="G1306" s="133">
        <f t="shared" si="297"/>
        <v>765</v>
      </c>
      <c r="H1306" s="8">
        <f t="shared" si="302"/>
        <v>362135</v>
      </c>
      <c r="I1306" s="8">
        <v>362135</v>
      </c>
      <c r="J1306" s="13">
        <f t="shared" si="312"/>
        <v>0</v>
      </c>
      <c r="K1306" s="138">
        <f t="shared" si="298"/>
        <v>1486</v>
      </c>
      <c r="L1306" s="8">
        <f t="shared" si="303"/>
        <v>1276995</v>
      </c>
      <c r="M1306" s="8">
        <v>1278265</v>
      </c>
      <c r="N1306" s="13">
        <f>M1306-L1306</f>
        <v>1270</v>
      </c>
      <c r="O1306" s="136">
        <f t="shared" si="310"/>
        <v>952</v>
      </c>
      <c r="P1306" s="8">
        <f t="shared" si="305"/>
        <v>656619</v>
      </c>
      <c r="Q1306" s="8">
        <v>656619</v>
      </c>
      <c r="R1306" s="133">
        <v>605</v>
      </c>
      <c r="S1306" s="8">
        <f t="shared" si="306"/>
        <v>49593</v>
      </c>
      <c r="T1306" s="8">
        <v>49658</v>
      </c>
      <c r="U1306" s="133">
        <f t="shared" si="313"/>
        <v>65</v>
      </c>
      <c r="V1306" s="8">
        <f t="shared" si="304"/>
        <v>383061</v>
      </c>
      <c r="W1306" s="8">
        <v>383300</v>
      </c>
      <c r="X1306" s="13">
        <f t="shared" si="314"/>
        <v>239</v>
      </c>
      <c r="Y1306" s="8">
        <f t="shared" si="299"/>
        <v>43669</v>
      </c>
      <c r="Z1306" s="8">
        <v>43699</v>
      </c>
      <c r="AA1306" s="13">
        <f t="shared" si="315"/>
        <v>30</v>
      </c>
      <c r="AB1306" s="8">
        <f t="shared" si="316"/>
        <v>269867</v>
      </c>
      <c r="AC1306" s="8">
        <v>270043</v>
      </c>
      <c r="AD1306" s="13">
        <v>136</v>
      </c>
      <c r="AE1306" s="135"/>
      <c r="AF1306" s="135"/>
      <c r="AG1306" s="135"/>
      <c r="AH1306" s="136"/>
      <c r="AI1306" s="50">
        <f t="shared" si="311"/>
        <v>1891</v>
      </c>
    </row>
    <row r="1307" spans="1:35">
      <c r="A1307" s="12">
        <v>45682</v>
      </c>
      <c r="B1307" s="8">
        <f t="shared" si="307"/>
        <v>2132297</v>
      </c>
      <c r="C1307" s="8">
        <v>2132594</v>
      </c>
      <c r="D1307" s="13">
        <f t="shared" si="308"/>
        <v>297</v>
      </c>
      <c r="E1307" s="77">
        <f t="shared" si="301"/>
        <v>132477</v>
      </c>
      <c r="F1307" s="69">
        <v>133117</v>
      </c>
      <c r="G1307" s="133">
        <f t="shared" si="297"/>
        <v>640</v>
      </c>
      <c r="H1307" s="8">
        <f t="shared" si="302"/>
        <v>362135</v>
      </c>
      <c r="I1307" s="8">
        <v>362135</v>
      </c>
      <c r="J1307" s="13">
        <f t="shared" si="312"/>
        <v>0</v>
      </c>
      <c r="K1307" s="138">
        <f t="shared" si="298"/>
        <v>937</v>
      </c>
      <c r="L1307" s="8">
        <f t="shared" si="303"/>
        <v>1278265</v>
      </c>
      <c r="M1307" s="8">
        <v>1278392</v>
      </c>
      <c r="N1307" s="13">
        <v>748</v>
      </c>
      <c r="O1307" s="136">
        <f t="shared" si="310"/>
        <v>543</v>
      </c>
      <c r="P1307" s="8">
        <f t="shared" si="305"/>
        <v>656619</v>
      </c>
      <c r="Q1307" s="8">
        <v>656619</v>
      </c>
      <c r="R1307" s="133">
        <v>450</v>
      </c>
      <c r="S1307" s="8">
        <f t="shared" si="306"/>
        <v>49658</v>
      </c>
      <c r="T1307" s="8">
        <v>49728</v>
      </c>
      <c r="U1307" s="133">
        <f t="shared" si="313"/>
        <v>70</v>
      </c>
      <c r="V1307" s="8">
        <f t="shared" si="304"/>
        <v>383300</v>
      </c>
      <c r="W1307" s="8">
        <v>383488</v>
      </c>
      <c r="X1307" s="13">
        <f t="shared" si="314"/>
        <v>188</v>
      </c>
      <c r="Y1307" s="8">
        <f t="shared" si="299"/>
        <v>43699</v>
      </c>
      <c r="Z1307" s="8">
        <v>43733</v>
      </c>
      <c r="AA1307" s="13">
        <f t="shared" si="315"/>
        <v>34</v>
      </c>
      <c r="AB1307" s="8">
        <f t="shared" si="316"/>
        <v>270043</v>
      </c>
      <c r="AC1307" s="8">
        <v>270169</v>
      </c>
      <c r="AD1307" s="13">
        <f>AC1307-AB1307</f>
        <v>126</v>
      </c>
      <c r="AE1307" s="135"/>
      <c r="AF1307" s="135"/>
      <c r="AG1307" s="135"/>
      <c r="AH1307" s="136"/>
      <c r="AI1307" s="50">
        <f t="shared" si="311"/>
        <v>1285</v>
      </c>
    </row>
    <row r="1308" spans="1:35">
      <c r="A1308" s="12">
        <v>45683</v>
      </c>
      <c r="B1308" s="8">
        <f t="shared" si="307"/>
        <v>2132594</v>
      </c>
      <c r="C1308" s="8">
        <v>2133362</v>
      </c>
      <c r="D1308" s="13">
        <f t="shared" si="308"/>
        <v>768</v>
      </c>
      <c r="E1308" s="77">
        <f t="shared" si="301"/>
        <v>133117</v>
      </c>
      <c r="F1308" s="69">
        <v>133982</v>
      </c>
      <c r="G1308" s="133">
        <v>765</v>
      </c>
      <c r="H1308" s="8">
        <f t="shared" si="302"/>
        <v>362135</v>
      </c>
      <c r="I1308" s="8">
        <v>362135</v>
      </c>
      <c r="J1308" s="13">
        <f t="shared" si="312"/>
        <v>0</v>
      </c>
      <c r="K1308" s="138">
        <f t="shared" si="298"/>
        <v>1533</v>
      </c>
      <c r="L1308" s="8">
        <f t="shared" si="303"/>
        <v>1278392</v>
      </c>
      <c r="M1308" s="8">
        <v>1280612</v>
      </c>
      <c r="N1308" s="13">
        <f t="shared" ref="N1308:N1372" si="317">M1308-L1308</f>
        <v>2220</v>
      </c>
      <c r="O1308" s="136">
        <f t="shared" si="310"/>
        <v>1277</v>
      </c>
      <c r="P1308" s="8">
        <f t="shared" si="305"/>
        <v>656619</v>
      </c>
      <c r="Q1308" s="8">
        <v>656619</v>
      </c>
      <c r="R1308" s="133">
        <v>300</v>
      </c>
      <c r="S1308" s="8">
        <f t="shared" si="306"/>
        <v>49728</v>
      </c>
      <c r="T1308" s="8">
        <v>49728</v>
      </c>
      <c r="U1308" s="133">
        <v>56</v>
      </c>
      <c r="V1308" s="8">
        <f t="shared" si="304"/>
        <v>383488</v>
      </c>
      <c r="W1308" s="8">
        <v>383689</v>
      </c>
      <c r="X1308" s="13">
        <f t="shared" si="314"/>
        <v>201</v>
      </c>
      <c r="Y1308" s="8">
        <f t="shared" si="299"/>
        <v>43733</v>
      </c>
      <c r="Z1308" s="8">
        <v>43746</v>
      </c>
      <c r="AA1308" s="13">
        <f t="shared" si="315"/>
        <v>13</v>
      </c>
      <c r="AB1308" s="8">
        <f t="shared" si="316"/>
        <v>270169</v>
      </c>
      <c r="AC1308" s="8">
        <v>270297</v>
      </c>
      <c r="AD1308" s="13">
        <v>100</v>
      </c>
      <c r="AE1308" s="135"/>
      <c r="AF1308" s="135"/>
      <c r="AG1308" s="135"/>
      <c r="AH1308" s="136"/>
      <c r="AI1308" s="50">
        <f t="shared" si="311"/>
        <v>1847</v>
      </c>
    </row>
    <row r="1309" spans="1:35">
      <c r="A1309" s="12">
        <v>45684</v>
      </c>
      <c r="B1309" s="8">
        <f t="shared" si="307"/>
        <v>2133362</v>
      </c>
      <c r="C1309" s="8">
        <v>2133666</v>
      </c>
      <c r="D1309" s="13">
        <f t="shared" si="308"/>
        <v>304</v>
      </c>
      <c r="E1309" s="77">
        <f t="shared" si="301"/>
        <v>133982</v>
      </c>
      <c r="F1309" s="69">
        <v>134748</v>
      </c>
      <c r="G1309" s="133">
        <f t="shared" si="297"/>
        <v>766</v>
      </c>
      <c r="H1309" s="8">
        <f t="shared" si="302"/>
        <v>362135</v>
      </c>
      <c r="I1309" s="8">
        <v>362135</v>
      </c>
      <c r="J1309" s="13">
        <f t="shared" si="312"/>
        <v>0</v>
      </c>
      <c r="K1309" s="138">
        <f t="shared" si="298"/>
        <v>1070</v>
      </c>
      <c r="L1309" s="8">
        <f t="shared" si="303"/>
        <v>1280612</v>
      </c>
      <c r="M1309" s="8">
        <v>1281743</v>
      </c>
      <c r="N1309" s="13">
        <f t="shared" si="317"/>
        <v>1131</v>
      </c>
      <c r="O1309" s="136">
        <f t="shared" si="310"/>
        <v>544</v>
      </c>
      <c r="P1309" s="8">
        <f t="shared" si="305"/>
        <v>656619</v>
      </c>
      <c r="Q1309" s="8">
        <v>656619</v>
      </c>
      <c r="R1309" s="133">
        <v>530</v>
      </c>
      <c r="S1309" s="8">
        <f t="shared" si="306"/>
        <v>49728</v>
      </c>
      <c r="T1309" s="8">
        <v>49728</v>
      </c>
      <c r="U1309" s="133">
        <v>70</v>
      </c>
      <c r="V1309" s="8">
        <f t="shared" si="304"/>
        <v>383689</v>
      </c>
      <c r="W1309" s="8">
        <v>383857</v>
      </c>
      <c r="X1309" s="13">
        <f t="shared" si="314"/>
        <v>168</v>
      </c>
      <c r="Y1309" s="8">
        <f t="shared" si="299"/>
        <v>43746</v>
      </c>
      <c r="Z1309" s="8">
        <v>43760</v>
      </c>
      <c r="AA1309" s="13">
        <f t="shared" si="315"/>
        <v>14</v>
      </c>
      <c r="AB1309" s="8">
        <f t="shared" si="316"/>
        <v>270297</v>
      </c>
      <c r="AC1309" s="8">
        <v>270371</v>
      </c>
      <c r="AD1309" s="13">
        <f t="shared" ref="AD1309:AD1342" si="318">AC1309-AB1309</f>
        <v>74</v>
      </c>
      <c r="AE1309" s="135"/>
      <c r="AF1309" s="135"/>
      <c r="AG1309" s="135"/>
      <c r="AH1309" s="136"/>
      <c r="AI1309" s="50">
        <f t="shared" si="311"/>
        <v>1326</v>
      </c>
    </row>
    <row r="1310" spans="1:35">
      <c r="A1310" s="12">
        <v>45685</v>
      </c>
      <c r="B1310" s="8">
        <f t="shared" si="307"/>
        <v>2133666</v>
      </c>
      <c r="C1310" s="8">
        <v>2133925</v>
      </c>
      <c r="D1310" s="13">
        <f t="shared" si="308"/>
        <v>259</v>
      </c>
      <c r="E1310" s="77">
        <f t="shared" si="301"/>
        <v>134748</v>
      </c>
      <c r="F1310" s="69">
        <v>135508</v>
      </c>
      <c r="G1310" s="133">
        <f t="shared" si="297"/>
        <v>760</v>
      </c>
      <c r="H1310" s="8">
        <f t="shared" si="302"/>
        <v>362135</v>
      </c>
      <c r="I1310" s="8">
        <v>362135</v>
      </c>
      <c r="J1310" s="13">
        <f t="shared" si="312"/>
        <v>0</v>
      </c>
      <c r="K1310" s="138">
        <f t="shared" si="298"/>
        <v>1019</v>
      </c>
      <c r="L1310" s="8">
        <f t="shared" si="303"/>
        <v>1281743</v>
      </c>
      <c r="M1310" s="8">
        <v>1282711</v>
      </c>
      <c r="N1310" s="13">
        <f t="shared" si="317"/>
        <v>968</v>
      </c>
      <c r="O1310" s="136">
        <f t="shared" si="310"/>
        <v>401</v>
      </c>
      <c r="P1310" s="8">
        <f t="shared" si="305"/>
        <v>656619</v>
      </c>
      <c r="Q1310" s="8">
        <v>656619</v>
      </c>
      <c r="R1310" s="133">
        <v>596</v>
      </c>
      <c r="S1310" s="8">
        <f t="shared" si="306"/>
        <v>49728</v>
      </c>
      <c r="T1310" s="8">
        <v>49728</v>
      </c>
      <c r="U1310" s="133">
        <v>80</v>
      </c>
      <c r="V1310" s="8">
        <f t="shared" si="304"/>
        <v>383857</v>
      </c>
      <c r="W1310" s="8">
        <v>384013</v>
      </c>
      <c r="X1310" s="13">
        <f t="shared" si="314"/>
        <v>156</v>
      </c>
      <c r="Y1310" s="8">
        <f t="shared" si="299"/>
        <v>43760</v>
      </c>
      <c r="Z1310" s="8">
        <v>43774</v>
      </c>
      <c r="AA1310" s="13">
        <f t="shared" si="315"/>
        <v>14</v>
      </c>
      <c r="AB1310" s="8">
        <f t="shared" si="316"/>
        <v>270371</v>
      </c>
      <c r="AC1310" s="8">
        <v>270429</v>
      </c>
      <c r="AD1310" s="13">
        <f t="shared" si="318"/>
        <v>58</v>
      </c>
      <c r="AE1310" s="135"/>
      <c r="AF1310" s="135"/>
      <c r="AG1310" s="135"/>
      <c r="AH1310" s="136"/>
      <c r="AI1310" s="50">
        <f t="shared" si="311"/>
        <v>1247</v>
      </c>
    </row>
    <row r="1311" spans="1:35">
      <c r="A1311" s="12">
        <v>45686</v>
      </c>
      <c r="B1311" s="8">
        <f t="shared" si="307"/>
        <v>2133925</v>
      </c>
      <c r="C1311" s="8">
        <v>2134474</v>
      </c>
      <c r="D1311" s="13">
        <f t="shared" si="308"/>
        <v>549</v>
      </c>
      <c r="E1311" s="77">
        <f t="shared" si="301"/>
        <v>135508</v>
      </c>
      <c r="F1311" s="69">
        <v>136260</v>
      </c>
      <c r="G1311" s="133">
        <f t="shared" si="297"/>
        <v>752</v>
      </c>
      <c r="H1311" s="8">
        <f t="shared" si="302"/>
        <v>362135</v>
      </c>
      <c r="I1311" s="8">
        <v>362135</v>
      </c>
      <c r="J1311" s="13">
        <f t="shared" si="312"/>
        <v>0</v>
      </c>
      <c r="K1311" s="138">
        <f t="shared" si="298"/>
        <v>1301</v>
      </c>
      <c r="L1311" s="8">
        <f t="shared" si="303"/>
        <v>1282711</v>
      </c>
      <c r="M1311" s="8">
        <v>1283642</v>
      </c>
      <c r="N1311" s="13">
        <f t="shared" si="317"/>
        <v>931</v>
      </c>
      <c r="O1311" s="136">
        <f t="shared" si="310"/>
        <v>750</v>
      </c>
      <c r="P1311" s="8">
        <f t="shared" si="305"/>
        <v>656619</v>
      </c>
      <c r="Q1311" s="8">
        <v>656619</v>
      </c>
      <c r="R1311" s="133">
        <v>555</v>
      </c>
      <c r="S1311" s="8">
        <f t="shared" si="306"/>
        <v>49728</v>
      </c>
      <c r="T1311" s="8">
        <v>49728</v>
      </c>
      <c r="U1311" s="133">
        <v>55</v>
      </c>
      <c r="V1311" s="8">
        <f t="shared" si="304"/>
        <v>384013</v>
      </c>
      <c r="W1311" s="8">
        <v>384211</v>
      </c>
      <c r="X1311" s="13">
        <f t="shared" si="314"/>
        <v>198</v>
      </c>
      <c r="Y1311" s="8">
        <f t="shared" si="299"/>
        <v>43774</v>
      </c>
      <c r="Z1311" s="8">
        <v>43789</v>
      </c>
      <c r="AA1311" s="13">
        <f t="shared" si="315"/>
        <v>15</v>
      </c>
      <c r="AB1311" s="8">
        <f t="shared" si="316"/>
        <v>270429</v>
      </c>
      <c r="AC1311" s="8">
        <v>270488</v>
      </c>
      <c r="AD1311" s="13">
        <f t="shared" si="318"/>
        <v>59</v>
      </c>
      <c r="AE1311" s="135"/>
      <c r="AF1311" s="135"/>
      <c r="AG1311" s="135"/>
      <c r="AH1311" s="136"/>
      <c r="AI1311" s="50">
        <f t="shared" si="311"/>
        <v>1573</v>
      </c>
    </row>
    <row r="1312" spans="1:35">
      <c r="A1312" s="12">
        <v>45687</v>
      </c>
      <c r="B1312" s="8">
        <f t="shared" si="307"/>
        <v>2134474</v>
      </c>
      <c r="C1312" s="8">
        <v>2135253</v>
      </c>
      <c r="D1312" s="13">
        <f t="shared" si="308"/>
        <v>779</v>
      </c>
      <c r="E1312" s="77">
        <f t="shared" si="301"/>
        <v>136260</v>
      </c>
      <c r="F1312" s="69">
        <v>137012</v>
      </c>
      <c r="G1312" s="133">
        <f t="shared" si="297"/>
        <v>752</v>
      </c>
      <c r="H1312" s="8">
        <f t="shared" si="302"/>
        <v>362135</v>
      </c>
      <c r="I1312" s="8">
        <v>362135</v>
      </c>
      <c r="J1312" s="13">
        <f t="shared" si="312"/>
        <v>0</v>
      </c>
      <c r="K1312" s="138">
        <f t="shared" si="298"/>
        <v>1531</v>
      </c>
      <c r="L1312" s="8">
        <f t="shared" si="303"/>
        <v>1283642</v>
      </c>
      <c r="M1312" s="8">
        <v>1284887</v>
      </c>
      <c r="N1312" s="13">
        <f t="shared" si="317"/>
        <v>1245</v>
      </c>
      <c r="O1312" s="136">
        <f t="shared" si="310"/>
        <v>980</v>
      </c>
      <c r="P1312" s="8">
        <f t="shared" si="305"/>
        <v>656619</v>
      </c>
      <c r="Q1312" s="8">
        <v>656619</v>
      </c>
      <c r="R1312" s="133">
        <v>603</v>
      </c>
      <c r="S1312" s="8">
        <f t="shared" si="306"/>
        <v>49728</v>
      </c>
      <c r="T1312" s="8">
        <v>49728</v>
      </c>
      <c r="U1312" s="133">
        <v>45</v>
      </c>
      <c r="V1312" s="8">
        <f t="shared" si="304"/>
        <v>384211</v>
      </c>
      <c r="W1312" s="8">
        <v>384363</v>
      </c>
      <c r="X1312" s="13">
        <f t="shared" si="314"/>
        <v>152</v>
      </c>
      <c r="Y1312" s="8">
        <f t="shared" si="299"/>
        <v>43789</v>
      </c>
      <c r="Z1312" s="8">
        <v>43806</v>
      </c>
      <c r="AA1312" s="13">
        <f t="shared" si="315"/>
        <v>17</v>
      </c>
      <c r="AB1312" s="8">
        <f t="shared" si="316"/>
        <v>270488</v>
      </c>
      <c r="AC1312" s="8">
        <v>270585</v>
      </c>
      <c r="AD1312" s="13">
        <f t="shared" si="318"/>
        <v>97</v>
      </c>
      <c r="AE1312" s="135"/>
      <c r="AF1312" s="135"/>
      <c r="AG1312" s="135"/>
      <c r="AH1312" s="136"/>
      <c r="AI1312" s="50">
        <f t="shared" si="311"/>
        <v>1797</v>
      </c>
    </row>
    <row r="1313" spans="1:35">
      <c r="A1313" s="12">
        <v>45688</v>
      </c>
      <c r="B1313" s="8">
        <f t="shared" si="307"/>
        <v>2135253</v>
      </c>
      <c r="C1313" s="8">
        <v>2136105</v>
      </c>
      <c r="D1313" s="13">
        <f t="shared" si="308"/>
        <v>852</v>
      </c>
      <c r="E1313" s="77">
        <f t="shared" si="301"/>
        <v>137012</v>
      </c>
      <c r="F1313" s="69">
        <v>137828</v>
      </c>
      <c r="G1313" s="133">
        <f t="shared" ref="G1313:G1376" si="319">F1313-E1313</f>
        <v>816</v>
      </c>
      <c r="H1313" s="8">
        <f t="shared" si="302"/>
        <v>362135</v>
      </c>
      <c r="I1313" s="8">
        <v>362135</v>
      </c>
      <c r="J1313" s="13">
        <f t="shared" si="312"/>
        <v>0</v>
      </c>
      <c r="K1313" s="138">
        <f t="shared" si="298"/>
        <v>1668</v>
      </c>
      <c r="L1313" s="8">
        <f t="shared" si="303"/>
        <v>1284887</v>
      </c>
      <c r="M1313" s="8">
        <v>1286188</v>
      </c>
      <c r="N1313" s="13">
        <f t="shared" si="317"/>
        <v>1301</v>
      </c>
      <c r="O1313" s="136">
        <f t="shared" si="310"/>
        <v>1143</v>
      </c>
      <c r="P1313" s="8">
        <f t="shared" si="305"/>
        <v>656619</v>
      </c>
      <c r="Q1313" s="8">
        <v>656619</v>
      </c>
      <c r="R1313" s="133">
        <v>545</v>
      </c>
      <c r="S1313" s="8">
        <f>T1312</f>
        <v>49728</v>
      </c>
      <c r="T1313" s="8">
        <v>49728</v>
      </c>
      <c r="U1313" s="133">
        <v>50</v>
      </c>
      <c r="V1313" s="8">
        <f t="shared" si="304"/>
        <v>384363</v>
      </c>
      <c r="W1313" s="8">
        <v>384517</v>
      </c>
      <c r="X1313" s="13">
        <f t="shared" si="314"/>
        <v>154</v>
      </c>
      <c r="Y1313" s="8">
        <f t="shared" si="299"/>
        <v>43806</v>
      </c>
      <c r="Z1313" s="8">
        <v>43825</v>
      </c>
      <c r="AA1313" s="13">
        <f t="shared" si="315"/>
        <v>19</v>
      </c>
      <c r="AB1313" s="8">
        <f t="shared" si="316"/>
        <v>270585</v>
      </c>
      <c r="AC1313" s="8">
        <v>270655</v>
      </c>
      <c r="AD1313" s="13">
        <f t="shared" si="318"/>
        <v>70</v>
      </c>
      <c r="AE1313" s="135"/>
      <c r="AF1313" s="135"/>
      <c r="AG1313" s="135"/>
      <c r="AH1313" s="136"/>
      <c r="AI1313" s="50">
        <f t="shared" si="311"/>
        <v>1911</v>
      </c>
    </row>
    <row r="1314" spans="1:35">
      <c r="A1314" s="12">
        <v>45689</v>
      </c>
      <c r="B1314" s="8">
        <f t="shared" si="307"/>
        <v>2136105</v>
      </c>
      <c r="C1314" s="8">
        <v>2136799</v>
      </c>
      <c r="D1314" s="13">
        <f t="shared" si="308"/>
        <v>694</v>
      </c>
      <c r="E1314" s="77">
        <f t="shared" si="301"/>
        <v>137828</v>
      </c>
      <c r="F1314" s="69">
        <v>138427</v>
      </c>
      <c r="G1314" s="133">
        <f t="shared" si="319"/>
        <v>599</v>
      </c>
      <c r="H1314" s="8">
        <f t="shared" si="302"/>
        <v>362135</v>
      </c>
      <c r="I1314" s="8">
        <v>362135</v>
      </c>
      <c r="J1314" s="13">
        <f t="shared" si="312"/>
        <v>0</v>
      </c>
      <c r="K1314" s="138">
        <f t="shared" si="298"/>
        <v>1293</v>
      </c>
      <c r="L1314" s="8">
        <f t="shared" si="303"/>
        <v>1286188</v>
      </c>
      <c r="M1314" s="8">
        <v>1287085</v>
      </c>
      <c r="N1314" s="13">
        <f t="shared" si="317"/>
        <v>897</v>
      </c>
      <c r="O1314" s="136">
        <f t="shared" si="310"/>
        <v>733</v>
      </c>
      <c r="P1314" s="8">
        <f t="shared" si="305"/>
        <v>656619</v>
      </c>
      <c r="Q1314" s="8">
        <v>656619</v>
      </c>
      <c r="R1314" s="133">
        <v>586</v>
      </c>
      <c r="S1314" s="8">
        <f>T1313</f>
        <v>49728</v>
      </c>
      <c r="T1314" s="8">
        <v>49728</v>
      </c>
      <c r="U1314" s="133">
        <v>55</v>
      </c>
      <c r="V1314" s="8">
        <f t="shared" si="304"/>
        <v>384517</v>
      </c>
      <c r="W1314" s="8">
        <v>384702</v>
      </c>
      <c r="X1314" s="13">
        <f t="shared" si="314"/>
        <v>185</v>
      </c>
      <c r="Y1314" s="8">
        <f t="shared" si="299"/>
        <v>43825</v>
      </c>
      <c r="Z1314" s="8">
        <v>43842</v>
      </c>
      <c r="AA1314" s="13">
        <f t="shared" si="315"/>
        <v>17</v>
      </c>
      <c r="AB1314" s="8">
        <f t="shared" si="316"/>
        <v>270655</v>
      </c>
      <c r="AC1314" s="8">
        <v>270736</v>
      </c>
      <c r="AD1314" s="13">
        <f t="shared" si="318"/>
        <v>81</v>
      </c>
      <c r="AE1314" s="135"/>
      <c r="AF1314" s="135"/>
      <c r="AG1314" s="135"/>
      <c r="AH1314" s="136"/>
      <c r="AI1314" s="50">
        <f t="shared" si="311"/>
        <v>1576</v>
      </c>
    </row>
    <row r="1315" spans="1:35">
      <c r="A1315" s="12">
        <v>45690</v>
      </c>
      <c r="B1315" s="8">
        <f t="shared" si="307"/>
        <v>2136799</v>
      </c>
      <c r="C1315" s="8">
        <v>2137540</v>
      </c>
      <c r="D1315" s="13">
        <f t="shared" si="308"/>
        <v>741</v>
      </c>
      <c r="E1315" s="77">
        <f t="shared" si="301"/>
        <v>138427</v>
      </c>
      <c r="F1315" s="69">
        <v>139264</v>
      </c>
      <c r="G1315" s="133">
        <f t="shared" si="319"/>
        <v>837</v>
      </c>
      <c r="H1315" s="8">
        <f t="shared" si="302"/>
        <v>362135</v>
      </c>
      <c r="I1315" s="8">
        <v>362135</v>
      </c>
      <c r="J1315" s="13">
        <f t="shared" si="312"/>
        <v>0</v>
      </c>
      <c r="K1315" s="138">
        <f t="shared" si="298"/>
        <v>1578</v>
      </c>
      <c r="L1315" s="8">
        <f t="shared" si="303"/>
        <v>1287085</v>
      </c>
      <c r="M1315" s="8">
        <v>1288404</v>
      </c>
      <c r="N1315" s="13">
        <f t="shared" si="317"/>
        <v>1319</v>
      </c>
      <c r="O1315" s="136">
        <f t="shared" si="310"/>
        <v>1073</v>
      </c>
      <c r="P1315" s="8">
        <f t="shared" si="305"/>
        <v>656619</v>
      </c>
      <c r="Q1315" s="8">
        <v>656619</v>
      </c>
      <c r="R1315" s="133">
        <v>530</v>
      </c>
      <c r="S1315" s="8">
        <f t="shared" ref="S1315:S1378" si="320">T1314</f>
        <v>49728</v>
      </c>
      <c r="T1315" s="8">
        <v>49822</v>
      </c>
      <c r="U1315" s="133">
        <f t="shared" si="313"/>
        <v>94</v>
      </c>
      <c r="V1315" s="8">
        <f t="shared" si="304"/>
        <v>384702</v>
      </c>
      <c r="W1315" s="8">
        <v>384830</v>
      </c>
      <c r="X1315" s="13">
        <f t="shared" si="314"/>
        <v>128</v>
      </c>
      <c r="Y1315" s="8">
        <f t="shared" si="299"/>
        <v>43842</v>
      </c>
      <c r="Z1315" s="8">
        <v>43925</v>
      </c>
      <c r="AA1315" s="13">
        <f t="shared" si="315"/>
        <v>83</v>
      </c>
      <c r="AB1315" s="8">
        <f t="shared" si="316"/>
        <v>270736</v>
      </c>
      <c r="AC1315" s="8">
        <v>270855</v>
      </c>
      <c r="AD1315" s="13">
        <f t="shared" si="318"/>
        <v>119</v>
      </c>
      <c r="AE1315" s="135"/>
      <c r="AF1315" s="135"/>
      <c r="AG1315" s="135"/>
      <c r="AH1315" s="136"/>
      <c r="AI1315" s="50">
        <f t="shared" si="311"/>
        <v>1908</v>
      </c>
    </row>
    <row r="1316" spans="1:35">
      <c r="A1316" s="12">
        <v>45691</v>
      </c>
      <c r="B1316" s="8">
        <f t="shared" si="307"/>
        <v>2137540</v>
      </c>
      <c r="C1316" s="8">
        <v>2138414</v>
      </c>
      <c r="D1316" s="13">
        <f t="shared" si="308"/>
        <v>874</v>
      </c>
      <c r="E1316" s="77">
        <f t="shared" si="301"/>
        <v>139264</v>
      </c>
      <c r="F1316" s="69">
        <v>139923</v>
      </c>
      <c r="G1316" s="133">
        <f t="shared" si="319"/>
        <v>659</v>
      </c>
      <c r="H1316" s="8">
        <f t="shared" si="302"/>
        <v>362135</v>
      </c>
      <c r="I1316" s="8">
        <v>362135</v>
      </c>
      <c r="J1316" s="13">
        <f t="shared" si="312"/>
        <v>0</v>
      </c>
      <c r="K1316" s="138">
        <f t="shared" si="298"/>
        <v>1533</v>
      </c>
      <c r="L1316" s="8">
        <f t="shared" si="303"/>
        <v>1288404</v>
      </c>
      <c r="M1316" s="8">
        <v>1289571</v>
      </c>
      <c r="N1316" s="13">
        <f t="shared" si="317"/>
        <v>1167</v>
      </c>
      <c r="O1316" s="136">
        <f t="shared" si="310"/>
        <v>995</v>
      </c>
      <c r="P1316" s="8">
        <f t="shared" si="305"/>
        <v>656619</v>
      </c>
      <c r="Q1316" s="8">
        <v>656619</v>
      </c>
      <c r="R1316" s="133">
        <v>563</v>
      </c>
      <c r="S1316" s="8">
        <f t="shared" si="320"/>
        <v>49822</v>
      </c>
      <c r="T1316" s="8">
        <v>49878</v>
      </c>
      <c r="U1316" s="133">
        <f t="shared" si="313"/>
        <v>56</v>
      </c>
      <c r="V1316" s="8">
        <f t="shared" si="304"/>
        <v>384830</v>
      </c>
      <c r="W1316" s="8">
        <v>384986</v>
      </c>
      <c r="X1316" s="13">
        <f t="shared" si="314"/>
        <v>156</v>
      </c>
      <c r="Y1316" s="8">
        <f t="shared" si="299"/>
        <v>43925</v>
      </c>
      <c r="Z1316" s="8">
        <v>43925</v>
      </c>
      <c r="AA1316" s="13">
        <f t="shared" si="315"/>
        <v>0</v>
      </c>
      <c r="AB1316" s="8">
        <f t="shared" si="316"/>
        <v>270855</v>
      </c>
      <c r="AC1316" s="8">
        <v>270936</v>
      </c>
      <c r="AD1316" s="13">
        <f t="shared" si="318"/>
        <v>81</v>
      </c>
      <c r="AE1316" s="135"/>
      <c r="AF1316" s="135"/>
      <c r="AG1316" s="135"/>
      <c r="AH1316" s="136"/>
      <c r="AI1316" s="50">
        <f t="shared" si="311"/>
        <v>1770</v>
      </c>
    </row>
    <row r="1317" spans="1:35">
      <c r="A1317" s="12">
        <v>45692</v>
      </c>
      <c r="B1317" s="8">
        <f t="shared" si="307"/>
        <v>2138414</v>
      </c>
      <c r="C1317" s="8">
        <v>2139220</v>
      </c>
      <c r="D1317" s="13">
        <f t="shared" si="308"/>
        <v>806</v>
      </c>
      <c r="E1317" s="77">
        <f t="shared" si="301"/>
        <v>139923</v>
      </c>
      <c r="F1317" s="69">
        <v>140596</v>
      </c>
      <c r="G1317" s="133">
        <f t="shared" si="319"/>
        <v>673</v>
      </c>
      <c r="H1317" s="8">
        <f t="shared" si="302"/>
        <v>362135</v>
      </c>
      <c r="I1317" s="8">
        <v>362135</v>
      </c>
      <c r="J1317" s="13">
        <f t="shared" si="312"/>
        <v>0</v>
      </c>
      <c r="K1317" s="138">
        <f t="shared" si="298"/>
        <v>1479</v>
      </c>
      <c r="L1317" s="8">
        <f t="shared" si="303"/>
        <v>1289571</v>
      </c>
      <c r="M1317" s="8">
        <v>1290858</v>
      </c>
      <c r="N1317" s="13">
        <f t="shared" si="317"/>
        <v>1287</v>
      </c>
      <c r="O1317" s="136">
        <f t="shared" si="310"/>
        <v>937</v>
      </c>
      <c r="P1317" s="8">
        <f t="shared" si="305"/>
        <v>656619</v>
      </c>
      <c r="Q1317" s="8">
        <v>656619</v>
      </c>
      <c r="R1317" s="133">
        <v>596</v>
      </c>
      <c r="S1317" s="8">
        <f t="shared" si="320"/>
        <v>49878</v>
      </c>
      <c r="T1317" s="8">
        <v>49878</v>
      </c>
      <c r="U1317" s="133">
        <v>50</v>
      </c>
      <c r="V1317" s="8">
        <f t="shared" si="304"/>
        <v>384986</v>
      </c>
      <c r="W1317" s="8">
        <v>385148</v>
      </c>
      <c r="X1317" s="13">
        <f t="shared" si="314"/>
        <v>162</v>
      </c>
      <c r="Y1317" s="8">
        <f t="shared" si="299"/>
        <v>43925</v>
      </c>
      <c r="Z1317" s="8">
        <v>43953</v>
      </c>
      <c r="AA1317" s="13">
        <f t="shared" si="315"/>
        <v>28</v>
      </c>
      <c r="AB1317" s="8">
        <f t="shared" si="316"/>
        <v>270936</v>
      </c>
      <c r="AC1317" s="8">
        <v>271040</v>
      </c>
      <c r="AD1317" s="13">
        <f t="shared" si="318"/>
        <v>104</v>
      </c>
      <c r="AE1317" s="135"/>
      <c r="AF1317" s="135"/>
      <c r="AG1317" s="135"/>
      <c r="AH1317" s="136"/>
      <c r="AI1317" s="50">
        <f t="shared" si="311"/>
        <v>1773</v>
      </c>
    </row>
    <row r="1318" spans="1:35">
      <c r="A1318" s="12">
        <v>45693</v>
      </c>
      <c r="B1318" s="8">
        <f t="shared" si="307"/>
        <v>2139220</v>
      </c>
      <c r="C1318" s="8">
        <v>2139918</v>
      </c>
      <c r="D1318" s="13">
        <f t="shared" si="308"/>
        <v>698</v>
      </c>
      <c r="E1318" s="77">
        <f t="shared" si="301"/>
        <v>140596</v>
      </c>
      <c r="F1318" s="69">
        <v>141134</v>
      </c>
      <c r="G1318" s="133">
        <f t="shared" si="319"/>
        <v>538</v>
      </c>
      <c r="H1318" s="8">
        <f t="shared" si="302"/>
        <v>362135</v>
      </c>
      <c r="I1318" s="8">
        <v>362135</v>
      </c>
      <c r="J1318" s="13">
        <f t="shared" si="312"/>
        <v>0</v>
      </c>
      <c r="K1318" s="138">
        <f t="shared" si="298"/>
        <v>1236</v>
      </c>
      <c r="L1318" s="8">
        <f t="shared" si="303"/>
        <v>1290858</v>
      </c>
      <c r="M1318" s="8">
        <v>1292135</v>
      </c>
      <c r="N1318" s="13">
        <f t="shared" si="317"/>
        <v>1277</v>
      </c>
      <c r="O1318" s="136">
        <f t="shared" si="310"/>
        <v>714</v>
      </c>
      <c r="P1318" s="8">
        <f t="shared" si="305"/>
        <v>656619</v>
      </c>
      <c r="Q1318" s="8">
        <v>656619</v>
      </c>
      <c r="R1318" s="133">
        <v>526</v>
      </c>
      <c r="S1318" s="8">
        <f t="shared" si="320"/>
        <v>49878</v>
      </c>
      <c r="T1318" s="8">
        <v>49975</v>
      </c>
      <c r="U1318" s="133">
        <f t="shared" si="313"/>
        <v>97</v>
      </c>
      <c r="V1318" s="8">
        <f t="shared" si="304"/>
        <v>385148</v>
      </c>
      <c r="W1318" s="8">
        <v>385343</v>
      </c>
      <c r="X1318" s="13">
        <f t="shared" si="314"/>
        <v>195</v>
      </c>
      <c r="Y1318" s="8">
        <f t="shared" si="299"/>
        <v>43953</v>
      </c>
      <c r="Z1318" s="8">
        <v>43979</v>
      </c>
      <c r="AA1318" s="13">
        <f t="shared" si="315"/>
        <v>26</v>
      </c>
      <c r="AB1318" s="8">
        <f t="shared" si="316"/>
        <v>271040</v>
      </c>
      <c r="AC1318" s="8">
        <v>271141</v>
      </c>
      <c r="AD1318" s="13">
        <f t="shared" si="318"/>
        <v>101</v>
      </c>
      <c r="AE1318" s="135"/>
      <c r="AF1318" s="135"/>
      <c r="AG1318" s="135"/>
      <c r="AH1318" s="136"/>
      <c r="AI1318" s="50">
        <f t="shared" si="311"/>
        <v>1558</v>
      </c>
    </row>
    <row r="1319" spans="1:35">
      <c r="A1319" s="12">
        <v>45694</v>
      </c>
      <c r="B1319" s="8">
        <f t="shared" si="307"/>
        <v>2139918</v>
      </c>
      <c r="C1319" s="8">
        <v>2140678</v>
      </c>
      <c r="D1319" s="13">
        <f t="shared" si="308"/>
        <v>760</v>
      </c>
      <c r="E1319" s="77">
        <f t="shared" si="301"/>
        <v>141134</v>
      </c>
      <c r="F1319" s="69">
        <v>141853</v>
      </c>
      <c r="G1319" s="133">
        <f t="shared" si="319"/>
        <v>719</v>
      </c>
      <c r="H1319" s="8">
        <f t="shared" si="302"/>
        <v>362135</v>
      </c>
      <c r="I1319" s="8">
        <v>362135</v>
      </c>
      <c r="J1319" s="13">
        <f t="shared" si="312"/>
        <v>0</v>
      </c>
      <c r="K1319" s="138">
        <f t="shared" si="298"/>
        <v>1479</v>
      </c>
      <c r="L1319" s="8">
        <f t="shared" si="303"/>
        <v>1292135</v>
      </c>
      <c r="M1319" s="8">
        <v>1293205</v>
      </c>
      <c r="N1319" s="13">
        <f t="shared" si="317"/>
        <v>1070</v>
      </c>
      <c r="O1319" s="136">
        <f t="shared" si="310"/>
        <v>939</v>
      </c>
      <c r="P1319" s="8">
        <f t="shared" si="305"/>
        <v>656619</v>
      </c>
      <c r="Q1319" s="8">
        <v>656619</v>
      </c>
      <c r="R1319" s="133">
        <v>590</v>
      </c>
      <c r="S1319" s="8">
        <f t="shared" si="320"/>
        <v>49975</v>
      </c>
      <c r="T1319" s="8">
        <v>49975</v>
      </c>
      <c r="U1319" s="133">
        <v>60</v>
      </c>
      <c r="V1319" s="8">
        <f t="shared" si="304"/>
        <v>385343</v>
      </c>
      <c r="W1319" s="8">
        <v>385499</v>
      </c>
      <c r="X1319" s="13">
        <f t="shared" si="314"/>
        <v>156</v>
      </c>
      <c r="Y1319" s="8">
        <f t="shared" si="299"/>
        <v>43979</v>
      </c>
      <c r="Z1319" s="8">
        <v>44012</v>
      </c>
      <c r="AA1319" s="13">
        <f t="shared" si="315"/>
        <v>33</v>
      </c>
      <c r="AB1319" s="8">
        <f t="shared" si="316"/>
        <v>271141</v>
      </c>
      <c r="AC1319" s="8">
        <v>271251</v>
      </c>
      <c r="AD1319" s="13">
        <f t="shared" si="318"/>
        <v>110</v>
      </c>
      <c r="AE1319" s="135"/>
      <c r="AF1319" s="135"/>
      <c r="AG1319" s="135"/>
      <c r="AH1319" s="136"/>
      <c r="AI1319" s="50">
        <f t="shared" si="311"/>
        <v>1778</v>
      </c>
    </row>
    <row r="1320" spans="1:35">
      <c r="A1320" s="12">
        <v>45695</v>
      </c>
      <c r="B1320" s="8">
        <f t="shared" si="307"/>
        <v>2140678</v>
      </c>
      <c r="C1320" s="8">
        <v>2141361</v>
      </c>
      <c r="D1320" s="13">
        <f t="shared" si="308"/>
        <v>683</v>
      </c>
      <c r="E1320" s="77">
        <f t="shared" si="301"/>
        <v>141853</v>
      </c>
      <c r="F1320" s="69">
        <v>142665</v>
      </c>
      <c r="G1320" s="133">
        <f t="shared" si="319"/>
        <v>812</v>
      </c>
      <c r="H1320" s="8">
        <f t="shared" si="302"/>
        <v>362135</v>
      </c>
      <c r="I1320" s="8">
        <v>362135</v>
      </c>
      <c r="J1320" s="13">
        <f t="shared" si="312"/>
        <v>0</v>
      </c>
      <c r="K1320" s="138">
        <f t="shared" ref="K1320:K1383" si="321">J1320+G1320+D1320</f>
        <v>1495</v>
      </c>
      <c r="L1320" s="8">
        <f t="shared" si="303"/>
        <v>1293205</v>
      </c>
      <c r="M1320" s="8">
        <v>1294569</v>
      </c>
      <c r="N1320" s="13">
        <f t="shared" si="317"/>
        <v>1364</v>
      </c>
      <c r="O1320" s="136">
        <f t="shared" si="310"/>
        <v>948</v>
      </c>
      <c r="P1320" s="8">
        <f t="shared" si="305"/>
        <v>656619</v>
      </c>
      <c r="Q1320" s="8">
        <v>656619</v>
      </c>
      <c r="R1320" s="133">
        <v>600</v>
      </c>
      <c r="S1320" s="8">
        <f t="shared" si="320"/>
        <v>49975</v>
      </c>
      <c r="T1320" s="8">
        <v>50043</v>
      </c>
      <c r="U1320" s="133">
        <f t="shared" si="313"/>
        <v>68</v>
      </c>
      <c r="V1320" s="8">
        <f t="shared" si="304"/>
        <v>385499</v>
      </c>
      <c r="W1320" s="8">
        <v>385751</v>
      </c>
      <c r="X1320" s="13">
        <f t="shared" si="314"/>
        <v>252</v>
      </c>
      <c r="Y1320" s="8">
        <f t="shared" si="299"/>
        <v>44012</v>
      </c>
      <c r="Z1320" s="8">
        <v>44038</v>
      </c>
      <c r="AA1320" s="13">
        <f t="shared" si="315"/>
        <v>26</v>
      </c>
      <c r="AB1320" s="8">
        <f t="shared" si="316"/>
        <v>271251</v>
      </c>
      <c r="AC1320" s="8">
        <v>271372</v>
      </c>
      <c r="AD1320" s="13">
        <f t="shared" si="318"/>
        <v>121</v>
      </c>
      <c r="AE1320" s="135"/>
      <c r="AF1320" s="135"/>
      <c r="AG1320" s="135"/>
      <c r="AH1320" s="136"/>
      <c r="AI1320" s="50">
        <f t="shared" si="311"/>
        <v>1894</v>
      </c>
    </row>
    <row r="1321" spans="1:35">
      <c r="A1321" s="12">
        <v>45696</v>
      </c>
      <c r="B1321" s="8">
        <f t="shared" si="307"/>
        <v>2141361</v>
      </c>
      <c r="C1321" s="8">
        <v>2141972</v>
      </c>
      <c r="D1321" s="13">
        <f t="shared" si="308"/>
        <v>611</v>
      </c>
      <c r="E1321" s="77">
        <f t="shared" si="301"/>
        <v>142665</v>
      </c>
      <c r="F1321" s="69">
        <v>143314</v>
      </c>
      <c r="G1321" s="133">
        <f t="shared" si="319"/>
        <v>649</v>
      </c>
      <c r="H1321" s="8">
        <f t="shared" si="302"/>
        <v>362135</v>
      </c>
      <c r="I1321" s="8">
        <v>362135</v>
      </c>
      <c r="J1321" s="13">
        <f t="shared" si="312"/>
        <v>0</v>
      </c>
      <c r="K1321" s="138">
        <f t="shared" si="321"/>
        <v>1260</v>
      </c>
      <c r="L1321" s="8">
        <f t="shared" si="303"/>
        <v>1294569</v>
      </c>
      <c r="M1321" s="8">
        <v>1295685</v>
      </c>
      <c r="N1321" s="13">
        <f t="shared" si="317"/>
        <v>1116</v>
      </c>
      <c r="O1321" s="136">
        <f t="shared" si="310"/>
        <v>718</v>
      </c>
      <c r="P1321" s="8">
        <f t="shared" si="305"/>
        <v>656619</v>
      </c>
      <c r="Q1321" s="8">
        <v>656619</v>
      </c>
      <c r="R1321" s="133">
        <v>585</v>
      </c>
      <c r="S1321" s="8">
        <f t="shared" si="320"/>
        <v>50043</v>
      </c>
      <c r="T1321" s="8">
        <v>50099</v>
      </c>
      <c r="U1321" s="133">
        <f t="shared" si="313"/>
        <v>56</v>
      </c>
      <c r="V1321" s="8">
        <f t="shared" si="304"/>
        <v>385751</v>
      </c>
      <c r="W1321" s="8">
        <v>385948</v>
      </c>
      <c r="X1321" s="13">
        <f t="shared" si="314"/>
        <v>197</v>
      </c>
      <c r="Y1321" s="8">
        <f t="shared" si="299"/>
        <v>44038</v>
      </c>
      <c r="Z1321" s="8">
        <v>44060</v>
      </c>
      <c r="AA1321" s="13">
        <f t="shared" si="315"/>
        <v>22</v>
      </c>
      <c r="AB1321" s="8">
        <f t="shared" si="316"/>
        <v>271372</v>
      </c>
      <c r="AC1321" s="8">
        <v>271471</v>
      </c>
      <c r="AD1321" s="13">
        <f t="shared" si="318"/>
        <v>99</v>
      </c>
      <c r="AE1321" s="135"/>
      <c r="AF1321" s="135"/>
      <c r="AG1321" s="135"/>
      <c r="AH1321" s="136"/>
      <c r="AI1321" s="50">
        <f t="shared" si="311"/>
        <v>1578</v>
      </c>
    </row>
    <row r="1322" spans="1:35">
      <c r="A1322" s="12">
        <v>45697</v>
      </c>
      <c r="B1322" s="8">
        <f t="shared" si="307"/>
        <v>2141972</v>
      </c>
      <c r="C1322" s="8">
        <v>2142950</v>
      </c>
      <c r="D1322" s="13">
        <f t="shared" si="308"/>
        <v>978</v>
      </c>
      <c r="E1322" s="77">
        <f t="shared" si="301"/>
        <v>143314</v>
      </c>
      <c r="F1322" s="69">
        <v>143979</v>
      </c>
      <c r="G1322" s="133">
        <f t="shared" si="319"/>
        <v>665</v>
      </c>
      <c r="H1322" s="8">
        <f t="shared" si="302"/>
        <v>362135</v>
      </c>
      <c r="I1322" s="8">
        <v>362135</v>
      </c>
      <c r="J1322" s="13">
        <f t="shared" si="312"/>
        <v>0</v>
      </c>
      <c r="K1322" s="138">
        <f t="shared" si="321"/>
        <v>1643</v>
      </c>
      <c r="L1322" s="8">
        <f t="shared" si="303"/>
        <v>1295685</v>
      </c>
      <c r="M1322" s="8">
        <v>1297058</v>
      </c>
      <c r="N1322" s="13">
        <f t="shared" si="317"/>
        <v>1373</v>
      </c>
      <c r="O1322" s="136">
        <f t="shared" si="310"/>
        <v>1109</v>
      </c>
      <c r="P1322" s="8">
        <f t="shared" si="305"/>
        <v>656619</v>
      </c>
      <c r="Q1322" s="8">
        <v>656619</v>
      </c>
      <c r="R1322" s="133">
        <v>600</v>
      </c>
      <c r="S1322" s="8">
        <f t="shared" si="320"/>
        <v>50099</v>
      </c>
      <c r="T1322" s="8">
        <v>50099</v>
      </c>
      <c r="U1322" s="133">
        <v>50</v>
      </c>
      <c r="V1322" s="8">
        <f t="shared" si="304"/>
        <v>385948</v>
      </c>
      <c r="W1322" s="8">
        <v>386161</v>
      </c>
      <c r="X1322" s="13">
        <f t="shared" si="314"/>
        <v>213</v>
      </c>
      <c r="Y1322" s="8">
        <f t="shared" ref="Y1322:Y1385" si="322">Z1321</f>
        <v>44060</v>
      </c>
      <c r="Z1322" s="8">
        <v>44115</v>
      </c>
      <c r="AA1322" s="13">
        <f t="shared" si="315"/>
        <v>55</v>
      </c>
      <c r="AB1322" s="8">
        <f t="shared" si="316"/>
        <v>271471</v>
      </c>
      <c r="AC1322" s="8">
        <v>271587</v>
      </c>
      <c r="AD1322" s="13">
        <f t="shared" si="318"/>
        <v>116</v>
      </c>
      <c r="AE1322" s="135"/>
      <c r="AF1322" s="135"/>
      <c r="AG1322" s="135"/>
      <c r="AH1322" s="136"/>
      <c r="AI1322" s="50">
        <f t="shared" si="311"/>
        <v>2027</v>
      </c>
    </row>
    <row r="1323" spans="1:35">
      <c r="A1323" s="12">
        <v>45698</v>
      </c>
      <c r="B1323" s="8">
        <f t="shared" si="307"/>
        <v>2142950</v>
      </c>
      <c r="C1323" s="8">
        <v>2143630</v>
      </c>
      <c r="D1323" s="13">
        <f t="shared" si="308"/>
        <v>680</v>
      </c>
      <c r="E1323" s="77">
        <f t="shared" si="301"/>
        <v>143979</v>
      </c>
      <c r="F1323" s="69">
        <v>144385</v>
      </c>
      <c r="G1323" s="133">
        <f t="shared" si="319"/>
        <v>406</v>
      </c>
      <c r="H1323" s="8">
        <f t="shared" si="302"/>
        <v>362135</v>
      </c>
      <c r="I1323" s="8">
        <v>362135</v>
      </c>
      <c r="J1323" s="13">
        <f t="shared" si="312"/>
        <v>0</v>
      </c>
      <c r="K1323" s="138">
        <f t="shared" si="321"/>
        <v>1086</v>
      </c>
      <c r="L1323" s="8">
        <f t="shared" si="303"/>
        <v>1297058</v>
      </c>
      <c r="M1323" s="8">
        <v>1298316</v>
      </c>
      <c r="N1323" s="13">
        <f t="shared" si="317"/>
        <v>1258</v>
      </c>
      <c r="O1323" s="136">
        <f t="shared" si="310"/>
        <v>541</v>
      </c>
      <c r="P1323" s="8">
        <f t="shared" si="305"/>
        <v>656619</v>
      </c>
      <c r="Q1323" s="8">
        <v>656619</v>
      </c>
      <c r="R1323" s="133">
        <v>586</v>
      </c>
      <c r="S1323" s="8">
        <f t="shared" si="320"/>
        <v>50099</v>
      </c>
      <c r="T1323" s="8">
        <v>50099</v>
      </c>
      <c r="U1323" s="133">
        <v>55</v>
      </c>
      <c r="V1323" s="8">
        <f t="shared" si="304"/>
        <v>386161</v>
      </c>
      <c r="W1323" s="8">
        <v>386350</v>
      </c>
      <c r="X1323" s="13">
        <f t="shared" si="314"/>
        <v>189</v>
      </c>
      <c r="Y1323" s="8">
        <f t="shared" si="322"/>
        <v>44115</v>
      </c>
      <c r="Z1323" s="8">
        <v>44145</v>
      </c>
      <c r="AA1323" s="13">
        <f t="shared" si="315"/>
        <v>30</v>
      </c>
      <c r="AB1323" s="8">
        <f t="shared" si="316"/>
        <v>271587</v>
      </c>
      <c r="AC1323" s="8">
        <v>271683</v>
      </c>
      <c r="AD1323" s="13">
        <f t="shared" si="318"/>
        <v>96</v>
      </c>
      <c r="AE1323" s="135"/>
      <c r="AF1323" s="135"/>
      <c r="AG1323" s="135"/>
      <c r="AH1323" s="136"/>
      <c r="AI1323" s="50">
        <f t="shared" si="311"/>
        <v>1401</v>
      </c>
    </row>
    <row r="1324" spans="1:35">
      <c r="A1324" s="12">
        <v>45699</v>
      </c>
      <c r="B1324" s="8">
        <f t="shared" si="307"/>
        <v>2143630</v>
      </c>
      <c r="C1324" s="8">
        <v>2144203</v>
      </c>
      <c r="D1324" s="13">
        <f t="shared" si="308"/>
        <v>573</v>
      </c>
      <c r="E1324" s="77">
        <f t="shared" si="301"/>
        <v>144385</v>
      </c>
      <c r="F1324" s="69">
        <v>145138</v>
      </c>
      <c r="G1324" s="133">
        <f t="shared" si="319"/>
        <v>753</v>
      </c>
      <c r="H1324" s="8">
        <f t="shared" si="302"/>
        <v>362135</v>
      </c>
      <c r="I1324" s="8">
        <v>362135</v>
      </c>
      <c r="J1324" s="13">
        <f t="shared" si="312"/>
        <v>0</v>
      </c>
      <c r="K1324" s="138">
        <f t="shared" si="321"/>
        <v>1326</v>
      </c>
      <c r="L1324" s="8">
        <f t="shared" si="303"/>
        <v>1298316</v>
      </c>
      <c r="M1324" s="8">
        <v>1299655</v>
      </c>
      <c r="N1324" s="13">
        <f t="shared" si="317"/>
        <v>1339</v>
      </c>
      <c r="O1324" s="136">
        <f t="shared" si="310"/>
        <v>677</v>
      </c>
      <c r="P1324" s="8">
        <f t="shared" si="305"/>
        <v>656619</v>
      </c>
      <c r="Q1324" s="8">
        <v>170883</v>
      </c>
      <c r="R1324" s="133">
        <v>586</v>
      </c>
      <c r="S1324" s="8">
        <f t="shared" si="320"/>
        <v>50099</v>
      </c>
      <c r="T1324" s="8">
        <v>50243</v>
      </c>
      <c r="U1324" s="133">
        <f t="shared" si="313"/>
        <v>144</v>
      </c>
      <c r="V1324" s="8">
        <f t="shared" si="304"/>
        <v>386350</v>
      </c>
      <c r="W1324" s="8">
        <v>386590</v>
      </c>
      <c r="X1324" s="13">
        <f t="shared" si="314"/>
        <v>240</v>
      </c>
      <c r="Y1324" s="8">
        <f t="shared" si="322"/>
        <v>44145</v>
      </c>
      <c r="Z1324" s="8">
        <v>44179</v>
      </c>
      <c r="AA1324" s="13">
        <f t="shared" si="315"/>
        <v>34</v>
      </c>
      <c r="AB1324" s="8">
        <f t="shared" si="316"/>
        <v>271683</v>
      </c>
      <c r="AC1324" s="8">
        <v>271764</v>
      </c>
      <c r="AD1324" s="13">
        <f t="shared" si="318"/>
        <v>81</v>
      </c>
      <c r="AE1324" s="135"/>
      <c r="AF1324" s="135"/>
      <c r="AG1324" s="135"/>
      <c r="AH1324" s="136"/>
      <c r="AI1324" s="50">
        <f t="shared" si="311"/>
        <v>1681</v>
      </c>
    </row>
    <row r="1325" spans="1:35">
      <c r="A1325" s="12">
        <v>45700</v>
      </c>
      <c r="B1325" s="8">
        <f t="shared" si="307"/>
        <v>2144203</v>
      </c>
      <c r="C1325" s="8">
        <v>2144623</v>
      </c>
      <c r="D1325" s="13">
        <f t="shared" si="308"/>
        <v>420</v>
      </c>
      <c r="E1325" s="77">
        <f t="shared" ref="E1325:E1385" si="323">F1324</f>
        <v>145138</v>
      </c>
      <c r="F1325" s="69">
        <v>145928</v>
      </c>
      <c r="G1325" s="133">
        <f t="shared" si="319"/>
        <v>790</v>
      </c>
      <c r="H1325" s="8">
        <f t="shared" si="302"/>
        <v>362135</v>
      </c>
      <c r="I1325" s="8">
        <v>362135</v>
      </c>
      <c r="J1325" s="13">
        <f t="shared" si="312"/>
        <v>0</v>
      </c>
      <c r="K1325" s="138">
        <f t="shared" si="321"/>
        <v>1210</v>
      </c>
      <c r="L1325" s="8">
        <f t="shared" si="303"/>
        <v>1299655</v>
      </c>
      <c r="M1325" s="8">
        <v>1300812</v>
      </c>
      <c r="N1325" s="13">
        <f t="shared" si="317"/>
        <v>1157</v>
      </c>
      <c r="O1325" s="136">
        <f t="shared" si="310"/>
        <v>658</v>
      </c>
      <c r="P1325" s="8">
        <f t="shared" si="305"/>
        <v>170883</v>
      </c>
      <c r="Q1325" s="8">
        <v>171203</v>
      </c>
      <c r="R1325" s="133">
        <v>520</v>
      </c>
      <c r="S1325" s="8">
        <f t="shared" si="320"/>
        <v>50243</v>
      </c>
      <c r="T1325" s="8">
        <v>50353</v>
      </c>
      <c r="U1325" s="133">
        <f t="shared" si="313"/>
        <v>110</v>
      </c>
      <c r="V1325" s="8">
        <f t="shared" si="304"/>
        <v>386590</v>
      </c>
      <c r="W1325" s="8">
        <v>386810</v>
      </c>
      <c r="X1325" s="13">
        <f t="shared" si="314"/>
        <v>220</v>
      </c>
      <c r="Y1325" s="8">
        <f t="shared" si="322"/>
        <v>44179</v>
      </c>
      <c r="Z1325" s="8">
        <v>44209</v>
      </c>
      <c r="AA1325" s="13">
        <f t="shared" si="315"/>
        <v>30</v>
      </c>
      <c r="AB1325" s="8">
        <f t="shared" si="316"/>
        <v>271764</v>
      </c>
      <c r="AC1325" s="8">
        <v>271842</v>
      </c>
      <c r="AD1325" s="13">
        <f t="shared" si="318"/>
        <v>78</v>
      </c>
      <c r="AE1325" s="135"/>
      <c r="AF1325" s="135"/>
      <c r="AG1325" s="135"/>
      <c r="AH1325" s="136"/>
      <c r="AI1325" s="50">
        <f t="shared" si="311"/>
        <v>1538</v>
      </c>
    </row>
    <row r="1326" spans="1:35">
      <c r="A1326" s="12">
        <v>45701</v>
      </c>
      <c r="B1326" s="8">
        <f t="shared" si="307"/>
        <v>2144623</v>
      </c>
      <c r="C1326" s="8">
        <v>2144892</v>
      </c>
      <c r="D1326" s="13">
        <f t="shared" si="308"/>
        <v>269</v>
      </c>
      <c r="E1326" s="77">
        <f t="shared" si="323"/>
        <v>145928</v>
      </c>
      <c r="F1326" s="69">
        <v>146643</v>
      </c>
      <c r="G1326" s="133">
        <f t="shared" si="319"/>
        <v>715</v>
      </c>
      <c r="H1326" s="8">
        <f t="shared" ref="H1326:H1385" si="324">I1325</f>
        <v>362135</v>
      </c>
      <c r="I1326" s="8">
        <v>362135</v>
      </c>
      <c r="J1326" s="13">
        <f t="shared" si="312"/>
        <v>0</v>
      </c>
      <c r="K1326" s="138">
        <f t="shared" si="321"/>
        <v>984</v>
      </c>
      <c r="L1326" s="8">
        <f t="shared" ref="L1326:L1346" si="325">M1325</f>
        <v>1300812</v>
      </c>
      <c r="M1326" s="8">
        <v>1301833</v>
      </c>
      <c r="N1326" s="13">
        <f t="shared" si="317"/>
        <v>1021</v>
      </c>
      <c r="O1326" s="136">
        <f t="shared" si="310"/>
        <v>466</v>
      </c>
      <c r="P1326" s="8">
        <f t="shared" si="305"/>
        <v>171203</v>
      </c>
      <c r="Q1326" s="8">
        <v>171646</v>
      </c>
      <c r="R1326" s="133">
        <f t="shared" ref="R1326:R1389" si="326">Q1326-P1326</f>
        <v>443</v>
      </c>
      <c r="S1326" s="8">
        <f t="shared" si="320"/>
        <v>50353</v>
      </c>
      <c r="T1326" s="8">
        <v>50498</v>
      </c>
      <c r="U1326" s="133">
        <f t="shared" si="313"/>
        <v>145</v>
      </c>
      <c r="V1326" s="8">
        <f t="shared" ref="V1326:V1385" si="327">W1325</f>
        <v>386810</v>
      </c>
      <c r="W1326" s="8">
        <v>387014</v>
      </c>
      <c r="X1326" s="13">
        <f t="shared" si="314"/>
        <v>204</v>
      </c>
      <c r="Y1326" s="8">
        <f t="shared" si="322"/>
        <v>44209</v>
      </c>
      <c r="Z1326" s="8">
        <v>44248</v>
      </c>
      <c r="AA1326" s="13">
        <f t="shared" si="315"/>
        <v>39</v>
      </c>
      <c r="AB1326" s="8">
        <f t="shared" si="316"/>
        <v>271842</v>
      </c>
      <c r="AC1326" s="8">
        <v>271912</v>
      </c>
      <c r="AD1326" s="13">
        <f t="shared" si="318"/>
        <v>70</v>
      </c>
      <c r="AE1326" s="135"/>
      <c r="AF1326" s="135"/>
      <c r="AG1326" s="135"/>
      <c r="AH1326" s="136"/>
      <c r="AI1326" s="50">
        <f t="shared" si="311"/>
        <v>1297</v>
      </c>
    </row>
    <row r="1327" spans="1:35">
      <c r="A1327" s="12">
        <v>45702</v>
      </c>
      <c r="B1327" s="8">
        <f t="shared" si="307"/>
        <v>2144892</v>
      </c>
      <c r="C1327" s="8">
        <v>2145460</v>
      </c>
      <c r="D1327" s="13">
        <f t="shared" si="308"/>
        <v>568</v>
      </c>
      <c r="E1327" s="77">
        <f t="shared" si="323"/>
        <v>146643</v>
      </c>
      <c r="F1327" s="69">
        <v>147435</v>
      </c>
      <c r="G1327" s="133">
        <f t="shared" si="319"/>
        <v>792</v>
      </c>
      <c r="H1327" s="8">
        <f t="shared" si="324"/>
        <v>362135</v>
      </c>
      <c r="I1327" s="8">
        <v>362135</v>
      </c>
      <c r="J1327" s="13">
        <f t="shared" si="312"/>
        <v>0</v>
      </c>
      <c r="K1327" s="138">
        <f t="shared" si="321"/>
        <v>1360</v>
      </c>
      <c r="L1327" s="8">
        <f t="shared" si="325"/>
        <v>1301833</v>
      </c>
      <c r="M1327" s="8">
        <v>1303283</v>
      </c>
      <c r="N1327" s="13">
        <f t="shared" si="317"/>
        <v>1450</v>
      </c>
      <c r="O1327" s="136">
        <f t="shared" si="310"/>
        <v>725</v>
      </c>
      <c r="P1327" s="8">
        <f t="shared" si="305"/>
        <v>171646</v>
      </c>
      <c r="Q1327" s="8">
        <v>172288</v>
      </c>
      <c r="R1327" s="133">
        <f t="shared" si="326"/>
        <v>642</v>
      </c>
      <c r="S1327" s="8">
        <f t="shared" si="320"/>
        <v>50498</v>
      </c>
      <c r="T1327" s="8">
        <v>50598</v>
      </c>
      <c r="U1327" s="133">
        <f t="shared" si="313"/>
        <v>100</v>
      </c>
      <c r="V1327" s="8">
        <f t="shared" si="327"/>
        <v>387014</v>
      </c>
      <c r="W1327" s="8">
        <v>387214</v>
      </c>
      <c r="X1327" s="13">
        <f t="shared" si="314"/>
        <v>200</v>
      </c>
      <c r="Y1327" s="8">
        <f t="shared" si="322"/>
        <v>44248</v>
      </c>
      <c r="Z1327" s="8">
        <v>44279</v>
      </c>
      <c r="AA1327" s="13">
        <f t="shared" si="315"/>
        <v>31</v>
      </c>
      <c r="AB1327" s="8">
        <f t="shared" si="316"/>
        <v>271912</v>
      </c>
      <c r="AC1327" s="8">
        <v>272019</v>
      </c>
      <c r="AD1327" s="13">
        <f t="shared" si="318"/>
        <v>107</v>
      </c>
      <c r="AE1327" s="135"/>
      <c r="AF1327" s="135"/>
      <c r="AG1327" s="135"/>
      <c r="AH1327" s="136"/>
      <c r="AI1327" s="50">
        <f t="shared" si="311"/>
        <v>1698</v>
      </c>
    </row>
    <row r="1328" spans="1:35">
      <c r="A1328" s="12">
        <v>45703</v>
      </c>
      <c r="B1328" s="8">
        <f t="shared" si="307"/>
        <v>2145460</v>
      </c>
      <c r="C1328" s="8">
        <v>2146045</v>
      </c>
      <c r="D1328" s="13">
        <f t="shared" si="308"/>
        <v>585</v>
      </c>
      <c r="E1328" s="77">
        <f t="shared" si="323"/>
        <v>147435</v>
      </c>
      <c r="F1328" s="69">
        <v>148081</v>
      </c>
      <c r="G1328" s="133">
        <f t="shared" si="319"/>
        <v>646</v>
      </c>
      <c r="H1328" s="8">
        <f t="shared" si="324"/>
        <v>362135</v>
      </c>
      <c r="I1328" s="8">
        <v>362135</v>
      </c>
      <c r="J1328" s="13">
        <f t="shared" si="312"/>
        <v>0</v>
      </c>
      <c r="K1328" s="138">
        <f t="shared" si="321"/>
        <v>1231</v>
      </c>
      <c r="L1328" s="8">
        <f t="shared" si="325"/>
        <v>1303283</v>
      </c>
      <c r="M1328" s="8">
        <v>1304111</v>
      </c>
      <c r="N1328" s="13">
        <f t="shared" si="317"/>
        <v>828</v>
      </c>
      <c r="O1328" s="136">
        <f t="shared" si="310"/>
        <v>885</v>
      </c>
      <c r="P1328" s="8">
        <f t="shared" si="305"/>
        <v>172288</v>
      </c>
      <c r="Q1328" s="8">
        <v>172667</v>
      </c>
      <c r="R1328" s="133">
        <f t="shared" si="326"/>
        <v>379</v>
      </c>
      <c r="S1328" s="8">
        <f t="shared" si="320"/>
        <v>50598</v>
      </c>
      <c r="T1328" s="8">
        <v>50700</v>
      </c>
      <c r="U1328" s="133">
        <f t="shared" si="313"/>
        <v>102</v>
      </c>
      <c r="V1328" s="8">
        <f t="shared" si="327"/>
        <v>387214</v>
      </c>
      <c r="W1328" s="8">
        <v>387439</v>
      </c>
      <c r="X1328" s="13">
        <f t="shared" si="314"/>
        <v>225</v>
      </c>
      <c r="Y1328" s="8">
        <f t="shared" si="322"/>
        <v>44279</v>
      </c>
      <c r="Z1328" s="8">
        <v>44309</v>
      </c>
      <c r="AA1328" s="13">
        <f t="shared" si="315"/>
        <v>30</v>
      </c>
      <c r="AB1328" s="8">
        <f t="shared" si="316"/>
        <v>272019</v>
      </c>
      <c r="AC1328" s="8">
        <v>272154</v>
      </c>
      <c r="AD1328" s="13">
        <f t="shared" si="318"/>
        <v>135</v>
      </c>
      <c r="AE1328" s="135"/>
      <c r="AF1328" s="135"/>
      <c r="AG1328" s="135"/>
      <c r="AH1328" s="136"/>
      <c r="AI1328" s="50">
        <f t="shared" si="311"/>
        <v>1621</v>
      </c>
    </row>
    <row r="1329" spans="1:35">
      <c r="A1329" s="12">
        <v>45704</v>
      </c>
      <c r="B1329" s="8">
        <f t="shared" si="307"/>
        <v>2146045</v>
      </c>
      <c r="C1329" s="8">
        <v>2146789</v>
      </c>
      <c r="D1329" s="13">
        <f t="shared" si="308"/>
        <v>744</v>
      </c>
      <c r="E1329" s="77">
        <f t="shared" si="323"/>
        <v>148081</v>
      </c>
      <c r="F1329" s="69">
        <v>148913</v>
      </c>
      <c r="G1329" s="133">
        <f t="shared" si="319"/>
        <v>832</v>
      </c>
      <c r="H1329" s="8">
        <f t="shared" si="324"/>
        <v>362135</v>
      </c>
      <c r="I1329" s="8">
        <v>362135</v>
      </c>
      <c r="J1329" s="13">
        <f t="shared" si="312"/>
        <v>0</v>
      </c>
      <c r="K1329" s="138">
        <f t="shared" si="321"/>
        <v>1576</v>
      </c>
      <c r="L1329" s="8">
        <f t="shared" si="325"/>
        <v>1304111</v>
      </c>
      <c r="M1329" s="8">
        <v>1305444</v>
      </c>
      <c r="N1329" s="13">
        <f t="shared" si="317"/>
        <v>1333</v>
      </c>
      <c r="O1329" s="136">
        <f t="shared" si="310"/>
        <v>810</v>
      </c>
      <c r="P1329" s="8">
        <f t="shared" ref="P1329:P1392" si="328">Q1328</f>
        <v>172667</v>
      </c>
      <c r="Q1329" s="8">
        <v>173307</v>
      </c>
      <c r="R1329" s="133">
        <f t="shared" si="326"/>
        <v>640</v>
      </c>
      <c r="S1329" s="8">
        <f t="shared" si="320"/>
        <v>50700</v>
      </c>
      <c r="T1329" s="8">
        <v>50923</v>
      </c>
      <c r="U1329" s="133">
        <f t="shared" si="313"/>
        <v>223</v>
      </c>
      <c r="V1329" s="8">
        <f t="shared" si="327"/>
        <v>387439</v>
      </c>
      <c r="W1329" s="8">
        <v>387652</v>
      </c>
      <c r="X1329" s="13">
        <f t="shared" si="314"/>
        <v>213</v>
      </c>
      <c r="Y1329" s="8">
        <f t="shared" si="322"/>
        <v>44309</v>
      </c>
      <c r="Z1329" s="8">
        <v>44364</v>
      </c>
      <c r="AA1329" s="13">
        <f t="shared" si="315"/>
        <v>55</v>
      </c>
      <c r="AB1329" s="8">
        <f t="shared" si="316"/>
        <v>272154</v>
      </c>
      <c r="AC1329" s="8">
        <v>272251</v>
      </c>
      <c r="AD1329" s="13">
        <f t="shared" si="318"/>
        <v>97</v>
      </c>
      <c r="AE1329" s="135"/>
      <c r="AF1329" s="135"/>
      <c r="AG1329" s="135"/>
      <c r="AH1329" s="136"/>
      <c r="AI1329" s="50">
        <f t="shared" si="311"/>
        <v>1941</v>
      </c>
    </row>
    <row r="1330" spans="1:35">
      <c r="A1330" s="12">
        <v>45705</v>
      </c>
      <c r="B1330" s="8">
        <f t="shared" si="307"/>
        <v>2146789</v>
      </c>
      <c r="C1330" s="8">
        <v>2147583</v>
      </c>
      <c r="D1330" s="13">
        <f t="shared" si="308"/>
        <v>794</v>
      </c>
      <c r="E1330" s="77">
        <f t="shared" si="323"/>
        <v>148913</v>
      </c>
      <c r="F1330" s="69">
        <v>149657</v>
      </c>
      <c r="G1330" s="133">
        <f t="shared" si="319"/>
        <v>744</v>
      </c>
      <c r="H1330" s="8">
        <f t="shared" si="324"/>
        <v>362135</v>
      </c>
      <c r="I1330" s="8">
        <v>362135</v>
      </c>
      <c r="J1330" s="13">
        <f t="shared" si="312"/>
        <v>0</v>
      </c>
      <c r="K1330" s="138">
        <f t="shared" si="321"/>
        <v>1538</v>
      </c>
      <c r="L1330" s="8">
        <f t="shared" si="325"/>
        <v>1305444</v>
      </c>
      <c r="M1330" s="8">
        <v>1306698</v>
      </c>
      <c r="N1330" s="13">
        <f t="shared" si="317"/>
        <v>1254</v>
      </c>
      <c r="O1330" s="136">
        <f t="shared" si="310"/>
        <v>992</v>
      </c>
      <c r="P1330" s="8">
        <f t="shared" si="328"/>
        <v>173307</v>
      </c>
      <c r="Q1330" s="8">
        <v>173872</v>
      </c>
      <c r="R1330" s="133">
        <f t="shared" si="326"/>
        <v>565</v>
      </c>
      <c r="S1330" s="8">
        <f t="shared" si="320"/>
        <v>50923</v>
      </c>
      <c r="T1330" s="8">
        <v>50993</v>
      </c>
      <c r="U1330" s="133">
        <f t="shared" si="313"/>
        <v>70</v>
      </c>
      <c r="V1330" s="8">
        <f t="shared" si="327"/>
        <v>387652</v>
      </c>
      <c r="W1330" s="8">
        <v>387826</v>
      </c>
      <c r="X1330" s="13">
        <f t="shared" si="314"/>
        <v>174</v>
      </c>
      <c r="Y1330" s="8">
        <f t="shared" si="322"/>
        <v>44364</v>
      </c>
      <c r="Z1330" s="8">
        <v>44400</v>
      </c>
      <c r="AA1330" s="13">
        <f t="shared" si="315"/>
        <v>36</v>
      </c>
      <c r="AB1330" s="8">
        <f t="shared" si="316"/>
        <v>272251</v>
      </c>
      <c r="AC1330" s="8">
        <v>272340</v>
      </c>
      <c r="AD1330" s="13">
        <f t="shared" si="318"/>
        <v>89</v>
      </c>
      <c r="AE1330" s="135"/>
      <c r="AF1330" s="135"/>
      <c r="AG1330" s="135"/>
      <c r="AH1330" s="136"/>
      <c r="AI1330" s="50">
        <f t="shared" si="311"/>
        <v>1837</v>
      </c>
    </row>
    <row r="1331" spans="1:35">
      <c r="A1331" s="12">
        <v>45706</v>
      </c>
      <c r="B1331" s="8">
        <f t="shared" si="307"/>
        <v>2147583</v>
      </c>
      <c r="C1331" s="8">
        <v>2148324</v>
      </c>
      <c r="D1331" s="13">
        <f t="shared" si="308"/>
        <v>741</v>
      </c>
      <c r="E1331" s="77">
        <f t="shared" si="323"/>
        <v>149657</v>
      </c>
      <c r="F1331" s="69">
        <v>150414</v>
      </c>
      <c r="G1331" s="133">
        <f t="shared" si="319"/>
        <v>757</v>
      </c>
      <c r="H1331" s="8">
        <f t="shared" si="324"/>
        <v>362135</v>
      </c>
      <c r="I1331" s="8">
        <v>362135</v>
      </c>
      <c r="J1331" s="13">
        <f t="shared" si="312"/>
        <v>0</v>
      </c>
      <c r="K1331" s="138">
        <f t="shared" si="321"/>
        <v>1498</v>
      </c>
      <c r="L1331" s="8">
        <f t="shared" si="325"/>
        <v>1306698</v>
      </c>
      <c r="M1331" s="8">
        <v>1308075</v>
      </c>
      <c r="N1331" s="13">
        <f t="shared" si="317"/>
        <v>1377</v>
      </c>
      <c r="O1331" s="136">
        <f t="shared" si="310"/>
        <v>924</v>
      </c>
      <c r="P1331" s="8">
        <f t="shared" si="328"/>
        <v>173872</v>
      </c>
      <c r="Q1331" s="8">
        <v>174507</v>
      </c>
      <c r="R1331" s="133">
        <f t="shared" si="326"/>
        <v>635</v>
      </c>
      <c r="S1331" s="8">
        <f t="shared" si="320"/>
        <v>50993</v>
      </c>
      <c r="T1331" s="8">
        <v>51053</v>
      </c>
      <c r="U1331" s="133">
        <f t="shared" si="313"/>
        <v>60</v>
      </c>
      <c r="V1331" s="8">
        <f t="shared" si="327"/>
        <v>387826</v>
      </c>
      <c r="W1331" s="8">
        <v>388068</v>
      </c>
      <c r="X1331" s="13">
        <f t="shared" si="314"/>
        <v>242</v>
      </c>
      <c r="Y1331" s="8">
        <f t="shared" si="322"/>
        <v>44400</v>
      </c>
      <c r="Z1331" s="8">
        <v>44443</v>
      </c>
      <c r="AA1331" s="13">
        <f t="shared" si="315"/>
        <v>43</v>
      </c>
      <c r="AB1331" s="8">
        <f t="shared" si="316"/>
        <v>272340</v>
      </c>
      <c r="AC1331" s="8">
        <v>272461</v>
      </c>
      <c r="AD1331" s="13">
        <f t="shared" si="318"/>
        <v>121</v>
      </c>
      <c r="AE1331" s="135"/>
      <c r="AF1331" s="135"/>
      <c r="AG1331" s="135"/>
      <c r="AH1331" s="136"/>
      <c r="AI1331" s="50">
        <f t="shared" si="311"/>
        <v>1904</v>
      </c>
    </row>
    <row r="1332" spans="1:35">
      <c r="A1332" s="12">
        <v>45707</v>
      </c>
      <c r="B1332" s="8">
        <f t="shared" si="307"/>
        <v>2148324</v>
      </c>
      <c r="C1332" s="8">
        <v>2149111</v>
      </c>
      <c r="D1332" s="13">
        <f t="shared" si="308"/>
        <v>787</v>
      </c>
      <c r="E1332" s="77">
        <f t="shared" si="323"/>
        <v>150414</v>
      </c>
      <c r="F1332" s="69">
        <v>151163</v>
      </c>
      <c r="G1332" s="133">
        <f t="shared" si="319"/>
        <v>749</v>
      </c>
      <c r="H1332" s="8">
        <f t="shared" si="324"/>
        <v>362135</v>
      </c>
      <c r="I1332" s="8">
        <v>362135</v>
      </c>
      <c r="J1332" s="13">
        <f t="shared" si="312"/>
        <v>0</v>
      </c>
      <c r="K1332" s="138">
        <f t="shared" si="321"/>
        <v>1536</v>
      </c>
      <c r="L1332" s="8">
        <f t="shared" si="325"/>
        <v>1308075</v>
      </c>
      <c r="M1332" s="8">
        <v>1309354</v>
      </c>
      <c r="N1332" s="13">
        <f t="shared" si="317"/>
        <v>1279</v>
      </c>
      <c r="O1332" s="136">
        <f t="shared" si="310"/>
        <v>975</v>
      </c>
      <c r="P1332" s="8">
        <f t="shared" si="328"/>
        <v>174507</v>
      </c>
      <c r="Q1332" s="8">
        <v>175111</v>
      </c>
      <c r="R1332" s="133">
        <f t="shared" si="326"/>
        <v>604</v>
      </c>
      <c r="S1332" s="8">
        <f t="shared" si="320"/>
        <v>51053</v>
      </c>
      <c r="T1332" s="8">
        <v>51087</v>
      </c>
      <c r="U1332" s="133">
        <f t="shared" si="313"/>
        <v>34</v>
      </c>
      <c r="V1332" s="8">
        <f t="shared" si="327"/>
        <v>388068</v>
      </c>
      <c r="W1332" s="8">
        <v>388269</v>
      </c>
      <c r="X1332" s="13">
        <f t="shared" si="314"/>
        <v>201</v>
      </c>
      <c r="Y1332" s="8">
        <f t="shared" si="322"/>
        <v>44443</v>
      </c>
      <c r="Z1332" s="8">
        <v>44477</v>
      </c>
      <c r="AA1332" s="13">
        <f t="shared" si="315"/>
        <v>34</v>
      </c>
      <c r="AB1332" s="8">
        <f t="shared" si="316"/>
        <v>272461</v>
      </c>
      <c r="AC1332" s="8">
        <v>272538</v>
      </c>
      <c r="AD1332" s="13">
        <f t="shared" si="318"/>
        <v>77</v>
      </c>
      <c r="AE1332" s="135"/>
      <c r="AF1332" s="135"/>
      <c r="AG1332" s="135"/>
      <c r="AH1332" s="136"/>
      <c r="AI1332" s="50">
        <f t="shared" si="311"/>
        <v>1848</v>
      </c>
    </row>
    <row r="1333" spans="1:35">
      <c r="A1333" s="12">
        <v>45708</v>
      </c>
      <c r="B1333" s="8">
        <f t="shared" si="307"/>
        <v>2149111</v>
      </c>
      <c r="C1333" s="8">
        <v>2149863</v>
      </c>
      <c r="D1333" s="13">
        <f t="shared" si="308"/>
        <v>752</v>
      </c>
      <c r="E1333" s="77">
        <f t="shared" si="323"/>
        <v>151163</v>
      </c>
      <c r="F1333" s="69">
        <v>151906</v>
      </c>
      <c r="G1333" s="133">
        <f t="shared" si="319"/>
        <v>743</v>
      </c>
      <c r="H1333" s="8">
        <f t="shared" si="324"/>
        <v>362135</v>
      </c>
      <c r="I1333" s="8">
        <v>362135</v>
      </c>
      <c r="J1333" s="13">
        <f t="shared" si="312"/>
        <v>0</v>
      </c>
      <c r="K1333" s="138">
        <f t="shared" si="321"/>
        <v>1495</v>
      </c>
      <c r="L1333" s="8">
        <f t="shared" si="325"/>
        <v>1309354</v>
      </c>
      <c r="M1333" s="8">
        <v>1310654</v>
      </c>
      <c r="N1333" s="13">
        <f t="shared" si="317"/>
        <v>1300</v>
      </c>
      <c r="O1333" s="136">
        <f t="shared" si="310"/>
        <v>927</v>
      </c>
      <c r="P1333" s="8">
        <f t="shared" si="328"/>
        <v>175111</v>
      </c>
      <c r="Q1333" s="8">
        <v>175748</v>
      </c>
      <c r="R1333" s="133">
        <f t="shared" si="326"/>
        <v>637</v>
      </c>
      <c r="S1333" s="8">
        <f t="shared" si="320"/>
        <v>51087</v>
      </c>
      <c r="T1333" s="8">
        <v>51114</v>
      </c>
      <c r="U1333" s="133">
        <f t="shared" si="313"/>
        <v>27</v>
      </c>
      <c r="V1333" s="8">
        <f t="shared" si="327"/>
        <v>388269</v>
      </c>
      <c r="W1333" s="8">
        <v>388482</v>
      </c>
      <c r="X1333" s="13">
        <f t="shared" si="314"/>
        <v>213</v>
      </c>
      <c r="Y1333" s="8">
        <f t="shared" si="322"/>
        <v>44477</v>
      </c>
      <c r="Z1333" s="8">
        <v>44477</v>
      </c>
      <c r="AA1333" s="13">
        <f t="shared" si="315"/>
        <v>0</v>
      </c>
      <c r="AB1333" s="8">
        <f t="shared" si="316"/>
        <v>272538</v>
      </c>
      <c r="AC1333" s="8">
        <v>272634</v>
      </c>
      <c r="AD1333" s="13">
        <f t="shared" si="318"/>
        <v>96</v>
      </c>
      <c r="AE1333" s="135"/>
      <c r="AF1333" s="135"/>
      <c r="AG1333" s="135"/>
      <c r="AH1333" s="136"/>
      <c r="AI1333" s="50">
        <f t="shared" si="311"/>
        <v>1804</v>
      </c>
    </row>
    <row r="1334" spans="1:35">
      <c r="A1334" s="12">
        <v>45709</v>
      </c>
      <c r="B1334" s="8">
        <f t="shared" si="307"/>
        <v>2149863</v>
      </c>
      <c r="C1334" s="8">
        <v>2150319</v>
      </c>
      <c r="D1334" s="13">
        <f t="shared" si="308"/>
        <v>456</v>
      </c>
      <c r="E1334" s="77">
        <f t="shared" si="323"/>
        <v>151906</v>
      </c>
      <c r="F1334" s="69">
        <v>152659</v>
      </c>
      <c r="G1334" s="133">
        <f t="shared" si="319"/>
        <v>753</v>
      </c>
      <c r="H1334" s="8">
        <f t="shared" si="324"/>
        <v>362135</v>
      </c>
      <c r="I1334" s="8">
        <v>362135</v>
      </c>
      <c r="J1334" s="13">
        <f t="shared" si="312"/>
        <v>0</v>
      </c>
      <c r="K1334" s="138">
        <f t="shared" si="321"/>
        <v>1209</v>
      </c>
      <c r="L1334" s="8">
        <f t="shared" si="325"/>
        <v>1310654</v>
      </c>
      <c r="M1334" s="8">
        <v>1312007</v>
      </c>
      <c r="N1334" s="13">
        <f t="shared" si="317"/>
        <v>1353</v>
      </c>
      <c r="O1334" s="136">
        <f t="shared" si="310"/>
        <v>580</v>
      </c>
      <c r="P1334" s="8">
        <f t="shared" si="328"/>
        <v>175748</v>
      </c>
      <c r="Q1334" s="8">
        <v>176438</v>
      </c>
      <c r="R1334" s="133">
        <f t="shared" si="326"/>
        <v>690</v>
      </c>
      <c r="S1334" s="8">
        <f t="shared" si="320"/>
        <v>51114</v>
      </c>
      <c r="T1334" s="8">
        <v>51139</v>
      </c>
      <c r="U1334" s="133">
        <f t="shared" si="313"/>
        <v>25</v>
      </c>
      <c r="V1334" s="8">
        <f t="shared" si="327"/>
        <v>388482</v>
      </c>
      <c r="W1334" s="8">
        <v>388724</v>
      </c>
      <c r="X1334" s="13">
        <f t="shared" si="314"/>
        <v>242</v>
      </c>
      <c r="Y1334" s="8">
        <f t="shared" si="322"/>
        <v>44477</v>
      </c>
      <c r="Z1334" s="8">
        <v>44485</v>
      </c>
      <c r="AA1334" s="13">
        <f>Z1334-Y1334</f>
        <v>8</v>
      </c>
      <c r="AB1334" s="8">
        <f t="shared" si="316"/>
        <v>272634</v>
      </c>
      <c r="AC1334" s="8">
        <v>272720</v>
      </c>
      <c r="AD1334" s="13">
        <f t="shared" si="318"/>
        <v>86</v>
      </c>
      <c r="AE1334" s="135"/>
      <c r="AF1334" s="135"/>
      <c r="AG1334" s="135"/>
      <c r="AH1334" s="136"/>
      <c r="AI1334" s="50">
        <f t="shared" si="311"/>
        <v>1545</v>
      </c>
    </row>
    <row r="1335" spans="1:35">
      <c r="A1335" s="12">
        <v>45710</v>
      </c>
      <c r="B1335" s="8">
        <f t="shared" ref="B1335:B1385" si="329">C1334</f>
        <v>2150319</v>
      </c>
      <c r="C1335" s="8">
        <v>2150563</v>
      </c>
      <c r="D1335" s="13">
        <f t="shared" si="308"/>
        <v>244</v>
      </c>
      <c r="E1335" s="77">
        <f t="shared" si="323"/>
        <v>152659</v>
      </c>
      <c r="F1335" s="69">
        <v>153219</v>
      </c>
      <c r="G1335" s="133">
        <f t="shared" si="319"/>
        <v>560</v>
      </c>
      <c r="H1335" s="8">
        <f t="shared" si="324"/>
        <v>362135</v>
      </c>
      <c r="I1335" s="8">
        <v>362135</v>
      </c>
      <c r="J1335" s="13">
        <f t="shared" si="312"/>
        <v>0</v>
      </c>
      <c r="K1335" s="138">
        <f t="shared" si="321"/>
        <v>804</v>
      </c>
      <c r="L1335" s="8">
        <f t="shared" si="325"/>
        <v>1312007</v>
      </c>
      <c r="M1335" s="8">
        <v>1312654</v>
      </c>
      <c r="N1335" s="13">
        <f t="shared" si="317"/>
        <v>647</v>
      </c>
      <c r="O1335" s="136">
        <f t="shared" si="310"/>
        <v>242</v>
      </c>
      <c r="P1335" s="8">
        <f t="shared" si="328"/>
        <v>176438</v>
      </c>
      <c r="Q1335" s="8">
        <v>176729</v>
      </c>
      <c r="R1335" s="133">
        <v>591</v>
      </c>
      <c r="S1335" s="8">
        <f t="shared" si="320"/>
        <v>51139</v>
      </c>
      <c r="T1335" s="8">
        <v>51160</v>
      </c>
      <c r="U1335" s="133">
        <f t="shared" si="313"/>
        <v>21</v>
      </c>
      <c r="V1335" s="8">
        <f t="shared" si="327"/>
        <v>388724</v>
      </c>
      <c r="W1335" s="8">
        <v>388977</v>
      </c>
      <c r="X1335" s="13">
        <f t="shared" si="314"/>
        <v>253</v>
      </c>
      <c r="Y1335" s="8">
        <f t="shared" si="322"/>
        <v>44485</v>
      </c>
      <c r="Z1335" s="8">
        <v>44493</v>
      </c>
      <c r="AA1335" s="13">
        <f t="shared" si="315"/>
        <v>8</v>
      </c>
      <c r="AB1335" s="8">
        <f t="shared" si="316"/>
        <v>272720</v>
      </c>
      <c r="AC1335" s="8">
        <v>272770</v>
      </c>
      <c r="AD1335" s="13">
        <f t="shared" si="318"/>
        <v>50</v>
      </c>
      <c r="AE1335" s="135"/>
      <c r="AF1335" s="135"/>
      <c r="AG1335" s="135"/>
      <c r="AH1335" s="136"/>
      <c r="AI1335" s="50">
        <f t="shared" si="311"/>
        <v>1115</v>
      </c>
    </row>
    <row r="1336" spans="1:35">
      <c r="A1336" s="12">
        <v>45711</v>
      </c>
      <c r="B1336" s="8">
        <f t="shared" si="329"/>
        <v>2150563</v>
      </c>
      <c r="C1336" s="8">
        <v>2151160</v>
      </c>
      <c r="D1336" s="13">
        <f t="shared" ref="D1336:D1385" si="330">C1336-B1336</f>
        <v>597</v>
      </c>
      <c r="E1336" s="77">
        <f t="shared" si="323"/>
        <v>153219</v>
      </c>
      <c r="F1336" s="69">
        <v>154039</v>
      </c>
      <c r="G1336" s="133">
        <f t="shared" si="319"/>
        <v>820</v>
      </c>
      <c r="H1336" s="8">
        <f t="shared" si="324"/>
        <v>362135</v>
      </c>
      <c r="I1336" s="8">
        <v>362135</v>
      </c>
      <c r="J1336" s="13">
        <f t="shared" si="312"/>
        <v>0</v>
      </c>
      <c r="K1336" s="138">
        <f t="shared" si="321"/>
        <v>1417</v>
      </c>
      <c r="L1336" s="8">
        <f t="shared" si="325"/>
        <v>1312654</v>
      </c>
      <c r="M1336" s="8">
        <v>1314167</v>
      </c>
      <c r="N1336" s="13">
        <f t="shared" si="317"/>
        <v>1513</v>
      </c>
      <c r="O1336" s="136">
        <f t="shared" si="310"/>
        <v>762</v>
      </c>
      <c r="P1336" s="8">
        <f t="shared" si="328"/>
        <v>176729</v>
      </c>
      <c r="Q1336" s="8">
        <v>177434</v>
      </c>
      <c r="R1336" s="133">
        <f t="shared" si="326"/>
        <v>705</v>
      </c>
      <c r="S1336" s="8">
        <f t="shared" si="320"/>
        <v>51160</v>
      </c>
      <c r="T1336" s="8">
        <v>51210</v>
      </c>
      <c r="U1336" s="133">
        <f t="shared" si="313"/>
        <v>50</v>
      </c>
      <c r="V1336" s="8">
        <f t="shared" si="327"/>
        <v>388977</v>
      </c>
      <c r="W1336" s="8">
        <v>389195</v>
      </c>
      <c r="X1336" s="13">
        <f t="shared" si="314"/>
        <v>218</v>
      </c>
      <c r="Y1336" s="8">
        <f t="shared" si="322"/>
        <v>44493</v>
      </c>
      <c r="Z1336" s="8">
        <v>44504</v>
      </c>
      <c r="AA1336" s="13">
        <f t="shared" si="315"/>
        <v>11</v>
      </c>
      <c r="AB1336" s="8">
        <f t="shared" si="316"/>
        <v>272770</v>
      </c>
      <c r="AC1336" s="8">
        <v>272870</v>
      </c>
      <c r="AD1336" s="13">
        <f t="shared" si="318"/>
        <v>100</v>
      </c>
      <c r="AE1336" s="135"/>
      <c r="AF1336" s="135"/>
      <c r="AG1336" s="135"/>
      <c r="AH1336" s="136"/>
      <c r="AI1336" s="50">
        <f t="shared" si="311"/>
        <v>1746</v>
      </c>
    </row>
    <row r="1337" spans="1:35">
      <c r="A1337" s="12">
        <v>45712</v>
      </c>
      <c r="B1337" s="8">
        <f t="shared" si="329"/>
        <v>2151160</v>
      </c>
      <c r="C1337" s="8">
        <v>2151659</v>
      </c>
      <c r="D1337" s="13">
        <f t="shared" si="330"/>
        <v>499</v>
      </c>
      <c r="E1337" s="77">
        <f t="shared" si="323"/>
        <v>154039</v>
      </c>
      <c r="F1337" s="69">
        <v>154778</v>
      </c>
      <c r="G1337" s="133">
        <f t="shared" si="319"/>
        <v>739</v>
      </c>
      <c r="H1337" s="8">
        <f t="shared" si="324"/>
        <v>362135</v>
      </c>
      <c r="I1337" s="8">
        <v>362135</v>
      </c>
      <c r="J1337" s="13">
        <f t="shared" si="312"/>
        <v>0</v>
      </c>
      <c r="K1337" s="138">
        <f t="shared" si="321"/>
        <v>1238</v>
      </c>
      <c r="L1337" s="8">
        <f t="shared" si="325"/>
        <v>1314167</v>
      </c>
      <c r="M1337" s="8">
        <v>1315234</v>
      </c>
      <c r="N1337" s="13">
        <f t="shared" si="317"/>
        <v>1067</v>
      </c>
      <c r="O1337" s="136">
        <f t="shared" si="310"/>
        <v>794</v>
      </c>
      <c r="P1337" s="8">
        <f t="shared" si="328"/>
        <v>177434</v>
      </c>
      <c r="Q1337" s="8">
        <v>177907</v>
      </c>
      <c r="R1337" s="133">
        <f t="shared" si="326"/>
        <v>473</v>
      </c>
      <c r="S1337" s="8">
        <f t="shared" si="320"/>
        <v>51210</v>
      </c>
      <c r="T1337" s="8">
        <v>51319</v>
      </c>
      <c r="U1337" s="133">
        <f t="shared" si="313"/>
        <v>109</v>
      </c>
      <c r="V1337" s="8">
        <f t="shared" si="327"/>
        <v>389195</v>
      </c>
      <c r="W1337" s="8">
        <v>389382</v>
      </c>
      <c r="X1337" s="13">
        <f t="shared" si="314"/>
        <v>187</v>
      </c>
      <c r="Y1337" s="8">
        <f t="shared" si="322"/>
        <v>44504</v>
      </c>
      <c r="Z1337" s="8">
        <v>44534</v>
      </c>
      <c r="AA1337" s="13">
        <f t="shared" si="315"/>
        <v>30</v>
      </c>
      <c r="AB1337" s="8">
        <f t="shared" si="316"/>
        <v>272870</v>
      </c>
      <c r="AC1337" s="8">
        <v>273008</v>
      </c>
      <c r="AD1337" s="13">
        <f t="shared" si="318"/>
        <v>138</v>
      </c>
      <c r="AE1337" s="135"/>
      <c r="AF1337" s="135"/>
      <c r="AG1337" s="135"/>
      <c r="AH1337" s="136"/>
      <c r="AI1337" s="50">
        <f t="shared" si="311"/>
        <v>1593</v>
      </c>
    </row>
    <row r="1338" spans="1:35">
      <c r="A1338" s="12">
        <v>45713</v>
      </c>
      <c r="B1338" s="8">
        <f t="shared" si="329"/>
        <v>2151659</v>
      </c>
      <c r="C1338" s="8">
        <v>2152074</v>
      </c>
      <c r="D1338" s="13">
        <f t="shared" si="330"/>
        <v>415</v>
      </c>
      <c r="E1338" s="77">
        <f t="shared" si="323"/>
        <v>154778</v>
      </c>
      <c r="F1338" s="69">
        <v>155540</v>
      </c>
      <c r="G1338" s="133">
        <f t="shared" si="319"/>
        <v>762</v>
      </c>
      <c r="H1338" s="8">
        <f t="shared" si="324"/>
        <v>362135</v>
      </c>
      <c r="I1338" s="8">
        <v>362135</v>
      </c>
      <c r="J1338" s="13">
        <f t="shared" si="312"/>
        <v>0</v>
      </c>
      <c r="K1338" s="138">
        <f t="shared" si="321"/>
        <v>1177</v>
      </c>
      <c r="L1338" s="8">
        <f t="shared" si="325"/>
        <v>1315234</v>
      </c>
      <c r="M1338" s="8">
        <v>1316312</v>
      </c>
      <c r="N1338" s="13">
        <f t="shared" si="317"/>
        <v>1078</v>
      </c>
      <c r="O1338" s="136">
        <f t="shared" si="310"/>
        <v>773</v>
      </c>
      <c r="P1338" s="8">
        <f t="shared" si="328"/>
        <v>177907</v>
      </c>
      <c r="Q1338" s="8">
        <v>178360</v>
      </c>
      <c r="R1338" s="133">
        <f t="shared" si="326"/>
        <v>453</v>
      </c>
      <c r="S1338" s="8">
        <f t="shared" si="320"/>
        <v>51319</v>
      </c>
      <c r="T1338" s="8">
        <v>51319</v>
      </c>
      <c r="U1338" s="133">
        <v>30</v>
      </c>
      <c r="V1338" s="8">
        <f t="shared" si="327"/>
        <v>389382</v>
      </c>
      <c r="W1338" s="8">
        <v>389556</v>
      </c>
      <c r="X1338" s="13">
        <f t="shared" si="314"/>
        <v>174</v>
      </c>
      <c r="Y1338" s="8">
        <f t="shared" si="322"/>
        <v>44534</v>
      </c>
      <c r="Z1338" s="8">
        <v>44577</v>
      </c>
      <c r="AA1338" s="13">
        <f t="shared" si="315"/>
        <v>43</v>
      </c>
      <c r="AB1338" s="8">
        <f t="shared" si="316"/>
        <v>273008</v>
      </c>
      <c r="AC1338" s="8">
        <v>273087</v>
      </c>
      <c r="AD1338" s="13">
        <f t="shared" si="318"/>
        <v>79</v>
      </c>
      <c r="AE1338" s="135"/>
      <c r="AF1338" s="135"/>
      <c r="AG1338" s="135"/>
      <c r="AH1338" s="136"/>
      <c r="AI1338" s="50">
        <f t="shared" si="311"/>
        <v>1473</v>
      </c>
    </row>
    <row r="1339" spans="1:35">
      <c r="A1339" s="12">
        <v>45714</v>
      </c>
      <c r="B1339" s="8">
        <f t="shared" si="329"/>
        <v>2152074</v>
      </c>
      <c r="C1339" s="8">
        <v>2152340</v>
      </c>
      <c r="D1339" s="13">
        <f t="shared" si="330"/>
        <v>266</v>
      </c>
      <c r="E1339" s="77">
        <f t="shared" si="323"/>
        <v>155540</v>
      </c>
      <c r="F1339" s="69">
        <v>156279</v>
      </c>
      <c r="G1339" s="133">
        <f t="shared" si="319"/>
        <v>739</v>
      </c>
      <c r="H1339" s="8">
        <f t="shared" si="324"/>
        <v>362135</v>
      </c>
      <c r="I1339" s="8">
        <v>362135</v>
      </c>
      <c r="J1339" s="13">
        <f t="shared" si="312"/>
        <v>0</v>
      </c>
      <c r="K1339" s="138">
        <f t="shared" si="321"/>
        <v>1005</v>
      </c>
      <c r="L1339" s="8">
        <f t="shared" si="325"/>
        <v>1316312</v>
      </c>
      <c r="M1339" s="8">
        <v>1317013</v>
      </c>
      <c r="N1339" s="13">
        <f t="shared" si="317"/>
        <v>701</v>
      </c>
      <c r="O1339" s="136">
        <f t="shared" ref="O1339:O1402" si="331">(D1339+G1339+J1339+AD1339)-(U1339+R1339)</f>
        <v>722</v>
      </c>
      <c r="P1339" s="8">
        <f t="shared" si="328"/>
        <v>178360</v>
      </c>
      <c r="Q1339" s="8">
        <v>178708</v>
      </c>
      <c r="R1339" s="133">
        <f t="shared" si="326"/>
        <v>348</v>
      </c>
      <c r="S1339" s="8">
        <f t="shared" si="320"/>
        <v>51319</v>
      </c>
      <c r="T1339" s="8">
        <v>51319</v>
      </c>
      <c r="U1339" s="133">
        <v>25</v>
      </c>
      <c r="V1339" s="8">
        <f t="shared" si="327"/>
        <v>389556</v>
      </c>
      <c r="W1339" s="8">
        <v>389792</v>
      </c>
      <c r="X1339" s="13">
        <f t="shared" si="314"/>
        <v>236</v>
      </c>
      <c r="Y1339" s="8">
        <f t="shared" si="322"/>
        <v>44577</v>
      </c>
      <c r="Z1339" s="8">
        <v>44621</v>
      </c>
      <c r="AA1339" s="13">
        <f t="shared" si="315"/>
        <v>44</v>
      </c>
      <c r="AB1339" s="8">
        <f t="shared" si="316"/>
        <v>273087</v>
      </c>
      <c r="AC1339" s="8">
        <v>273177</v>
      </c>
      <c r="AD1339" s="13">
        <f t="shared" si="318"/>
        <v>90</v>
      </c>
      <c r="AE1339" s="135"/>
      <c r="AF1339" s="135"/>
      <c r="AG1339" s="135"/>
      <c r="AH1339" s="136"/>
      <c r="AI1339" s="50">
        <f t="shared" ref="AI1339:AI1346" si="332">AA1339+U1339+R1339+O1339+X1339</f>
        <v>1375</v>
      </c>
    </row>
    <row r="1340" spans="1:35">
      <c r="A1340" s="12">
        <v>45715</v>
      </c>
      <c r="B1340" s="8">
        <f t="shared" si="329"/>
        <v>2152340</v>
      </c>
      <c r="C1340" s="8">
        <v>2152945</v>
      </c>
      <c r="D1340" s="13">
        <f t="shared" si="330"/>
        <v>605</v>
      </c>
      <c r="E1340" s="77">
        <f t="shared" si="323"/>
        <v>156279</v>
      </c>
      <c r="F1340" s="69">
        <v>157041</v>
      </c>
      <c r="G1340" s="133">
        <f t="shared" si="319"/>
        <v>762</v>
      </c>
      <c r="H1340" s="8">
        <f t="shared" si="324"/>
        <v>362135</v>
      </c>
      <c r="I1340" s="8">
        <v>362135</v>
      </c>
      <c r="J1340" s="13">
        <f t="shared" si="312"/>
        <v>0</v>
      </c>
      <c r="K1340" s="138">
        <f t="shared" si="321"/>
        <v>1367</v>
      </c>
      <c r="L1340" s="8">
        <f t="shared" si="325"/>
        <v>1317013</v>
      </c>
      <c r="M1340" s="8">
        <v>1317940</v>
      </c>
      <c r="N1340" s="13">
        <f t="shared" si="317"/>
        <v>927</v>
      </c>
      <c r="O1340" s="136">
        <f t="shared" si="331"/>
        <v>889</v>
      </c>
      <c r="P1340" s="8">
        <f t="shared" si="328"/>
        <v>178708</v>
      </c>
      <c r="Q1340" s="8">
        <v>179029</v>
      </c>
      <c r="R1340" s="133">
        <v>521</v>
      </c>
      <c r="S1340" s="8">
        <f t="shared" si="320"/>
        <v>51319</v>
      </c>
      <c r="T1340" s="8">
        <v>51383</v>
      </c>
      <c r="U1340" s="133">
        <f t="shared" si="313"/>
        <v>64</v>
      </c>
      <c r="V1340" s="8">
        <f t="shared" si="327"/>
        <v>389792</v>
      </c>
      <c r="W1340" s="8">
        <v>389928</v>
      </c>
      <c r="X1340" s="13">
        <f t="shared" si="314"/>
        <v>136</v>
      </c>
      <c r="Y1340" s="8">
        <f t="shared" si="322"/>
        <v>44621</v>
      </c>
      <c r="Z1340" s="8">
        <v>44640</v>
      </c>
      <c r="AA1340" s="13">
        <f t="shared" si="315"/>
        <v>19</v>
      </c>
      <c r="AB1340" s="8">
        <f t="shared" si="316"/>
        <v>273177</v>
      </c>
      <c r="AC1340" s="8">
        <v>273284</v>
      </c>
      <c r="AD1340" s="13">
        <f t="shared" si="318"/>
        <v>107</v>
      </c>
      <c r="AE1340" s="135"/>
      <c r="AF1340" s="135"/>
      <c r="AG1340" s="135"/>
      <c r="AH1340" s="136"/>
      <c r="AI1340" s="50">
        <f t="shared" si="332"/>
        <v>1629</v>
      </c>
    </row>
    <row r="1341" spans="1:35">
      <c r="A1341" s="12">
        <v>45716</v>
      </c>
      <c r="B1341" s="8">
        <f t="shared" si="329"/>
        <v>2152945</v>
      </c>
      <c r="C1341" s="8">
        <v>2153475</v>
      </c>
      <c r="D1341" s="13">
        <f>C1341-B1341</f>
        <v>530</v>
      </c>
      <c r="E1341" s="77">
        <f t="shared" si="323"/>
        <v>157041</v>
      </c>
      <c r="F1341" s="69">
        <v>157805</v>
      </c>
      <c r="G1341" s="133">
        <f t="shared" si="319"/>
        <v>764</v>
      </c>
      <c r="H1341" s="8">
        <f t="shared" si="324"/>
        <v>362135</v>
      </c>
      <c r="I1341" s="8">
        <v>362135</v>
      </c>
      <c r="J1341" s="13">
        <f t="shared" si="312"/>
        <v>0</v>
      </c>
      <c r="K1341" s="138">
        <f t="shared" si="321"/>
        <v>1294</v>
      </c>
      <c r="L1341" s="8">
        <f t="shared" si="325"/>
        <v>1317940</v>
      </c>
      <c r="M1341" s="8">
        <v>1319259</v>
      </c>
      <c r="N1341" s="13">
        <f t="shared" si="317"/>
        <v>1319</v>
      </c>
      <c r="O1341" s="136">
        <f t="shared" si="331"/>
        <v>725</v>
      </c>
      <c r="P1341" s="8">
        <f t="shared" si="328"/>
        <v>179029</v>
      </c>
      <c r="Q1341" s="8">
        <v>179629</v>
      </c>
      <c r="R1341" s="133">
        <f t="shared" si="326"/>
        <v>600</v>
      </c>
      <c r="S1341" s="8">
        <f t="shared" si="320"/>
        <v>51383</v>
      </c>
      <c r="T1341" s="8">
        <v>51433</v>
      </c>
      <c r="U1341" s="133">
        <f t="shared" si="313"/>
        <v>50</v>
      </c>
      <c r="V1341" s="8">
        <f t="shared" si="327"/>
        <v>389928</v>
      </c>
      <c r="W1341" s="8">
        <v>390238</v>
      </c>
      <c r="X1341" s="13">
        <f t="shared" si="314"/>
        <v>310</v>
      </c>
      <c r="Y1341" s="8">
        <f t="shared" si="322"/>
        <v>44640</v>
      </c>
      <c r="Z1341" s="8">
        <v>44687</v>
      </c>
      <c r="AA1341" s="13">
        <f t="shared" si="315"/>
        <v>47</v>
      </c>
      <c r="AB1341" s="8">
        <f t="shared" si="316"/>
        <v>273284</v>
      </c>
      <c r="AC1341" s="8">
        <v>273365</v>
      </c>
      <c r="AD1341" s="13">
        <f t="shared" si="318"/>
        <v>81</v>
      </c>
      <c r="AE1341" s="135"/>
      <c r="AF1341" s="135"/>
      <c r="AG1341" s="135"/>
      <c r="AH1341" s="136"/>
      <c r="AI1341" s="50">
        <f t="shared" si="332"/>
        <v>1732</v>
      </c>
    </row>
    <row r="1342" spans="1:35">
      <c r="A1342" s="12">
        <v>45717</v>
      </c>
      <c r="B1342" s="8">
        <f t="shared" si="329"/>
        <v>2153475</v>
      </c>
      <c r="C1342" s="8">
        <v>2153793</v>
      </c>
      <c r="D1342" s="13">
        <f t="shared" si="330"/>
        <v>318</v>
      </c>
      <c r="E1342" s="77">
        <f t="shared" si="323"/>
        <v>157805</v>
      </c>
      <c r="F1342" s="69">
        <v>158550</v>
      </c>
      <c r="G1342" s="133">
        <f t="shared" si="319"/>
        <v>745</v>
      </c>
      <c r="H1342" s="8">
        <f t="shared" si="324"/>
        <v>362135</v>
      </c>
      <c r="I1342" s="8">
        <v>362239</v>
      </c>
      <c r="J1342" s="13">
        <f t="shared" ref="J1342:J1362" si="333">I1342-H1342</f>
        <v>104</v>
      </c>
      <c r="K1342" s="138">
        <f t="shared" si="321"/>
        <v>1167</v>
      </c>
      <c r="L1342" s="8">
        <f t="shared" si="325"/>
        <v>1319259</v>
      </c>
      <c r="M1342" s="8">
        <v>1319828</v>
      </c>
      <c r="N1342" s="13">
        <f t="shared" si="317"/>
        <v>569</v>
      </c>
      <c r="O1342" s="136">
        <f t="shared" si="331"/>
        <v>669</v>
      </c>
      <c r="P1342" s="8">
        <f t="shared" si="328"/>
        <v>179629</v>
      </c>
      <c r="Q1342" s="8">
        <v>179777</v>
      </c>
      <c r="R1342" s="133">
        <v>498</v>
      </c>
      <c r="S1342" s="8">
        <f t="shared" si="320"/>
        <v>51433</v>
      </c>
      <c r="T1342" s="8">
        <v>51513</v>
      </c>
      <c r="U1342" s="133">
        <f t="shared" ref="U1342:U1385" si="334">T1342-S1342</f>
        <v>80</v>
      </c>
      <c r="V1342" s="8">
        <f t="shared" si="327"/>
        <v>390238</v>
      </c>
      <c r="W1342" s="8">
        <v>390406</v>
      </c>
      <c r="X1342" s="13">
        <f t="shared" si="314"/>
        <v>168</v>
      </c>
      <c r="Y1342" s="8">
        <f t="shared" si="322"/>
        <v>44687</v>
      </c>
      <c r="Z1342" s="8">
        <v>44740</v>
      </c>
      <c r="AA1342" s="13">
        <f t="shared" si="315"/>
        <v>53</v>
      </c>
      <c r="AB1342" s="8">
        <f t="shared" si="316"/>
        <v>273365</v>
      </c>
      <c r="AC1342" s="8">
        <v>273445</v>
      </c>
      <c r="AD1342" s="13">
        <f t="shared" si="318"/>
        <v>80</v>
      </c>
      <c r="AE1342" s="135"/>
      <c r="AF1342" s="135"/>
      <c r="AG1342" s="135"/>
      <c r="AH1342" s="136"/>
      <c r="AI1342" s="50">
        <f t="shared" si="332"/>
        <v>1468</v>
      </c>
    </row>
    <row r="1343" spans="1:35">
      <c r="A1343" s="12">
        <v>45718</v>
      </c>
      <c r="B1343" s="8">
        <f t="shared" si="329"/>
        <v>2153793</v>
      </c>
      <c r="C1343" s="8">
        <v>2154322</v>
      </c>
      <c r="D1343" s="13">
        <f t="shared" si="330"/>
        <v>529</v>
      </c>
      <c r="E1343" s="77">
        <f t="shared" si="323"/>
        <v>158550</v>
      </c>
      <c r="F1343" s="69">
        <v>159266</v>
      </c>
      <c r="G1343" s="133">
        <f t="shared" si="319"/>
        <v>716</v>
      </c>
      <c r="H1343" s="8">
        <f t="shared" si="324"/>
        <v>362239</v>
      </c>
      <c r="I1343" s="8">
        <v>362239</v>
      </c>
      <c r="J1343" s="13">
        <f t="shared" si="333"/>
        <v>0</v>
      </c>
      <c r="K1343" s="138">
        <f t="shared" si="321"/>
        <v>1245</v>
      </c>
      <c r="L1343" s="8">
        <f>M1342</f>
        <v>1319828</v>
      </c>
      <c r="M1343" s="8">
        <v>1321001</v>
      </c>
      <c r="N1343" s="13">
        <f t="shared" si="317"/>
        <v>1173</v>
      </c>
      <c r="O1343" s="136">
        <f t="shared" si="331"/>
        <v>648</v>
      </c>
      <c r="P1343" s="8">
        <f t="shared" si="328"/>
        <v>179777</v>
      </c>
      <c r="Q1343" s="8">
        <v>179777</v>
      </c>
      <c r="R1343" s="133">
        <v>578</v>
      </c>
      <c r="S1343" s="8">
        <f t="shared" si="320"/>
        <v>51513</v>
      </c>
      <c r="T1343" s="8">
        <v>51589</v>
      </c>
      <c r="U1343" s="133">
        <f t="shared" si="334"/>
        <v>76</v>
      </c>
      <c r="V1343" s="8">
        <f t="shared" si="327"/>
        <v>390406</v>
      </c>
      <c r="W1343" s="8">
        <v>390664</v>
      </c>
      <c r="X1343" s="13">
        <f t="shared" si="314"/>
        <v>258</v>
      </c>
      <c r="Y1343" s="8">
        <f t="shared" si="322"/>
        <v>44740</v>
      </c>
      <c r="Z1343" s="8">
        <v>44791</v>
      </c>
      <c r="AA1343" s="13">
        <f t="shared" si="315"/>
        <v>51</v>
      </c>
      <c r="AB1343" s="8">
        <f t="shared" si="316"/>
        <v>273445</v>
      </c>
      <c r="AC1343" s="8">
        <v>273582</v>
      </c>
      <c r="AD1343" s="13">
        <v>57</v>
      </c>
      <c r="AE1343" s="135"/>
      <c r="AF1343" s="135"/>
      <c r="AG1343" s="135"/>
      <c r="AH1343" s="136"/>
      <c r="AI1343" s="50">
        <f t="shared" si="332"/>
        <v>1611</v>
      </c>
    </row>
    <row r="1344" spans="1:35">
      <c r="A1344" s="12">
        <v>45719</v>
      </c>
      <c r="B1344" s="8">
        <f t="shared" si="329"/>
        <v>2154322</v>
      </c>
      <c r="C1344" s="8">
        <v>2154509</v>
      </c>
      <c r="D1344" s="13">
        <f t="shared" si="330"/>
        <v>187</v>
      </c>
      <c r="E1344" s="77">
        <f t="shared" si="323"/>
        <v>159266</v>
      </c>
      <c r="F1344" s="69">
        <v>159977</v>
      </c>
      <c r="G1344" s="133">
        <f t="shared" si="319"/>
        <v>711</v>
      </c>
      <c r="H1344" s="8">
        <f t="shared" si="324"/>
        <v>362239</v>
      </c>
      <c r="I1344" s="8">
        <v>362813</v>
      </c>
      <c r="J1344" s="13">
        <f t="shared" si="333"/>
        <v>574</v>
      </c>
      <c r="K1344" s="138">
        <f t="shared" si="321"/>
        <v>1472</v>
      </c>
      <c r="L1344" s="8">
        <f t="shared" si="325"/>
        <v>1321001</v>
      </c>
      <c r="M1344" s="8">
        <v>1321202</v>
      </c>
      <c r="N1344" s="13">
        <f t="shared" si="317"/>
        <v>201</v>
      </c>
      <c r="O1344" s="136">
        <f t="shared" si="331"/>
        <v>1052</v>
      </c>
      <c r="P1344" s="8">
        <f t="shared" si="328"/>
        <v>179777</v>
      </c>
      <c r="Q1344" s="8">
        <v>180202</v>
      </c>
      <c r="R1344" s="133">
        <f t="shared" si="326"/>
        <v>425</v>
      </c>
      <c r="S1344" s="8">
        <f t="shared" si="320"/>
        <v>51589</v>
      </c>
      <c r="T1344" s="8">
        <v>51589</v>
      </c>
      <c r="U1344" s="133">
        <v>55</v>
      </c>
      <c r="V1344" s="8">
        <f t="shared" si="327"/>
        <v>390664</v>
      </c>
      <c r="W1344" s="8">
        <v>390929</v>
      </c>
      <c r="X1344" s="13">
        <f t="shared" si="314"/>
        <v>265</v>
      </c>
      <c r="Y1344" s="8">
        <f t="shared" si="322"/>
        <v>44791</v>
      </c>
      <c r="Z1344" s="8">
        <v>44819</v>
      </c>
      <c r="AA1344" s="13">
        <f t="shared" si="315"/>
        <v>28</v>
      </c>
      <c r="AB1344" s="8">
        <f t="shared" si="316"/>
        <v>273582</v>
      </c>
      <c r="AC1344" s="8">
        <v>273642</v>
      </c>
      <c r="AD1344" s="13">
        <f>AC1344-AB1344</f>
        <v>60</v>
      </c>
      <c r="AE1344" s="135"/>
      <c r="AF1344" s="135"/>
      <c r="AG1344" s="135"/>
      <c r="AH1344" s="136"/>
      <c r="AI1344" s="50">
        <f t="shared" si="332"/>
        <v>1825</v>
      </c>
    </row>
    <row r="1345" spans="1:35">
      <c r="A1345" s="12">
        <v>45720</v>
      </c>
      <c r="B1345" s="8">
        <f t="shared" si="329"/>
        <v>2154509</v>
      </c>
      <c r="C1345" s="8">
        <v>2154914</v>
      </c>
      <c r="D1345" s="13">
        <f t="shared" si="330"/>
        <v>405</v>
      </c>
      <c r="E1345" s="77">
        <f t="shared" si="323"/>
        <v>159977</v>
      </c>
      <c r="F1345" s="69">
        <v>160778</v>
      </c>
      <c r="G1345" s="133">
        <f t="shared" si="319"/>
        <v>801</v>
      </c>
      <c r="H1345" s="8">
        <f t="shared" si="324"/>
        <v>362813</v>
      </c>
      <c r="I1345" s="8">
        <v>362813</v>
      </c>
      <c r="J1345" s="13">
        <f t="shared" si="333"/>
        <v>0</v>
      </c>
      <c r="K1345" s="138">
        <f t="shared" si="321"/>
        <v>1206</v>
      </c>
      <c r="L1345" s="8">
        <f t="shared" si="325"/>
        <v>1321202</v>
      </c>
      <c r="M1345" s="8">
        <v>1322603</v>
      </c>
      <c r="N1345" s="13">
        <f t="shared" si="317"/>
        <v>1401</v>
      </c>
      <c r="O1345" s="136">
        <f t="shared" si="331"/>
        <v>507</v>
      </c>
      <c r="P1345" s="8">
        <f t="shared" si="328"/>
        <v>180202</v>
      </c>
      <c r="Q1345" s="8">
        <v>180796</v>
      </c>
      <c r="R1345" s="133">
        <f t="shared" si="326"/>
        <v>594</v>
      </c>
      <c r="S1345" s="8">
        <f t="shared" si="320"/>
        <v>51589</v>
      </c>
      <c r="T1345" s="8">
        <v>51747</v>
      </c>
      <c r="U1345" s="133">
        <f t="shared" si="334"/>
        <v>158</v>
      </c>
      <c r="V1345" s="8">
        <f t="shared" si="327"/>
        <v>390929</v>
      </c>
      <c r="W1345" s="8">
        <v>391165</v>
      </c>
      <c r="X1345" s="13">
        <f t="shared" si="314"/>
        <v>236</v>
      </c>
      <c r="Y1345" s="8">
        <f t="shared" si="322"/>
        <v>44819</v>
      </c>
      <c r="Z1345" s="8">
        <v>44857</v>
      </c>
      <c r="AA1345" s="13">
        <f t="shared" si="315"/>
        <v>38</v>
      </c>
      <c r="AB1345" s="8">
        <f t="shared" si="316"/>
        <v>273642</v>
      </c>
      <c r="AC1345" s="8">
        <v>273795</v>
      </c>
      <c r="AD1345" s="13">
        <v>53</v>
      </c>
      <c r="AE1345" s="135"/>
      <c r="AF1345" s="135"/>
      <c r="AG1345" s="135"/>
      <c r="AH1345" s="136"/>
      <c r="AI1345" s="50">
        <f t="shared" si="332"/>
        <v>1533</v>
      </c>
    </row>
    <row r="1346" spans="1:35">
      <c r="A1346" s="12">
        <v>45721</v>
      </c>
      <c r="B1346" s="8">
        <f t="shared" si="329"/>
        <v>2154914</v>
      </c>
      <c r="C1346" s="8">
        <v>2155373</v>
      </c>
      <c r="D1346" s="13">
        <f t="shared" si="330"/>
        <v>459</v>
      </c>
      <c r="E1346" s="77">
        <f t="shared" si="323"/>
        <v>160778</v>
      </c>
      <c r="F1346" s="69">
        <v>161521</v>
      </c>
      <c r="G1346" s="133">
        <f t="shared" si="319"/>
        <v>743</v>
      </c>
      <c r="H1346" s="8">
        <f t="shared" si="324"/>
        <v>362813</v>
      </c>
      <c r="I1346" s="8">
        <v>363105</v>
      </c>
      <c r="J1346" s="13">
        <f t="shared" si="333"/>
        <v>292</v>
      </c>
      <c r="K1346" s="138">
        <f t="shared" si="321"/>
        <v>1494</v>
      </c>
      <c r="L1346" s="8">
        <f t="shared" si="325"/>
        <v>1322603</v>
      </c>
      <c r="M1346" s="8">
        <v>1323257</v>
      </c>
      <c r="N1346" s="13">
        <f t="shared" si="317"/>
        <v>654</v>
      </c>
      <c r="O1346" s="136">
        <f t="shared" si="331"/>
        <v>906</v>
      </c>
      <c r="P1346" s="8">
        <f t="shared" si="328"/>
        <v>180796</v>
      </c>
      <c r="Q1346" s="8">
        <v>181166</v>
      </c>
      <c r="R1346" s="133">
        <v>570</v>
      </c>
      <c r="S1346" s="8">
        <f t="shared" si="320"/>
        <v>51747</v>
      </c>
      <c r="T1346" s="8">
        <v>51858</v>
      </c>
      <c r="U1346" s="133">
        <f t="shared" si="334"/>
        <v>111</v>
      </c>
      <c r="V1346" s="8">
        <f t="shared" si="327"/>
        <v>391165</v>
      </c>
      <c r="W1346" s="8">
        <v>391386</v>
      </c>
      <c r="X1346" s="13">
        <f t="shared" ref="X1346:X1396" si="335">W1346-V1346</f>
        <v>221</v>
      </c>
      <c r="Y1346" s="8">
        <f t="shared" si="322"/>
        <v>44857</v>
      </c>
      <c r="Z1346" s="8">
        <v>44882</v>
      </c>
      <c r="AA1346" s="13">
        <f t="shared" si="315"/>
        <v>25</v>
      </c>
      <c r="AB1346" s="8">
        <f t="shared" si="316"/>
        <v>273795</v>
      </c>
      <c r="AC1346" s="8">
        <v>273888</v>
      </c>
      <c r="AD1346" s="13">
        <f t="shared" ref="AD1346:AD1356" si="336">AC1346-AB1346</f>
        <v>93</v>
      </c>
      <c r="AE1346" s="135"/>
      <c r="AF1346" s="135"/>
      <c r="AG1346" s="135"/>
      <c r="AH1346" s="136"/>
      <c r="AI1346" s="50">
        <f t="shared" si="332"/>
        <v>1833</v>
      </c>
    </row>
    <row r="1347" spans="1:35">
      <c r="A1347" s="12">
        <v>45722</v>
      </c>
      <c r="B1347" s="8">
        <f t="shared" si="329"/>
        <v>2155373</v>
      </c>
      <c r="C1347" s="8">
        <v>2155434</v>
      </c>
      <c r="D1347" s="13">
        <f t="shared" si="330"/>
        <v>61</v>
      </c>
      <c r="E1347" s="77">
        <f t="shared" si="323"/>
        <v>161521</v>
      </c>
      <c r="F1347" s="69">
        <v>162254</v>
      </c>
      <c r="G1347" s="133">
        <f t="shared" si="319"/>
        <v>733</v>
      </c>
      <c r="H1347" s="8">
        <f t="shared" si="324"/>
        <v>363105</v>
      </c>
      <c r="I1347" s="8">
        <v>363105</v>
      </c>
      <c r="J1347" s="13">
        <f t="shared" si="333"/>
        <v>0</v>
      </c>
      <c r="K1347" s="138">
        <f t="shared" si="321"/>
        <v>794</v>
      </c>
      <c r="L1347" s="8">
        <f>M1346</f>
        <v>1323257</v>
      </c>
      <c r="M1347" s="8">
        <v>1323364</v>
      </c>
      <c r="N1347" s="13">
        <f t="shared" si="317"/>
        <v>107</v>
      </c>
      <c r="O1347" s="136">
        <f t="shared" si="331"/>
        <v>189</v>
      </c>
      <c r="P1347" s="8">
        <f t="shared" si="328"/>
        <v>181166</v>
      </c>
      <c r="Q1347" s="8">
        <v>181449</v>
      </c>
      <c r="R1347" s="133">
        <v>583</v>
      </c>
      <c r="S1347" s="8">
        <f t="shared" si="320"/>
        <v>51858</v>
      </c>
      <c r="T1347" s="8">
        <v>51955</v>
      </c>
      <c r="U1347" s="133">
        <f t="shared" si="334"/>
        <v>97</v>
      </c>
      <c r="V1347" s="8">
        <f t="shared" si="327"/>
        <v>391386</v>
      </c>
      <c r="W1347" s="8">
        <v>391560</v>
      </c>
      <c r="X1347" s="13">
        <f t="shared" si="335"/>
        <v>174</v>
      </c>
      <c r="Y1347" s="8">
        <f t="shared" si="322"/>
        <v>44882</v>
      </c>
      <c r="Z1347" s="8">
        <v>44908</v>
      </c>
      <c r="AA1347" s="13">
        <f t="shared" si="315"/>
        <v>26</v>
      </c>
      <c r="AB1347" s="8">
        <f t="shared" si="316"/>
        <v>273888</v>
      </c>
      <c r="AC1347" s="8">
        <v>273963</v>
      </c>
      <c r="AD1347" s="13">
        <f t="shared" si="336"/>
        <v>75</v>
      </c>
      <c r="AE1347" s="135"/>
      <c r="AF1347" s="135"/>
      <c r="AG1347" s="135"/>
      <c r="AH1347" s="136"/>
      <c r="AI1347" s="50">
        <f t="shared" ref="AI1347:AI1354" si="337">AA1347+U1347+R1347+O1347+X1347</f>
        <v>1069</v>
      </c>
    </row>
    <row r="1348" spans="1:35">
      <c r="A1348" s="12">
        <v>45723</v>
      </c>
      <c r="B1348" s="8">
        <f t="shared" si="329"/>
        <v>2155434</v>
      </c>
      <c r="C1348" s="8">
        <v>2155817</v>
      </c>
      <c r="D1348" s="13">
        <f t="shared" si="330"/>
        <v>383</v>
      </c>
      <c r="E1348" s="77">
        <f t="shared" si="323"/>
        <v>162254</v>
      </c>
      <c r="F1348" s="69">
        <v>162998</v>
      </c>
      <c r="G1348" s="133">
        <f t="shared" si="319"/>
        <v>744</v>
      </c>
      <c r="H1348" s="8">
        <f t="shared" si="324"/>
        <v>363105</v>
      </c>
      <c r="I1348" s="8">
        <v>363448</v>
      </c>
      <c r="J1348" s="13">
        <f t="shared" si="333"/>
        <v>343</v>
      </c>
      <c r="K1348" s="138">
        <f t="shared" si="321"/>
        <v>1470</v>
      </c>
      <c r="L1348" s="8">
        <f t="shared" ref="L1348:L1385" si="338">M1347</f>
        <v>1323364</v>
      </c>
      <c r="M1348" s="8">
        <v>1324755</v>
      </c>
      <c r="N1348" s="13">
        <f t="shared" si="317"/>
        <v>1391</v>
      </c>
      <c r="O1348" s="136">
        <f t="shared" si="331"/>
        <v>864</v>
      </c>
      <c r="P1348" s="8">
        <f t="shared" si="328"/>
        <v>181449</v>
      </c>
      <c r="Q1348" s="8">
        <v>182040</v>
      </c>
      <c r="R1348" s="133">
        <f t="shared" si="326"/>
        <v>591</v>
      </c>
      <c r="S1348" s="8">
        <f t="shared" si="320"/>
        <v>51955</v>
      </c>
      <c r="T1348" s="8">
        <v>52085</v>
      </c>
      <c r="U1348" s="133">
        <f>T1348-S1348</f>
        <v>130</v>
      </c>
      <c r="V1348" s="8">
        <f t="shared" si="327"/>
        <v>391560</v>
      </c>
      <c r="W1348" s="8">
        <v>391796</v>
      </c>
      <c r="X1348" s="13">
        <f t="shared" si="335"/>
        <v>236</v>
      </c>
      <c r="Y1348" s="8">
        <f t="shared" si="322"/>
        <v>44908</v>
      </c>
      <c r="Z1348" s="8">
        <v>44935</v>
      </c>
      <c r="AA1348" s="13">
        <f t="shared" si="315"/>
        <v>27</v>
      </c>
      <c r="AB1348" s="8">
        <f t="shared" si="316"/>
        <v>273963</v>
      </c>
      <c r="AC1348" s="8">
        <v>274078</v>
      </c>
      <c r="AD1348" s="13">
        <f t="shared" si="336"/>
        <v>115</v>
      </c>
      <c r="AE1348" s="135"/>
      <c r="AF1348" s="135"/>
      <c r="AG1348" s="135"/>
      <c r="AH1348" s="136"/>
      <c r="AI1348" s="50">
        <f t="shared" si="337"/>
        <v>1848</v>
      </c>
    </row>
    <row r="1349" spans="1:35">
      <c r="A1349" s="12">
        <v>45724</v>
      </c>
      <c r="B1349" s="8">
        <f t="shared" si="329"/>
        <v>2155817</v>
      </c>
      <c r="C1349" s="8">
        <v>2156147</v>
      </c>
      <c r="D1349" s="13">
        <f t="shared" si="330"/>
        <v>330</v>
      </c>
      <c r="E1349" s="77">
        <f t="shared" si="323"/>
        <v>162998</v>
      </c>
      <c r="F1349" s="69">
        <v>163739</v>
      </c>
      <c r="G1349" s="133">
        <f t="shared" si="319"/>
        <v>741</v>
      </c>
      <c r="H1349" s="8">
        <f t="shared" si="324"/>
        <v>363448</v>
      </c>
      <c r="I1349" s="8">
        <v>363765</v>
      </c>
      <c r="J1349" s="13">
        <f t="shared" si="333"/>
        <v>317</v>
      </c>
      <c r="K1349" s="138">
        <f t="shared" si="321"/>
        <v>1388</v>
      </c>
      <c r="L1349" s="8">
        <f t="shared" si="338"/>
        <v>1324755</v>
      </c>
      <c r="M1349" s="8">
        <v>1325059</v>
      </c>
      <c r="N1349" s="13">
        <f t="shared" si="317"/>
        <v>304</v>
      </c>
      <c r="O1349" s="136">
        <f t="shared" si="331"/>
        <v>826</v>
      </c>
      <c r="P1349" s="8">
        <f t="shared" si="328"/>
        <v>182040</v>
      </c>
      <c r="Q1349" s="8">
        <v>182306</v>
      </c>
      <c r="R1349" s="133">
        <v>566</v>
      </c>
      <c r="S1349" s="8">
        <f t="shared" si="320"/>
        <v>52085</v>
      </c>
      <c r="T1349" s="8">
        <v>52174</v>
      </c>
      <c r="U1349" s="133">
        <f t="shared" si="334"/>
        <v>89</v>
      </c>
      <c r="V1349" s="8">
        <f t="shared" si="327"/>
        <v>391796</v>
      </c>
      <c r="W1349" s="8">
        <v>392108</v>
      </c>
      <c r="X1349" s="13">
        <f t="shared" si="335"/>
        <v>312</v>
      </c>
      <c r="Y1349" s="8">
        <f t="shared" si="322"/>
        <v>44935</v>
      </c>
      <c r="Z1349" s="8">
        <v>44965</v>
      </c>
      <c r="AA1349" s="13">
        <f t="shared" ref="AA1349:AA1395" si="339">Z1349-Y1349</f>
        <v>30</v>
      </c>
      <c r="AB1349" s="8">
        <f t="shared" si="316"/>
        <v>274078</v>
      </c>
      <c r="AC1349" s="8">
        <v>274171</v>
      </c>
      <c r="AD1349" s="13">
        <f t="shared" si="336"/>
        <v>93</v>
      </c>
      <c r="AE1349" s="135"/>
      <c r="AF1349" s="135"/>
      <c r="AG1349" s="135"/>
      <c r="AH1349" s="136"/>
      <c r="AI1349" s="50">
        <f t="shared" si="337"/>
        <v>1823</v>
      </c>
    </row>
    <row r="1350" spans="1:35">
      <c r="A1350" s="12">
        <v>45725</v>
      </c>
      <c r="B1350" s="8">
        <f t="shared" si="329"/>
        <v>2156147</v>
      </c>
      <c r="C1350" s="8">
        <v>2156477</v>
      </c>
      <c r="D1350" s="13">
        <f t="shared" si="330"/>
        <v>330</v>
      </c>
      <c r="E1350" s="77">
        <f t="shared" si="323"/>
        <v>163739</v>
      </c>
      <c r="F1350" s="69">
        <v>164514</v>
      </c>
      <c r="G1350" s="133">
        <f t="shared" si="319"/>
        <v>775</v>
      </c>
      <c r="H1350" s="8">
        <f t="shared" si="324"/>
        <v>363765</v>
      </c>
      <c r="I1350" s="8">
        <v>364396</v>
      </c>
      <c r="J1350" s="13">
        <f t="shared" si="333"/>
        <v>631</v>
      </c>
      <c r="K1350" s="138">
        <f t="shared" si="321"/>
        <v>1736</v>
      </c>
      <c r="L1350" s="8">
        <f t="shared" si="338"/>
        <v>1325059</v>
      </c>
      <c r="M1350" s="8">
        <v>1325784</v>
      </c>
      <c r="N1350" s="13">
        <f t="shared" si="317"/>
        <v>725</v>
      </c>
      <c r="O1350" s="136">
        <f t="shared" si="331"/>
        <v>1078</v>
      </c>
      <c r="P1350" s="8">
        <f t="shared" si="328"/>
        <v>182306</v>
      </c>
      <c r="Q1350" s="8">
        <v>182997</v>
      </c>
      <c r="R1350" s="133">
        <f t="shared" si="326"/>
        <v>691</v>
      </c>
      <c r="S1350" s="8">
        <f t="shared" si="320"/>
        <v>52174</v>
      </c>
      <c r="T1350" s="8">
        <v>52251</v>
      </c>
      <c r="U1350" s="133">
        <f t="shared" si="334"/>
        <v>77</v>
      </c>
      <c r="V1350" s="8">
        <f t="shared" si="327"/>
        <v>392108</v>
      </c>
      <c r="W1350" s="8">
        <v>392391</v>
      </c>
      <c r="X1350" s="13">
        <f t="shared" si="335"/>
        <v>283</v>
      </c>
      <c r="Y1350" s="8">
        <f t="shared" si="322"/>
        <v>44965</v>
      </c>
      <c r="Z1350" s="8">
        <v>44996</v>
      </c>
      <c r="AA1350" s="13">
        <f t="shared" si="339"/>
        <v>31</v>
      </c>
      <c r="AB1350" s="8">
        <f t="shared" si="316"/>
        <v>274171</v>
      </c>
      <c r="AC1350" s="8">
        <v>274281</v>
      </c>
      <c r="AD1350" s="13">
        <f t="shared" si="336"/>
        <v>110</v>
      </c>
      <c r="AE1350" s="135"/>
      <c r="AF1350" s="135"/>
      <c r="AG1350" s="135"/>
      <c r="AH1350" s="136"/>
      <c r="AI1350" s="50">
        <f t="shared" si="337"/>
        <v>2160</v>
      </c>
    </row>
    <row r="1351" spans="1:35">
      <c r="A1351" s="12">
        <v>45726</v>
      </c>
      <c r="B1351" s="8">
        <f t="shared" si="329"/>
        <v>2156477</v>
      </c>
      <c r="C1351" s="8">
        <v>2156853</v>
      </c>
      <c r="D1351" s="13">
        <f t="shared" si="330"/>
        <v>376</v>
      </c>
      <c r="E1351" s="77">
        <f t="shared" si="323"/>
        <v>164514</v>
      </c>
      <c r="F1351" s="69">
        <v>165268</v>
      </c>
      <c r="G1351" s="133">
        <f t="shared" si="319"/>
        <v>754</v>
      </c>
      <c r="H1351" s="8">
        <f t="shared" si="324"/>
        <v>364396</v>
      </c>
      <c r="I1351" s="8">
        <v>364396</v>
      </c>
      <c r="J1351" s="13">
        <f t="shared" si="333"/>
        <v>0</v>
      </c>
      <c r="K1351" s="138">
        <f t="shared" si="321"/>
        <v>1130</v>
      </c>
      <c r="L1351" s="8">
        <f t="shared" si="338"/>
        <v>1325784</v>
      </c>
      <c r="M1351" s="8">
        <v>1327037</v>
      </c>
      <c r="N1351" s="13">
        <f>M1351-L1351</f>
        <v>1253</v>
      </c>
      <c r="O1351" s="136">
        <f t="shared" si="331"/>
        <v>519</v>
      </c>
      <c r="P1351" s="8">
        <f t="shared" si="328"/>
        <v>182997</v>
      </c>
      <c r="Q1351" s="8">
        <v>183537</v>
      </c>
      <c r="R1351" s="133">
        <f t="shared" si="326"/>
        <v>540</v>
      </c>
      <c r="S1351" s="8">
        <f t="shared" si="320"/>
        <v>52251</v>
      </c>
      <c r="T1351" s="8">
        <v>52371</v>
      </c>
      <c r="U1351" s="133">
        <f t="shared" si="334"/>
        <v>120</v>
      </c>
      <c r="V1351" s="8">
        <f t="shared" si="327"/>
        <v>392391</v>
      </c>
      <c r="W1351" s="8">
        <v>392604</v>
      </c>
      <c r="X1351" s="13">
        <f t="shared" si="335"/>
        <v>213</v>
      </c>
      <c r="Y1351" s="8">
        <f t="shared" si="322"/>
        <v>44996</v>
      </c>
      <c r="Z1351" s="8">
        <v>45009</v>
      </c>
      <c r="AA1351" s="13">
        <f t="shared" si="339"/>
        <v>13</v>
      </c>
      <c r="AB1351" s="8">
        <f t="shared" si="316"/>
        <v>274281</v>
      </c>
      <c r="AC1351" s="8">
        <v>274330</v>
      </c>
      <c r="AD1351" s="13">
        <f t="shared" si="336"/>
        <v>49</v>
      </c>
      <c r="AE1351" s="135"/>
      <c r="AF1351" s="135"/>
      <c r="AG1351" s="135"/>
      <c r="AH1351" s="136"/>
      <c r="AI1351" s="50">
        <f t="shared" si="337"/>
        <v>1405</v>
      </c>
    </row>
    <row r="1352" spans="1:35">
      <c r="A1352" s="12">
        <v>45727</v>
      </c>
      <c r="B1352" s="8">
        <f t="shared" si="329"/>
        <v>2156853</v>
      </c>
      <c r="C1352" s="8">
        <v>2157109</v>
      </c>
      <c r="D1352" s="13">
        <f t="shared" si="330"/>
        <v>256</v>
      </c>
      <c r="E1352" s="77">
        <f t="shared" si="323"/>
        <v>165268</v>
      </c>
      <c r="F1352" s="69">
        <v>166020</v>
      </c>
      <c r="G1352" s="133">
        <f t="shared" si="319"/>
        <v>752</v>
      </c>
      <c r="H1352" s="8">
        <f t="shared" si="324"/>
        <v>364396</v>
      </c>
      <c r="I1352" s="8">
        <v>364396</v>
      </c>
      <c r="J1352" s="13">
        <f t="shared" si="333"/>
        <v>0</v>
      </c>
      <c r="K1352" s="138">
        <f t="shared" si="321"/>
        <v>1008</v>
      </c>
      <c r="L1352" s="8">
        <f t="shared" si="338"/>
        <v>1327037</v>
      </c>
      <c r="M1352" s="8">
        <v>1327984</v>
      </c>
      <c r="N1352" s="13">
        <f>M1352-L1352</f>
        <v>947</v>
      </c>
      <c r="O1352" s="136">
        <f t="shared" si="331"/>
        <v>613</v>
      </c>
      <c r="P1352" s="8">
        <f t="shared" si="328"/>
        <v>183537</v>
      </c>
      <c r="Q1352" s="8">
        <v>183903</v>
      </c>
      <c r="R1352" s="133">
        <f t="shared" si="326"/>
        <v>366</v>
      </c>
      <c r="S1352" s="8">
        <f t="shared" si="320"/>
        <v>52371</v>
      </c>
      <c r="T1352" s="8">
        <v>52474</v>
      </c>
      <c r="U1352" s="133">
        <f t="shared" si="334"/>
        <v>103</v>
      </c>
      <c r="V1352" s="8">
        <f t="shared" si="327"/>
        <v>392604</v>
      </c>
      <c r="W1352" s="8">
        <v>392808</v>
      </c>
      <c r="X1352" s="13">
        <f t="shared" si="335"/>
        <v>204</v>
      </c>
      <c r="Y1352" s="8">
        <f t="shared" si="322"/>
        <v>45009</v>
      </c>
      <c r="Z1352" s="8">
        <v>45024</v>
      </c>
      <c r="AA1352" s="13">
        <f t="shared" si="339"/>
        <v>15</v>
      </c>
      <c r="AB1352" s="8">
        <f t="shared" si="316"/>
        <v>274330</v>
      </c>
      <c r="AC1352" s="8">
        <v>274404</v>
      </c>
      <c r="AD1352" s="13">
        <f t="shared" si="336"/>
        <v>74</v>
      </c>
      <c r="AE1352" s="135"/>
      <c r="AF1352" s="135"/>
      <c r="AG1352" s="135"/>
      <c r="AH1352" s="136"/>
      <c r="AI1352" s="50">
        <f t="shared" si="337"/>
        <v>1301</v>
      </c>
    </row>
    <row r="1353" spans="1:35">
      <c r="A1353" s="12">
        <v>45728</v>
      </c>
      <c r="B1353" s="8">
        <f t="shared" si="329"/>
        <v>2157109</v>
      </c>
      <c r="C1353" s="8">
        <v>2157462</v>
      </c>
      <c r="D1353" s="13">
        <f t="shared" si="330"/>
        <v>353</v>
      </c>
      <c r="E1353" s="77">
        <f t="shared" si="323"/>
        <v>166020</v>
      </c>
      <c r="F1353" s="69">
        <v>166732</v>
      </c>
      <c r="G1353" s="133">
        <f t="shared" si="319"/>
        <v>712</v>
      </c>
      <c r="H1353" s="8">
        <f t="shared" si="324"/>
        <v>364396</v>
      </c>
      <c r="I1353" s="8">
        <v>364396</v>
      </c>
      <c r="J1353" s="13">
        <f t="shared" si="333"/>
        <v>0</v>
      </c>
      <c r="K1353" s="138">
        <f t="shared" si="321"/>
        <v>1065</v>
      </c>
      <c r="L1353" s="8">
        <f t="shared" si="338"/>
        <v>1327984</v>
      </c>
      <c r="M1353" s="8">
        <v>1328182</v>
      </c>
      <c r="N1353" s="13">
        <f>M1353-L1353</f>
        <v>198</v>
      </c>
      <c r="O1353" s="136">
        <f t="shared" si="331"/>
        <v>501</v>
      </c>
      <c r="P1353" s="8">
        <f t="shared" si="328"/>
        <v>183903</v>
      </c>
      <c r="Q1353" s="8">
        <v>184036</v>
      </c>
      <c r="R1353" s="133">
        <v>533</v>
      </c>
      <c r="S1353" s="8">
        <f t="shared" si="320"/>
        <v>52474</v>
      </c>
      <c r="T1353" s="8">
        <v>52585</v>
      </c>
      <c r="U1353" s="133">
        <f t="shared" si="334"/>
        <v>111</v>
      </c>
      <c r="V1353" s="8">
        <f t="shared" si="327"/>
        <v>392808</v>
      </c>
      <c r="W1353" s="8">
        <v>393065</v>
      </c>
      <c r="X1353" s="13">
        <f t="shared" si="335"/>
        <v>257</v>
      </c>
      <c r="Y1353" s="8">
        <f t="shared" si="322"/>
        <v>45024</v>
      </c>
      <c r="Z1353" s="8">
        <v>45049</v>
      </c>
      <c r="AA1353" s="13">
        <f t="shared" si="339"/>
        <v>25</v>
      </c>
      <c r="AB1353" s="8">
        <f t="shared" si="316"/>
        <v>274404</v>
      </c>
      <c r="AC1353" s="8">
        <v>274484</v>
      </c>
      <c r="AD1353" s="13">
        <f t="shared" si="336"/>
        <v>80</v>
      </c>
      <c r="AE1353" s="135"/>
      <c r="AF1353" s="135"/>
      <c r="AG1353" s="135"/>
      <c r="AH1353" s="136"/>
      <c r="AI1353" s="50">
        <f t="shared" si="337"/>
        <v>1427</v>
      </c>
    </row>
    <row r="1354" spans="1:35">
      <c r="A1354" s="12">
        <v>45729</v>
      </c>
      <c r="B1354" s="8">
        <f t="shared" si="329"/>
        <v>2157462</v>
      </c>
      <c r="C1354" s="8">
        <v>2157978</v>
      </c>
      <c r="D1354" s="13">
        <f t="shared" si="330"/>
        <v>516</v>
      </c>
      <c r="E1354" s="77">
        <f t="shared" si="323"/>
        <v>166732</v>
      </c>
      <c r="F1354" s="69">
        <v>167502</v>
      </c>
      <c r="G1354" s="133">
        <f t="shared" si="319"/>
        <v>770</v>
      </c>
      <c r="H1354" s="8">
        <f t="shared" si="324"/>
        <v>364396</v>
      </c>
      <c r="I1354" s="8">
        <v>365041</v>
      </c>
      <c r="J1354" s="13">
        <f t="shared" si="333"/>
        <v>645</v>
      </c>
      <c r="K1354" s="138">
        <f t="shared" si="321"/>
        <v>1931</v>
      </c>
      <c r="L1354" s="8">
        <f t="shared" si="338"/>
        <v>1328182</v>
      </c>
      <c r="M1354" s="8">
        <v>1329212</v>
      </c>
      <c r="N1354" s="13">
        <f t="shared" si="317"/>
        <v>1030</v>
      </c>
      <c r="O1354" s="136">
        <f t="shared" si="331"/>
        <v>1339</v>
      </c>
      <c r="P1354" s="8">
        <f t="shared" si="328"/>
        <v>184036</v>
      </c>
      <c r="Q1354" s="8">
        <v>184401</v>
      </c>
      <c r="R1354" s="133">
        <v>565</v>
      </c>
      <c r="S1354" s="8">
        <f t="shared" si="320"/>
        <v>52585</v>
      </c>
      <c r="T1354" s="8">
        <v>52673</v>
      </c>
      <c r="U1354" s="133">
        <f t="shared" si="334"/>
        <v>88</v>
      </c>
      <c r="V1354" s="8">
        <f t="shared" si="327"/>
        <v>393065</v>
      </c>
      <c r="W1354" s="8">
        <v>393305</v>
      </c>
      <c r="X1354" s="13">
        <f t="shared" si="335"/>
        <v>240</v>
      </c>
      <c r="Y1354" s="8">
        <f t="shared" si="322"/>
        <v>45049</v>
      </c>
      <c r="Z1354" s="8">
        <v>45054</v>
      </c>
      <c r="AA1354" s="13">
        <f t="shared" si="339"/>
        <v>5</v>
      </c>
      <c r="AB1354" s="8">
        <f t="shared" si="316"/>
        <v>274484</v>
      </c>
      <c r="AC1354" s="8">
        <v>274545</v>
      </c>
      <c r="AD1354" s="13">
        <f t="shared" si="336"/>
        <v>61</v>
      </c>
      <c r="AE1354" s="135"/>
      <c r="AF1354" s="135"/>
      <c r="AG1354" s="135"/>
      <c r="AH1354" s="136"/>
      <c r="AI1354" s="50">
        <f t="shared" si="337"/>
        <v>2237</v>
      </c>
    </row>
    <row r="1355" spans="1:35">
      <c r="A1355" s="12">
        <v>45730</v>
      </c>
      <c r="B1355" s="8">
        <f t="shared" si="329"/>
        <v>2157978</v>
      </c>
      <c r="C1355" s="8">
        <v>2158489</v>
      </c>
      <c r="D1355" s="13">
        <f t="shared" si="330"/>
        <v>511</v>
      </c>
      <c r="E1355" s="77">
        <f t="shared" si="323"/>
        <v>167502</v>
      </c>
      <c r="F1355" s="69">
        <v>168243</v>
      </c>
      <c r="G1355" s="133">
        <f t="shared" si="319"/>
        <v>741</v>
      </c>
      <c r="H1355" s="8">
        <f t="shared" si="324"/>
        <v>365041</v>
      </c>
      <c r="I1355" s="8">
        <v>365041</v>
      </c>
      <c r="J1355" s="13">
        <f t="shared" si="333"/>
        <v>0</v>
      </c>
      <c r="K1355" s="138">
        <f t="shared" si="321"/>
        <v>1252</v>
      </c>
      <c r="L1355" s="8">
        <f t="shared" si="338"/>
        <v>1329212</v>
      </c>
      <c r="M1355" s="8">
        <v>1329991</v>
      </c>
      <c r="N1355" s="13">
        <f t="shared" si="317"/>
        <v>779</v>
      </c>
      <c r="O1355" s="136">
        <f t="shared" si="331"/>
        <v>639</v>
      </c>
      <c r="P1355" s="8">
        <f t="shared" si="328"/>
        <v>184401</v>
      </c>
      <c r="Q1355" s="8">
        <v>185053</v>
      </c>
      <c r="R1355" s="133">
        <f t="shared" si="326"/>
        <v>652</v>
      </c>
      <c r="S1355" s="8">
        <f t="shared" si="320"/>
        <v>52673</v>
      </c>
      <c r="T1355" s="8">
        <v>52739</v>
      </c>
      <c r="U1355" s="133">
        <f t="shared" si="334"/>
        <v>66</v>
      </c>
      <c r="V1355" s="8">
        <f t="shared" si="327"/>
        <v>393305</v>
      </c>
      <c r="W1355" s="8">
        <v>393588</v>
      </c>
      <c r="X1355" s="13">
        <f t="shared" si="335"/>
        <v>283</v>
      </c>
      <c r="Y1355" s="8">
        <f t="shared" si="322"/>
        <v>45054</v>
      </c>
      <c r="Z1355" s="8">
        <v>45072</v>
      </c>
      <c r="AA1355" s="13">
        <f t="shared" si="339"/>
        <v>18</v>
      </c>
      <c r="AB1355" s="8">
        <f t="shared" si="316"/>
        <v>274545</v>
      </c>
      <c r="AC1355" s="8">
        <v>274650</v>
      </c>
      <c r="AD1355" s="13">
        <f t="shared" si="336"/>
        <v>105</v>
      </c>
      <c r="AE1355" s="135"/>
      <c r="AF1355" s="135"/>
      <c r="AG1355" s="135"/>
      <c r="AH1355" s="136"/>
      <c r="AI1355" s="50">
        <f t="shared" ref="AI1355:AI1397" si="340">AA1355+U1355+R1355+O1355+X1355</f>
        <v>1658</v>
      </c>
    </row>
    <row r="1356" spans="1:35">
      <c r="A1356" s="12">
        <v>45731</v>
      </c>
      <c r="B1356" s="8">
        <f t="shared" si="329"/>
        <v>2158489</v>
      </c>
      <c r="C1356" s="8">
        <v>2158723</v>
      </c>
      <c r="D1356" s="13">
        <f t="shared" si="330"/>
        <v>234</v>
      </c>
      <c r="E1356" s="77">
        <f t="shared" si="323"/>
        <v>168243</v>
      </c>
      <c r="F1356" s="69">
        <v>168991</v>
      </c>
      <c r="G1356" s="133">
        <f t="shared" si="319"/>
        <v>748</v>
      </c>
      <c r="H1356" s="8">
        <f t="shared" si="324"/>
        <v>365041</v>
      </c>
      <c r="I1356" s="8">
        <v>365041</v>
      </c>
      <c r="J1356" s="13">
        <f t="shared" si="333"/>
        <v>0</v>
      </c>
      <c r="K1356" s="138">
        <f t="shared" si="321"/>
        <v>982</v>
      </c>
      <c r="L1356" s="8">
        <f t="shared" si="338"/>
        <v>1329991</v>
      </c>
      <c r="M1356" s="8">
        <v>1331341</v>
      </c>
      <c r="N1356" s="13">
        <f t="shared" si="317"/>
        <v>1350</v>
      </c>
      <c r="O1356" s="136">
        <f t="shared" si="331"/>
        <v>311</v>
      </c>
      <c r="P1356" s="8">
        <f t="shared" si="328"/>
        <v>185053</v>
      </c>
      <c r="Q1356" s="8">
        <v>185690</v>
      </c>
      <c r="R1356" s="133">
        <f t="shared" si="326"/>
        <v>637</v>
      </c>
      <c r="S1356" s="8">
        <f t="shared" si="320"/>
        <v>52739</v>
      </c>
      <c r="T1356" s="8">
        <v>52861</v>
      </c>
      <c r="U1356" s="133">
        <f t="shared" si="334"/>
        <v>122</v>
      </c>
      <c r="V1356" s="8">
        <f t="shared" si="327"/>
        <v>393588</v>
      </c>
      <c r="W1356" s="8">
        <v>393703</v>
      </c>
      <c r="X1356" s="13">
        <f t="shared" si="335"/>
        <v>115</v>
      </c>
      <c r="Y1356" s="8">
        <f t="shared" si="322"/>
        <v>45072</v>
      </c>
      <c r="Z1356" s="8">
        <v>45096</v>
      </c>
      <c r="AA1356" s="13">
        <f t="shared" si="339"/>
        <v>24</v>
      </c>
      <c r="AB1356" s="8">
        <f t="shared" si="316"/>
        <v>274650</v>
      </c>
      <c r="AC1356" s="8">
        <v>274738</v>
      </c>
      <c r="AD1356" s="13">
        <f t="shared" si="336"/>
        <v>88</v>
      </c>
      <c r="AE1356" s="135"/>
      <c r="AF1356" s="135"/>
      <c r="AG1356" s="135"/>
      <c r="AH1356" s="136"/>
      <c r="AI1356" s="50">
        <f t="shared" si="340"/>
        <v>1209</v>
      </c>
    </row>
    <row r="1357" spans="1:35">
      <c r="A1357" s="12">
        <v>45732</v>
      </c>
      <c r="B1357" s="8">
        <f t="shared" si="329"/>
        <v>2158723</v>
      </c>
      <c r="C1357" s="8">
        <v>2158996</v>
      </c>
      <c r="D1357" s="13">
        <f t="shared" si="330"/>
        <v>273</v>
      </c>
      <c r="E1357" s="77">
        <f t="shared" si="323"/>
        <v>168991</v>
      </c>
      <c r="F1357" s="69">
        <v>169759</v>
      </c>
      <c r="G1357" s="133">
        <f t="shared" si="319"/>
        <v>768</v>
      </c>
      <c r="H1357" s="8">
        <f t="shared" si="324"/>
        <v>365041</v>
      </c>
      <c r="I1357" s="8">
        <v>365041</v>
      </c>
      <c r="J1357" s="13">
        <f t="shared" si="333"/>
        <v>0</v>
      </c>
      <c r="K1357" s="138">
        <f t="shared" si="321"/>
        <v>1041</v>
      </c>
      <c r="L1357" s="8">
        <f t="shared" si="338"/>
        <v>1331341</v>
      </c>
      <c r="M1357" s="8">
        <v>1332362</v>
      </c>
      <c r="N1357" s="13">
        <f t="shared" si="317"/>
        <v>1021</v>
      </c>
      <c r="O1357" s="136">
        <f t="shared" si="331"/>
        <v>562</v>
      </c>
      <c r="P1357" s="8">
        <f t="shared" si="328"/>
        <v>185690</v>
      </c>
      <c r="Q1357" s="8">
        <v>185890</v>
      </c>
      <c r="R1357" s="133">
        <v>480</v>
      </c>
      <c r="S1357" s="8">
        <f t="shared" si="320"/>
        <v>52861</v>
      </c>
      <c r="T1357" s="8">
        <v>52933</v>
      </c>
      <c r="U1357" s="133">
        <f t="shared" si="334"/>
        <v>72</v>
      </c>
      <c r="V1357" s="8">
        <f t="shared" si="327"/>
        <v>393703</v>
      </c>
      <c r="W1357" s="8">
        <v>393903</v>
      </c>
      <c r="X1357" s="13">
        <f t="shared" si="335"/>
        <v>200</v>
      </c>
      <c r="Y1357" s="8">
        <f t="shared" si="322"/>
        <v>45096</v>
      </c>
      <c r="Z1357" s="8">
        <v>45112</v>
      </c>
      <c r="AA1357" s="13">
        <f t="shared" si="339"/>
        <v>16</v>
      </c>
      <c r="AB1357" s="8">
        <f t="shared" si="316"/>
        <v>274738</v>
      </c>
      <c r="AC1357" s="8">
        <v>274861</v>
      </c>
      <c r="AD1357" s="13">
        <v>73</v>
      </c>
      <c r="AE1357" s="135"/>
      <c r="AF1357" s="135"/>
      <c r="AG1357" s="135"/>
      <c r="AH1357" s="136"/>
      <c r="AI1357" s="50">
        <f t="shared" si="340"/>
        <v>1330</v>
      </c>
    </row>
    <row r="1358" spans="1:35">
      <c r="A1358" s="12">
        <v>45733</v>
      </c>
      <c r="B1358" s="8">
        <f t="shared" si="329"/>
        <v>2158996</v>
      </c>
      <c r="C1358" s="8">
        <v>2159176</v>
      </c>
      <c r="D1358" s="13">
        <f t="shared" si="330"/>
        <v>180</v>
      </c>
      <c r="E1358" s="77">
        <f t="shared" si="323"/>
        <v>169759</v>
      </c>
      <c r="F1358" s="69">
        <v>170523</v>
      </c>
      <c r="G1358" s="133">
        <f t="shared" si="319"/>
        <v>764</v>
      </c>
      <c r="H1358" s="8">
        <f t="shared" si="324"/>
        <v>365041</v>
      </c>
      <c r="I1358" s="8">
        <v>365307</v>
      </c>
      <c r="J1358" s="13">
        <f t="shared" si="333"/>
        <v>266</v>
      </c>
      <c r="K1358" s="138">
        <f t="shared" si="321"/>
        <v>1210</v>
      </c>
      <c r="L1358" s="8">
        <f t="shared" si="338"/>
        <v>1332362</v>
      </c>
      <c r="M1358" s="8">
        <v>1333100</v>
      </c>
      <c r="N1358" s="13">
        <f t="shared" si="317"/>
        <v>738</v>
      </c>
      <c r="O1358" s="136">
        <f t="shared" si="331"/>
        <v>572</v>
      </c>
      <c r="P1358" s="8">
        <f t="shared" si="328"/>
        <v>185890</v>
      </c>
      <c r="Q1358" s="8">
        <v>186573</v>
      </c>
      <c r="R1358" s="133">
        <f t="shared" si="326"/>
        <v>683</v>
      </c>
      <c r="S1358" s="8">
        <f t="shared" si="320"/>
        <v>52933</v>
      </c>
      <c r="T1358" s="8">
        <v>52988</v>
      </c>
      <c r="U1358" s="133">
        <f t="shared" si="334"/>
        <v>55</v>
      </c>
      <c r="V1358" s="8">
        <f t="shared" si="327"/>
        <v>393903</v>
      </c>
      <c r="W1358" s="8">
        <v>394103</v>
      </c>
      <c r="X1358" s="13">
        <f t="shared" si="335"/>
        <v>200</v>
      </c>
      <c r="Y1358" s="8">
        <f t="shared" si="322"/>
        <v>45112</v>
      </c>
      <c r="Z1358" s="8">
        <v>45122</v>
      </c>
      <c r="AA1358" s="13">
        <f t="shared" si="339"/>
        <v>10</v>
      </c>
      <c r="AB1358" s="8">
        <f t="shared" si="316"/>
        <v>274861</v>
      </c>
      <c r="AC1358" s="8">
        <v>274961</v>
      </c>
      <c r="AD1358" s="13">
        <f t="shared" ref="AD1358:AD1365" si="341">AC1358-AB1358</f>
        <v>100</v>
      </c>
      <c r="AE1358" s="135"/>
      <c r="AF1358" s="135"/>
      <c r="AG1358" s="135"/>
      <c r="AH1358" s="136"/>
      <c r="AI1358" s="50">
        <f t="shared" si="340"/>
        <v>1520</v>
      </c>
    </row>
    <row r="1359" spans="1:35">
      <c r="A1359" s="12">
        <v>45734</v>
      </c>
      <c r="B1359" s="8">
        <f t="shared" si="329"/>
        <v>2159176</v>
      </c>
      <c r="C1359" s="8">
        <v>2159317</v>
      </c>
      <c r="D1359" s="13">
        <f t="shared" si="330"/>
        <v>141</v>
      </c>
      <c r="E1359" s="77">
        <f t="shared" si="323"/>
        <v>170523</v>
      </c>
      <c r="F1359" s="69">
        <v>171228</v>
      </c>
      <c r="G1359" s="133">
        <f t="shared" si="319"/>
        <v>705</v>
      </c>
      <c r="H1359" s="8">
        <f t="shared" si="324"/>
        <v>365307</v>
      </c>
      <c r="I1359" s="8">
        <v>366041</v>
      </c>
      <c r="J1359" s="13">
        <f t="shared" si="333"/>
        <v>734</v>
      </c>
      <c r="K1359" s="138">
        <f t="shared" si="321"/>
        <v>1580</v>
      </c>
      <c r="L1359" s="8">
        <f t="shared" si="338"/>
        <v>1333100</v>
      </c>
      <c r="M1359" s="8">
        <v>1333162</v>
      </c>
      <c r="N1359" s="13">
        <f t="shared" si="317"/>
        <v>62</v>
      </c>
      <c r="O1359" s="136">
        <f t="shared" si="331"/>
        <v>1069</v>
      </c>
      <c r="P1359" s="8">
        <f t="shared" si="328"/>
        <v>186573</v>
      </c>
      <c r="Q1359" s="8">
        <v>186947</v>
      </c>
      <c r="R1359" s="133">
        <v>474</v>
      </c>
      <c r="S1359" s="8">
        <f t="shared" si="320"/>
        <v>52988</v>
      </c>
      <c r="T1359" s="8">
        <v>53084</v>
      </c>
      <c r="U1359" s="133">
        <f t="shared" si="334"/>
        <v>96</v>
      </c>
      <c r="V1359" s="8">
        <f t="shared" si="327"/>
        <v>394103</v>
      </c>
      <c r="W1359" s="8">
        <v>394304</v>
      </c>
      <c r="X1359" s="13">
        <f t="shared" si="335"/>
        <v>201</v>
      </c>
      <c r="Y1359" s="8">
        <f t="shared" si="322"/>
        <v>45122</v>
      </c>
      <c r="Z1359" s="8">
        <v>45139</v>
      </c>
      <c r="AA1359" s="13">
        <f t="shared" si="339"/>
        <v>17</v>
      </c>
      <c r="AB1359" s="8">
        <f t="shared" si="316"/>
        <v>274961</v>
      </c>
      <c r="AC1359" s="8">
        <v>275020</v>
      </c>
      <c r="AD1359" s="13">
        <f t="shared" si="341"/>
        <v>59</v>
      </c>
      <c r="AE1359" s="135"/>
      <c r="AF1359" s="135"/>
      <c r="AG1359" s="135"/>
      <c r="AH1359" s="136">
        <f t="shared" ref="AH1359:AH1397" si="342">AG1359+AD1359</f>
        <v>59</v>
      </c>
      <c r="AI1359" s="50">
        <f t="shared" si="340"/>
        <v>1857</v>
      </c>
    </row>
    <row r="1360" spans="1:35">
      <c r="A1360" s="12">
        <v>45735</v>
      </c>
      <c r="B1360" s="8">
        <f t="shared" si="329"/>
        <v>2159317</v>
      </c>
      <c r="C1360" s="8">
        <v>2159481</v>
      </c>
      <c r="D1360" s="13">
        <f t="shared" si="330"/>
        <v>164</v>
      </c>
      <c r="E1360" s="77">
        <f t="shared" si="323"/>
        <v>171228</v>
      </c>
      <c r="F1360" s="69">
        <v>171993</v>
      </c>
      <c r="G1360" s="133">
        <f t="shared" si="319"/>
        <v>765</v>
      </c>
      <c r="H1360" s="8">
        <f t="shared" si="324"/>
        <v>366041</v>
      </c>
      <c r="I1360" s="8">
        <v>366041</v>
      </c>
      <c r="J1360" s="13">
        <f t="shared" si="333"/>
        <v>0</v>
      </c>
      <c r="K1360" s="138">
        <f t="shared" si="321"/>
        <v>929</v>
      </c>
      <c r="L1360" s="8">
        <f t="shared" si="338"/>
        <v>1333162</v>
      </c>
      <c r="M1360" s="8">
        <v>1334302</v>
      </c>
      <c r="N1360" s="13">
        <f t="shared" si="317"/>
        <v>1140</v>
      </c>
      <c r="O1360" s="136">
        <f t="shared" si="331"/>
        <v>491</v>
      </c>
      <c r="P1360" s="8">
        <f t="shared" si="328"/>
        <v>186947</v>
      </c>
      <c r="Q1360" s="8">
        <v>187426</v>
      </c>
      <c r="R1360" s="133">
        <f t="shared" si="326"/>
        <v>479</v>
      </c>
      <c r="S1360" s="8">
        <f t="shared" si="320"/>
        <v>53084</v>
      </c>
      <c r="T1360" s="8">
        <v>53084</v>
      </c>
      <c r="U1360" s="133">
        <v>51</v>
      </c>
      <c r="V1360" s="8">
        <f t="shared" si="327"/>
        <v>394304</v>
      </c>
      <c r="W1360" s="8">
        <v>394522</v>
      </c>
      <c r="X1360" s="13">
        <f t="shared" si="335"/>
        <v>218</v>
      </c>
      <c r="Y1360" s="8">
        <f t="shared" si="322"/>
        <v>45139</v>
      </c>
      <c r="Z1360" s="8">
        <v>45154</v>
      </c>
      <c r="AA1360" s="13">
        <f t="shared" si="339"/>
        <v>15</v>
      </c>
      <c r="AB1360" s="8">
        <f t="shared" si="316"/>
        <v>275020</v>
      </c>
      <c r="AC1360" s="8">
        <v>275112</v>
      </c>
      <c r="AD1360" s="13">
        <f t="shared" si="341"/>
        <v>92</v>
      </c>
      <c r="AE1360" s="135"/>
      <c r="AF1360" s="135"/>
      <c r="AG1360" s="135"/>
      <c r="AH1360" s="136">
        <f t="shared" si="342"/>
        <v>92</v>
      </c>
      <c r="AI1360" s="50">
        <f t="shared" si="340"/>
        <v>1254</v>
      </c>
    </row>
    <row r="1361" spans="1:35">
      <c r="A1361" s="12">
        <v>45736</v>
      </c>
      <c r="B1361" s="8">
        <f t="shared" si="329"/>
        <v>2159481</v>
      </c>
      <c r="C1361" s="8">
        <v>2159514</v>
      </c>
      <c r="D1361" s="13">
        <f t="shared" si="330"/>
        <v>33</v>
      </c>
      <c r="E1361" s="77">
        <f t="shared" si="323"/>
        <v>171993</v>
      </c>
      <c r="F1361" s="69">
        <v>172744</v>
      </c>
      <c r="G1361" s="133">
        <f t="shared" si="319"/>
        <v>751</v>
      </c>
      <c r="H1361" s="8">
        <f t="shared" si="324"/>
        <v>366041</v>
      </c>
      <c r="I1361" s="8">
        <v>366937</v>
      </c>
      <c r="J1361" s="13">
        <f t="shared" si="333"/>
        <v>896</v>
      </c>
      <c r="K1361" s="138">
        <f t="shared" si="321"/>
        <v>1680</v>
      </c>
      <c r="L1361" s="8">
        <f t="shared" si="338"/>
        <v>1334302</v>
      </c>
      <c r="M1361" s="8">
        <v>1334410</v>
      </c>
      <c r="N1361" s="13">
        <f t="shared" si="317"/>
        <v>108</v>
      </c>
      <c r="O1361" s="136">
        <f t="shared" si="331"/>
        <v>1215</v>
      </c>
      <c r="P1361" s="8">
        <f t="shared" si="328"/>
        <v>187426</v>
      </c>
      <c r="Q1361" s="8">
        <v>187899</v>
      </c>
      <c r="R1361" s="133">
        <f t="shared" si="326"/>
        <v>473</v>
      </c>
      <c r="S1361" s="8">
        <f t="shared" si="320"/>
        <v>53084</v>
      </c>
      <c r="T1361" s="8">
        <v>53093</v>
      </c>
      <c r="U1361" s="133">
        <v>45</v>
      </c>
      <c r="V1361" s="8">
        <f t="shared" si="327"/>
        <v>394522</v>
      </c>
      <c r="W1361" s="8">
        <v>394640</v>
      </c>
      <c r="X1361" s="13">
        <f t="shared" si="335"/>
        <v>118</v>
      </c>
      <c r="Y1361" s="8">
        <f t="shared" si="322"/>
        <v>45154</v>
      </c>
      <c r="Z1361" s="8">
        <v>45169</v>
      </c>
      <c r="AA1361" s="13">
        <f t="shared" si="339"/>
        <v>15</v>
      </c>
      <c r="AB1361" s="8">
        <f t="shared" si="316"/>
        <v>275112</v>
      </c>
      <c r="AC1361" s="8">
        <v>275165</v>
      </c>
      <c r="AD1361" s="13">
        <f t="shared" si="341"/>
        <v>53</v>
      </c>
      <c r="AE1361" s="135"/>
      <c r="AF1361" s="135"/>
      <c r="AG1361" s="135"/>
      <c r="AH1361" s="136">
        <f t="shared" si="342"/>
        <v>53</v>
      </c>
      <c r="AI1361" s="50">
        <f t="shared" si="340"/>
        <v>1866</v>
      </c>
    </row>
    <row r="1362" spans="1:35">
      <c r="A1362" s="12">
        <v>45737</v>
      </c>
      <c r="B1362" s="8">
        <f t="shared" si="329"/>
        <v>2159514</v>
      </c>
      <c r="C1362" s="8">
        <v>2159542</v>
      </c>
      <c r="D1362" s="13">
        <f t="shared" si="330"/>
        <v>28</v>
      </c>
      <c r="E1362" s="77">
        <f t="shared" si="323"/>
        <v>172744</v>
      </c>
      <c r="F1362" s="69">
        <v>173476</v>
      </c>
      <c r="G1362" s="133">
        <f t="shared" si="319"/>
        <v>732</v>
      </c>
      <c r="H1362" s="8">
        <f t="shared" si="324"/>
        <v>366937</v>
      </c>
      <c r="I1362" s="8">
        <v>366937</v>
      </c>
      <c r="J1362" s="13">
        <f t="shared" si="333"/>
        <v>0</v>
      </c>
      <c r="K1362" s="138">
        <f t="shared" si="321"/>
        <v>760</v>
      </c>
      <c r="L1362" s="8">
        <f t="shared" si="338"/>
        <v>1334410</v>
      </c>
      <c r="M1362" s="8">
        <v>1335514</v>
      </c>
      <c r="N1362" s="13">
        <f t="shared" si="317"/>
        <v>1104</v>
      </c>
      <c r="O1362" s="136">
        <f t="shared" si="331"/>
        <v>212</v>
      </c>
      <c r="P1362" s="8">
        <f t="shared" si="328"/>
        <v>187899</v>
      </c>
      <c r="Q1362" s="8">
        <v>187910</v>
      </c>
      <c r="R1362" s="133">
        <v>511</v>
      </c>
      <c r="S1362" s="8">
        <f t="shared" si="320"/>
        <v>53093</v>
      </c>
      <c r="T1362" s="8">
        <v>53093</v>
      </c>
      <c r="U1362" s="133">
        <v>51</v>
      </c>
      <c r="V1362" s="8">
        <f t="shared" si="327"/>
        <v>394640</v>
      </c>
      <c r="W1362" s="8">
        <v>394864</v>
      </c>
      <c r="X1362" s="13">
        <f t="shared" si="335"/>
        <v>224</v>
      </c>
      <c r="Y1362" s="8">
        <f t="shared" si="322"/>
        <v>45169</v>
      </c>
      <c r="Z1362" s="8">
        <v>45186</v>
      </c>
      <c r="AA1362" s="13">
        <f t="shared" si="339"/>
        <v>17</v>
      </c>
      <c r="AB1362" s="8">
        <f t="shared" si="316"/>
        <v>275165</v>
      </c>
      <c r="AC1362" s="8">
        <v>275179</v>
      </c>
      <c r="AD1362" s="13">
        <f t="shared" si="341"/>
        <v>14</v>
      </c>
      <c r="AE1362" s="135"/>
      <c r="AF1362" s="135"/>
      <c r="AG1362" s="135"/>
      <c r="AH1362" s="136">
        <f t="shared" si="342"/>
        <v>14</v>
      </c>
      <c r="AI1362" s="50">
        <f t="shared" si="340"/>
        <v>1015</v>
      </c>
    </row>
    <row r="1363" spans="1:35">
      <c r="A1363" s="12">
        <v>45738</v>
      </c>
      <c r="B1363" s="8">
        <f t="shared" si="329"/>
        <v>2159542</v>
      </c>
      <c r="C1363" s="8">
        <v>2159578</v>
      </c>
      <c r="D1363" s="13">
        <f t="shared" si="330"/>
        <v>36</v>
      </c>
      <c r="E1363" s="77">
        <f t="shared" si="323"/>
        <v>173476</v>
      </c>
      <c r="F1363" s="69">
        <v>174230</v>
      </c>
      <c r="G1363" s="133">
        <f t="shared" si="319"/>
        <v>754</v>
      </c>
      <c r="H1363" s="8">
        <f t="shared" si="324"/>
        <v>366937</v>
      </c>
      <c r="I1363" s="8">
        <v>367886</v>
      </c>
      <c r="J1363" s="13">
        <f t="shared" ref="J1363:J1385" si="343">I1363-H1363</f>
        <v>949</v>
      </c>
      <c r="K1363" s="138">
        <f t="shared" si="321"/>
        <v>1739</v>
      </c>
      <c r="L1363" s="8">
        <f t="shared" si="338"/>
        <v>1335514</v>
      </c>
      <c r="M1363" s="8">
        <v>1335589</v>
      </c>
      <c r="N1363" s="13">
        <f t="shared" si="317"/>
        <v>75</v>
      </c>
      <c r="O1363" s="136">
        <f t="shared" si="331"/>
        <v>1106</v>
      </c>
      <c r="P1363" s="8">
        <f t="shared" si="328"/>
        <v>187910</v>
      </c>
      <c r="Q1363" s="8">
        <v>187910</v>
      </c>
      <c r="R1363" s="133">
        <v>554</v>
      </c>
      <c r="S1363" s="8">
        <f t="shared" si="320"/>
        <v>53093</v>
      </c>
      <c r="T1363" s="8">
        <v>53093</v>
      </c>
      <c r="U1363" s="133">
        <v>88</v>
      </c>
      <c r="V1363" s="8">
        <f t="shared" si="327"/>
        <v>394864</v>
      </c>
      <c r="W1363" s="8">
        <v>395126</v>
      </c>
      <c r="X1363" s="13">
        <f t="shared" si="335"/>
        <v>262</v>
      </c>
      <c r="Y1363" s="8">
        <f t="shared" si="322"/>
        <v>45186</v>
      </c>
      <c r="Z1363" s="8">
        <v>45206</v>
      </c>
      <c r="AA1363" s="13">
        <f t="shared" si="339"/>
        <v>20</v>
      </c>
      <c r="AB1363" s="8">
        <f t="shared" si="316"/>
        <v>275179</v>
      </c>
      <c r="AC1363" s="8">
        <v>275188</v>
      </c>
      <c r="AD1363" s="13">
        <f t="shared" si="341"/>
        <v>9</v>
      </c>
      <c r="AE1363" s="135">
        <v>6032</v>
      </c>
      <c r="AF1363" s="135">
        <v>6223</v>
      </c>
      <c r="AG1363" s="135">
        <f>AF1363-AE1363</f>
        <v>191</v>
      </c>
      <c r="AH1363" s="136">
        <f t="shared" si="342"/>
        <v>200</v>
      </c>
      <c r="AI1363" s="50">
        <f t="shared" si="340"/>
        <v>2030</v>
      </c>
    </row>
    <row r="1364" spans="1:35">
      <c r="A1364" s="12">
        <v>45739</v>
      </c>
      <c r="B1364" s="8">
        <f t="shared" si="329"/>
        <v>2159578</v>
      </c>
      <c r="C1364" s="8">
        <v>2159881</v>
      </c>
      <c r="D1364" s="13">
        <f t="shared" si="330"/>
        <v>303</v>
      </c>
      <c r="E1364" s="77">
        <f t="shared" si="323"/>
        <v>174230</v>
      </c>
      <c r="F1364" s="69">
        <v>174983</v>
      </c>
      <c r="G1364" s="133">
        <f t="shared" si="319"/>
        <v>753</v>
      </c>
      <c r="H1364" s="8">
        <f t="shared" si="324"/>
        <v>367886</v>
      </c>
      <c r="I1364" s="8">
        <v>367886</v>
      </c>
      <c r="J1364" s="13">
        <f t="shared" si="343"/>
        <v>0</v>
      </c>
      <c r="K1364" s="138">
        <f t="shared" si="321"/>
        <v>1056</v>
      </c>
      <c r="L1364" s="8">
        <f t="shared" si="338"/>
        <v>1335589</v>
      </c>
      <c r="M1364" s="8">
        <v>1336844</v>
      </c>
      <c r="N1364" s="13">
        <f t="shared" si="317"/>
        <v>1255</v>
      </c>
      <c r="O1364" s="136">
        <f t="shared" si="331"/>
        <v>535</v>
      </c>
      <c r="P1364" s="8">
        <f t="shared" si="328"/>
        <v>187910</v>
      </c>
      <c r="Q1364" s="8">
        <v>188382</v>
      </c>
      <c r="R1364" s="133">
        <f t="shared" si="326"/>
        <v>472</v>
      </c>
      <c r="S1364" s="8">
        <f t="shared" si="320"/>
        <v>53093</v>
      </c>
      <c r="T1364" s="8">
        <v>53142</v>
      </c>
      <c r="U1364" s="133">
        <f t="shared" si="334"/>
        <v>49</v>
      </c>
      <c r="V1364" s="8">
        <f t="shared" si="327"/>
        <v>395126</v>
      </c>
      <c r="W1364" s="8">
        <v>395400</v>
      </c>
      <c r="X1364" s="13">
        <f t="shared" si="335"/>
        <v>274</v>
      </c>
      <c r="Y1364" s="8">
        <f t="shared" si="322"/>
        <v>45206</v>
      </c>
      <c r="Z1364" s="8">
        <v>45224</v>
      </c>
      <c r="AA1364" s="13">
        <f t="shared" si="339"/>
        <v>18</v>
      </c>
      <c r="AB1364" s="8">
        <f t="shared" si="316"/>
        <v>275188</v>
      </c>
      <c r="AC1364" s="8">
        <v>275188</v>
      </c>
      <c r="AD1364" s="13">
        <f t="shared" si="341"/>
        <v>0</v>
      </c>
      <c r="AE1364" s="135">
        <v>6223</v>
      </c>
      <c r="AF1364" s="135">
        <v>6423</v>
      </c>
      <c r="AG1364" s="135">
        <f t="shared" ref="AG1364:AG1385" si="344">AF1364-AE1364</f>
        <v>200</v>
      </c>
      <c r="AH1364" s="136">
        <f t="shared" si="342"/>
        <v>200</v>
      </c>
      <c r="AI1364" s="50">
        <f t="shared" si="340"/>
        <v>1348</v>
      </c>
    </row>
    <row r="1365" spans="1:35">
      <c r="A1365" s="12">
        <v>45740</v>
      </c>
      <c r="B1365" s="8">
        <f t="shared" si="329"/>
        <v>2159881</v>
      </c>
      <c r="C1365" s="8">
        <v>2160050</v>
      </c>
      <c r="D1365" s="13">
        <f t="shared" si="330"/>
        <v>169</v>
      </c>
      <c r="E1365" s="77">
        <f t="shared" si="323"/>
        <v>174983</v>
      </c>
      <c r="F1365" s="69">
        <v>175724</v>
      </c>
      <c r="G1365" s="133">
        <f t="shared" si="319"/>
        <v>741</v>
      </c>
      <c r="H1365" s="8">
        <f t="shared" si="324"/>
        <v>367886</v>
      </c>
      <c r="I1365" s="8">
        <v>368684</v>
      </c>
      <c r="J1365" s="13">
        <f t="shared" si="343"/>
        <v>798</v>
      </c>
      <c r="K1365" s="138">
        <f t="shared" si="321"/>
        <v>1708</v>
      </c>
      <c r="L1365" s="8">
        <f t="shared" si="338"/>
        <v>1336844</v>
      </c>
      <c r="M1365" s="8">
        <v>1337005</v>
      </c>
      <c r="N1365" s="13">
        <f t="shared" si="317"/>
        <v>161</v>
      </c>
      <c r="O1365" s="136">
        <f t="shared" si="331"/>
        <v>1156</v>
      </c>
      <c r="P1365" s="8">
        <f t="shared" si="328"/>
        <v>188382</v>
      </c>
      <c r="Q1365" s="8">
        <v>188837</v>
      </c>
      <c r="R1365" s="133">
        <f t="shared" si="326"/>
        <v>455</v>
      </c>
      <c r="S1365" s="8">
        <f t="shared" si="320"/>
        <v>53142</v>
      </c>
      <c r="T1365" s="8">
        <v>53239</v>
      </c>
      <c r="U1365" s="133">
        <f t="shared" si="334"/>
        <v>97</v>
      </c>
      <c r="V1365" s="8">
        <f t="shared" si="327"/>
        <v>395400</v>
      </c>
      <c r="W1365" s="8">
        <v>395613</v>
      </c>
      <c r="X1365" s="13">
        <f t="shared" si="335"/>
        <v>213</v>
      </c>
      <c r="Y1365" s="8">
        <f t="shared" si="322"/>
        <v>45224</v>
      </c>
      <c r="Z1365" s="8">
        <v>45238</v>
      </c>
      <c r="AA1365" s="13">
        <f t="shared" si="339"/>
        <v>14</v>
      </c>
      <c r="AB1365" s="8">
        <f t="shared" si="316"/>
        <v>275188</v>
      </c>
      <c r="AC1365" s="8">
        <v>275188</v>
      </c>
      <c r="AD1365" s="13">
        <f t="shared" si="341"/>
        <v>0</v>
      </c>
      <c r="AE1365" s="135">
        <v>6423</v>
      </c>
      <c r="AF1365" s="135">
        <v>6636</v>
      </c>
      <c r="AG1365" s="135">
        <f t="shared" si="344"/>
        <v>213</v>
      </c>
      <c r="AH1365" s="136">
        <f t="shared" si="342"/>
        <v>213</v>
      </c>
      <c r="AI1365" s="50">
        <f t="shared" si="340"/>
        <v>1935</v>
      </c>
    </row>
    <row r="1366" spans="1:35">
      <c r="A1366" s="12">
        <v>45741</v>
      </c>
      <c r="B1366" s="8">
        <f t="shared" si="329"/>
        <v>2160050</v>
      </c>
      <c r="C1366" s="8">
        <v>2160602</v>
      </c>
      <c r="D1366" s="13">
        <f t="shared" si="330"/>
        <v>552</v>
      </c>
      <c r="E1366" s="77">
        <f t="shared" si="323"/>
        <v>175724</v>
      </c>
      <c r="F1366" s="69">
        <v>176503</v>
      </c>
      <c r="G1366" s="133">
        <f t="shared" si="319"/>
        <v>779</v>
      </c>
      <c r="H1366" s="8">
        <f t="shared" si="324"/>
        <v>368684</v>
      </c>
      <c r="I1366" s="8">
        <v>368684</v>
      </c>
      <c r="J1366" s="13">
        <f t="shared" si="343"/>
        <v>0</v>
      </c>
      <c r="K1366" s="138">
        <f t="shared" si="321"/>
        <v>1331</v>
      </c>
      <c r="L1366" s="8">
        <f t="shared" si="338"/>
        <v>1337005</v>
      </c>
      <c r="M1366" s="8">
        <v>1338204</v>
      </c>
      <c r="N1366" s="13">
        <f t="shared" si="317"/>
        <v>1199</v>
      </c>
      <c r="O1366" s="136">
        <f t="shared" si="331"/>
        <v>879</v>
      </c>
      <c r="P1366" s="8">
        <f t="shared" si="328"/>
        <v>188837</v>
      </c>
      <c r="Q1366" s="8">
        <v>189254</v>
      </c>
      <c r="R1366" s="133">
        <f t="shared" si="326"/>
        <v>417</v>
      </c>
      <c r="S1366" s="8">
        <f t="shared" si="320"/>
        <v>53239</v>
      </c>
      <c r="T1366" s="8">
        <v>53239</v>
      </c>
      <c r="U1366" s="133">
        <v>35</v>
      </c>
      <c r="V1366" s="8">
        <f t="shared" si="327"/>
        <v>395613</v>
      </c>
      <c r="W1366" s="8">
        <v>395834</v>
      </c>
      <c r="X1366" s="13">
        <f t="shared" si="335"/>
        <v>221</v>
      </c>
      <c r="Y1366" s="8">
        <f t="shared" si="322"/>
        <v>45238</v>
      </c>
      <c r="Z1366" s="8">
        <v>45252</v>
      </c>
      <c r="AA1366" s="13">
        <f t="shared" si="339"/>
        <v>14</v>
      </c>
      <c r="AB1366" s="8">
        <f t="shared" si="316"/>
        <v>275188</v>
      </c>
      <c r="AC1366" s="8">
        <v>275188</v>
      </c>
      <c r="AD1366" s="13">
        <v>0</v>
      </c>
      <c r="AE1366" s="135"/>
      <c r="AF1366" s="135"/>
      <c r="AG1366" s="135">
        <f t="shared" si="344"/>
        <v>0</v>
      </c>
      <c r="AH1366" s="136">
        <f t="shared" si="342"/>
        <v>0</v>
      </c>
      <c r="AI1366" s="50">
        <f t="shared" si="340"/>
        <v>1566</v>
      </c>
    </row>
    <row r="1367" spans="1:35">
      <c r="A1367" s="12">
        <v>45742</v>
      </c>
      <c r="B1367" s="8">
        <f t="shared" si="329"/>
        <v>2160602</v>
      </c>
      <c r="C1367" s="8">
        <v>2160844</v>
      </c>
      <c r="D1367" s="13">
        <f t="shared" si="330"/>
        <v>242</v>
      </c>
      <c r="E1367" s="77">
        <f t="shared" si="323"/>
        <v>176503</v>
      </c>
      <c r="F1367" s="69">
        <v>177219</v>
      </c>
      <c r="G1367" s="133">
        <f t="shared" si="319"/>
        <v>716</v>
      </c>
      <c r="H1367" s="8">
        <f t="shared" si="324"/>
        <v>368684</v>
      </c>
      <c r="I1367" s="8">
        <v>368684</v>
      </c>
      <c r="J1367" s="13">
        <f t="shared" si="343"/>
        <v>0</v>
      </c>
      <c r="K1367" s="138">
        <f t="shared" si="321"/>
        <v>958</v>
      </c>
      <c r="L1367" s="8">
        <f t="shared" si="338"/>
        <v>1338204</v>
      </c>
      <c r="M1367" s="8">
        <v>1339260</v>
      </c>
      <c r="N1367" s="13">
        <f t="shared" si="317"/>
        <v>1056</v>
      </c>
      <c r="O1367" s="136">
        <f t="shared" si="331"/>
        <v>630</v>
      </c>
      <c r="P1367" s="8">
        <f t="shared" si="328"/>
        <v>189254</v>
      </c>
      <c r="Q1367" s="8">
        <v>189480</v>
      </c>
      <c r="R1367" s="133">
        <f t="shared" si="326"/>
        <v>226</v>
      </c>
      <c r="S1367" s="8">
        <f t="shared" si="320"/>
        <v>53239</v>
      </c>
      <c r="T1367" s="8">
        <v>53341</v>
      </c>
      <c r="U1367" s="133">
        <f t="shared" si="334"/>
        <v>102</v>
      </c>
      <c r="V1367" s="8">
        <f t="shared" si="327"/>
        <v>395834</v>
      </c>
      <c r="W1367" s="8">
        <v>396059</v>
      </c>
      <c r="X1367" s="13">
        <f t="shared" si="335"/>
        <v>225</v>
      </c>
      <c r="Y1367" s="8">
        <f t="shared" si="322"/>
        <v>45252</v>
      </c>
      <c r="Z1367" s="8">
        <v>45269</v>
      </c>
      <c r="AA1367" s="13">
        <f t="shared" si="339"/>
        <v>17</v>
      </c>
      <c r="AB1367" s="8">
        <f>AC1366</f>
        <v>275188</v>
      </c>
      <c r="AC1367" s="8">
        <v>275324</v>
      </c>
      <c r="AD1367" s="13">
        <v>0</v>
      </c>
      <c r="AE1367" s="135"/>
      <c r="AF1367" s="135"/>
      <c r="AG1367" s="135">
        <f t="shared" si="344"/>
        <v>0</v>
      </c>
      <c r="AH1367" s="136">
        <f t="shared" si="342"/>
        <v>0</v>
      </c>
      <c r="AI1367" s="50">
        <f t="shared" si="340"/>
        <v>1200</v>
      </c>
    </row>
    <row r="1368" spans="1:35">
      <c r="A1368" s="12">
        <v>45743</v>
      </c>
      <c r="B1368" s="8">
        <f t="shared" si="329"/>
        <v>2160844</v>
      </c>
      <c r="C1368" s="8">
        <v>2161591</v>
      </c>
      <c r="D1368" s="13">
        <f t="shared" si="330"/>
        <v>747</v>
      </c>
      <c r="E1368" s="77">
        <f t="shared" si="323"/>
        <v>177219</v>
      </c>
      <c r="F1368" s="69">
        <v>177980</v>
      </c>
      <c r="G1368" s="133">
        <f t="shared" si="319"/>
        <v>761</v>
      </c>
      <c r="J1368" s="13">
        <f t="shared" si="343"/>
        <v>0</v>
      </c>
      <c r="K1368" s="138">
        <f t="shared" si="321"/>
        <v>1508</v>
      </c>
      <c r="L1368" s="8">
        <f t="shared" si="338"/>
        <v>1339260</v>
      </c>
      <c r="M1368" s="8">
        <v>1340025</v>
      </c>
      <c r="N1368" s="13">
        <f t="shared" si="317"/>
        <v>765</v>
      </c>
      <c r="O1368" s="136">
        <f t="shared" si="331"/>
        <v>1190</v>
      </c>
      <c r="P1368" s="8">
        <f t="shared" si="328"/>
        <v>189480</v>
      </c>
      <c r="Q1368" s="8">
        <v>189810</v>
      </c>
      <c r="R1368" s="133">
        <f t="shared" si="326"/>
        <v>330</v>
      </c>
      <c r="S1368" s="8">
        <f t="shared" si="320"/>
        <v>53341</v>
      </c>
      <c r="T1368" s="8">
        <v>53423</v>
      </c>
      <c r="U1368" s="133">
        <f t="shared" si="334"/>
        <v>82</v>
      </c>
      <c r="V1368" s="8">
        <f t="shared" si="327"/>
        <v>396059</v>
      </c>
      <c r="W1368" s="8">
        <v>396319</v>
      </c>
      <c r="X1368" s="13">
        <f t="shared" si="335"/>
        <v>260</v>
      </c>
      <c r="Y1368" s="8">
        <f t="shared" si="322"/>
        <v>45269</v>
      </c>
      <c r="Z1368" s="8">
        <v>45286</v>
      </c>
      <c r="AA1368" s="13">
        <f t="shared" si="339"/>
        <v>17</v>
      </c>
      <c r="AB1368" s="8">
        <f t="shared" si="316"/>
        <v>275324</v>
      </c>
      <c r="AC1368" s="8">
        <v>275418</v>
      </c>
      <c r="AD1368" s="13">
        <f t="shared" ref="AD1368:AD1385" si="345">AC1368-AB1368</f>
        <v>94</v>
      </c>
      <c r="AE1368" s="135"/>
      <c r="AF1368" s="135"/>
      <c r="AG1368" s="135">
        <f t="shared" si="344"/>
        <v>0</v>
      </c>
      <c r="AH1368" s="136">
        <f t="shared" si="342"/>
        <v>94</v>
      </c>
      <c r="AI1368" s="50">
        <f t="shared" si="340"/>
        <v>1879</v>
      </c>
    </row>
    <row r="1369" spans="1:35">
      <c r="A1369" s="12">
        <v>45744</v>
      </c>
      <c r="B1369" s="8">
        <f t="shared" si="329"/>
        <v>2161591</v>
      </c>
      <c r="C1369" s="8">
        <v>2162414</v>
      </c>
      <c r="D1369" s="13">
        <f t="shared" si="330"/>
        <v>823</v>
      </c>
      <c r="E1369" s="77">
        <f t="shared" si="323"/>
        <v>177980</v>
      </c>
      <c r="F1369" s="69">
        <v>178591</v>
      </c>
      <c r="G1369" s="133">
        <f t="shared" si="319"/>
        <v>611</v>
      </c>
      <c r="H1369" s="8">
        <f t="shared" si="324"/>
        <v>0</v>
      </c>
      <c r="J1369" s="13">
        <f t="shared" si="343"/>
        <v>0</v>
      </c>
      <c r="K1369" s="138">
        <f t="shared" si="321"/>
        <v>1434</v>
      </c>
      <c r="L1369" s="8">
        <f t="shared" si="338"/>
        <v>1340025</v>
      </c>
      <c r="M1369" s="8">
        <v>1341549</v>
      </c>
      <c r="N1369" s="13">
        <f t="shared" si="317"/>
        <v>1524</v>
      </c>
      <c r="O1369" s="136">
        <f t="shared" si="331"/>
        <v>1005</v>
      </c>
      <c r="P1369" s="8">
        <f t="shared" si="328"/>
        <v>189810</v>
      </c>
      <c r="Q1369" s="8">
        <v>190315</v>
      </c>
      <c r="R1369" s="133">
        <f t="shared" si="326"/>
        <v>505</v>
      </c>
      <c r="S1369" s="8">
        <f t="shared" si="320"/>
        <v>53423</v>
      </c>
      <c r="T1369" s="8">
        <v>53448</v>
      </c>
      <c r="U1369" s="133">
        <f t="shared" si="334"/>
        <v>25</v>
      </c>
      <c r="V1369" s="8">
        <f t="shared" si="327"/>
        <v>396319</v>
      </c>
      <c r="W1369" s="8">
        <v>396493</v>
      </c>
      <c r="X1369" s="13">
        <f t="shared" si="335"/>
        <v>174</v>
      </c>
      <c r="Y1369" s="8">
        <f t="shared" si="322"/>
        <v>45286</v>
      </c>
      <c r="Z1369" s="8">
        <v>45306</v>
      </c>
      <c r="AA1369" s="13">
        <f t="shared" si="339"/>
        <v>20</v>
      </c>
      <c r="AB1369" s="8">
        <f t="shared" ref="AB1369:AB1385" si="346">AC1368</f>
        <v>275418</v>
      </c>
      <c r="AC1369" s="8">
        <v>275519</v>
      </c>
      <c r="AD1369" s="13">
        <f t="shared" si="345"/>
        <v>101</v>
      </c>
      <c r="AE1369" s="135"/>
      <c r="AF1369" s="135"/>
      <c r="AG1369" s="135">
        <f t="shared" si="344"/>
        <v>0</v>
      </c>
      <c r="AH1369" s="136">
        <f t="shared" si="342"/>
        <v>101</v>
      </c>
      <c r="AI1369" s="50">
        <f t="shared" si="340"/>
        <v>1729</v>
      </c>
    </row>
    <row r="1370" spans="1:35">
      <c r="A1370" s="12">
        <v>45745</v>
      </c>
      <c r="B1370" s="8">
        <f t="shared" si="329"/>
        <v>2162414</v>
      </c>
      <c r="C1370" s="8">
        <v>2162877</v>
      </c>
      <c r="D1370" s="13">
        <f t="shared" si="330"/>
        <v>463</v>
      </c>
      <c r="E1370" s="77">
        <f t="shared" si="323"/>
        <v>178591</v>
      </c>
      <c r="F1370" s="69">
        <v>178704</v>
      </c>
      <c r="G1370" s="133">
        <f t="shared" si="319"/>
        <v>113</v>
      </c>
      <c r="H1370" s="8">
        <f t="shared" si="324"/>
        <v>0</v>
      </c>
      <c r="J1370" s="13">
        <f t="shared" si="343"/>
        <v>0</v>
      </c>
      <c r="K1370" s="138">
        <f t="shared" si="321"/>
        <v>576</v>
      </c>
      <c r="L1370" s="8">
        <f t="shared" si="338"/>
        <v>1341549</v>
      </c>
      <c r="M1370" s="8">
        <v>1342323</v>
      </c>
      <c r="N1370" s="13">
        <f t="shared" si="317"/>
        <v>774</v>
      </c>
      <c r="O1370" s="136">
        <f t="shared" si="331"/>
        <v>400</v>
      </c>
      <c r="P1370" s="8">
        <f t="shared" si="328"/>
        <v>190315</v>
      </c>
      <c r="Q1370" s="8">
        <v>190540</v>
      </c>
      <c r="R1370" s="133">
        <f>Q1370-P1370</f>
        <v>225</v>
      </c>
      <c r="S1370" s="8">
        <f t="shared" si="320"/>
        <v>53448</v>
      </c>
      <c r="T1370" s="8">
        <v>53495</v>
      </c>
      <c r="U1370" s="133">
        <f t="shared" si="334"/>
        <v>47</v>
      </c>
      <c r="V1370" s="8">
        <f t="shared" si="327"/>
        <v>396493</v>
      </c>
      <c r="W1370" s="8">
        <v>396701</v>
      </c>
      <c r="X1370" s="13">
        <f t="shared" si="335"/>
        <v>208</v>
      </c>
      <c r="Y1370" s="8">
        <f t="shared" si="322"/>
        <v>45306</v>
      </c>
      <c r="Z1370" s="8">
        <v>45323</v>
      </c>
      <c r="AA1370" s="13">
        <f t="shared" si="339"/>
        <v>17</v>
      </c>
      <c r="AB1370" s="8">
        <f t="shared" si="346"/>
        <v>275519</v>
      </c>
      <c r="AC1370" s="8">
        <v>275615</v>
      </c>
      <c r="AD1370" s="13">
        <f t="shared" si="345"/>
        <v>96</v>
      </c>
      <c r="AE1370" s="135"/>
      <c r="AF1370" s="135"/>
      <c r="AG1370" s="135">
        <f t="shared" si="344"/>
        <v>0</v>
      </c>
      <c r="AH1370" s="136">
        <f t="shared" si="342"/>
        <v>96</v>
      </c>
      <c r="AI1370" s="50">
        <f t="shared" si="340"/>
        <v>897</v>
      </c>
    </row>
    <row r="1371" spans="1:35">
      <c r="A1371" s="12">
        <v>45746</v>
      </c>
      <c r="B1371" s="8">
        <f t="shared" si="329"/>
        <v>2162877</v>
      </c>
      <c r="C1371" s="8">
        <v>2163391</v>
      </c>
      <c r="D1371" s="13">
        <f t="shared" si="330"/>
        <v>514</v>
      </c>
      <c r="E1371" s="77">
        <f t="shared" si="323"/>
        <v>178704</v>
      </c>
      <c r="F1371" s="69">
        <v>179392</v>
      </c>
      <c r="G1371" s="133">
        <f t="shared" si="319"/>
        <v>688</v>
      </c>
      <c r="H1371" s="8">
        <v>368684</v>
      </c>
      <c r="I1371" s="8">
        <v>368837</v>
      </c>
      <c r="J1371" s="13">
        <f t="shared" si="343"/>
        <v>153</v>
      </c>
      <c r="K1371" s="138">
        <f t="shared" si="321"/>
        <v>1355</v>
      </c>
      <c r="L1371" s="8">
        <f t="shared" si="338"/>
        <v>1342323</v>
      </c>
      <c r="M1371" s="8">
        <v>1343209</v>
      </c>
      <c r="N1371" s="13">
        <f t="shared" si="317"/>
        <v>886</v>
      </c>
      <c r="O1371" s="136">
        <f t="shared" si="331"/>
        <v>969</v>
      </c>
      <c r="P1371" s="8">
        <f t="shared" si="328"/>
        <v>190540</v>
      </c>
      <c r="Q1371" s="8">
        <v>190910</v>
      </c>
      <c r="R1371" s="133">
        <f t="shared" si="326"/>
        <v>370</v>
      </c>
      <c r="S1371" s="8">
        <f t="shared" si="320"/>
        <v>53495</v>
      </c>
      <c r="T1371" s="8">
        <v>53595</v>
      </c>
      <c r="U1371" s="133">
        <f t="shared" si="334"/>
        <v>100</v>
      </c>
      <c r="V1371" s="8">
        <f t="shared" si="327"/>
        <v>396701</v>
      </c>
      <c r="W1371" s="8">
        <v>396851</v>
      </c>
      <c r="X1371" s="13">
        <f t="shared" si="335"/>
        <v>150</v>
      </c>
      <c r="Y1371" s="8">
        <f t="shared" si="322"/>
        <v>45323</v>
      </c>
      <c r="Z1371" s="8">
        <v>45341</v>
      </c>
      <c r="AA1371" s="13">
        <f t="shared" si="339"/>
        <v>18</v>
      </c>
      <c r="AB1371" s="8">
        <f t="shared" si="346"/>
        <v>275615</v>
      </c>
      <c r="AC1371" s="8">
        <v>275699</v>
      </c>
      <c r="AD1371" s="13">
        <f t="shared" si="345"/>
        <v>84</v>
      </c>
      <c r="AE1371" s="135"/>
      <c r="AF1371" s="135"/>
      <c r="AG1371" s="135">
        <f t="shared" si="344"/>
        <v>0</v>
      </c>
      <c r="AH1371" s="136">
        <f t="shared" si="342"/>
        <v>84</v>
      </c>
      <c r="AI1371" s="50">
        <f t="shared" si="340"/>
        <v>1607</v>
      </c>
    </row>
    <row r="1372" spans="1:35">
      <c r="A1372" s="12">
        <v>45747</v>
      </c>
      <c r="B1372" s="8">
        <f t="shared" si="329"/>
        <v>2163391</v>
      </c>
      <c r="C1372" s="8">
        <v>2163918</v>
      </c>
      <c r="D1372" s="13">
        <f t="shared" si="330"/>
        <v>527</v>
      </c>
      <c r="E1372" s="77">
        <f t="shared" si="323"/>
        <v>179392</v>
      </c>
      <c r="F1372" s="69">
        <v>180172</v>
      </c>
      <c r="G1372" s="133">
        <f t="shared" si="319"/>
        <v>780</v>
      </c>
      <c r="J1372" s="13">
        <f t="shared" si="343"/>
        <v>0</v>
      </c>
      <c r="K1372" s="138">
        <f t="shared" si="321"/>
        <v>1307</v>
      </c>
      <c r="L1372" s="8">
        <f t="shared" si="338"/>
        <v>1343209</v>
      </c>
      <c r="M1372" s="8">
        <v>1344180</v>
      </c>
      <c r="N1372" s="13">
        <f t="shared" si="317"/>
        <v>971</v>
      </c>
      <c r="O1372" s="136">
        <f t="shared" si="331"/>
        <v>837</v>
      </c>
      <c r="P1372" s="8">
        <f t="shared" si="328"/>
        <v>190910</v>
      </c>
      <c r="Q1372" s="8">
        <v>191310</v>
      </c>
      <c r="R1372" s="133">
        <f t="shared" si="326"/>
        <v>400</v>
      </c>
      <c r="S1372" s="8">
        <f t="shared" si="320"/>
        <v>53595</v>
      </c>
      <c r="T1372" s="8">
        <v>53708</v>
      </c>
      <c r="U1372" s="133">
        <f t="shared" si="334"/>
        <v>113</v>
      </c>
      <c r="V1372" s="8">
        <f t="shared" si="327"/>
        <v>396851</v>
      </c>
      <c r="W1372" s="8">
        <v>397012</v>
      </c>
      <c r="X1372" s="13">
        <f t="shared" si="335"/>
        <v>161</v>
      </c>
      <c r="Y1372" s="8">
        <f t="shared" si="322"/>
        <v>45341</v>
      </c>
      <c r="Z1372" s="8">
        <v>45346</v>
      </c>
      <c r="AA1372" s="13">
        <f t="shared" si="339"/>
        <v>5</v>
      </c>
      <c r="AB1372" s="8">
        <f t="shared" si="346"/>
        <v>275699</v>
      </c>
      <c r="AC1372" s="8">
        <v>275742</v>
      </c>
      <c r="AD1372" s="13">
        <f t="shared" si="345"/>
        <v>43</v>
      </c>
      <c r="AE1372" s="135"/>
      <c r="AF1372" s="135"/>
      <c r="AG1372" s="135">
        <f t="shared" si="344"/>
        <v>0</v>
      </c>
      <c r="AH1372" s="136">
        <f t="shared" si="342"/>
        <v>43</v>
      </c>
      <c r="AI1372" s="50">
        <f t="shared" si="340"/>
        <v>1516</v>
      </c>
    </row>
    <row r="1373" spans="1:35">
      <c r="A1373" s="12">
        <v>45748</v>
      </c>
      <c r="B1373" s="8">
        <f t="shared" si="329"/>
        <v>2163918</v>
      </c>
      <c r="C1373" s="8">
        <v>2164677</v>
      </c>
      <c r="D1373" s="13">
        <f t="shared" si="330"/>
        <v>759</v>
      </c>
      <c r="E1373" s="77">
        <f t="shared" si="323"/>
        <v>180172</v>
      </c>
      <c r="F1373" s="69">
        <v>180939</v>
      </c>
      <c r="G1373" s="133">
        <f t="shared" si="319"/>
        <v>767</v>
      </c>
      <c r="J1373" s="13">
        <f t="shared" si="343"/>
        <v>0</v>
      </c>
      <c r="K1373" s="138">
        <f t="shared" si="321"/>
        <v>1526</v>
      </c>
      <c r="L1373" s="8">
        <f t="shared" si="338"/>
        <v>1344180</v>
      </c>
      <c r="M1373" s="8">
        <v>1345544</v>
      </c>
      <c r="N1373" s="13">
        <f t="shared" ref="N1373:N1390" si="347">M1373-L1373</f>
        <v>1364</v>
      </c>
      <c r="O1373" s="136">
        <f t="shared" si="331"/>
        <v>1333</v>
      </c>
      <c r="P1373" s="8">
        <f t="shared" si="328"/>
        <v>191310</v>
      </c>
      <c r="Q1373" s="8">
        <v>191540</v>
      </c>
      <c r="R1373" s="133">
        <f t="shared" si="326"/>
        <v>230</v>
      </c>
      <c r="S1373" s="8">
        <f t="shared" si="320"/>
        <v>53708</v>
      </c>
      <c r="T1373" s="8">
        <v>53756</v>
      </c>
      <c r="U1373" s="133">
        <f t="shared" si="334"/>
        <v>48</v>
      </c>
      <c r="V1373" s="8">
        <f t="shared" si="327"/>
        <v>397012</v>
      </c>
      <c r="W1373" s="8">
        <v>397137</v>
      </c>
      <c r="X1373" s="13">
        <f t="shared" si="335"/>
        <v>125</v>
      </c>
      <c r="Y1373" s="8">
        <v>45346</v>
      </c>
      <c r="Z1373" s="8">
        <v>45363</v>
      </c>
      <c r="AA1373" s="13">
        <f t="shared" si="339"/>
        <v>17</v>
      </c>
      <c r="AB1373" s="8">
        <f t="shared" si="346"/>
        <v>275742</v>
      </c>
      <c r="AC1373" s="8">
        <v>275827</v>
      </c>
      <c r="AD1373" s="13">
        <f t="shared" si="345"/>
        <v>85</v>
      </c>
      <c r="AE1373" s="135"/>
      <c r="AF1373" s="135"/>
      <c r="AG1373" s="135">
        <f t="shared" si="344"/>
        <v>0</v>
      </c>
      <c r="AH1373" s="136">
        <f t="shared" si="342"/>
        <v>85</v>
      </c>
      <c r="AI1373" s="50">
        <f t="shared" si="340"/>
        <v>1753</v>
      </c>
    </row>
    <row r="1374" spans="1:35">
      <c r="A1374" s="12">
        <v>45749</v>
      </c>
      <c r="B1374" s="8">
        <f t="shared" si="329"/>
        <v>2164677</v>
      </c>
      <c r="C1374" s="8">
        <v>2164884</v>
      </c>
      <c r="D1374" s="13">
        <f t="shared" si="330"/>
        <v>207</v>
      </c>
      <c r="E1374" s="77">
        <f t="shared" si="323"/>
        <v>180939</v>
      </c>
      <c r="F1374" s="69">
        <v>181691</v>
      </c>
      <c r="G1374" s="133">
        <f t="shared" si="319"/>
        <v>752</v>
      </c>
      <c r="J1374" s="13">
        <f t="shared" si="343"/>
        <v>0</v>
      </c>
      <c r="K1374" s="138">
        <f t="shared" si="321"/>
        <v>959</v>
      </c>
      <c r="L1374" s="8">
        <f t="shared" si="338"/>
        <v>1345544</v>
      </c>
      <c r="M1374" s="8">
        <v>1346768</v>
      </c>
      <c r="N1374" s="13">
        <f t="shared" si="347"/>
        <v>1224</v>
      </c>
      <c r="O1374" s="136">
        <f t="shared" si="331"/>
        <v>801</v>
      </c>
      <c r="P1374" s="8">
        <f t="shared" si="328"/>
        <v>191540</v>
      </c>
      <c r="Q1374" s="8">
        <v>191745</v>
      </c>
      <c r="R1374" s="133">
        <f t="shared" si="326"/>
        <v>205</v>
      </c>
      <c r="S1374" s="8">
        <f t="shared" si="320"/>
        <v>53756</v>
      </c>
      <c r="T1374" s="8">
        <v>53801</v>
      </c>
      <c r="U1374" s="133">
        <f t="shared" si="334"/>
        <v>45</v>
      </c>
      <c r="V1374" s="8">
        <f t="shared" si="327"/>
        <v>397137</v>
      </c>
      <c r="W1374" s="8">
        <v>397245</v>
      </c>
      <c r="X1374" s="13">
        <f t="shared" si="335"/>
        <v>108</v>
      </c>
      <c r="Y1374" s="8">
        <f t="shared" si="322"/>
        <v>45363</v>
      </c>
      <c r="Z1374" s="8">
        <v>45381</v>
      </c>
      <c r="AA1374" s="13">
        <f t="shared" si="339"/>
        <v>18</v>
      </c>
      <c r="AB1374" s="8">
        <f t="shared" si="346"/>
        <v>275827</v>
      </c>
      <c r="AC1374" s="8">
        <v>275919</v>
      </c>
      <c r="AD1374" s="13">
        <f t="shared" si="345"/>
        <v>92</v>
      </c>
      <c r="AE1374" s="135"/>
      <c r="AF1374" s="135"/>
      <c r="AG1374" s="135">
        <f t="shared" si="344"/>
        <v>0</v>
      </c>
      <c r="AH1374" s="136">
        <f t="shared" si="342"/>
        <v>92</v>
      </c>
      <c r="AI1374" s="50">
        <f t="shared" si="340"/>
        <v>1177</v>
      </c>
    </row>
    <row r="1375" spans="1:35">
      <c r="A1375" s="12">
        <v>45750</v>
      </c>
      <c r="B1375" s="8">
        <v>2164884</v>
      </c>
      <c r="C1375" s="8">
        <v>2165232</v>
      </c>
      <c r="D1375" s="13">
        <f t="shared" si="330"/>
        <v>348</v>
      </c>
      <c r="E1375" s="69">
        <v>181691</v>
      </c>
      <c r="F1375" s="69">
        <v>182343</v>
      </c>
      <c r="G1375" s="133">
        <f t="shared" si="319"/>
        <v>652</v>
      </c>
      <c r="H1375" s="8">
        <v>368837</v>
      </c>
      <c r="I1375" s="8">
        <v>369148</v>
      </c>
      <c r="J1375" s="13">
        <f t="shared" si="343"/>
        <v>311</v>
      </c>
      <c r="K1375" s="138">
        <f t="shared" si="321"/>
        <v>1311</v>
      </c>
      <c r="L1375" s="8">
        <v>1346768</v>
      </c>
      <c r="M1375" s="8">
        <v>1347317</v>
      </c>
      <c r="N1375" s="13">
        <f t="shared" si="347"/>
        <v>549</v>
      </c>
      <c r="O1375" s="136">
        <f t="shared" si="331"/>
        <v>901</v>
      </c>
      <c r="P1375" s="8">
        <v>191745</v>
      </c>
      <c r="Q1375" s="8">
        <v>192128</v>
      </c>
      <c r="R1375" s="133">
        <f t="shared" si="326"/>
        <v>383</v>
      </c>
      <c r="S1375" s="8">
        <v>53801</v>
      </c>
      <c r="T1375" s="8">
        <v>53909</v>
      </c>
      <c r="U1375" s="133">
        <f t="shared" si="334"/>
        <v>108</v>
      </c>
      <c r="V1375" s="8">
        <v>397245</v>
      </c>
      <c r="W1375" s="8">
        <v>397409</v>
      </c>
      <c r="X1375" s="13">
        <f t="shared" si="335"/>
        <v>164</v>
      </c>
      <c r="Y1375" s="8">
        <v>45381</v>
      </c>
      <c r="Z1375" s="8">
        <v>45396</v>
      </c>
      <c r="AA1375" s="13">
        <f t="shared" si="339"/>
        <v>15</v>
      </c>
      <c r="AB1375" s="8">
        <v>275919</v>
      </c>
      <c r="AC1375" s="8">
        <v>276000</v>
      </c>
      <c r="AD1375" s="13">
        <f t="shared" si="345"/>
        <v>81</v>
      </c>
      <c r="AE1375" s="135"/>
      <c r="AF1375" s="135"/>
      <c r="AG1375" s="135">
        <f t="shared" si="344"/>
        <v>0</v>
      </c>
      <c r="AH1375" s="136">
        <f t="shared" si="342"/>
        <v>81</v>
      </c>
      <c r="AI1375" s="50">
        <f t="shared" si="340"/>
        <v>1571</v>
      </c>
    </row>
    <row r="1376" spans="1:35">
      <c r="A1376" s="12">
        <v>45751</v>
      </c>
      <c r="B1376" s="8">
        <v>2165232</v>
      </c>
      <c r="C1376" s="8">
        <v>2165546</v>
      </c>
      <c r="D1376" s="13">
        <f t="shared" si="330"/>
        <v>314</v>
      </c>
      <c r="E1376" s="77">
        <v>182343</v>
      </c>
      <c r="F1376" s="69">
        <v>183058</v>
      </c>
      <c r="G1376" s="133">
        <f t="shared" si="319"/>
        <v>715</v>
      </c>
      <c r="H1376" s="8">
        <v>369148</v>
      </c>
      <c r="I1376" s="8">
        <v>369404</v>
      </c>
      <c r="J1376" s="13">
        <f t="shared" si="343"/>
        <v>256</v>
      </c>
      <c r="K1376" s="138">
        <f>J1376+G1376+D1376</f>
        <v>1285</v>
      </c>
      <c r="L1376" s="8">
        <v>1347317</v>
      </c>
      <c r="M1376" s="8">
        <v>1348328</v>
      </c>
      <c r="N1376" s="13">
        <f t="shared" si="347"/>
        <v>1011</v>
      </c>
      <c r="O1376" s="136">
        <f t="shared" si="331"/>
        <v>968</v>
      </c>
      <c r="P1376" s="8">
        <f t="shared" si="328"/>
        <v>192128</v>
      </c>
      <c r="Q1376" s="8">
        <v>192450</v>
      </c>
      <c r="R1376" s="133">
        <f t="shared" si="326"/>
        <v>322</v>
      </c>
      <c r="S1376" s="8">
        <f t="shared" si="320"/>
        <v>53909</v>
      </c>
      <c r="T1376" s="8">
        <v>53941</v>
      </c>
      <c r="U1376" s="133">
        <f t="shared" si="334"/>
        <v>32</v>
      </c>
      <c r="V1376" s="8">
        <f t="shared" si="327"/>
        <v>397409</v>
      </c>
      <c r="W1376" s="8">
        <v>397504</v>
      </c>
      <c r="X1376" s="13">
        <f t="shared" si="335"/>
        <v>95</v>
      </c>
      <c r="Y1376" s="8">
        <f t="shared" si="322"/>
        <v>45396</v>
      </c>
      <c r="Z1376" s="8">
        <v>45410</v>
      </c>
      <c r="AA1376" s="13">
        <f t="shared" si="339"/>
        <v>14</v>
      </c>
      <c r="AB1376" s="8">
        <v>276000</v>
      </c>
      <c r="AC1376" s="8">
        <v>276037</v>
      </c>
      <c r="AD1376" s="13">
        <f t="shared" si="345"/>
        <v>37</v>
      </c>
      <c r="AE1376" s="135"/>
      <c r="AF1376" s="135"/>
      <c r="AG1376" s="135">
        <f t="shared" si="344"/>
        <v>0</v>
      </c>
      <c r="AH1376" s="136">
        <f t="shared" si="342"/>
        <v>37</v>
      </c>
      <c r="AI1376" s="50">
        <f t="shared" si="340"/>
        <v>1431</v>
      </c>
    </row>
    <row r="1377" spans="1:35">
      <c r="A1377" s="12">
        <v>45752</v>
      </c>
      <c r="B1377" s="8">
        <f t="shared" si="329"/>
        <v>2165546</v>
      </c>
      <c r="C1377" s="8">
        <v>2165646</v>
      </c>
      <c r="D1377" s="13">
        <f t="shared" si="330"/>
        <v>100</v>
      </c>
      <c r="E1377" s="77">
        <f t="shared" si="323"/>
        <v>183058</v>
      </c>
      <c r="F1377" s="69">
        <v>183808</v>
      </c>
      <c r="G1377" s="133">
        <f>F1377-E1377</f>
        <v>750</v>
      </c>
      <c r="H1377" s="8">
        <f t="shared" si="324"/>
        <v>369404</v>
      </c>
      <c r="I1377" s="8">
        <v>369702</v>
      </c>
      <c r="J1377" s="13">
        <f t="shared" si="343"/>
        <v>298</v>
      </c>
      <c r="K1377" s="138">
        <f t="shared" si="321"/>
        <v>1148</v>
      </c>
      <c r="L1377" s="8">
        <v>1348328</v>
      </c>
      <c r="M1377" s="8">
        <v>1348917</v>
      </c>
      <c r="N1377" s="13">
        <f t="shared" si="347"/>
        <v>589</v>
      </c>
      <c r="O1377" s="136">
        <f t="shared" si="331"/>
        <v>745</v>
      </c>
      <c r="P1377" s="8">
        <f t="shared" si="328"/>
        <v>192450</v>
      </c>
      <c r="Q1377" s="8">
        <v>192874</v>
      </c>
      <c r="R1377" s="133">
        <f t="shared" si="326"/>
        <v>424</v>
      </c>
      <c r="S1377" s="8">
        <f t="shared" si="320"/>
        <v>53941</v>
      </c>
      <c r="T1377" s="8">
        <v>53981</v>
      </c>
      <c r="U1377" s="133">
        <f t="shared" si="334"/>
        <v>40</v>
      </c>
      <c r="V1377" s="8">
        <f t="shared" si="327"/>
        <v>397504</v>
      </c>
      <c r="W1377" s="8">
        <v>397685</v>
      </c>
      <c r="X1377" s="13">
        <f t="shared" si="335"/>
        <v>181</v>
      </c>
      <c r="Y1377" s="8">
        <f t="shared" si="322"/>
        <v>45410</v>
      </c>
      <c r="Z1377" s="8">
        <v>45448</v>
      </c>
      <c r="AA1377" s="13">
        <f t="shared" si="339"/>
        <v>38</v>
      </c>
      <c r="AB1377" s="8">
        <f t="shared" si="346"/>
        <v>276037</v>
      </c>
      <c r="AC1377" s="8">
        <v>276098</v>
      </c>
      <c r="AD1377" s="13">
        <f t="shared" si="345"/>
        <v>61</v>
      </c>
      <c r="AE1377" s="135"/>
      <c r="AF1377" s="135"/>
      <c r="AG1377" s="135">
        <f t="shared" si="344"/>
        <v>0</v>
      </c>
      <c r="AH1377" s="136">
        <f t="shared" si="342"/>
        <v>61</v>
      </c>
      <c r="AI1377" s="50">
        <f t="shared" si="340"/>
        <v>1428</v>
      </c>
    </row>
    <row r="1378" spans="1:35">
      <c r="A1378" s="12">
        <v>45753</v>
      </c>
      <c r="B1378" s="8">
        <f t="shared" si="329"/>
        <v>2165646</v>
      </c>
      <c r="C1378" s="8">
        <v>2165905</v>
      </c>
      <c r="D1378" s="13">
        <f t="shared" si="330"/>
        <v>259</v>
      </c>
      <c r="E1378" s="77">
        <f t="shared" si="323"/>
        <v>183808</v>
      </c>
      <c r="F1378" s="69">
        <v>184560</v>
      </c>
      <c r="G1378" s="133">
        <f t="shared" ref="G1378:G1385" si="348">F1378-E1378</f>
        <v>752</v>
      </c>
      <c r="H1378" s="8">
        <f t="shared" si="324"/>
        <v>369702</v>
      </c>
      <c r="I1378" s="8">
        <v>370016</v>
      </c>
      <c r="J1378" s="13">
        <f t="shared" si="343"/>
        <v>314</v>
      </c>
      <c r="K1378" s="138">
        <f t="shared" si="321"/>
        <v>1325</v>
      </c>
      <c r="L1378" s="8">
        <f t="shared" si="338"/>
        <v>1348917</v>
      </c>
      <c r="M1378" s="8">
        <v>1349729</v>
      </c>
      <c r="N1378" s="13">
        <f t="shared" si="347"/>
        <v>812</v>
      </c>
      <c r="O1378" s="136">
        <f t="shared" si="331"/>
        <v>994</v>
      </c>
      <c r="P1378" s="8">
        <f t="shared" si="328"/>
        <v>192874</v>
      </c>
      <c r="Q1378" s="8">
        <v>193176</v>
      </c>
      <c r="R1378" s="133">
        <f t="shared" si="326"/>
        <v>302</v>
      </c>
      <c r="S1378" s="8">
        <f t="shared" si="320"/>
        <v>53981</v>
      </c>
      <c r="T1378" s="8">
        <v>54076</v>
      </c>
      <c r="U1378" s="133">
        <f t="shared" si="334"/>
        <v>95</v>
      </c>
      <c r="V1378" s="8">
        <f t="shared" si="327"/>
        <v>397685</v>
      </c>
      <c r="W1378" s="8">
        <v>397801</v>
      </c>
      <c r="X1378" s="13">
        <f t="shared" si="335"/>
        <v>116</v>
      </c>
      <c r="Y1378" s="8">
        <f t="shared" si="322"/>
        <v>45448</v>
      </c>
      <c r="Z1378" s="8">
        <v>45487</v>
      </c>
      <c r="AA1378" s="13">
        <f t="shared" si="339"/>
        <v>39</v>
      </c>
      <c r="AB1378" s="8">
        <f t="shared" si="346"/>
        <v>276098</v>
      </c>
      <c r="AC1378" s="8">
        <v>276164</v>
      </c>
      <c r="AD1378" s="13">
        <f t="shared" si="345"/>
        <v>66</v>
      </c>
      <c r="AE1378" s="135"/>
      <c r="AF1378" s="135"/>
      <c r="AG1378" s="135">
        <f t="shared" si="344"/>
        <v>0</v>
      </c>
      <c r="AH1378" s="136">
        <f t="shared" si="342"/>
        <v>66</v>
      </c>
      <c r="AI1378" s="50">
        <f t="shared" si="340"/>
        <v>1546</v>
      </c>
    </row>
    <row r="1379" spans="1:35">
      <c r="A1379" s="12">
        <v>45754</v>
      </c>
      <c r="B1379" s="8">
        <f t="shared" si="329"/>
        <v>2165905</v>
      </c>
      <c r="C1379" s="8">
        <v>2166123</v>
      </c>
      <c r="D1379" s="13">
        <f t="shared" si="330"/>
        <v>218</v>
      </c>
      <c r="E1379" s="77">
        <f t="shared" si="323"/>
        <v>184560</v>
      </c>
      <c r="F1379" s="69">
        <v>185297</v>
      </c>
      <c r="G1379" s="133">
        <f t="shared" si="348"/>
        <v>737</v>
      </c>
      <c r="H1379" s="8">
        <f>I1378</f>
        <v>370016</v>
      </c>
      <c r="I1379" s="8">
        <v>370066</v>
      </c>
      <c r="J1379" s="13">
        <f t="shared" si="343"/>
        <v>50</v>
      </c>
      <c r="K1379" s="138">
        <f t="shared" si="321"/>
        <v>1005</v>
      </c>
      <c r="L1379" s="8">
        <f t="shared" si="338"/>
        <v>1349729</v>
      </c>
      <c r="M1379" s="8">
        <v>1350640</v>
      </c>
      <c r="N1379" s="13">
        <f t="shared" si="347"/>
        <v>911</v>
      </c>
      <c r="O1379" s="136">
        <f t="shared" si="331"/>
        <v>621</v>
      </c>
      <c r="P1379" s="8">
        <f t="shared" si="328"/>
        <v>193176</v>
      </c>
      <c r="Q1379" s="8">
        <v>193599</v>
      </c>
      <c r="R1379" s="133">
        <f t="shared" si="326"/>
        <v>423</v>
      </c>
      <c r="S1379" s="8">
        <f t="shared" ref="S1379:S1385" si="349">T1378</f>
        <v>54076</v>
      </c>
      <c r="T1379" s="8">
        <v>54107</v>
      </c>
      <c r="U1379" s="133">
        <f t="shared" si="334"/>
        <v>31</v>
      </c>
      <c r="V1379" s="8">
        <f t="shared" si="327"/>
        <v>397801</v>
      </c>
      <c r="W1379" s="8">
        <v>397952</v>
      </c>
      <c r="X1379" s="13">
        <f t="shared" si="335"/>
        <v>151</v>
      </c>
      <c r="Y1379" s="8">
        <f t="shared" si="322"/>
        <v>45487</v>
      </c>
      <c r="Z1379" s="8">
        <v>45532</v>
      </c>
      <c r="AA1379" s="13">
        <f t="shared" si="339"/>
        <v>45</v>
      </c>
      <c r="AB1379" s="8">
        <f t="shared" si="346"/>
        <v>276164</v>
      </c>
      <c r="AC1379" s="8">
        <v>276234</v>
      </c>
      <c r="AD1379" s="13">
        <f t="shared" si="345"/>
        <v>70</v>
      </c>
      <c r="AE1379" s="135"/>
      <c r="AF1379" s="135"/>
      <c r="AG1379" s="135">
        <f t="shared" si="344"/>
        <v>0</v>
      </c>
      <c r="AH1379" s="136">
        <f t="shared" si="342"/>
        <v>70</v>
      </c>
      <c r="AI1379" s="50">
        <f t="shared" si="340"/>
        <v>1271</v>
      </c>
    </row>
    <row r="1380" spans="1:35">
      <c r="A1380" s="12">
        <v>45755</v>
      </c>
      <c r="B1380" s="8">
        <f t="shared" si="329"/>
        <v>2166123</v>
      </c>
      <c r="C1380" s="8">
        <v>2166244</v>
      </c>
      <c r="D1380" s="13">
        <f t="shared" si="330"/>
        <v>121</v>
      </c>
      <c r="E1380" s="77">
        <f t="shared" si="323"/>
        <v>185297</v>
      </c>
      <c r="F1380" s="69">
        <v>186077</v>
      </c>
      <c r="G1380" s="133">
        <f t="shared" si="348"/>
        <v>780</v>
      </c>
      <c r="H1380" s="8">
        <f t="shared" si="324"/>
        <v>370066</v>
      </c>
      <c r="I1380" s="8">
        <v>370391</v>
      </c>
      <c r="J1380" s="13">
        <f t="shared" si="343"/>
        <v>325</v>
      </c>
      <c r="K1380" s="138">
        <f t="shared" si="321"/>
        <v>1226</v>
      </c>
      <c r="L1380" s="8">
        <f t="shared" si="338"/>
        <v>1350640</v>
      </c>
      <c r="M1380" s="8">
        <v>1351246</v>
      </c>
      <c r="N1380" s="13">
        <f t="shared" si="347"/>
        <v>606</v>
      </c>
      <c r="O1380" s="136">
        <f t="shared" si="331"/>
        <v>724</v>
      </c>
      <c r="P1380" s="8">
        <f t="shared" si="328"/>
        <v>193599</v>
      </c>
      <c r="Q1380" s="8">
        <v>194039</v>
      </c>
      <c r="R1380" s="133">
        <f t="shared" si="326"/>
        <v>440</v>
      </c>
      <c r="S1380" s="8">
        <f t="shared" si="349"/>
        <v>54107</v>
      </c>
      <c r="T1380" s="8">
        <v>54169</v>
      </c>
      <c r="U1380" s="133">
        <f t="shared" si="334"/>
        <v>62</v>
      </c>
      <c r="V1380" s="8">
        <f t="shared" si="327"/>
        <v>397952</v>
      </c>
      <c r="W1380" s="8">
        <v>398151</v>
      </c>
      <c r="X1380" s="13">
        <f t="shared" si="335"/>
        <v>199</v>
      </c>
      <c r="Y1380" s="8">
        <f t="shared" si="322"/>
        <v>45532</v>
      </c>
      <c r="Z1380" s="8">
        <v>45579</v>
      </c>
      <c r="AA1380" s="13">
        <f t="shared" si="339"/>
        <v>47</v>
      </c>
      <c r="AB1380" s="8">
        <f t="shared" si="346"/>
        <v>276234</v>
      </c>
      <c r="AC1380" s="8">
        <v>276234</v>
      </c>
      <c r="AD1380" s="13">
        <f t="shared" si="345"/>
        <v>0</v>
      </c>
      <c r="AE1380" s="135">
        <v>6636</v>
      </c>
      <c r="AF1380" s="135">
        <v>6889</v>
      </c>
      <c r="AG1380" s="135">
        <f t="shared" si="344"/>
        <v>253</v>
      </c>
      <c r="AH1380" s="136">
        <f t="shared" si="342"/>
        <v>253</v>
      </c>
      <c r="AI1380" s="50">
        <f t="shared" si="340"/>
        <v>1472</v>
      </c>
    </row>
    <row r="1381" spans="1:35">
      <c r="A1381" s="12">
        <v>45756</v>
      </c>
      <c r="B1381" s="8">
        <f t="shared" si="329"/>
        <v>2166244</v>
      </c>
      <c r="C1381" s="8">
        <v>2166248</v>
      </c>
      <c r="D1381" s="13">
        <f t="shared" si="330"/>
        <v>4</v>
      </c>
      <c r="E1381" s="77">
        <f t="shared" si="323"/>
        <v>186077</v>
      </c>
      <c r="F1381" s="69">
        <v>186799</v>
      </c>
      <c r="G1381" s="133">
        <f t="shared" si="348"/>
        <v>722</v>
      </c>
      <c r="H1381" s="8">
        <f t="shared" si="324"/>
        <v>370391</v>
      </c>
      <c r="I1381" s="8">
        <v>370708</v>
      </c>
      <c r="J1381" s="13">
        <f t="shared" si="343"/>
        <v>317</v>
      </c>
      <c r="K1381" s="138">
        <f t="shared" si="321"/>
        <v>1043</v>
      </c>
      <c r="L1381" s="8">
        <f t="shared" si="338"/>
        <v>1351246</v>
      </c>
      <c r="M1381" s="8">
        <v>1351970</v>
      </c>
      <c r="N1381" s="13">
        <f t="shared" si="347"/>
        <v>724</v>
      </c>
      <c r="O1381" s="136">
        <f t="shared" si="331"/>
        <v>538</v>
      </c>
      <c r="P1381" s="8">
        <f t="shared" si="328"/>
        <v>194039</v>
      </c>
      <c r="Q1381" s="8">
        <v>194545</v>
      </c>
      <c r="R1381" s="133">
        <f t="shared" si="326"/>
        <v>506</v>
      </c>
      <c r="S1381" s="8">
        <f t="shared" si="349"/>
        <v>54169</v>
      </c>
      <c r="T1381" s="8">
        <v>54209</v>
      </c>
      <c r="U1381" s="133">
        <f t="shared" si="334"/>
        <v>40</v>
      </c>
      <c r="V1381" s="8">
        <f t="shared" si="327"/>
        <v>398151</v>
      </c>
      <c r="W1381" s="8">
        <v>398367</v>
      </c>
      <c r="X1381" s="13">
        <f t="shared" si="335"/>
        <v>216</v>
      </c>
      <c r="Y1381" s="8">
        <f t="shared" si="322"/>
        <v>45579</v>
      </c>
      <c r="Z1381" s="8">
        <v>45601</v>
      </c>
      <c r="AA1381" s="13">
        <f t="shared" si="339"/>
        <v>22</v>
      </c>
      <c r="AB1381" s="8">
        <f t="shared" si="346"/>
        <v>276234</v>
      </c>
      <c r="AC1381" s="8">
        <v>276275</v>
      </c>
      <c r="AD1381" s="13">
        <f t="shared" si="345"/>
        <v>41</v>
      </c>
      <c r="AE1381" s="135">
        <v>6889</v>
      </c>
      <c r="AF1381" s="135">
        <v>7006</v>
      </c>
      <c r="AG1381" s="135">
        <f t="shared" si="344"/>
        <v>117</v>
      </c>
      <c r="AH1381" s="136">
        <f t="shared" si="342"/>
        <v>158</v>
      </c>
      <c r="AI1381" s="50">
        <f t="shared" si="340"/>
        <v>1322</v>
      </c>
    </row>
    <row r="1382" spans="1:35">
      <c r="A1382" s="12">
        <v>45757</v>
      </c>
      <c r="B1382" s="8">
        <f t="shared" si="329"/>
        <v>2166248</v>
      </c>
      <c r="C1382" s="8">
        <v>2166360</v>
      </c>
      <c r="D1382" s="13">
        <f t="shared" si="330"/>
        <v>112</v>
      </c>
      <c r="E1382" s="77">
        <f t="shared" si="323"/>
        <v>186799</v>
      </c>
      <c r="F1382" s="69">
        <v>187539</v>
      </c>
      <c r="G1382" s="133">
        <f t="shared" si="348"/>
        <v>740</v>
      </c>
      <c r="H1382" s="8">
        <f t="shared" si="324"/>
        <v>370708</v>
      </c>
      <c r="I1382" s="8">
        <v>371562</v>
      </c>
      <c r="J1382" s="13">
        <f t="shared" si="343"/>
        <v>854</v>
      </c>
      <c r="K1382" s="138">
        <f t="shared" si="321"/>
        <v>1706</v>
      </c>
      <c r="L1382" s="8">
        <f t="shared" si="338"/>
        <v>1351970</v>
      </c>
      <c r="M1382" s="8">
        <v>1351987</v>
      </c>
      <c r="N1382" s="13">
        <f t="shared" si="347"/>
        <v>17</v>
      </c>
      <c r="O1382" s="136">
        <f t="shared" si="331"/>
        <v>983</v>
      </c>
      <c r="P1382" s="8">
        <f t="shared" si="328"/>
        <v>194545</v>
      </c>
      <c r="Q1382" s="8">
        <v>195305</v>
      </c>
      <c r="R1382" s="133">
        <f t="shared" si="326"/>
        <v>760</v>
      </c>
      <c r="S1382" s="8">
        <f t="shared" si="349"/>
        <v>54209</v>
      </c>
      <c r="T1382" s="8">
        <v>54209</v>
      </c>
      <c r="U1382" s="133">
        <f t="shared" si="334"/>
        <v>0</v>
      </c>
      <c r="V1382" s="8">
        <f t="shared" si="327"/>
        <v>398367</v>
      </c>
      <c r="W1382" s="8">
        <v>398586</v>
      </c>
      <c r="X1382" s="13">
        <f t="shared" si="335"/>
        <v>219</v>
      </c>
      <c r="Y1382" s="8">
        <f t="shared" si="322"/>
        <v>45601</v>
      </c>
      <c r="Z1382" s="8">
        <v>45648</v>
      </c>
      <c r="AA1382" s="13">
        <f t="shared" si="339"/>
        <v>47</v>
      </c>
      <c r="AB1382" s="8">
        <f t="shared" si="346"/>
        <v>276275</v>
      </c>
      <c r="AC1382" s="8">
        <v>276312</v>
      </c>
      <c r="AD1382" s="13">
        <f t="shared" si="345"/>
        <v>37</v>
      </c>
      <c r="AE1382" s="135">
        <v>7006</v>
      </c>
      <c r="AF1382" s="135">
        <v>7156</v>
      </c>
      <c r="AG1382" s="135">
        <f t="shared" si="344"/>
        <v>150</v>
      </c>
      <c r="AH1382" s="136">
        <f t="shared" si="342"/>
        <v>187</v>
      </c>
      <c r="AI1382" s="50">
        <f t="shared" si="340"/>
        <v>2009</v>
      </c>
    </row>
    <row r="1383" spans="1:35">
      <c r="A1383" s="12">
        <v>45758</v>
      </c>
      <c r="B1383" s="8">
        <f t="shared" si="329"/>
        <v>2166360</v>
      </c>
      <c r="C1383" s="8">
        <v>2166476</v>
      </c>
      <c r="D1383" s="13">
        <f t="shared" si="330"/>
        <v>116</v>
      </c>
      <c r="E1383" s="77">
        <f t="shared" si="323"/>
        <v>187539</v>
      </c>
      <c r="F1383" s="69">
        <v>188203</v>
      </c>
      <c r="G1383" s="133">
        <f t="shared" si="348"/>
        <v>664</v>
      </c>
      <c r="H1383" s="8">
        <f t="shared" si="324"/>
        <v>371562</v>
      </c>
      <c r="I1383" s="8">
        <v>372260</v>
      </c>
      <c r="J1383" s="13">
        <f t="shared" si="343"/>
        <v>698</v>
      </c>
      <c r="K1383" s="138">
        <f t="shared" si="321"/>
        <v>1478</v>
      </c>
      <c r="L1383" s="8">
        <f t="shared" si="338"/>
        <v>1351987</v>
      </c>
      <c r="M1383" s="8">
        <v>1352670</v>
      </c>
      <c r="N1383" s="13">
        <f t="shared" si="347"/>
        <v>683</v>
      </c>
      <c r="O1383" s="136">
        <f t="shared" si="331"/>
        <v>795</v>
      </c>
      <c r="P1383" s="8">
        <f t="shared" si="328"/>
        <v>195305</v>
      </c>
      <c r="Q1383" s="8">
        <v>195912</v>
      </c>
      <c r="R1383" s="133">
        <f t="shared" si="326"/>
        <v>607</v>
      </c>
      <c r="S1383" s="8">
        <f t="shared" si="349"/>
        <v>54209</v>
      </c>
      <c r="T1383" s="8">
        <v>54307</v>
      </c>
      <c r="U1383" s="133">
        <f t="shared" si="334"/>
        <v>98</v>
      </c>
      <c r="V1383" s="8">
        <f t="shared" si="327"/>
        <v>398586</v>
      </c>
      <c r="W1383" s="8">
        <v>398759</v>
      </c>
      <c r="X1383" s="13">
        <f t="shared" si="335"/>
        <v>173</v>
      </c>
      <c r="Y1383" s="8">
        <f t="shared" si="322"/>
        <v>45648</v>
      </c>
      <c r="Z1383" s="8">
        <v>45672</v>
      </c>
      <c r="AA1383" s="13">
        <f t="shared" si="339"/>
        <v>24</v>
      </c>
      <c r="AB1383" s="8">
        <f t="shared" si="346"/>
        <v>276312</v>
      </c>
      <c r="AC1383" s="8">
        <v>276334</v>
      </c>
      <c r="AD1383" s="13">
        <f t="shared" si="345"/>
        <v>22</v>
      </c>
      <c r="AE1383" s="135">
        <v>7156</v>
      </c>
      <c r="AF1383" s="135">
        <v>7236</v>
      </c>
      <c r="AG1383" s="135">
        <f t="shared" si="344"/>
        <v>80</v>
      </c>
      <c r="AH1383" s="136">
        <f t="shared" si="342"/>
        <v>102</v>
      </c>
      <c r="AI1383" s="50">
        <f t="shared" si="340"/>
        <v>1697</v>
      </c>
    </row>
    <row r="1384" spans="1:35">
      <c r="A1384" s="12">
        <v>45759</v>
      </c>
      <c r="B1384" s="8">
        <f t="shared" si="329"/>
        <v>2166476</v>
      </c>
      <c r="C1384" s="8">
        <v>2166506</v>
      </c>
      <c r="D1384" s="13">
        <f t="shared" si="330"/>
        <v>30</v>
      </c>
      <c r="E1384" s="77">
        <f t="shared" si="323"/>
        <v>188203</v>
      </c>
      <c r="F1384" s="69">
        <v>188947</v>
      </c>
      <c r="G1384" s="133">
        <f t="shared" si="348"/>
        <v>744</v>
      </c>
      <c r="H1384" s="8">
        <f t="shared" si="324"/>
        <v>372260</v>
      </c>
      <c r="I1384" s="8">
        <v>372914</v>
      </c>
      <c r="J1384" s="13">
        <f t="shared" si="343"/>
        <v>654</v>
      </c>
      <c r="K1384" s="138">
        <f>J1384+G1384+D1384</f>
        <v>1428</v>
      </c>
      <c r="L1384" s="8">
        <f t="shared" si="338"/>
        <v>1352670</v>
      </c>
      <c r="M1384" s="8">
        <v>1353361</v>
      </c>
      <c r="N1384" s="13">
        <f t="shared" si="347"/>
        <v>691</v>
      </c>
      <c r="O1384" s="136">
        <f t="shared" si="331"/>
        <v>832</v>
      </c>
      <c r="P1384" s="8">
        <f t="shared" si="328"/>
        <v>195912</v>
      </c>
      <c r="Q1384" s="8">
        <v>196470</v>
      </c>
      <c r="R1384" s="133">
        <f t="shared" si="326"/>
        <v>558</v>
      </c>
      <c r="S1384" s="8">
        <f t="shared" si="349"/>
        <v>54307</v>
      </c>
      <c r="T1384" s="8">
        <v>54342</v>
      </c>
      <c r="U1384" s="133">
        <f t="shared" si="334"/>
        <v>35</v>
      </c>
      <c r="V1384" s="8">
        <f t="shared" si="327"/>
        <v>398759</v>
      </c>
      <c r="W1384" s="8">
        <v>398954</v>
      </c>
      <c r="X1384" s="13">
        <f t="shared" si="335"/>
        <v>195</v>
      </c>
      <c r="Y1384" s="8">
        <f t="shared" si="322"/>
        <v>45672</v>
      </c>
      <c r="Z1384" s="8">
        <v>45721</v>
      </c>
      <c r="AA1384" s="13">
        <f t="shared" si="339"/>
        <v>49</v>
      </c>
      <c r="AB1384" s="8">
        <f t="shared" si="346"/>
        <v>276334</v>
      </c>
      <c r="AC1384" s="8">
        <v>276331</v>
      </c>
      <c r="AD1384" s="13">
        <f t="shared" si="345"/>
        <v>-3</v>
      </c>
      <c r="AE1384" s="135">
        <v>7236</v>
      </c>
      <c r="AF1384" s="135">
        <v>7259</v>
      </c>
      <c r="AG1384" s="135">
        <f t="shared" si="344"/>
        <v>23</v>
      </c>
      <c r="AH1384" s="136">
        <f t="shared" si="342"/>
        <v>20</v>
      </c>
      <c r="AI1384" s="50">
        <f t="shared" si="340"/>
        <v>1669</v>
      </c>
    </row>
    <row r="1385" spans="1:35">
      <c r="A1385" s="12">
        <v>45760</v>
      </c>
      <c r="B1385" s="8">
        <f t="shared" si="329"/>
        <v>2166506</v>
      </c>
      <c r="C1385" s="8">
        <v>2166538</v>
      </c>
      <c r="D1385" s="13">
        <f t="shared" si="330"/>
        <v>32</v>
      </c>
      <c r="E1385" s="77">
        <f t="shared" si="323"/>
        <v>188947</v>
      </c>
      <c r="F1385" s="69">
        <v>189689</v>
      </c>
      <c r="G1385" s="133">
        <f t="shared" si="348"/>
        <v>742</v>
      </c>
      <c r="H1385" s="8">
        <f t="shared" si="324"/>
        <v>372914</v>
      </c>
      <c r="I1385" s="8">
        <v>373499</v>
      </c>
      <c r="J1385" s="13">
        <f t="shared" si="343"/>
        <v>585</v>
      </c>
      <c r="K1385" s="138">
        <f>J1385+G1385+D1385</f>
        <v>1359</v>
      </c>
      <c r="L1385" s="8">
        <f t="shared" si="338"/>
        <v>1353361</v>
      </c>
      <c r="M1385" s="8">
        <v>1353855</v>
      </c>
      <c r="N1385" s="13">
        <f t="shared" si="347"/>
        <v>494</v>
      </c>
      <c r="O1385" s="136">
        <f t="shared" si="331"/>
        <v>639</v>
      </c>
      <c r="P1385" s="8">
        <f t="shared" si="328"/>
        <v>196470</v>
      </c>
      <c r="Q1385" s="8">
        <v>197060</v>
      </c>
      <c r="R1385" s="133">
        <f t="shared" si="326"/>
        <v>590</v>
      </c>
      <c r="S1385" s="8">
        <f t="shared" si="349"/>
        <v>54342</v>
      </c>
      <c r="T1385" s="8">
        <v>54461</v>
      </c>
      <c r="U1385" s="133">
        <f t="shared" si="334"/>
        <v>119</v>
      </c>
      <c r="V1385" s="8">
        <f t="shared" si="327"/>
        <v>398954</v>
      </c>
      <c r="W1385" s="8">
        <v>399141</v>
      </c>
      <c r="X1385" s="13">
        <f t="shared" si="335"/>
        <v>187</v>
      </c>
      <c r="Y1385" s="8">
        <f t="shared" si="322"/>
        <v>45721</v>
      </c>
      <c r="Z1385" s="8">
        <v>45773</v>
      </c>
      <c r="AA1385" s="13">
        <f t="shared" si="339"/>
        <v>52</v>
      </c>
      <c r="AB1385" s="8">
        <f t="shared" si="346"/>
        <v>276331</v>
      </c>
      <c r="AC1385" s="8">
        <v>276320</v>
      </c>
      <c r="AD1385" s="13">
        <f t="shared" si="345"/>
        <v>-11</v>
      </c>
      <c r="AE1385" s="135">
        <v>7259</v>
      </c>
      <c r="AF1385" s="135">
        <v>7386</v>
      </c>
      <c r="AG1385" s="135">
        <f t="shared" si="344"/>
        <v>127</v>
      </c>
      <c r="AH1385" s="136">
        <f t="shared" si="342"/>
        <v>116</v>
      </c>
      <c r="AI1385" s="50">
        <f t="shared" si="340"/>
        <v>1587</v>
      </c>
    </row>
    <row r="1386" spans="1:35">
      <c r="A1386" s="12">
        <v>45761</v>
      </c>
      <c r="B1386" s="8">
        <f t="shared" ref="B1386:B1397" si="350">C1385</f>
        <v>2166538</v>
      </c>
      <c r="C1386" s="8">
        <v>2166658</v>
      </c>
      <c r="D1386" s="13">
        <f t="shared" ref="D1386:D1397" si="351">C1386-B1386</f>
        <v>120</v>
      </c>
      <c r="E1386" s="77">
        <f t="shared" ref="E1386:E1397" si="352">F1385</f>
        <v>189689</v>
      </c>
      <c r="F1386" s="69">
        <v>190393</v>
      </c>
      <c r="G1386" s="133">
        <f t="shared" ref="G1386:G1397" si="353">F1386-E1386</f>
        <v>704</v>
      </c>
      <c r="H1386" s="8">
        <f t="shared" ref="H1386:H1397" si="354">I1385</f>
        <v>373499</v>
      </c>
      <c r="I1386" s="8">
        <v>374257</v>
      </c>
      <c r="J1386" s="13">
        <f t="shared" ref="J1386:J1397" si="355">I1386-H1386</f>
        <v>758</v>
      </c>
      <c r="K1386" s="138">
        <f t="shared" ref="K1386:K1397" si="356">J1386+G1386+D1386</f>
        <v>1582</v>
      </c>
      <c r="L1386" s="8">
        <f t="shared" ref="L1386:L1397" si="357">M1385</f>
        <v>1353855</v>
      </c>
      <c r="M1386" s="8">
        <v>1354196</v>
      </c>
      <c r="N1386" s="13">
        <f t="shared" si="347"/>
        <v>341</v>
      </c>
      <c r="O1386" s="136">
        <f t="shared" si="331"/>
        <v>948</v>
      </c>
      <c r="P1386" s="8">
        <f t="shared" si="328"/>
        <v>197060</v>
      </c>
      <c r="Q1386" s="8">
        <v>197683</v>
      </c>
      <c r="R1386" s="133">
        <f t="shared" si="326"/>
        <v>623</v>
      </c>
      <c r="S1386" s="8">
        <f t="shared" ref="S1386:S1397" si="358">T1385</f>
        <v>54461</v>
      </c>
      <c r="T1386" s="8">
        <v>54472</v>
      </c>
      <c r="U1386" s="133">
        <f t="shared" ref="U1386:U1397" si="359">T1386-S1386</f>
        <v>11</v>
      </c>
      <c r="V1386" s="8">
        <f t="shared" ref="V1386:V1397" si="360">W1385</f>
        <v>399141</v>
      </c>
      <c r="W1386" s="8">
        <v>399352</v>
      </c>
      <c r="X1386" s="13">
        <f t="shared" si="335"/>
        <v>211</v>
      </c>
      <c r="Y1386" s="8">
        <v>45773</v>
      </c>
      <c r="Z1386" s="8">
        <v>45803</v>
      </c>
      <c r="AA1386" s="13">
        <f t="shared" si="339"/>
        <v>30</v>
      </c>
      <c r="AB1386" s="8">
        <f t="shared" ref="AB1386:AB1397" si="361">AC1385</f>
        <v>276320</v>
      </c>
      <c r="AC1386" s="8">
        <v>276320</v>
      </c>
      <c r="AD1386" s="13">
        <f t="shared" ref="AD1386:AD1397" si="362">AC1386-AB1386</f>
        <v>0</v>
      </c>
      <c r="AE1386" s="135">
        <v>7386</v>
      </c>
      <c r="AF1386" s="135">
        <v>7486</v>
      </c>
      <c r="AG1386" s="135">
        <f t="shared" ref="AG1386:AG1397" si="363">AF1386-AE1386</f>
        <v>100</v>
      </c>
      <c r="AH1386" s="136">
        <f t="shared" si="342"/>
        <v>100</v>
      </c>
      <c r="AI1386" s="50">
        <f t="shared" si="340"/>
        <v>1823</v>
      </c>
    </row>
    <row r="1387" spans="1:35">
      <c r="A1387" s="12">
        <v>45762</v>
      </c>
      <c r="B1387" s="8">
        <f t="shared" si="350"/>
        <v>2166658</v>
      </c>
      <c r="C1387" s="8">
        <v>2166820</v>
      </c>
      <c r="D1387" s="13">
        <f t="shared" si="351"/>
        <v>162</v>
      </c>
      <c r="E1387" s="77">
        <v>190393</v>
      </c>
      <c r="F1387" s="69">
        <v>190847</v>
      </c>
      <c r="G1387" s="133">
        <f t="shared" si="353"/>
        <v>454</v>
      </c>
      <c r="H1387" s="8">
        <f t="shared" si="354"/>
        <v>374257</v>
      </c>
      <c r="I1387" s="8">
        <v>374869</v>
      </c>
      <c r="J1387" s="13">
        <f t="shared" si="355"/>
        <v>612</v>
      </c>
      <c r="K1387" s="138">
        <f t="shared" si="356"/>
        <v>1228</v>
      </c>
      <c r="L1387" s="8">
        <f t="shared" si="357"/>
        <v>1354196</v>
      </c>
      <c r="M1387" s="8">
        <v>1354702</v>
      </c>
      <c r="N1387" s="13">
        <f t="shared" si="347"/>
        <v>506</v>
      </c>
      <c r="O1387" s="136">
        <f t="shared" si="331"/>
        <v>442</v>
      </c>
      <c r="P1387" s="8">
        <f t="shared" si="328"/>
        <v>197683</v>
      </c>
      <c r="Q1387" s="8">
        <v>198357</v>
      </c>
      <c r="R1387" s="133">
        <f t="shared" si="326"/>
        <v>674</v>
      </c>
      <c r="S1387" s="8">
        <f t="shared" si="358"/>
        <v>54472</v>
      </c>
      <c r="T1387" s="8">
        <v>54584</v>
      </c>
      <c r="U1387" s="133">
        <f t="shared" si="359"/>
        <v>112</v>
      </c>
      <c r="V1387" s="8">
        <f t="shared" si="360"/>
        <v>399352</v>
      </c>
      <c r="W1387" s="8">
        <v>399571</v>
      </c>
      <c r="X1387" s="13">
        <f t="shared" si="335"/>
        <v>219</v>
      </c>
      <c r="Y1387" s="8">
        <v>46103</v>
      </c>
      <c r="Z1387" s="8">
        <v>46133</v>
      </c>
      <c r="AA1387" s="13">
        <f t="shared" si="339"/>
        <v>30</v>
      </c>
      <c r="AB1387" s="8">
        <f t="shared" si="361"/>
        <v>276320</v>
      </c>
      <c r="AC1387" s="8">
        <v>276320</v>
      </c>
      <c r="AD1387" s="13">
        <f t="shared" si="362"/>
        <v>0</v>
      </c>
      <c r="AE1387" s="135">
        <v>7486</v>
      </c>
      <c r="AF1387" s="135">
        <v>7541</v>
      </c>
      <c r="AG1387" s="135">
        <f t="shared" si="363"/>
        <v>55</v>
      </c>
      <c r="AH1387" s="136">
        <f t="shared" si="342"/>
        <v>55</v>
      </c>
      <c r="AI1387" s="50">
        <f t="shared" si="340"/>
        <v>1477</v>
      </c>
    </row>
    <row r="1388" spans="1:35">
      <c r="A1388" s="12">
        <v>45763</v>
      </c>
      <c r="B1388" s="8">
        <f t="shared" si="350"/>
        <v>2166820</v>
      </c>
      <c r="C1388" s="8">
        <v>2166957</v>
      </c>
      <c r="D1388" s="13">
        <f t="shared" si="351"/>
        <v>137</v>
      </c>
      <c r="E1388" s="77">
        <v>190847</v>
      </c>
      <c r="F1388" s="69">
        <v>191597</v>
      </c>
      <c r="G1388" s="133">
        <f t="shared" si="353"/>
        <v>750</v>
      </c>
      <c r="H1388" s="8">
        <f t="shared" si="354"/>
        <v>374869</v>
      </c>
      <c r="I1388" s="8">
        <v>375489</v>
      </c>
      <c r="J1388" s="13">
        <f t="shared" si="355"/>
        <v>620</v>
      </c>
      <c r="K1388" s="138">
        <f t="shared" si="356"/>
        <v>1507</v>
      </c>
      <c r="L1388" s="8">
        <f t="shared" si="357"/>
        <v>1354702</v>
      </c>
      <c r="M1388" s="8">
        <v>1355327</v>
      </c>
      <c r="N1388" s="13">
        <f t="shared" si="347"/>
        <v>625</v>
      </c>
      <c r="O1388" s="136">
        <f t="shared" si="331"/>
        <v>828</v>
      </c>
      <c r="P1388" s="8">
        <f t="shared" si="328"/>
        <v>198357</v>
      </c>
      <c r="Q1388" s="8">
        <v>198891</v>
      </c>
      <c r="R1388" s="133">
        <f t="shared" si="326"/>
        <v>534</v>
      </c>
      <c r="S1388" s="8">
        <f t="shared" si="358"/>
        <v>54584</v>
      </c>
      <c r="T1388" s="8">
        <v>54729</v>
      </c>
      <c r="U1388" s="133">
        <f t="shared" si="359"/>
        <v>145</v>
      </c>
      <c r="V1388" s="8">
        <f t="shared" si="360"/>
        <v>399571</v>
      </c>
      <c r="W1388" s="8">
        <v>399803</v>
      </c>
      <c r="X1388" s="13">
        <f t="shared" si="335"/>
        <v>232</v>
      </c>
      <c r="Y1388" s="8">
        <v>46133</v>
      </c>
      <c r="Z1388" s="8">
        <v>46152</v>
      </c>
      <c r="AA1388" s="13">
        <f t="shared" si="339"/>
        <v>19</v>
      </c>
      <c r="AB1388" s="8">
        <f t="shared" si="361"/>
        <v>276320</v>
      </c>
      <c r="AC1388" s="8">
        <v>276320</v>
      </c>
      <c r="AD1388" s="13">
        <f t="shared" si="362"/>
        <v>0</v>
      </c>
      <c r="AE1388" s="135">
        <v>7541</v>
      </c>
      <c r="AF1388" s="135">
        <v>7635</v>
      </c>
      <c r="AG1388" s="135">
        <f t="shared" si="363"/>
        <v>94</v>
      </c>
      <c r="AH1388" s="136">
        <f t="shared" si="342"/>
        <v>94</v>
      </c>
      <c r="AI1388" s="50">
        <f t="shared" si="340"/>
        <v>1758</v>
      </c>
    </row>
    <row r="1389" spans="1:35">
      <c r="A1389" s="12">
        <v>45764</v>
      </c>
      <c r="B1389" s="8">
        <f t="shared" si="350"/>
        <v>2166957</v>
      </c>
      <c r="C1389" s="8">
        <v>2167082</v>
      </c>
      <c r="D1389" s="13">
        <f t="shared" si="351"/>
        <v>125</v>
      </c>
      <c r="E1389" s="77">
        <v>191597</v>
      </c>
      <c r="F1389" s="69">
        <v>192354</v>
      </c>
      <c r="G1389" s="133">
        <f t="shared" si="353"/>
        <v>757</v>
      </c>
      <c r="H1389" s="8">
        <f t="shared" si="354"/>
        <v>375489</v>
      </c>
      <c r="I1389" s="8">
        <v>375934</v>
      </c>
      <c r="J1389" s="13">
        <f t="shared" si="355"/>
        <v>445</v>
      </c>
      <c r="K1389" s="138">
        <f t="shared" si="356"/>
        <v>1327</v>
      </c>
      <c r="L1389" s="8">
        <f t="shared" si="357"/>
        <v>1355327</v>
      </c>
      <c r="M1389" s="8">
        <v>1355970</v>
      </c>
      <c r="N1389" s="13">
        <f t="shared" si="347"/>
        <v>643</v>
      </c>
      <c r="O1389" s="136">
        <f t="shared" si="331"/>
        <v>686</v>
      </c>
      <c r="P1389" s="8">
        <f t="shared" si="328"/>
        <v>198891</v>
      </c>
      <c r="Q1389" s="69">
        <v>199407</v>
      </c>
      <c r="R1389" s="133">
        <f t="shared" si="326"/>
        <v>516</v>
      </c>
      <c r="S1389" s="8">
        <f t="shared" si="358"/>
        <v>54729</v>
      </c>
      <c r="T1389" s="8">
        <v>54854</v>
      </c>
      <c r="U1389" s="133">
        <f t="shared" si="359"/>
        <v>125</v>
      </c>
      <c r="V1389" s="8">
        <f t="shared" si="360"/>
        <v>399803</v>
      </c>
      <c r="W1389" s="8">
        <v>400014</v>
      </c>
      <c r="X1389" s="13">
        <f t="shared" si="335"/>
        <v>211</v>
      </c>
      <c r="Y1389" s="8">
        <f t="shared" ref="Y1389:Y1402" si="364">Z1388</f>
        <v>46152</v>
      </c>
      <c r="Z1389" s="8">
        <v>46188</v>
      </c>
      <c r="AA1389" s="13">
        <f t="shared" si="339"/>
        <v>36</v>
      </c>
      <c r="AB1389" s="8">
        <f t="shared" si="361"/>
        <v>276320</v>
      </c>
      <c r="AC1389" s="8">
        <v>276320</v>
      </c>
      <c r="AD1389" s="13">
        <f t="shared" si="362"/>
        <v>0</v>
      </c>
      <c r="AE1389" s="135">
        <v>7635</v>
      </c>
      <c r="AF1389" s="135">
        <v>7802</v>
      </c>
      <c r="AG1389" s="135">
        <f t="shared" si="363"/>
        <v>167</v>
      </c>
      <c r="AH1389" s="136">
        <f t="shared" si="342"/>
        <v>167</v>
      </c>
      <c r="AI1389" s="50">
        <f t="shared" si="340"/>
        <v>1574</v>
      </c>
    </row>
    <row r="1390" spans="1:35">
      <c r="A1390" s="12">
        <v>45765</v>
      </c>
      <c r="B1390" s="8">
        <f t="shared" si="350"/>
        <v>2167082</v>
      </c>
      <c r="C1390" s="8">
        <v>2167330</v>
      </c>
      <c r="D1390" s="13">
        <f t="shared" si="351"/>
        <v>248</v>
      </c>
      <c r="E1390" s="77">
        <v>192354</v>
      </c>
      <c r="F1390" s="69">
        <v>193099</v>
      </c>
      <c r="G1390" s="133">
        <f t="shared" si="353"/>
        <v>745</v>
      </c>
      <c r="H1390" s="8">
        <f t="shared" si="354"/>
        <v>375934</v>
      </c>
      <c r="I1390" s="8">
        <v>375934</v>
      </c>
      <c r="J1390" s="13">
        <f t="shared" si="355"/>
        <v>0</v>
      </c>
      <c r="K1390" s="138">
        <f t="shared" si="356"/>
        <v>993</v>
      </c>
      <c r="L1390" s="8">
        <f t="shared" si="357"/>
        <v>1355970</v>
      </c>
      <c r="M1390" s="8">
        <v>1356695</v>
      </c>
      <c r="N1390" s="13">
        <f t="shared" si="347"/>
        <v>725</v>
      </c>
      <c r="O1390" s="136">
        <f t="shared" si="331"/>
        <v>399</v>
      </c>
      <c r="P1390" s="8">
        <f t="shared" si="328"/>
        <v>199407</v>
      </c>
      <c r="Q1390" s="8">
        <v>199914</v>
      </c>
      <c r="R1390" s="133">
        <f t="shared" ref="R1390:R1453" si="365">Q1390-P1390</f>
        <v>507</v>
      </c>
      <c r="S1390" s="8">
        <f t="shared" si="358"/>
        <v>54854</v>
      </c>
      <c r="T1390" s="8">
        <v>54941</v>
      </c>
      <c r="U1390" s="133">
        <f t="shared" si="359"/>
        <v>87</v>
      </c>
      <c r="V1390" s="8">
        <f t="shared" si="360"/>
        <v>400014</v>
      </c>
      <c r="W1390" s="8">
        <v>400298</v>
      </c>
      <c r="X1390" s="13">
        <f t="shared" si="335"/>
        <v>284</v>
      </c>
      <c r="Y1390" s="8">
        <f t="shared" si="364"/>
        <v>46188</v>
      </c>
      <c r="Z1390" s="8">
        <v>46200</v>
      </c>
      <c r="AA1390" s="13">
        <f t="shared" si="339"/>
        <v>12</v>
      </c>
      <c r="AB1390" s="8">
        <f t="shared" si="361"/>
        <v>276320</v>
      </c>
      <c r="AC1390" s="8">
        <v>276320</v>
      </c>
      <c r="AD1390" s="13">
        <f t="shared" si="362"/>
        <v>0</v>
      </c>
      <c r="AE1390" s="135">
        <v>7802</v>
      </c>
      <c r="AF1390" s="135">
        <v>7976</v>
      </c>
      <c r="AG1390" s="135">
        <f t="shared" si="363"/>
        <v>174</v>
      </c>
      <c r="AH1390" s="136">
        <f t="shared" si="342"/>
        <v>174</v>
      </c>
      <c r="AI1390" s="50">
        <f t="shared" si="340"/>
        <v>1289</v>
      </c>
    </row>
    <row r="1391" spans="1:35">
      <c r="A1391" s="12">
        <v>45766</v>
      </c>
      <c r="B1391" s="8">
        <f t="shared" si="350"/>
        <v>2167330</v>
      </c>
      <c r="C1391" s="8">
        <v>2167748</v>
      </c>
      <c r="D1391" s="13">
        <f t="shared" si="351"/>
        <v>418</v>
      </c>
      <c r="E1391" s="77">
        <v>193099</v>
      </c>
      <c r="F1391" s="69">
        <v>193845</v>
      </c>
      <c r="G1391" s="133">
        <f t="shared" si="353"/>
        <v>746</v>
      </c>
      <c r="H1391" s="8">
        <f t="shared" si="354"/>
        <v>375934</v>
      </c>
      <c r="I1391" s="8">
        <v>376432</v>
      </c>
      <c r="J1391" s="13">
        <f t="shared" si="355"/>
        <v>498</v>
      </c>
      <c r="K1391" s="138">
        <f t="shared" si="356"/>
        <v>1662</v>
      </c>
      <c r="L1391" s="8">
        <f t="shared" si="357"/>
        <v>1356695</v>
      </c>
      <c r="M1391" s="8">
        <v>1357956</v>
      </c>
      <c r="N1391" s="13">
        <f t="shared" ref="N1391:N1397" si="366">M1391-L1391</f>
        <v>1261</v>
      </c>
      <c r="O1391" s="136">
        <f t="shared" si="331"/>
        <v>1049</v>
      </c>
      <c r="P1391" s="8">
        <f t="shared" si="328"/>
        <v>199914</v>
      </c>
      <c r="Q1391" s="8">
        <v>200415</v>
      </c>
      <c r="R1391" s="133">
        <f t="shared" si="365"/>
        <v>501</v>
      </c>
      <c r="S1391" s="8">
        <f t="shared" si="358"/>
        <v>54941</v>
      </c>
      <c r="T1391" s="8">
        <v>55053</v>
      </c>
      <c r="U1391" s="133">
        <f t="shared" si="359"/>
        <v>112</v>
      </c>
      <c r="V1391" s="8">
        <f t="shared" si="360"/>
        <v>400298</v>
      </c>
      <c r="W1391" s="8">
        <v>400450</v>
      </c>
      <c r="X1391" s="13">
        <f t="shared" si="335"/>
        <v>152</v>
      </c>
      <c r="Y1391" s="8">
        <f t="shared" si="364"/>
        <v>46200</v>
      </c>
      <c r="Z1391" s="8">
        <v>46330</v>
      </c>
      <c r="AA1391" s="13">
        <f t="shared" si="339"/>
        <v>130</v>
      </c>
      <c r="AB1391" s="8">
        <f t="shared" si="361"/>
        <v>276320</v>
      </c>
      <c r="AC1391" s="8">
        <v>276320</v>
      </c>
      <c r="AD1391" s="13">
        <f t="shared" si="362"/>
        <v>0</v>
      </c>
      <c r="AE1391" s="135">
        <v>7976</v>
      </c>
      <c r="AF1391" s="135">
        <v>8008</v>
      </c>
      <c r="AG1391" s="135">
        <f t="shared" si="363"/>
        <v>32</v>
      </c>
      <c r="AH1391" s="136">
        <f t="shared" si="342"/>
        <v>32</v>
      </c>
      <c r="AI1391" s="50">
        <f t="shared" si="340"/>
        <v>1944</v>
      </c>
    </row>
    <row r="1392" spans="1:35">
      <c r="A1392" s="12">
        <v>45767</v>
      </c>
      <c r="B1392" s="8">
        <f t="shared" si="350"/>
        <v>2167748</v>
      </c>
      <c r="C1392" s="8">
        <v>2168037</v>
      </c>
      <c r="D1392" s="13">
        <f t="shared" si="351"/>
        <v>289</v>
      </c>
      <c r="E1392" s="77">
        <f t="shared" si="352"/>
        <v>193845</v>
      </c>
      <c r="F1392" s="69">
        <v>194584</v>
      </c>
      <c r="G1392" s="133">
        <f t="shared" si="353"/>
        <v>739</v>
      </c>
      <c r="H1392" s="8">
        <f t="shared" si="354"/>
        <v>376432</v>
      </c>
      <c r="I1392" s="8">
        <v>376432</v>
      </c>
      <c r="J1392" s="13">
        <f t="shared" si="355"/>
        <v>0</v>
      </c>
      <c r="K1392" s="138">
        <f t="shared" si="356"/>
        <v>1028</v>
      </c>
      <c r="L1392" s="8">
        <f t="shared" si="357"/>
        <v>1357956</v>
      </c>
      <c r="M1392" s="8">
        <v>1358783</v>
      </c>
      <c r="N1392" s="13">
        <f t="shared" si="366"/>
        <v>827</v>
      </c>
      <c r="O1392" s="136">
        <f t="shared" si="331"/>
        <v>419</v>
      </c>
      <c r="P1392" s="8">
        <f t="shared" si="328"/>
        <v>200415</v>
      </c>
      <c r="Q1392" s="8">
        <v>200996</v>
      </c>
      <c r="R1392" s="133">
        <f t="shared" si="365"/>
        <v>581</v>
      </c>
      <c r="S1392" s="8">
        <f t="shared" si="358"/>
        <v>55053</v>
      </c>
      <c r="T1392" s="8">
        <v>55133</v>
      </c>
      <c r="U1392" s="133">
        <f t="shared" si="359"/>
        <v>80</v>
      </c>
      <c r="V1392" s="8">
        <f t="shared" si="360"/>
        <v>400450</v>
      </c>
      <c r="W1392" s="8">
        <v>400624</v>
      </c>
      <c r="X1392" s="13">
        <f t="shared" si="335"/>
        <v>174</v>
      </c>
      <c r="Y1392" s="8">
        <f t="shared" si="364"/>
        <v>46330</v>
      </c>
      <c r="Z1392" s="8">
        <v>46490</v>
      </c>
      <c r="AA1392" s="13">
        <f t="shared" si="339"/>
        <v>160</v>
      </c>
      <c r="AB1392" s="8">
        <f t="shared" si="361"/>
        <v>276320</v>
      </c>
      <c r="AC1392" s="8">
        <v>276372</v>
      </c>
      <c r="AD1392" s="13">
        <f t="shared" si="362"/>
        <v>52</v>
      </c>
      <c r="AE1392" s="135">
        <v>8008</v>
      </c>
      <c r="AF1392" s="135">
        <v>8116</v>
      </c>
      <c r="AG1392" s="135">
        <f t="shared" si="363"/>
        <v>108</v>
      </c>
      <c r="AH1392" s="136">
        <f t="shared" si="342"/>
        <v>160</v>
      </c>
      <c r="AI1392" s="50">
        <f t="shared" si="340"/>
        <v>1414</v>
      </c>
    </row>
    <row r="1393" spans="1:36">
      <c r="A1393" s="12">
        <v>45768</v>
      </c>
      <c r="B1393" s="8">
        <f t="shared" si="350"/>
        <v>2168037</v>
      </c>
      <c r="C1393" s="8">
        <v>2168596</v>
      </c>
      <c r="D1393" s="13">
        <f t="shared" si="351"/>
        <v>559</v>
      </c>
      <c r="E1393" s="77">
        <f t="shared" si="352"/>
        <v>194584</v>
      </c>
      <c r="F1393" s="69">
        <v>195337</v>
      </c>
      <c r="G1393" s="133">
        <f t="shared" si="353"/>
        <v>753</v>
      </c>
      <c r="H1393" s="8">
        <f t="shared" si="354"/>
        <v>376432</v>
      </c>
      <c r="I1393" s="8">
        <v>376432</v>
      </c>
      <c r="J1393" s="13">
        <f t="shared" si="355"/>
        <v>0</v>
      </c>
      <c r="K1393" s="138">
        <f t="shared" si="356"/>
        <v>1312</v>
      </c>
      <c r="L1393" s="8">
        <f t="shared" si="357"/>
        <v>1358783</v>
      </c>
      <c r="M1393" s="8">
        <v>1359667</v>
      </c>
      <c r="N1393" s="13">
        <f t="shared" si="366"/>
        <v>884</v>
      </c>
      <c r="O1393" s="136">
        <f t="shared" si="331"/>
        <v>675</v>
      </c>
      <c r="P1393" s="8">
        <f t="shared" ref="P1393:P1405" si="367">Q1392</f>
        <v>200996</v>
      </c>
      <c r="Q1393" s="8">
        <v>201616</v>
      </c>
      <c r="R1393" s="133">
        <f t="shared" si="365"/>
        <v>620</v>
      </c>
      <c r="S1393" s="8">
        <f t="shared" si="358"/>
        <v>55133</v>
      </c>
      <c r="T1393" s="8">
        <v>55165</v>
      </c>
      <c r="U1393" s="133">
        <f t="shared" si="359"/>
        <v>32</v>
      </c>
      <c r="V1393" s="8">
        <f t="shared" si="360"/>
        <v>400624</v>
      </c>
      <c r="W1393" s="8">
        <v>400767</v>
      </c>
      <c r="X1393" s="13">
        <f t="shared" si="335"/>
        <v>143</v>
      </c>
      <c r="Y1393" s="8">
        <f t="shared" si="364"/>
        <v>46490</v>
      </c>
      <c r="Z1393" s="8">
        <v>46582</v>
      </c>
      <c r="AA1393" s="13">
        <f t="shared" si="339"/>
        <v>92</v>
      </c>
      <c r="AB1393" s="8">
        <f t="shared" si="361"/>
        <v>276372</v>
      </c>
      <c r="AC1393" s="8">
        <v>276387</v>
      </c>
      <c r="AD1393" s="13">
        <f t="shared" si="362"/>
        <v>15</v>
      </c>
      <c r="AE1393" s="135">
        <v>8116</v>
      </c>
      <c r="AF1393" s="135">
        <v>8253</v>
      </c>
      <c r="AG1393" s="135">
        <f t="shared" si="363"/>
        <v>137</v>
      </c>
      <c r="AH1393" s="136">
        <f t="shared" si="342"/>
        <v>152</v>
      </c>
      <c r="AI1393" s="50">
        <f t="shared" si="340"/>
        <v>1562</v>
      </c>
    </row>
    <row r="1394" spans="1:36">
      <c r="A1394" s="12">
        <v>45769</v>
      </c>
      <c r="B1394" s="8">
        <f t="shared" si="350"/>
        <v>2168596</v>
      </c>
      <c r="C1394" s="8">
        <v>2168915</v>
      </c>
      <c r="D1394" s="13">
        <f t="shared" si="351"/>
        <v>319</v>
      </c>
      <c r="E1394" s="77">
        <f t="shared" si="352"/>
        <v>195337</v>
      </c>
      <c r="F1394" s="69">
        <v>196091</v>
      </c>
      <c r="G1394" s="133">
        <f t="shared" si="353"/>
        <v>754</v>
      </c>
      <c r="H1394" s="8">
        <f t="shared" si="354"/>
        <v>376432</v>
      </c>
      <c r="I1394" s="8">
        <v>376626</v>
      </c>
      <c r="J1394" s="13">
        <f t="shared" si="355"/>
        <v>194</v>
      </c>
      <c r="K1394" s="138">
        <f t="shared" si="356"/>
        <v>1267</v>
      </c>
      <c r="L1394" s="8">
        <f t="shared" si="357"/>
        <v>1359667</v>
      </c>
      <c r="M1394" s="8">
        <v>1361005</v>
      </c>
      <c r="N1394" s="13">
        <f t="shared" si="366"/>
        <v>1338</v>
      </c>
      <c r="O1394" s="136">
        <f t="shared" si="331"/>
        <v>598</v>
      </c>
      <c r="P1394" s="8">
        <f t="shared" si="367"/>
        <v>201616</v>
      </c>
      <c r="Q1394" s="8">
        <v>202260</v>
      </c>
      <c r="R1394" s="133">
        <f t="shared" si="365"/>
        <v>644</v>
      </c>
      <c r="S1394" s="8">
        <f t="shared" si="358"/>
        <v>55165</v>
      </c>
      <c r="T1394" s="8">
        <v>55190</v>
      </c>
      <c r="U1394" s="133">
        <f t="shared" si="359"/>
        <v>25</v>
      </c>
      <c r="V1394" s="8">
        <f t="shared" si="360"/>
        <v>400767</v>
      </c>
      <c r="W1394" s="8">
        <v>400845</v>
      </c>
      <c r="X1394" s="13">
        <f t="shared" si="335"/>
        <v>78</v>
      </c>
      <c r="Y1394" s="8">
        <f t="shared" si="364"/>
        <v>46582</v>
      </c>
      <c r="Z1394" s="8">
        <v>46672</v>
      </c>
      <c r="AA1394" s="13">
        <f t="shared" si="339"/>
        <v>90</v>
      </c>
      <c r="AB1394" s="8">
        <f t="shared" si="361"/>
        <v>276387</v>
      </c>
      <c r="AC1394" s="8">
        <v>276387</v>
      </c>
      <c r="AD1394" s="13">
        <f t="shared" si="362"/>
        <v>0</v>
      </c>
      <c r="AE1394" s="135">
        <v>8253</v>
      </c>
      <c r="AF1394" s="135">
        <v>8344</v>
      </c>
      <c r="AG1394" s="135">
        <f t="shared" si="363"/>
        <v>91</v>
      </c>
      <c r="AH1394" s="136">
        <f t="shared" si="342"/>
        <v>91</v>
      </c>
      <c r="AI1394" s="50">
        <f t="shared" si="340"/>
        <v>1435</v>
      </c>
    </row>
    <row r="1395" spans="1:36">
      <c r="A1395" s="12">
        <v>45770</v>
      </c>
      <c r="B1395" s="8">
        <f t="shared" si="350"/>
        <v>2168915</v>
      </c>
      <c r="C1395" s="8">
        <v>2169216</v>
      </c>
      <c r="D1395" s="13">
        <f t="shared" si="351"/>
        <v>301</v>
      </c>
      <c r="E1395" s="77">
        <f t="shared" si="352"/>
        <v>196091</v>
      </c>
      <c r="F1395" s="69">
        <v>196853</v>
      </c>
      <c r="G1395" s="133">
        <f t="shared" si="353"/>
        <v>762</v>
      </c>
      <c r="H1395" s="8">
        <f t="shared" si="354"/>
        <v>376626</v>
      </c>
      <c r="I1395" s="8">
        <v>376626</v>
      </c>
      <c r="J1395" s="13">
        <f t="shared" si="355"/>
        <v>0</v>
      </c>
      <c r="K1395" s="138">
        <f t="shared" si="356"/>
        <v>1063</v>
      </c>
      <c r="L1395" s="8">
        <f t="shared" si="357"/>
        <v>1361005</v>
      </c>
      <c r="M1395" s="8">
        <v>1361759</v>
      </c>
      <c r="N1395" s="13">
        <f t="shared" si="366"/>
        <v>754</v>
      </c>
      <c r="O1395" s="136">
        <f t="shared" si="331"/>
        <v>582</v>
      </c>
      <c r="P1395" s="8">
        <f t="shared" si="367"/>
        <v>202260</v>
      </c>
      <c r="Q1395" s="8">
        <v>202677</v>
      </c>
      <c r="R1395" s="133">
        <f t="shared" si="365"/>
        <v>417</v>
      </c>
      <c r="S1395" s="8">
        <f t="shared" si="358"/>
        <v>55190</v>
      </c>
      <c r="T1395" s="8">
        <v>55254</v>
      </c>
      <c r="U1395" s="133">
        <f t="shared" si="359"/>
        <v>64</v>
      </c>
      <c r="V1395" s="8">
        <f t="shared" si="360"/>
        <v>400845</v>
      </c>
      <c r="W1395" s="8">
        <v>401019</v>
      </c>
      <c r="X1395" s="13">
        <f t="shared" si="335"/>
        <v>174</v>
      </c>
      <c r="Y1395" s="8">
        <f t="shared" si="364"/>
        <v>46672</v>
      </c>
      <c r="Z1395" s="8">
        <v>46732</v>
      </c>
      <c r="AA1395" s="13">
        <f t="shared" si="339"/>
        <v>60</v>
      </c>
      <c r="AB1395" s="8">
        <f t="shared" si="361"/>
        <v>276387</v>
      </c>
      <c r="AC1395" s="8">
        <v>276387</v>
      </c>
      <c r="AD1395" s="13">
        <f t="shared" si="362"/>
        <v>0</v>
      </c>
      <c r="AE1395" s="135">
        <f>AF1394</f>
        <v>8344</v>
      </c>
      <c r="AF1395" s="135">
        <v>8458</v>
      </c>
      <c r="AG1395" s="135">
        <f t="shared" si="363"/>
        <v>114</v>
      </c>
      <c r="AH1395" s="136">
        <f t="shared" si="342"/>
        <v>114</v>
      </c>
      <c r="AI1395" s="50">
        <f t="shared" si="340"/>
        <v>1297</v>
      </c>
    </row>
    <row r="1396" spans="1:36">
      <c r="A1396" s="12">
        <v>45771</v>
      </c>
      <c r="B1396" s="8">
        <f t="shared" si="350"/>
        <v>2169216</v>
      </c>
      <c r="C1396" s="8">
        <v>2169553</v>
      </c>
      <c r="D1396" s="13">
        <f t="shared" si="351"/>
        <v>337</v>
      </c>
      <c r="E1396" s="77">
        <f t="shared" si="352"/>
        <v>196853</v>
      </c>
      <c r="F1396" s="69">
        <v>197581</v>
      </c>
      <c r="G1396" s="133">
        <f t="shared" si="353"/>
        <v>728</v>
      </c>
      <c r="H1396" s="8">
        <f t="shared" si="354"/>
        <v>376626</v>
      </c>
      <c r="I1396" s="8">
        <v>376873</v>
      </c>
      <c r="J1396" s="13">
        <f t="shared" si="355"/>
        <v>247</v>
      </c>
      <c r="K1396" s="138">
        <f t="shared" si="356"/>
        <v>1312</v>
      </c>
      <c r="L1396" s="8">
        <f t="shared" si="357"/>
        <v>1361759</v>
      </c>
      <c r="M1396" s="8">
        <v>1362522</v>
      </c>
      <c r="N1396" s="13">
        <f t="shared" si="366"/>
        <v>763</v>
      </c>
      <c r="O1396" s="136">
        <f t="shared" si="331"/>
        <v>937</v>
      </c>
      <c r="P1396" s="8">
        <f t="shared" si="367"/>
        <v>202677</v>
      </c>
      <c r="Q1396" s="8">
        <v>203002</v>
      </c>
      <c r="R1396" s="133">
        <f t="shared" si="365"/>
        <v>325</v>
      </c>
      <c r="S1396" s="8">
        <f t="shared" si="358"/>
        <v>55254</v>
      </c>
      <c r="T1396" s="8">
        <v>55304</v>
      </c>
      <c r="U1396" s="133">
        <f t="shared" si="359"/>
        <v>50</v>
      </c>
      <c r="V1396" s="8">
        <f t="shared" si="360"/>
        <v>401019</v>
      </c>
      <c r="W1396" s="8">
        <v>401105</v>
      </c>
      <c r="X1396" s="13">
        <f t="shared" si="335"/>
        <v>86</v>
      </c>
      <c r="Y1396" s="8">
        <f t="shared" si="364"/>
        <v>46732</v>
      </c>
      <c r="Z1396" s="8">
        <v>46808</v>
      </c>
      <c r="AA1396" s="13">
        <f>Z1396-Y1396</f>
        <v>76</v>
      </c>
      <c r="AB1396" s="8">
        <f t="shared" si="361"/>
        <v>276387</v>
      </c>
      <c r="AC1396" s="8">
        <v>276387</v>
      </c>
      <c r="AD1396" s="13">
        <f t="shared" si="362"/>
        <v>0</v>
      </c>
      <c r="AE1396" s="135">
        <f t="shared" ref="AE1396:AE1459" si="368">AF1395</f>
        <v>8458</v>
      </c>
      <c r="AF1396" s="135">
        <v>8589</v>
      </c>
      <c r="AG1396" s="135">
        <f t="shared" si="363"/>
        <v>131</v>
      </c>
      <c r="AH1396" s="136">
        <f t="shared" si="342"/>
        <v>131</v>
      </c>
      <c r="AI1396" s="50">
        <f t="shared" si="340"/>
        <v>1474</v>
      </c>
    </row>
    <row r="1397" spans="1:36">
      <c r="A1397" s="12">
        <v>45772</v>
      </c>
      <c r="B1397" s="8">
        <f t="shared" si="350"/>
        <v>2169553</v>
      </c>
      <c r="C1397" s="8">
        <v>2169936</v>
      </c>
      <c r="D1397" s="13">
        <f t="shared" si="351"/>
        <v>383</v>
      </c>
      <c r="E1397" s="77">
        <f t="shared" si="352"/>
        <v>197581</v>
      </c>
      <c r="F1397" s="69">
        <v>198122</v>
      </c>
      <c r="G1397" s="133">
        <f t="shared" si="353"/>
        <v>541</v>
      </c>
      <c r="H1397" s="8">
        <f t="shared" si="354"/>
        <v>376873</v>
      </c>
      <c r="I1397" s="8">
        <v>376873</v>
      </c>
      <c r="J1397" s="13">
        <f t="shared" si="355"/>
        <v>0</v>
      </c>
      <c r="K1397" s="138">
        <f t="shared" si="356"/>
        <v>924</v>
      </c>
      <c r="L1397" s="8">
        <f t="shared" si="357"/>
        <v>1362522</v>
      </c>
      <c r="M1397" s="8">
        <v>1363379</v>
      </c>
      <c r="N1397" s="13">
        <f t="shared" si="366"/>
        <v>857</v>
      </c>
      <c r="O1397" s="136">
        <f t="shared" si="331"/>
        <v>576</v>
      </c>
      <c r="P1397" s="8">
        <f t="shared" si="367"/>
        <v>203002</v>
      </c>
      <c r="Q1397" s="8">
        <v>203330</v>
      </c>
      <c r="R1397" s="133">
        <f t="shared" si="365"/>
        <v>328</v>
      </c>
      <c r="S1397" s="8">
        <f t="shared" si="358"/>
        <v>55304</v>
      </c>
      <c r="T1397" s="8">
        <v>55324</v>
      </c>
      <c r="U1397" s="133">
        <f t="shared" si="359"/>
        <v>20</v>
      </c>
      <c r="V1397" s="8">
        <f t="shared" si="360"/>
        <v>401105</v>
      </c>
      <c r="W1397" s="8">
        <v>401246</v>
      </c>
      <c r="X1397" s="13">
        <f>W1397-V1397</f>
        <v>141</v>
      </c>
      <c r="Y1397" s="8">
        <f t="shared" si="364"/>
        <v>46808</v>
      </c>
      <c r="Z1397" s="8">
        <v>46878</v>
      </c>
      <c r="AA1397" s="13">
        <f>Z1397-Y1397</f>
        <v>70</v>
      </c>
      <c r="AB1397" s="8">
        <f t="shared" si="361"/>
        <v>276387</v>
      </c>
      <c r="AC1397" s="8">
        <v>276387</v>
      </c>
      <c r="AD1397" s="13">
        <f t="shared" si="362"/>
        <v>0</v>
      </c>
      <c r="AE1397" s="135">
        <f t="shared" si="368"/>
        <v>8589</v>
      </c>
      <c r="AF1397" s="135">
        <v>8714</v>
      </c>
      <c r="AG1397" s="135">
        <f t="shared" si="363"/>
        <v>125</v>
      </c>
      <c r="AH1397" s="136">
        <f t="shared" si="342"/>
        <v>125</v>
      </c>
      <c r="AI1397" s="50">
        <f t="shared" si="340"/>
        <v>1135</v>
      </c>
    </row>
    <row r="1398" spans="1:36">
      <c r="A1398" s="12">
        <v>45773</v>
      </c>
      <c r="B1398" s="8">
        <f t="shared" ref="B1398:B1461" si="369">C1397</f>
        <v>2169936</v>
      </c>
      <c r="C1398" s="8">
        <v>2170306</v>
      </c>
      <c r="D1398" s="13">
        <f t="shared" ref="D1398:D1461" si="370">C1398-B1398</f>
        <v>370</v>
      </c>
      <c r="E1398" s="77">
        <f t="shared" ref="E1398:E1461" si="371">F1397</f>
        <v>198122</v>
      </c>
      <c r="F1398" s="69">
        <v>198776</v>
      </c>
      <c r="G1398" s="133">
        <f t="shared" ref="G1398:G1461" si="372">F1398-E1398</f>
        <v>654</v>
      </c>
      <c r="H1398" s="8">
        <f t="shared" ref="H1398:H1461" si="373">I1397</f>
        <v>376873</v>
      </c>
      <c r="I1398" s="8">
        <v>377192</v>
      </c>
      <c r="J1398" s="13">
        <f t="shared" ref="J1398:J1461" si="374">I1398-H1398</f>
        <v>319</v>
      </c>
      <c r="K1398" s="138">
        <f t="shared" ref="K1398:K1461" si="375">J1398+G1398+D1398</f>
        <v>1343</v>
      </c>
      <c r="L1398" s="8">
        <f t="shared" ref="L1398:L1461" si="376">M1397</f>
        <v>1363379</v>
      </c>
      <c r="M1398" s="8">
        <v>1364356</v>
      </c>
      <c r="N1398" s="13">
        <f t="shared" ref="N1398:N1461" si="377">M1398-L1398</f>
        <v>977</v>
      </c>
      <c r="O1398" s="136">
        <f t="shared" si="331"/>
        <v>790</v>
      </c>
      <c r="P1398" s="8">
        <f t="shared" si="367"/>
        <v>203330</v>
      </c>
      <c r="Q1398" s="8">
        <v>203802</v>
      </c>
      <c r="R1398" s="133">
        <f t="shared" si="365"/>
        <v>472</v>
      </c>
      <c r="S1398" s="8">
        <f t="shared" ref="S1398:S1461" si="378">T1397</f>
        <v>55324</v>
      </c>
      <c r="T1398" s="8">
        <v>55405</v>
      </c>
      <c r="U1398" s="133">
        <f t="shared" ref="U1398:U1461" si="379">T1398-S1398</f>
        <v>81</v>
      </c>
      <c r="V1398" s="8">
        <f t="shared" ref="V1398:V1461" si="380">W1397</f>
        <v>401246</v>
      </c>
      <c r="W1398" s="8">
        <v>401349</v>
      </c>
      <c r="X1398" s="13">
        <f t="shared" ref="X1398:X1461" si="381">W1398-V1398</f>
        <v>103</v>
      </c>
      <c r="Y1398" s="8">
        <f t="shared" si="364"/>
        <v>46878</v>
      </c>
      <c r="Z1398" s="8">
        <v>46909</v>
      </c>
      <c r="AA1398" s="13">
        <f t="shared" ref="AA1398:AA1461" si="382">Z1398-Y1398</f>
        <v>31</v>
      </c>
      <c r="AB1398" s="8">
        <f t="shared" ref="AB1398:AB1461" si="383">AC1397</f>
        <v>276387</v>
      </c>
      <c r="AC1398" s="8">
        <v>276387</v>
      </c>
      <c r="AD1398" s="13">
        <f t="shared" ref="AD1398:AD1461" si="384">AC1398-AB1398</f>
        <v>0</v>
      </c>
      <c r="AE1398" s="135">
        <f t="shared" si="368"/>
        <v>8714</v>
      </c>
      <c r="AF1398" s="135">
        <v>8875</v>
      </c>
      <c r="AG1398" s="135">
        <f t="shared" ref="AG1398:AG1461" si="385">AF1398-AE1398</f>
        <v>161</v>
      </c>
      <c r="AH1398" s="136">
        <f t="shared" ref="AH1398:AH1461" si="386">AG1398+AD1398</f>
        <v>161</v>
      </c>
      <c r="AI1398" s="50">
        <f t="shared" ref="AI1398:AI1461" si="387">AA1398+U1398+R1398+O1398+X1398</f>
        <v>1477</v>
      </c>
    </row>
    <row r="1399" spans="1:36">
      <c r="A1399" s="12">
        <v>45774</v>
      </c>
      <c r="B1399" s="8">
        <f t="shared" si="369"/>
        <v>2170306</v>
      </c>
      <c r="C1399" s="8">
        <v>2170581</v>
      </c>
      <c r="D1399" s="13">
        <f t="shared" si="370"/>
        <v>275</v>
      </c>
      <c r="E1399" s="77">
        <f t="shared" si="371"/>
        <v>198776</v>
      </c>
      <c r="F1399" s="69">
        <v>199394</v>
      </c>
      <c r="G1399" s="133">
        <f t="shared" si="372"/>
        <v>618</v>
      </c>
      <c r="H1399" s="8">
        <f t="shared" si="373"/>
        <v>377192</v>
      </c>
      <c r="I1399" s="8">
        <v>377329</v>
      </c>
      <c r="J1399" s="13">
        <f t="shared" si="374"/>
        <v>137</v>
      </c>
      <c r="K1399" s="138">
        <f t="shared" si="375"/>
        <v>1030</v>
      </c>
      <c r="L1399" s="8">
        <f t="shared" si="376"/>
        <v>1364356</v>
      </c>
      <c r="M1399" s="8">
        <v>1365092</v>
      </c>
      <c r="N1399" s="13">
        <f t="shared" si="377"/>
        <v>736</v>
      </c>
      <c r="O1399" s="136">
        <f t="shared" si="331"/>
        <v>527</v>
      </c>
      <c r="P1399" s="8">
        <f t="shared" si="367"/>
        <v>203802</v>
      </c>
      <c r="Q1399" s="8">
        <v>204275</v>
      </c>
      <c r="R1399" s="133">
        <f t="shared" si="365"/>
        <v>473</v>
      </c>
      <c r="S1399" s="8">
        <f t="shared" si="378"/>
        <v>55405</v>
      </c>
      <c r="T1399" s="8">
        <v>55435</v>
      </c>
      <c r="U1399" s="133">
        <f t="shared" si="379"/>
        <v>30</v>
      </c>
      <c r="V1399" s="8">
        <f t="shared" si="380"/>
        <v>401349</v>
      </c>
      <c r="W1399" s="8">
        <v>401667</v>
      </c>
      <c r="X1399" s="13">
        <f t="shared" si="381"/>
        <v>318</v>
      </c>
      <c r="Y1399" s="8">
        <f t="shared" si="364"/>
        <v>46909</v>
      </c>
      <c r="Z1399" s="8">
        <v>47001</v>
      </c>
      <c r="AA1399" s="13">
        <f t="shared" si="382"/>
        <v>92</v>
      </c>
      <c r="AB1399" s="8">
        <f t="shared" si="383"/>
        <v>276387</v>
      </c>
      <c r="AC1399" s="8">
        <v>276387</v>
      </c>
      <c r="AD1399" s="13">
        <f t="shared" si="384"/>
        <v>0</v>
      </c>
      <c r="AE1399" s="135">
        <f t="shared" si="368"/>
        <v>8875</v>
      </c>
      <c r="AF1399" s="135">
        <v>9047</v>
      </c>
      <c r="AG1399" s="135">
        <f t="shared" si="385"/>
        <v>172</v>
      </c>
      <c r="AH1399" s="136">
        <f t="shared" si="386"/>
        <v>172</v>
      </c>
      <c r="AI1399" s="50">
        <f t="shared" si="387"/>
        <v>1440</v>
      </c>
    </row>
    <row r="1400" spans="1:36">
      <c r="A1400" s="12">
        <v>45775</v>
      </c>
      <c r="B1400" s="8">
        <f t="shared" si="369"/>
        <v>2170581</v>
      </c>
      <c r="C1400" s="8">
        <v>2170894</v>
      </c>
      <c r="D1400" s="13">
        <f t="shared" si="370"/>
        <v>313</v>
      </c>
      <c r="E1400" s="77">
        <f t="shared" si="371"/>
        <v>199394</v>
      </c>
      <c r="F1400" s="69">
        <v>200151</v>
      </c>
      <c r="G1400" s="133">
        <v>757</v>
      </c>
      <c r="H1400" s="8">
        <f t="shared" si="373"/>
        <v>377329</v>
      </c>
      <c r="I1400" s="8">
        <v>377682</v>
      </c>
      <c r="J1400" s="13">
        <f t="shared" si="374"/>
        <v>353</v>
      </c>
      <c r="K1400" s="138">
        <f t="shared" si="375"/>
        <v>1423</v>
      </c>
      <c r="L1400" s="8">
        <f t="shared" si="376"/>
        <v>1365092</v>
      </c>
      <c r="M1400" s="8">
        <v>1365692</v>
      </c>
      <c r="N1400" s="13">
        <f t="shared" si="377"/>
        <v>600</v>
      </c>
      <c r="O1400" s="136">
        <f t="shared" si="331"/>
        <v>1173</v>
      </c>
      <c r="P1400" s="8">
        <f t="shared" si="367"/>
        <v>204275</v>
      </c>
      <c r="Q1400" s="8">
        <v>204475</v>
      </c>
      <c r="R1400" s="133">
        <f t="shared" si="365"/>
        <v>200</v>
      </c>
      <c r="S1400" s="8">
        <f t="shared" si="378"/>
        <v>55435</v>
      </c>
      <c r="T1400" s="8">
        <v>55485</v>
      </c>
      <c r="U1400" s="133">
        <f t="shared" si="379"/>
        <v>50</v>
      </c>
      <c r="V1400" s="8">
        <f t="shared" si="380"/>
        <v>401667</v>
      </c>
      <c r="W1400" s="8">
        <v>401867</v>
      </c>
      <c r="X1400" s="13">
        <f t="shared" si="381"/>
        <v>200</v>
      </c>
      <c r="Y1400" s="8">
        <f t="shared" si="364"/>
        <v>47001</v>
      </c>
      <c r="Z1400" s="8">
        <v>47025</v>
      </c>
      <c r="AA1400" s="13">
        <f t="shared" si="382"/>
        <v>24</v>
      </c>
      <c r="AB1400" s="8">
        <f t="shared" si="383"/>
        <v>276387</v>
      </c>
      <c r="AC1400" s="8">
        <v>276387</v>
      </c>
      <c r="AD1400" s="13">
        <f t="shared" si="384"/>
        <v>0</v>
      </c>
      <c r="AE1400" s="135">
        <f t="shared" si="368"/>
        <v>9047</v>
      </c>
      <c r="AF1400" s="135">
        <v>9243</v>
      </c>
      <c r="AG1400" s="135">
        <f t="shared" si="385"/>
        <v>196</v>
      </c>
      <c r="AH1400" s="136">
        <f t="shared" si="386"/>
        <v>196</v>
      </c>
      <c r="AI1400" s="50">
        <f t="shared" si="387"/>
        <v>1647</v>
      </c>
    </row>
    <row r="1401" spans="1:36">
      <c r="A1401" s="12">
        <v>45776</v>
      </c>
      <c r="B1401" s="8">
        <f t="shared" si="369"/>
        <v>2170894</v>
      </c>
      <c r="C1401" s="8">
        <v>2170894</v>
      </c>
      <c r="D1401" s="13">
        <f t="shared" si="370"/>
        <v>0</v>
      </c>
      <c r="E1401" s="77">
        <f t="shared" si="371"/>
        <v>200151</v>
      </c>
      <c r="F1401" s="69">
        <v>200554</v>
      </c>
      <c r="G1401" s="133">
        <f t="shared" si="372"/>
        <v>403</v>
      </c>
      <c r="H1401" s="8">
        <f t="shared" si="373"/>
        <v>377682</v>
      </c>
      <c r="I1401" s="8">
        <v>378039</v>
      </c>
      <c r="J1401" s="13">
        <f t="shared" si="374"/>
        <v>357</v>
      </c>
      <c r="K1401" s="138">
        <f t="shared" si="375"/>
        <v>760</v>
      </c>
      <c r="L1401" s="8">
        <f t="shared" si="376"/>
        <v>1365692</v>
      </c>
      <c r="M1401" s="8">
        <v>1366886</v>
      </c>
      <c r="N1401" s="13">
        <f t="shared" si="377"/>
        <v>1194</v>
      </c>
      <c r="O1401" s="136">
        <f t="shared" si="331"/>
        <v>571</v>
      </c>
      <c r="P1401" s="8">
        <f t="shared" si="367"/>
        <v>204475</v>
      </c>
      <c r="Q1401" s="8">
        <v>204475</v>
      </c>
      <c r="R1401" s="133">
        <f t="shared" si="365"/>
        <v>0</v>
      </c>
      <c r="S1401" s="8">
        <f t="shared" si="378"/>
        <v>55485</v>
      </c>
      <c r="T1401" s="8">
        <v>55674</v>
      </c>
      <c r="U1401" s="133">
        <f t="shared" si="379"/>
        <v>189</v>
      </c>
      <c r="V1401" s="8">
        <f t="shared" si="380"/>
        <v>401867</v>
      </c>
      <c r="W1401" s="8">
        <v>402206</v>
      </c>
      <c r="X1401" s="13">
        <f t="shared" si="381"/>
        <v>339</v>
      </c>
      <c r="Y1401" s="8">
        <f t="shared" si="364"/>
        <v>47025</v>
      </c>
      <c r="Z1401" s="8">
        <v>47051</v>
      </c>
      <c r="AA1401" s="13">
        <f t="shared" si="382"/>
        <v>26</v>
      </c>
      <c r="AB1401" s="8">
        <f t="shared" si="383"/>
        <v>276387</v>
      </c>
      <c r="AC1401" s="8">
        <v>276387</v>
      </c>
      <c r="AD1401" s="13">
        <f t="shared" si="384"/>
        <v>0</v>
      </c>
      <c r="AE1401" s="135">
        <f t="shared" si="368"/>
        <v>9243</v>
      </c>
      <c r="AF1401" s="135">
        <v>9343</v>
      </c>
      <c r="AG1401" s="135">
        <f t="shared" si="385"/>
        <v>100</v>
      </c>
      <c r="AH1401" s="136">
        <f t="shared" si="386"/>
        <v>100</v>
      </c>
      <c r="AI1401" s="50">
        <f t="shared" si="387"/>
        <v>1125</v>
      </c>
      <c r="AJ1401" s="8" t="s">
        <v>1994</v>
      </c>
    </row>
    <row r="1402" spans="1:36">
      <c r="A1402" s="12">
        <v>45777</v>
      </c>
      <c r="B1402" s="8">
        <f t="shared" si="369"/>
        <v>2170894</v>
      </c>
      <c r="C1402" s="8">
        <v>2171011</v>
      </c>
      <c r="D1402" s="13">
        <f t="shared" si="370"/>
        <v>117</v>
      </c>
      <c r="E1402" s="77">
        <f t="shared" si="371"/>
        <v>200554</v>
      </c>
      <c r="F1402" s="69">
        <v>201311</v>
      </c>
      <c r="G1402" s="133">
        <f t="shared" si="372"/>
        <v>757</v>
      </c>
      <c r="H1402" s="8">
        <f t="shared" si="373"/>
        <v>378039</v>
      </c>
      <c r="I1402" s="8">
        <v>378401</v>
      </c>
      <c r="J1402" s="13">
        <f t="shared" si="374"/>
        <v>362</v>
      </c>
      <c r="K1402" s="138">
        <f t="shared" si="375"/>
        <v>1236</v>
      </c>
      <c r="L1402" s="8">
        <f t="shared" si="376"/>
        <v>1366886</v>
      </c>
      <c r="M1402" s="8">
        <v>1367647</v>
      </c>
      <c r="N1402" s="13">
        <f t="shared" si="377"/>
        <v>761</v>
      </c>
      <c r="O1402" s="136">
        <f t="shared" si="331"/>
        <v>876</v>
      </c>
      <c r="P1402" s="8">
        <f t="shared" si="367"/>
        <v>204475</v>
      </c>
      <c r="Q1402" s="8">
        <v>204824</v>
      </c>
      <c r="R1402" s="133">
        <f t="shared" si="365"/>
        <v>349</v>
      </c>
      <c r="S1402" s="8">
        <f t="shared" si="378"/>
        <v>55674</v>
      </c>
      <c r="T1402" s="8">
        <v>55685</v>
      </c>
      <c r="U1402" s="133">
        <f t="shared" si="379"/>
        <v>11</v>
      </c>
      <c r="V1402" s="8">
        <f t="shared" si="380"/>
        <v>402206</v>
      </c>
      <c r="W1402" s="8">
        <v>402403</v>
      </c>
      <c r="X1402" s="13">
        <f t="shared" si="381"/>
        <v>197</v>
      </c>
      <c r="Y1402" s="8">
        <f t="shared" si="364"/>
        <v>47051</v>
      </c>
      <c r="Z1402" s="8">
        <v>47086</v>
      </c>
      <c r="AA1402" s="13">
        <f t="shared" si="382"/>
        <v>35</v>
      </c>
      <c r="AB1402" s="8">
        <f t="shared" si="383"/>
        <v>276387</v>
      </c>
      <c r="AC1402" s="8">
        <v>276387</v>
      </c>
      <c r="AD1402" s="13">
        <f t="shared" si="384"/>
        <v>0</v>
      </c>
      <c r="AE1402" s="135">
        <f t="shared" si="368"/>
        <v>9343</v>
      </c>
      <c r="AF1402" s="135">
        <v>9470</v>
      </c>
      <c r="AG1402" s="135">
        <f t="shared" si="385"/>
        <v>127</v>
      </c>
      <c r="AH1402" s="136">
        <f t="shared" si="386"/>
        <v>127</v>
      </c>
      <c r="AI1402" s="50">
        <f t="shared" si="387"/>
        <v>1468</v>
      </c>
    </row>
    <row r="1403" spans="1:36">
      <c r="A1403" s="12">
        <v>45778</v>
      </c>
      <c r="B1403" s="8">
        <f t="shared" si="369"/>
        <v>2171011</v>
      </c>
      <c r="C1403" s="8">
        <v>2171610</v>
      </c>
      <c r="D1403" s="13">
        <f t="shared" si="370"/>
        <v>599</v>
      </c>
      <c r="E1403" s="77">
        <f t="shared" si="371"/>
        <v>201311</v>
      </c>
      <c r="F1403" s="69">
        <v>202062</v>
      </c>
      <c r="G1403" s="133">
        <f t="shared" si="372"/>
        <v>751</v>
      </c>
      <c r="H1403" s="8">
        <f t="shared" si="373"/>
        <v>378401</v>
      </c>
      <c r="I1403" s="8">
        <v>378401</v>
      </c>
      <c r="J1403" s="13">
        <f t="shared" si="374"/>
        <v>0</v>
      </c>
      <c r="K1403" s="138">
        <f t="shared" si="375"/>
        <v>1350</v>
      </c>
      <c r="L1403" s="8">
        <f t="shared" si="376"/>
        <v>1367647</v>
      </c>
      <c r="M1403" s="8">
        <v>1368652</v>
      </c>
      <c r="N1403" s="13">
        <f t="shared" si="377"/>
        <v>1005</v>
      </c>
      <c r="O1403" s="136">
        <f t="shared" ref="O1403:O1466" si="388">(D1403+G1403+J1403+AD1403)-(U1403+R1403)</f>
        <v>669</v>
      </c>
      <c r="P1403" s="8">
        <f t="shared" si="367"/>
        <v>204824</v>
      </c>
      <c r="Q1403" s="8">
        <v>205424</v>
      </c>
      <c r="R1403" s="133">
        <f t="shared" si="365"/>
        <v>600</v>
      </c>
      <c r="S1403" s="8">
        <f t="shared" si="378"/>
        <v>55685</v>
      </c>
      <c r="T1403" s="8">
        <v>55766</v>
      </c>
      <c r="U1403" s="133">
        <f t="shared" si="379"/>
        <v>81</v>
      </c>
      <c r="V1403" s="8">
        <f t="shared" si="380"/>
        <v>402403</v>
      </c>
      <c r="W1403" s="8">
        <v>402646</v>
      </c>
      <c r="X1403" s="13">
        <f t="shared" si="381"/>
        <v>243</v>
      </c>
      <c r="Y1403" s="8">
        <f t="shared" ref="Y1403:Y1461" si="389">Z1402</f>
        <v>47086</v>
      </c>
      <c r="Z1403" s="8">
        <v>47099</v>
      </c>
      <c r="AA1403" s="13">
        <f t="shared" si="382"/>
        <v>13</v>
      </c>
      <c r="AB1403" s="8">
        <f t="shared" si="383"/>
        <v>276387</v>
      </c>
      <c r="AC1403" s="8">
        <v>276387</v>
      </c>
      <c r="AD1403" s="13">
        <f t="shared" si="384"/>
        <v>0</v>
      </c>
      <c r="AE1403" s="135">
        <f t="shared" si="368"/>
        <v>9470</v>
      </c>
      <c r="AF1403" s="135">
        <v>9540</v>
      </c>
      <c r="AG1403" s="135">
        <f t="shared" si="385"/>
        <v>70</v>
      </c>
      <c r="AH1403" s="136">
        <f t="shared" si="386"/>
        <v>70</v>
      </c>
      <c r="AI1403" s="50">
        <f t="shared" si="387"/>
        <v>1606</v>
      </c>
    </row>
    <row r="1404" spans="1:36">
      <c r="A1404" s="12">
        <v>45779</v>
      </c>
      <c r="B1404" s="8">
        <f t="shared" si="369"/>
        <v>2171610</v>
      </c>
      <c r="C1404" s="8">
        <v>2172247</v>
      </c>
      <c r="D1404" s="13">
        <f t="shared" si="370"/>
        <v>637</v>
      </c>
      <c r="E1404" s="77">
        <f t="shared" si="371"/>
        <v>202062</v>
      </c>
      <c r="F1404" s="69">
        <v>202800</v>
      </c>
      <c r="G1404" s="133">
        <f t="shared" si="372"/>
        <v>738</v>
      </c>
      <c r="H1404" s="8">
        <f t="shared" si="373"/>
        <v>378401</v>
      </c>
      <c r="I1404" s="8">
        <v>378639</v>
      </c>
      <c r="J1404" s="13">
        <f t="shared" si="374"/>
        <v>238</v>
      </c>
      <c r="K1404" s="138">
        <f t="shared" si="375"/>
        <v>1613</v>
      </c>
      <c r="L1404" s="8">
        <f t="shared" si="376"/>
        <v>1368652</v>
      </c>
      <c r="M1404" s="8">
        <v>1369677</v>
      </c>
      <c r="N1404" s="13">
        <f t="shared" si="377"/>
        <v>1025</v>
      </c>
      <c r="O1404" s="136">
        <f t="shared" si="388"/>
        <v>835</v>
      </c>
      <c r="P1404" s="8">
        <f t="shared" si="367"/>
        <v>205424</v>
      </c>
      <c r="Q1404" s="8">
        <v>206123</v>
      </c>
      <c r="R1404" s="133">
        <f t="shared" si="365"/>
        <v>699</v>
      </c>
      <c r="S1404" s="8">
        <f t="shared" si="378"/>
        <v>55766</v>
      </c>
      <c r="T1404" s="8">
        <v>55845</v>
      </c>
      <c r="U1404" s="133">
        <f t="shared" si="379"/>
        <v>79</v>
      </c>
      <c r="V1404" s="8">
        <f t="shared" si="380"/>
        <v>402646</v>
      </c>
      <c r="W1404" s="8">
        <v>402814</v>
      </c>
      <c r="X1404" s="13">
        <f t="shared" si="381"/>
        <v>168</v>
      </c>
      <c r="Y1404" s="8">
        <f t="shared" si="389"/>
        <v>47099</v>
      </c>
      <c r="Z1404" s="8">
        <v>47152</v>
      </c>
      <c r="AA1404" s="13">
        <f t="shared" si="382"/>
        <v>53</v>
      </c>
      <c r="AB1404" s="8">
        <f t="shared" si="383"/>
        <v>276387</v>
      </c>
      <c r="AC1404" s="8">
        <v>276387</v>
      </c>
      <c r="AD1404" s="13">
        <f t="shared" si="384"/>
        <v>0</v>
      </c>
      <c r="AE1404" s="135">
        <f t="shared" si="368"/>
        <v>9540</v>
      </c>
      <c r="AF1404" s="135">
        <v>9661</v>
      </c>
      <c r="AG1404" s="135">
        <f t="shared" si="385"/>
        <v>121</v>
      </c>
      <c r="AH1404" s="136">
        <f t="shared" si="386"/>
        <v>121</v>
      </c>
      <c r="AI1404" s="50">
        <f t="shared" si="387"/>
        <v>1834</v>
      </c>
    </row>
    <row r="1405" spans="1:36">
      <c r="A1405" s="12">
        <v>45780</v>
      </c>
      <c r="B1405" s="8">
        <f t="shared" si="369"/>
        <v>2172247</v>
      </c>
      <c r="C1405" s="8">
        <v>2172599</v>
      </c>
      <c r="D1405" s="13">
        <f t="shared" si="370"/>
        <v>352</v>
      </c>
      <c r="E1405" s="77">
        <f t="shared" si="371"/>
        <v>202800</v>
      </c>
      <c r="F1405" s="69">
        <v>203550</v>
      </c>
      <c r="G1405" s="133">
        <f t="shared" si="372"/>
        <v>750</v>
      </c>
      <c r="H1405" s="8">
        <f t="shared" si="373"/>
        <v>378639</v>
      </c>
      <c r="I1405" s="8">
        <v>378897</v>
      </c>
      <c r="J1405" s="13">
        <f t="shared" si="374"/>
        <v>258</v>
      </c>
      <c r="K1405" s="138">
        <f t="shared" si="375"/>
        <v>1360</v>
      </c>
      <c r="L1405" s="8">
        <f t="shared" si="376"/>
        <v>1369677</v>
      </c>
      <c r="M1405" s="8">
        <v>1370837</v>
      </c>
      <c r="N1405" s="13">
        <f t="shared" si="377"/>
        <v>1160</v>
      </c>
      <c r="O1405" s="136">
        <f t="shared" si="388"/>
        <v>631</v>
      </c>
      <c r="P1405" s="8">
        <f t="shared" si="367"/>
        <v>206123</v>
      </c>
      <c r="Q1405" s="8">
        <v>206823</v>
      </c>
      <c r="R1405" s="133">
        <f t="shared" si="365"/>
        <v>700</v>
      </c>
      <c r="S1405" s="8">
        <f t="shared" si="378"/>
        <v>55845</v>
      </c>
      <c r="T1405" s="8">
        <v>55874</v>
      </c>
      <c r="U1405" s="133">
        <f t="shared" si="379"/>
        <v>29</v>
      </c>
      <c r="V1405" s="8">
        <f t="shared" si="380"/>
        <v>402814</v>
      </c>
      <c r="W1405" s="8">
        <v>402980</v>
      </c>
      <c r="X1405" s="13">
        <f t="shared" si="381"/>
        <v>166</v>
      </c>
      <c r="Y1405" s="8">
        <f t="shared" si="389"/>
        <v>47152</v>
      </c>
      <c r="Z1405" s="8">
        <v>47199</v>
      </c>
      <c r="AA1405" s="13">
        <f t="shared" si="382"/>
        <v>47</v>
      </c>
      <c r="AB1405" s="8">
        <f t="shared" si="383"/>
        <v>276387</v>
      </c>
      <c r="AC1405" s="8">
        <v>276387</v>
      </c>
      <c r="AD1405" s="13">
        <f t="shared" si="384"/>
        <v>0</v>
      </c>
      <c r="AE1405" s="135">
        <f t="shared" si="368"/>
        <v>9661</v>
      </c>
      <c r="AF1405" s="135">
        <v>9841</v>
      </c>
      <c r="AG1405" s="135">
        <f t="shared" si="385"/>
        <v>180</v>
      </c>
      <c r="AH1405" s="136">
        <f t="shared" si="386"/>
        <v>180</v>
      </c>
      <c r="AI1405" s="50">
        <f t="shared" si="387"/>
        <v>1573</v>
      </c>
    </row>
    <row r="1406" spans="1:36">
      <c r="A1406" s="12">
        <v>45781</v>
      </c>
      <c r="B1406" s="8">
        <f t="shared" si="369"/>
        <v>2172599</v>
      </c>
      <c r="C1406" s="8">
        <v>2172815</v>
      </c>
      <c r="D1406" s="13">
        <f t="shared" si="370"/>
        <v>216</v>
      </c>
      <c r="E1406" s="77">
        <f t="shared" si="371"/>
        <v>203550</v>
      </c>
      <c r="F1406" s="69">
        <v>204298</v>
      </c>
      <c r="G1406" s="133">
        <f t="shared" si="372"/>
        <v>748</v>
      </c>
      <c r="H1406" s="8">
        <f t="shared" si="373"/>
        <v>378897</v>
      </c>
      <c r="I1406" s="8">
        <v>379416</v>
      </c>
      <c r="J1406" s="13">
        <f t="shared" si="374"/>
        <v>519</v>
      </c>
      <c r="K1406" s="138">
        <f t="shared" si="375"/>
        <v>1483</v>
      </c>
      <c r="L1406" s="8">
        <f t="shared" si="376"/>
        <v>1370837</v>
      </c>
      <c r="M1406" s="8">
        <v>1371064</v>
      </c>
      <c r="N1406" s="13">
        <f t="shared" si="377"/>
        <v>227</v>
      </c>
      <c r="O1406" s="136">
        <f t="shared" si="388"/>
        <v>1115</v>
      </c>
      <c r="P1406" s="8">
        <f t="shared" ref="P1406:P1421" si="390">Q1405</f>
        <v>206823</v>
      </c>
      <c r="Q1406" s="8">
        <v>207171</v>
      </c>
      <c r="R1406" s="133">
        <f t="shared" si="365"/>
        <v>348</v>
      </c>
      <c r="S1406" s="8">
        <f t="shared" si="378"/>
        <v>55874</v>
      </c>
      <c r="T1406" s="8">
        <v>55894</v>
      </c>
      <c r="U1406" s="133">
        <f t="shared" si="379"/>
        <v>20</v>
      </c>
      <c r="V1406" s="8">
        <f t="shared" si="380"/>
        <v>402980</v>
      </c>
      <c r="W1406" s="8">
        <v>403209</v>
      </c>
      <c r="X1406" s="13">
        <f t="shared" si="381"/>
        <v>229</v>
      </c>
      <c r="Y1406" s="8">
        <f t="shared" si="389"/>
        <v>47199</v>
      </c>
      <c r="Z1406" s="8">
        <v>47230</v>
      </c>
      <c r="AA1406" s="13">
        <f t="shared" si="382"/>
        <v>31</v>
      </c>
      <c r="AB1406" s="8">
        <f t="shared" si="383"/>
        <v>276387</v>
      </c>
      <c r="AC1406" s="8">
        <v>276387</v>
      </c>
      <c r="AD1406" s="13">
        <f t="shared" si="384"/>
        <v>0</v>
      </c>
      <c r="AE1406" s="135">
        <f t="shared" si="368"/>
        <v>9841</v>
      </c>
      <c r="AF1406" s="135">
        <v>9998</v>
      </c>
      <c r="AG1406" s="135">
        <f t="shared" si="385"/>
        <v>157</v>
      </c>
      <c r="AH1406" s="136">
        <f t="shared" si="386"/>
        <v>157</v>
      </c>
      <c r="AI1406" s="50">
        <f t="shared" si="387"/>
        <v>1743</v>
      </c>
    </row>
    <row r="1407" spans="1:36">
      <c r="A1407" s="12">
        <v>45782</v>
      </c>
      <c r="B1407" s="8">
        <f t="shared" si="369"/>
        <v>2172815</v>
      </c>
      <c r="C1407" s="8">
        <v>2173223</v>
      </c>
      <c r="D1407" s="13">
        <f t="shared" si="370"/>
        <v>408</v>
      </c>
      <c r="E1407" s="77">
        <f t="shared" si="371"/>
        <v>204298</v>
      </c>
      <c r="F1407" s="69">
        <v>205039</v>
      </c>
      <c r="G1407" s="133">
        <f t="shared" si="372"/>
        <v>741</v>
      </c>
      <c r="H1407" s="8">
        <f t="shared" si="373"/>
        <v>379416</v>
      </c>
      <c r="I1407" s="8">
        <v>379416</v>
      </c>
      <c r="J1407" s="13">
        <f t="shared" si="374"/>
        <v>0</v>
      </c>
      <c r="K1407" s="138">
        <f t="shared" si="375"/>
        <v>1149</v>
      </c>
      <c r="L1407" s="8">
        <f t="shared" si="376"/>
        <v>1371064</v>
      </c>
      <c r="M1407" s="8">
        <v>1372428</v>
      </c>
      <c r="N1407" s="13">
        <f t="shared" si="377"/>
        <v>1364</v>
      </c>
      <c r="O1407" s="136">
        <f>(D1407+G1407+J1407+AD1407)-(U1407+R1407)</f>
        <v>455</v>
      </c>
      <c r="P1407" s="8">
        <f t="shared" si="390"/>
        <v>207171</v>
      </c>
      <c r="Q1407" s="8">
        <v>207819</v>
      </c>
      <c r="R1407" s="133">
        <f t="shared" si="365"/>
        <v>648</v>
      </c>
      <c r="S1407" s="8">
        <f t="shared" si="378"/>
        <v>55894</v>
      </c>
      <c r="T1407" s="8">
        <v>55940</v>
      </c>
      <c r="U1407" s="133">
        <f t="shared" si="379"/>
        <v>46</v>
      </c>
      <c r="V1407" s="8">
        <f t="shared" si="380"/>
        <v>403209</v>
      </c>
      <c r="W1407" s="8">
        <v>403326</v>
      </c>
      <c r="X1407" s="13">
        <f t="shared" si="381"/>
        <v>117</v>
      </c>
      <c r="Y1407" s="8">
        <f t="shared" si="389"/>
        <v>47230</v>
      </c>
      <c r="Z1407" s="8">
        <v>47282</v>
      </c>
      <c r="AA1407" s="13">
        <f t="shared" si="382"/>
        <v>52</v>
      </c>
      <c r="AB1407" s="8">
        <f t="shared" si="383"/>
        <v>276387</v>
      </c>
      <c r="AC1407" s="8">
        <v>276387</v>
      </c>
      <c r="AD1407" s="13">
        <f t="shared" si="384"/>
        <v>0</v>
      </c>
      <c r="AE1407" s="135">
        <f t="shared" si="368"/>
        <v>9998</v>
      </c>
      <c r="AF1407" s="135">
        <v>10136</v>
      </c>
      <c r="AG1407" s="135">
        <f t="shared" si="385"/>
        <v>138</v>
      </c>
      <c r="AH1407" s="136">
        <f t="shared" si="386"/>
        <v>138</v>
      </c>
      <c r="AI1407" s="50">
        <f t="shared" si="387"/>
        <v>1318</v>
      </c>
    </row>
    <row r="1408" spans="1:36">
      <c r="A1408" s="12">
        <v>45783</v>
      </c>
      <c r="B1408" s="8">
        <f t="shared" si="369"/>
        <v>2173223</v>
      </c>
      <c r="C1408" s="8">
        <v>2173343</v>
      </c>
      <c r="D1408" s="13">
        <f t="shared" si="370"/>
        <v>120</v>
      </c>
      <c r="E1408" s="77">
        <f t="shared" si="371"/>
        <v>205039</v>
      </c>
      <c r="F1408" s="69">
        <v>205774</v>
      </c>
      <c r="G1408" s="133">
        <f t="shared" si="372"/>
        <v>735</v>
      </c>
      <c r="H1408" s="8">
        <f t="shared" si="373"/>
        <v>379416</v>
      </c>
      <c r="I1408" s="8">
        <v>380145</v>
      </c>
      <c r="J1408" s="13">
        <f t="shared" si="374"/>
        <v>729</v>
      </c>
      <c r="K1408" s="138">
        <f t="shared" si="375"/>
        <v>1584</v>
      </c>
      <c r="L1408" s="8">
        <f t="shared" si="376"/>
        <v>1372428</v>
      </c>
      <c r="M1408" s="8">
        <v>1372763</v>
      </c>
      <c r="N1408" s="13">
        <f t="shared" si="377"/>
        <v>335</v>
      </c>
      <c r="O1408" s="136">
        <f t="shared" ref="O1408:O1412" si="391">(D1408+G1408+J1408+AD1408)-(U1408+R1408)</f>
        <v>971</v>
      </c>
      <c r="P1408" s="8">
        <f t="shared" si="390"/>
        <v>207819</v>
      </c>
      <c r="Q1408" s="8">
        <v>208330</v>
      </c>
      <c r="R1408" s="133">
        <f t="shared" si="365"/>
        <v>511</v>
      </c>
      <c r="S1408" s="8">
        <f t="shared" si="378"/>
        <v>55940</v>
      </c>
      <c r="T1408" s="8">
        <v>56042</v>
      </c>
      <c r="U1408" s="133">
        <f t="shared" si="379"/>
        <v>102</v>
      </c>
      <c r="V1408" s="8">
        <f t="shared" si="380"/>
        <v>403326</v>
      </c>
      <c r="W1408" s="8">
        <v>403597</v>
      </c>
      <c r="X1408" s="13">
        <f t="shared" si="381"/>
        <v>271</v>
      </c>
      <c r="Y1408" s="8">
        <f t="shared" si="389"/>
        <v>47282</v>
      </c>
      <c r="Z1408" s="8">
        <v>47777</v>
      </c>
      <c r="AA1408" s="13">
        <f t="shared" si="382"/>
        <v>495</v>
      </c>
      <c r="AB1408" s="8">
        <f t="shared" si="383"/>
        <v>276387</v>
      </c>
      <c r="AC1408" s="8">
        <v>276387</v>
      </c>
      <c r="AD1408" s="13">
        <f t="shared" si="384"/>
        <v>0</v>
      </c>
      <c r="AE1408" s="135">
        <f t="shared" si="368"/>
        <v>10136</v>
      </c>
      <c r="AF1408" s="135">
        <v>10300</v>
      </c>
      <c r="AG1408" s="135">
        <f t="shared" si="385"/>
        <v>164</v>
      </c>
      <c r="AH1408" s="136">
        <f t="shared" si="386"/>
        <v>164</v>
      </c>
      <c r="AI1408" s="50">
        <f t="shared" si="387"/>
        <v>2350</v>
      </c>
    </row>
    <row r="1409" spans="1:36">
      <c r="A1409" s="12">
        <v>45784</v>
      </c>
      <c r="B1409" s="8">
        <f t="shared" si="369"/>
        <v>2173343</v>
      </c>
      <c r="C1409" s="8">
        <v>2173411</v>
      </c>
      <c r="D1409" s="13">
        <f t="shared" si="370"/>
        <v>68</v>
      </c>
      <c r="E1409" s="77">
        <f t="shared" si="371"/>
        <v>205774</v>
      </c>
      <c r="F1409" s="69">
        <v>206529</v>
      </c>
      <c r="G1409" s="133">
        <f t="shared" si="372"/>
        <v>755</v>
      </c>
      <c r="H1409" s="8">
        <f t="shared" si="373"/>
        <v>380145</v>
      </c>
      <c r="I1409" s="8">
        <v>380786</v>
      </c>
      <c r="J1409" s="13">
        <f t="shared" si="374"/>
        <v>641</v>
      </c>
      <c r="K1409" s="138">
        <f t="shared" si="375"/>
        <v>1464</v>
      </c>
      <c r="L1409" s="8">
        <f t="shared" si="376"/>
        <v>1372763</v>
      </c>
      <c r="M1409" s="8">
        <v>1373354</v>
      </c>
      <c r="N1409" s="13">
        <f t="shared" si="377"/>
        <v>591</v>
      </c>
      <c r="O1409" s="136">
        <f t="shared" si="391"/>
        <v>808</v>
      </c>
      <c r="P1409" s="8">
        <f t="shared" si="390"/>
        <v>208330</v>
      </c>
      <c r="Q1409" s="8">
        <v>208934</v>
      </c>
      <c r="R1409" s="133">
        <f t="shared" si="365"/>
        <v>604</v>
      </c>
      <c r="S1409" s="8">
        <f t="shared" si="378"/>
        <v>56042</v>
      </c>
      <c r="T1409" s="8">
        <v>56094</v>
      </c>
      <c r="U1409" s="133">
        <f t="shared" si="379"/>
        <v>52</v>
      </c>
      <c r="V1409" s="8">
        <f t="shared" si="380"/>
        <v>403597</v>
      </c>
      <c r="W1409" s="8">
        <v>403756</v>
      </c>
      <c r="X1409" s="13">
        <f t="shared" si="381"/>
        <v>159</v>
      </c>
      <c r="Y1409" s="8">
        <f t="shared" si="389"/>
        <v>47777</v>
      </c>
      <c r="Z1409" s="8">
        <v>47816</v>
      </c>
      <c r="AA1409" s="13">
        <f t="shared" si="382"/>
        <v>39</v>
      </c>
      <c r="AB1409" s="8">
        <f t="shared" si="383"/>
        <v>276387</v>
      </c>
      <c r="AC1409" s="8">
        <v>276387</v>
      </c>
      <c r="AD1409" s="13">
        <f t="shared" si="384"/>
        <v>0</v>
      </c>
      <c r="AE1409" s="135">
        <f t="shared" si="368"/>
        <v>10300</v>
      </c>
      <c r="AF1409" s="135">
        <v>10435</v>
      </c>
      <c r="AG1409" s="135">
        <f t="shared" si="385"/>
        <v>135</v>
      </c>
      <c r="AH1409" s="136">
        <f t="shared" si="386"/>
        <v>135</v>
      </c>
      <c r="AI1409" s="50">
        <f t="shared" si="387"/>
        <v>1662</v>
      </c>
    </row>
    <row r="1410" spans="1:36">
      <c r="A1410" s="12">
        <v>45785</v>
      </c>
      <c r="B1410" s="8">
        <f t="shared" si="369"/>
        <v>2173411</v>
      </c>
      <c r="C1410" s="8">
        <v>2173611</v>
      </c>
      <c r="D1410" s="13">
        <f t="shared" si="370"/>
        <v>200</v>
      </c>
      <c r="E1410" s="77">
        <f t="shared" si="371"/>
        <v>206529</v>
      </c>
      <c r="F1410" s="69">
        <v>207249</v>
      </c>
      <c r="G1410" s="133">
        <f t="shared" si="372"/>
        <v>720</v>
      </c>
      <c r="H1410" s="8">
        <f t="shared" si="373"/>
        <v>380786</v>
      </c>
      <c r="I1410" s="8">
        <v>380786</v>
      </c>
      <c r="J1410" s="13">
        <f t="shared" si="374"/>
        <v>0</v>
      </c>
      <c r="K1410" s="138">
        <f t="shared" si="375"/>
        <v>920</v>
      </c>
      <c r="L1410" s="8">
        <f t="shared" si="376"/>
        <v>1373354</v>
      </c>
      <c r="M1410" s="8">
        <v>1374376</v>
      </c>
      <c r="N1410" s="13">
        <f t="shared" si="377"/>
        <v>1022</v>
      </c>
      <c r="O1410" s="136">
        <f t="shared" si="391"/>
        <v>331</v>
      </c>
      <c r="P1410" s="8">
        <f t="shared" si="390"/>
        <v>208934</v>
      </c>
      <c r="Q1410" s="8">
        <v>209427</v>
      </c>
      <c r="R1410" s="133">
        <f t="shared" si="365"/>
        <v>493</v>
      </c>
      <c r="S1410" s="8">
        <f t="shared" si="378"/>
        <v>56094</v>
      </c>
      <c r="T1410" s="8">
        <v>56190</v>
      </c>
      <c r="U1410" s="133">
        <f t="shared" si="379"/>
        <v>96</v>
      </c>
      <c r="V1410" s="8">
        <f t="shared" si="380"/>
        <v>403756</v>
      </c>
      <c r="W1410" s="8">
        <v>403811</v>
      </c>
      <c r="X1410" s="13">
        <f t="shared" si="381"/>
        <v>55</v>
      </c>
      <c r="Y1410" s="8">
        <f t="shared" si="389"/>
        <v>47816</v>
      </c>
      <c r="Z1410" s="8">
        <v>47902</v>
      </c>
      <c r="AA1410" s="13">
        <f t="shared" si="382"/>
        <v>86</v>
      </c>
      <c r="AB1410" s="8">
        <f t="shared" si="383"/>
        <v>276387</v>
      </c>
      <c r="AC1410" s="8">
        <v>276387</v>
      </c>
      <c r="AD1410" s="13">
        <f t="shared" si="384"/>
        <v>0</v>
      </c>
      <c r="AE1410" s="135">
        <f t="shared" si="368"/>
        <v>10435</v>
      </c>
      <c r="AF1410" s="135">
        <v>10467</v>
      </c>
      <c r="AG1410" s="135">
        <f t="shared" si="385"/>
        <v>32</v>
      </c>
      <c r="AH1410" s="136">
        <f t="shared" si="386"/>
        <v>32</v>
      </c>
      <c r="AI1410" s="50">
        <f t="shared" si="387"/>
        <v>1061</v>
      </c>
    </row>
    <row r="1411" spans="1:36">
      <c r="A1411" s="12">
        <v>45786</v>
      </c>
      <c r="B1411" s="8">
        <f t="shared" si="369"/>
        <v>2173611</v>
      </c>
      <c r="C1411" s="8">
        <v>2173906</v>
      </c>
      <c r="D1411" s="13">
        <f t="shared" si="370"/>
        <v>295</v>
      </c>
      <c r="E1411" s="77">
        <f t="shared" si="371"/>
        <v>207249</v>
      </c>
      <c r="F1411" s="69">
        <v>208763</v>
      </c>
      <c r="G1411" s="133">
        <v>757</v>
      </c>
      <c r="H1411" s="8">
        <f t="shared" si="373"/>
        <v>380786</v>
      </c>
      <c r="I1411" s="8">
        <v>380936</v>
      </c>
      <c r="J1411" s="13">
        <f t="shared" si="374"/>
        <v>150</v>
      </c>
      <c r="K1411" s="138">
        <f t="shared" si="375"/>
        <v>1202</v>
      </c>
      <c r="L1411" s="8">
        <f t="shared" si="376"/>
        <v>1374376</v>
      </c>
      <c r="M1411" s="8">
        <v>1375285</v>
      </c>
      <c r="N1411" s="13">
        <f t="shared" si="377"/>
        <v>909</v>
      </c>
      <c r="O1411" s="136">
        <f t="shared" si="391"/>
        <v>584</v>
      </c>
      <c r="P1411" s="8">
        <f t="shared" si="390"/>
        <v>209427</v>
      </c>
      <c r="Q1411" s="8">
        <v>209921</v>
      </c>
      <c r="R1411" s="133">
        <f t="shared" si="365"/>
        <v>494</v>
      </c>
      <c r="S1411" s="8">
        <f t="shared" si="378"/>
        <v>56190</v>
      </c>
      <c r="T1411" s="8">
        <v>56314</v>
      </c>
      <c r="U1411" s="133">
        <f t="shared" si="379"/>
        <v>124</v>
      </c>
      <c r="V1411" s="8">
        <f t="shared" si="380"/>
        <v>403811</v>
      </c>
      <c r="W1411" s="8">
        <v>404030</v>
      </c>
      <c r="X1411" s="13">
        <f t="shared" si="381"/>
        <v>219</v>
      </c>
      <c r="Y1411" s="8">
        <f t="shared" si="389"/>
        <v>47902</v>
      </c>
      <c r="Z1411" s="8">
        <v>47920</v>
      </c>
      <c r="AA1411" s="13">
        <f t="shared" si="382"/>
        <v>18</v>
      </c>
      <c r="AB1411" s="8">
        <f t="shared" si="383"/>
        <v>276387</v>
      </c>
      <c r="AC1411" s="8">
        <v>276387</v>
      </c>
      <c r="AD1411" s="13">
        <f t="shared" si="384"/>
        <v>0</v>
      </c>
      <c r="AE1411" s="135">
        <f t="shared" si="368"/>
        <v>10467</v>
      </c>
      <c r="AF1411" s="135">
        <v>10588</v>
      </c>
      <c r="AG1411" s="135">
        <f t="shared" si="385"/>
        <v>121</v>
      </c>
      <c r="AH1411" s="136">
        <f t="shared" si="386"/>
        <v>121</v>
      </c>
      <c r="AI1411" s="50">
        <f t="shared" si="387"/>
        <v>1439</v>
      </c>
    </row>
    <row r="1412" spans="1:36">
      <c r="A1412" s="12">
        <v>45787</v>
      </c>
      <c r="B1412" s="8">
        <f t="shared" si="369"/>
        <v>2173906</v>
      </c>
      <c r="C1412" s="8">
        <v>2174043</v>
      </c>
      <c r="D1412" s="13">
        <f t="shared" si="370"/>
        <v>137</v>
      </c>
      <c r="E1412" s="77">
        <f t="shared" si="371"/>
        <v>208763</v>
      </c>
      <c r="F1412" s="69">
        <v>209509</v>
      </c>
      <c r="G1412" s="133">
        <f t="shared" si="372"/>
        <v>746</v>
      </c>
      <c r="H1412" s="8">
        <f t="shared" si="373"/>
        <v>380936</v>
      </c>
      <c r="I1412" s="8">
        <v>381305</v>
      </c>
      <c r="J1412" s="13">
        <f t="shared" si="374"/>
        <v>369</v>
      </c>
      <c r="K1412" s="138">
        <f t="shared" si="375"/>
        <v>1252</v>
      </c>
      <c r="L1412" s="8">
        <f t="shared" si="376"/>
        <v>1375285</v>
      </c>
      <c r="M1412" s="8">
        <v>1375944</v>
      </c>
      <c r="N1412" s="13">
        <f t="shared" si="377"/>
        <v>659</v>
      </c>
      <c r="O1412" s="136">
        <f t="shared" si="391"/>
        <v>660</v>
      </c>
      <c r="P1412" s="8">
        <f t="shared" si="390"/>
        <v>209921</v>
      </c>
      <c r="Q1412" s="8">
        <v>210427</v>
      </c>
      <c r="R1412" s="134">
        <f t="shared" si="365"/>
        <v>506</v>
      </c>
      <c r="S1412" s="8">
        <f t="shared" si="378"/>
        <v>56314</v>
      </c>
      <c r="T1412" s="8">
        <v>56400</v>
      </c>
      <c r="U1412" s="133">
        <f t="shared" si="379"/>
        <v>86</v>
      </c>
      <c r="V1412" s="8">
        <f t="shared" si="380"/>
        <v>404030</v>
      </c>
      <c r="W1412" s="8">
        <v>404199</v>
      </c>
      <c r="X1412" s="13">
        <f t="shared" si="381"/>
        <v>169</v>
      </c>
      <c r="Y1412" s="8">
        <f t="shared" si="389"/>
        <v>47920</v>
      </c>
      <c r="Z1412" s="8">
        <v>47990</v>
      </c>
      <c r="AA1412" s="13">
        <f t="shared" si="382"/>
        <v>70</v>
      </c>
      <c r="AB1412" s="8">
        <f t="shared" si="383"/>
        <v>276387</v>
      </c>
      <c r="AC1412" s="8">
        <v>276387</v>
      </c>
      <c r="AD1412" s="13">
        <f t="shared" si="384"/>
        <v>0</v>
      </c>
      <c r="AE1412" s="135">
        <f t="shared" si="368"/>
        <v>10588</v>
      </c>
      <c r="AF1412" s="135">
        <v>10588</v>
      </c>
      <c r="AG1412" s="135">
        <f t="shared" si="385"/>
        <v>0</v>
      </c>
      <c r="AH1412" s="136">
        <f t="shared" si="386"/>
        <v>0</v>
      </c>
      <c r="AI1412" s="50">
        <f t="shared" si="387"/>
        <v>1491</v>
      </c>
    </row>
    <row r="1413" spans="1:36">
      <c r="A1413" s="12">
        <v>45788</v>
      </c>
      <c r="B1413" s="8">
        <f t="shared" si="369"/>
        <v>2174043</v>
      </c>
      <c r="C1413" s="8">
        <v>2174131</v>
      </c>
      <c r="D1413" s="13">
        <f t="shared" si="370"/>
        <v>88</v>
      </c>
      <c r="E1413" s="77">
        <f t="shared" si="371"/>
        <v>209509</v>
      </c>
      <c r="F1413" s="69">
        <v>210256</v>
      </c>
      <c r="G1413" s="133">
        <f t="shared" si="372"/>
        <v>747</v>
      </c>
      <c r="H1413" s="8">
        <f t="shared" si="373"/>
        <v>381305</v>
      </c>
      <c r="I1413" s="8">
        <v>381628</v>
      </c>
      <c r="J1413" s="13">
        <f t="shared" si="374"/>
        <v>323</v>
      </c>
      <c r="K1413" s="138">
        <f t="shared" si="375"/>
        <v>1158</v>
      </c>
      <c r="L1413" s="8">
        <f t="shared" si="376"/>
        <v>1375944</v>
      </c>
      <c r="M1413" s="8">
        <v>1376830</v>
      </c>
      <c r="N1413" s="13">
        <f t="shared" si="377"/>
        <v>886</v>
      </c>
      <c r="O1413" s="136">
        <f t="shared" si="388"/>
        <v>569</v>
      </c>
      <c r="P1413" s="8">
        <f t="shared" si="390"/>
        <v>210427</v>
      </c>
      <c r="Q1413" s="8">
        <v>211006</v>
      </c>
      <c r="R1413" s="134">
        <f t="shared" si="365"/>
        <v>579</v>
      </c>
      <c r="S1413" s="8">
        <f t="shared" si="378"/>
        <v>56400</v>
      </c>
      <c r="T1413" s="8">
        <v>56410</v>
      </c>
      <c r="U1413" s="133">
        <f t="shared" si="379"/>
        <v>10</v>
      </c>
      <c r="V1413" s="8">
        <f t="shared" si="380"/>
        <v>404199</v>
      </c>
      <c r="W1413" s="8">
        <v>404363</v>
      </c>
      <c r="X1413" s="13">
        <f t="shared" si="381"/>
        <v>164</v>
      </c>
      <c r="Y1413" s="8">
        <f t="shared" si="389"/>
        <v>47990</v>
      </c>
      <c r="Z1413" s="8">
        <v>48066</v>
      </c>
      <c r="AA1413" s="13">
        <f t="shared" si="382"/>
        <v>76</v>
      </c>
      <c r="AB1413" s="8">
        <f t="shared" si="383"/>
        <v>276387</v>
      </c>
      <c r="AC1413" s="8">
        <v>276387</v>
      </c>
      <c r="AD1413" s="13">
        <f t="shared" si="384"/>
        <v>0</v>
      </c>
      <c r="AE1413" s="135">
        <f t="shared" si="368"/>
        <v>10588</v>
      </c>
      <c r="AF1413" s="135">
        <v>10618</v>
      </c>
      <c r="AG1413" s="135">
        <f t="shared" si="385"/>
        <v>30</v>
      </c>
      <c r="AH1413" s="136">
        <f t="shared" si="386"/>
        <v>30</v>
      </c>
      <c r="AI1413" s="50">
        <f t="shared" si="387"/>
        <v>1398</v>
      </c>
    </row>
    <row r="1414" spans="1:36">
      <c r="A1414" s="12">
        <v>45789</v>
      </c>
      <c r="B1414" s="8">
        <f t="shared" si="369"/>
        <v>2174131</v>
      </c>
      <c r="C1414" s="8">
        <v>2174142</v>
      </c>
      <c r="D1414" s="13">
        <f t="shared" si="370"/>
        <v>11</v>
      </c>
      <c r="E1414" s="77">
        <f t="shared" si="371"/>
        <v>210256</v>
      </c>
      <c r="F1414" s="69">
        <v>211000</v>
      </c>
      <c r="G1414" s="133">
        <f t="shared" si="372"/>
        <v>744</v>
      </c>
      <c r="H1414" s="8">
        <f t="shared" si="373"/>
        <v>381628</v>
      </c>
      <c r="I1414" s="8">
        <v>382247</v>
      </c>
      <c r="J1414" s="13">
        <f t="shared" si="374"/>
        <v>619</v>
      </c>
      <c r="K1414" s="138">
        <f t="shared" si="375"/>
        <v>1374</v>
      </c>
      <c r="L1414" s="8">
        <f t="shared" si="376"/>
        <v>1376830</v>
      </c>
      <c r="M1414" s="8">
        <v>1377477</v>
      </c>
      <c r="N1414" s="13">
        <f t="shared" si="377"/>
        <v>647</v>
      </c>
      <c r="O1414" s="136">
        <f t="shared" si="388"/>
        <v>914</v>
      </c>
      <c r="P1414" s="8">
        <f t="shared" si="390"/>
        <v>211006</v>
      </c>
      <c r="Q1414" s="8">
        <v>211406</v>
      </c>
      <c r="R1414" s="134">
        <f t="shared" si="365"/>
        <v>400</v>
      </c>
      <c r="S1414" s="8">
        <f t="shared" si="378"/>
        <v>56410</v>
      </c>
      <c r="T1414" s="8">
        <v>56470</v>
      </c>
      <c r="U1414" s="133">
        <f t="shared" si="379"/>
        <v>60</v>
      </c>
      <c r="V1414" s="8">
        <f t="shared" si="380"/>
        <v>404363</v>
      </c>
      <c r="W1414" s="8">
        <v>404728</v>
      </c>
      <c r="X1414" s="13">
        <f t="shared" si="381"/>
        <v>365</v>
      </c>
      <c r="Y1414" s="8">
        <f t="shared" si="389"/>
        <v>48066</v>
      </c>
      <c r="Z1414" s="8">
        <v>48122</v>
      </c>
      <c r="AA1414" s="13">
        <f t="shared" si="382"/>
        <v>56</v>
      </c>
      <c r="AB1414" s="8">
        <f t="shared" si="383"/>
        <v>276387</v>
      </c>
      <c r="AC1414" s="8">
        <v>276387</v>
      </c>
      <c r="AD1414" s="13">
        <f t="shared" si="384"/>
        <v>0</v>
      </c>
      <c r="AE1414" s="135">
        <f t="shared" si="368"/>
        <v>10618</v>
      </c>
      <c r="AF1414" s="135">
        <v>10618</v>
      </c>
      <c r="AG1414" s="135">
        <f t="shared" si="385"/>
        <v>0</v>
      </c>
      <c r="AH1414" s="136">
        <f t="shared" si="386"/>
        <v>0</v>
      </c>
      <c r="AI1414" s="50">
        <f t="shared" si="387"/>
        <v>1795</v>
      </c>
    </row>
    <row r="1415" spans="1:36">
      <c r="A1415" s="12">
        <v>45790</v>
      </c>
      <c r="B1415" s="8">
        <f t="shared" si="369"/>
        <v>2174142</v>
      </c>
      <c r="C1415" s="8">
        <v>2174223</v>
      </c>
      <c r="D1415" s="13">
        <f t="shared" si="370"/>
        <v>81</v>
      </c>
      <c r="E1415" s="77">
        <f t="shared" si="371"/>
        <v>211000</v>
      </c>
      <c r="F1415" s="69">
        <v>211742</v>
      </c>
      <c r="G1415" s="133">
        <f t="shared" si="372"/>
        <v>742</v>
      </c>
      <c r="H1415" s="8">
        <f t="shared" si="373"/>
        <v>382247</v>
      </c>
      <c r="I1415" s="8">
        <v>382812</v>
      </c>
      <c r="J1415" s="13">
        <f t="shared" si="374"/>
        <v>565</v>
      </c>
      <c r="K1415" s="138">
        <f t="shared" si="375"/>
        <v>1388</v>
      </c>
      <c r="L1415" s="8">
        <f t="shared" si="376"/>
        <v>1377477</v>
      </c>
      <c r="M1415" s="8">
        <v>1377493</v>
      </c>
      <c r="N1415" s="13">
        <f t="shared" si="377"/>
        <v>16</v>
      </c>
      <c r="O1415" s="136">
        <f t="shared" si="388"/>
        <v>881</v>
      </c>
      <c r="P1415" s="8">
        <f t="shared" si="390"/>
        <v>211406</v>
      </c>
      <c r="Q1415" s="8">
        <v>211803</v>
      </c>
      <c r="R1415" s="134">
        <f t="shared" si="365"/>
        <v>397</v>
      </c>
      <c r="S1415" s="8">
        <f t="shared" si="378"/>
        <v>56470</v>
      </c>
      <c r="T1415" s="8">
        <v>56580</v>
      </c>
      <c r="U1415" s="133">
        <f t="shared" si="379"/>
        <v>110</v>
      </c>
      <c r="V1415" s="8">
        <f t="shared" si="380"/>
        <v>404728</v>
      </c>
      <c r="W1415" s="8">
        <v>404890</v>
      </c>
      <c r="X1415" s="13">
        <f t="shared" si="381"/>
        <v>162</v>
      </c>
      <c r="Y1415" s="8">
        <f t="shared" si="389"/>
        <v>48122</v>
      </c>
      <c r="Z1415" s="8">
        <v>48205</v>
      </c>
      <c r="AA1415" s="13">
        <f t="shared" si="382"/>
        <v>83</v>
      </c>
      <c r="AB1415" s="8">
        <f t="shared" si="383"/>
        <v>276387</v>
      </c>
      <c r="AC1415" s="8">
        <v>276387</v>
      </c>
      <c r="AD1415" s="13">
        <f t="shared" si="384"/>
        <v>0</v>
      </c>
      <c r="AE1415" s="135">
        <f t="shared" si="368"/>
        <v>10618</v>
      </c>
      <c r="AF1415" s="135">
        <v>10874</v>
      </c>
      <c r="AG1415" s="135">
        <f t="shared" si="385"/>
        <v>256</v>
      </c>
      <c r="AH1415" s="136">
        <f t="shared" si="386"/>
        <v>256</v>
      </c>
      <c r="AI1415" s="50">
        <f t="shared" si="387"/>
        <v>1633</v>
      </c>
    </row>
    <row r="1416" spans="1:36">
      <c r="A1416" s="12">
        <v>45791</v>
      </c>
      <c r="B1416" s="8">
        <f t="shared" si="369"/>
        <v>2174223</v>
      </c>
      <c r="C1416" s="8">
        <v>2174353</v>
      </c>
      <c r="D1416" s="13">
        <f t="shared" si="370"/>
        <v>130</v>
      </c>
      <c r="E1416" s="77">
        <f t="shared" si="371"/>
        <v>211742</v>
      </c>
      <c r="F1416" s="69">
        <v>212454</v>
      </c>
      <c r="G1416" s="133">
        <f t="shared" si="372"/>
        <v>712</v>
      </c>
      <c r="H1416" s="8">
        <f t="shared" si="373"/>
        <v>382812</v>
      </c>
      <c r="I1416" s="8">
        <v>383439</v>
      </c>
      <c r="J1416" s="13">
        <f t="shared" si="374"/>
        <v>627</v>
      </c>
      <c r="K1416" s="138">
        <f t="shared" si="375"/>
        <v>1469</v>
      </c>
      <c r="L1416" s="8">
        <f t="shared" si="376"/>
        <v>1377493</v>
      </c>
      <c r="M1416" s="8">
        <v>1378041</v>
      </c>
      <c r="N1416" s="13">
        <f t="shared" si="377"/>
        <v>548</v>
      </c>
      <c r="O1416" s="136">
        <f t="shared" si="388"/>
        <v>805</v>
      </c>
      <c r="P1416" s="8">
        <f t="shared" si="390"/>
        <v>211803</v>
      </c>
      <c r="Q1416" s="8">
        <v>212397</v>
      </c>
      <c r="R1416" s="134">
        <f t="shared" si="365"/>
        <v>594</v>
      </c>
      <c r="S1416" s="8">
        <f t="shared" si="378"/>
        <v>56580</v>
      </c>
      <c r="T1416" s="8">
        <v>56650</v>
      </c>
      <c r="U1416" s="133">
        <f t="shared" si="379"/>
        <v>70</v>
      </c>
      <c r="V1416" s="8">
        <f t="shared" si="380"/>
        <v>404890</v>
      </c>
      <c r="W1416" s="8">
        <v>404902</v>
      </c>
      <c r="X1416" s="13">
        <f t="shared" si="381"/>
        <v>12</v>
      </c>
      <c r="Y1416" s="8">
        <f t="shared" si="389"/>
        <v>48205</v>
      </c>
      <c r="Z1416" s="8">
        <v>48252</v>
      </c>
      <c r="AA1416" s="13">
        <f t="shared" si="382"/>
        <v>47</v>
      </c>
      <c r="AB1416" s="8">
        <f t="shared" si="383"/>
        <v>276387</v>
      </c>
      <c r="AC1416" s="8">
        <v>276387</v>
      </c>
      <c r="AD1416" s="13">
        <f t="shared" si="384"/>
        <v>0</v>
      </c>
      <c r="AE1416" s="135">
        <f t="shared" si="368"/>
        <v>10874</v>
      </c>
      <c r="AF1416" s="135">
        <v>11065</v>
      </c>
      <c r="AG1416" s="135">
        <f t="shared" si="385"/>
        <v>191</v>
      </c>
      <c r="AH1416" s="136">
        <f t="shared" si="386"/>
        <v>191</v>
      </c>
      <c r="AI1416" s="50">
        <f t="shared" si="387"/>
        <v>1528</v>
      </c>
    </row>
    <row r="1417" spans="1:36">
      <c r="A1417" s="12">
        <v>45792</v>
      </c>
      <c r="B1417" s="8">
        <f t="shared" si="369"/>
        <v>2174353</v>
      </c>
      <c r="C1417" s="8">
        <v>2174660</v>
      </c>
      <c r="D1417" s="13">
        <f t="shared" si="370"/>
        <v>307</v>
      </c>
      <c r="E1417" s="77">
        <f t="shared" si="371"/>
        <v>212454</v>
      </c>
      <c r="F1417" s="69">
        <v>213213</v>
      </c>
      <c r="G1417" s="133">
        <f t="shared" si="372"/>
        <v>759</v>
      </c>
      <c r="H1417" s="8">
        <f t="shared" si="373"/>
        <v>383439</v>
      </c>
      <c r="I1417" s="8">
        <v>383439</v>
      </c>
      <c r="J1417" s="13">
        <f t="shared" si="374"/>
        <v>0</v>
      </c>
      <c r="K1417" s="138">
        <f t="shared" si="375"/>
        <v>1066</v>
      </c>
      <c r="L1417" s="8">
        <f t="shared" si="376"/>
        <v>1378041</v>
      </c>
      <c r="M1417" s="8">
        <v>1379394</v>
      </c>
      <c r="N1417" s="13">
        <f t="shared" si="377"/>
        <v>1353</v>
      </c>
      <c r="O1417" s="136">
        <f t="shared" si="388"/>
        <v>316</v>
      </c>
      <c r="P1417" s="8">
        <f t="shared" si="390"/>
        <v>212397</v>
      </c>
      <c r="Q1417" s="8">
        <v>213092</v>
      </c>
      <c r="R1417" s="134">
        <f t="shared" si="365"/>
        <v>695</v>
      </c>
      <c r="S1417" s="8">
        <f t="shared" si="378"/>
        <v>56650</v>
      </c>
      <c r="T1417" s="8">
        <v>56705</v>
      </c>
      <c r="U1417" s="133">
        <f t="shared" si="379"/>
        <v>55</v>
      </c>
      <c r="V1417" s="8">
        <f t="shared" si="380"/>
        <v>404902</v>
      </c>
      <c r="W1417" s="8">
        <v>405036</v>
      </c>
      <c r="X1417" s="13">
        <f t="shared" si="381"/>
        <v>134</v>
      </c>
      <c r="Y1417" s="8">
        <f t="shared" si="389"/>
        <v>48252</v>
      </c>
      <c r="Z1417" s="8">
        <v>48310</v>
      </c>
      <c r="AA1417" s="13">
        <f t="shared" si="382"/>
        <v>58</v>
      </c>
      <c r="AB1417" s="8">
        <f t="shared" si="383"/>
        <v>276387</v>
      </c>
      <c r="AC1417" s="8">
        <v>276387</v>
      </c>
      <c r="AD1417" s="13">
        <f t="shared" si="384"/>
        <v>0</v>
      </c>
      <c r="AE1417" s="135">
        <f t="shared" si="368"/>
        <v>11065</v>
      </c>
      <c r="AF1417" s="135">
        <v>11286</v>
      </c>
      <c r="AG1417" s="135">
        <f t="shared" si="385"/>
        <v>221</v>
      </c>
      <c r="AH1417" s="136">
        <f t="shared" si="386"/>
        <v>221</v>
      </c>
      <c r="AI1417" s="50">
        <f t="shared" si="387"/>
        <v>1258</v>
      </c>
    </row>
    <row r="1418" spans="1:36">
      <c r="A1418" s="12">
        <v>45793</v>
      </c>
      <c r="B1418" s="8">
        <f t="shared" si="369"/>
        <v>2174660</v>
      </c>
      <c r="C1418" s="8">
        <v>2174831</v>
      </c>
      <c r="D1418" s="13">
        <f t="shared" si="370"/>
        <v>171</v>
      </c>
      <c r="E1418" s="77">
        <f t="shared" si="371"/>
        <v>213213</v>
      </c>
      <c r="F1418" s="69">
        <v>213962</v>
      </c>
      <c r="G1418" s="133">
        <f t="shared" si="372"/>
        <v>749</v>
      </c>
      <c r="H1418" s="8">
        <f t="shared" si="373"/>
        <v>383439</v>
      </c>
      <c r="I1418" s="8">
        <v>383787</v>
      </c>
      <c r="J1418" s="13">
        <f t="shared" si="374"/>
        <v>348</v>
      </c>
      <c r="K1418" s="138">
        <f t="shared" si="375"/>
        <v>1268</v>
      </c>
      <c r="L1418" s="8">
        <f t="shared" si="376"/>
        <v>1379394</v>
      </c>
      <c r="M1418" s="8">
        <v>1380277</v>
      </c>
      <c r="N1418" s="13">
        <f t="shared" si="377"/>
        <v>883</v>
      </c>
      <c r="O1418" s="136">
        <f t="shared" si="388"/>
        <v>595</v>
      </c>
      <c r="P1418" s="8">
        <f t="shared" si="390"/>
        <v>213092</v>
      </c>
      <c r="Q1418" s="8">
        <v>213694</v>
      </c>
      <c r="R1418" s="134">
        <f t="shared" si="365"/>
        <v>602</v>
      </c>
      <c r="S1418" s="8">
        <f t="shared" si="378"/>
        <v>56705</v>
      </c>
      <c r="T1418" s="8">
        <v>56776</v>
      </c>
      <c r="U1418" s="133">
        <f t="shared" si="379"/>
        <v>71</v>
      </c>
      <c r="V1418" s="8">
        <f t="shared" si="380"/>
        <v>405036</v>
      </c>
      <c r="W1418" s="8">
        <v>405205</v>
      </c>
      <c r="X1418" s="13">
        <f t="shared" si="381"/>
        <v>169</v>
      </c>
      <c r="Y1418" s="8">
        <f t="shared" si="389"/>
        <v>48310</v>
      </c>
      <c r="Z1418" s="8">
        <v>48360</v>
      </c>
      <c r="AA1418" s="13">
        <f t="shared" si="382"/>
        <v>50</v>
      </c>
      <c r="AB1418" s="8">
        <f t="shared" si="383"/>
        <v>276387</v>
      </c>
      <c r="AC1418" s="8">
        <v>276387</v>
      </c>
      <c r="AD1418" s="13">
        <f t="shared" si="384"/>
        <v>0</v>
      </c>
      <c r="AE1418" s="135">
        <f t="shared" si="368"/>
        <v>11286</v>
      </c>
      <c r="AF1418" s="135">
        <v>11518</v>
      </c>
      <c r="AG1418" s="135">
        <f t="shared" si="385"/>
        <v>232</v>
      </c>
      <c r="AH1418" s="136">
        <f t="shared" si="386"/>
        <v>232</v>
      </c>
      <c r="AI1418" s="50">
        <f t="shared" si="387"/>
        <v>1487</v>
      </c>
    </row>
    <row r="1419" spans="1:36">
      <c r="A1419" s="12">
        <v>45794</v>
      </c>
      <c r="B1419" s="8">
        <f t="shared" si="369"/>
        <v>2174831</v>
      </c>
      <c r="C1419" s="8">
        <v>2174840</v>
      </c>
      <c r="D1419" s="13">
        <f t="shared" si="370"/>
        <v>9</v>
      </c>
      <c r="E1419" s="77">
        <f t="shared" si="371"/>
        <v>213962</v>
      </c>
      <c r="F1419" s="69">
        <v>214694</v>
      </c>
      <c r="G1419" s="133">
        <f t="shared" si="372"/>
        <v>732</v>
      </c>
      <c r="H1419" s="8">
        <f t="shared" si="373"/>
        <v>383787</v>
      </c>
      <c r="I1419" s="8">
        <v>384667</v>
      </c>
      <c r="J1419" s="13">
        <f t="shared" si="374"/>
        <v>880</v>
      </c>
      <c r="K1419" s="138">
        <f t="shared" si="375"/>
        <v>1621</v>
      </c>
      <c r="L1419" s="8">
        <f t="shared" si="376"/>
        <v>1380277</v>
      </c>
      <c r="M1419" s="8">
        <v>1380325</v>
      </c>
      <c r="N1419" s="13">
        <f t="shared" si="377"/>
        <v>48</v>
      </c>
      <c r="O1419" s="136">
        <f t="shared" si="388"/>
        <v>1094</v>
      </c>
      <c r="P1419" s="8">
        <f t="shared" si="390"/>
        <v>213694</v>
      </c>
      <c r="Q1419" s="8">
        <v>214112</v>
      </c>
      <c r="R1419" s="134">
        <f t="shared" si="365"/>
        <v>418</v>
      </c>
      <c r="S1419" s="8">
        <f t="shared" si="378"/>
        <v>56776</v>
      </c>
      <c r="T1419" s="8">
        <v>56885</v>
      </c>
      <c r="U1419" s="133">
        <f t="shared" si="379"/>
        <v>109</v>
      </c>
      <c r="V1419" s="8">
        <f t="shared" si="380"/>
        <v>405205</v>
      </c>
      <c r="W1419" s="8">
        <v>405443</v>
      </c>
      <c r="X1419" s="13">
        <f t="shared" si="381"/>
        <v>238</v>
      </c>
      <c r="Y1419" s="8">
        <f t="shared" si="389"/>
        <v>48360</v>
      </c>
      <c r="Z1419" s="8">
        <v>48400</v>
      </c>
      <c r="AA1419" s="13">
        <f t="shared" si="382"/>
        <v>40</v>
      </c>
      <c r="AB1419" s="8">
        <f t="shared" si="383"/>
        <v>276387</v>
      </c>
      <c r="AC1419" s="8">
        <v>276387</v>
      </c>
      <c r="AD1419" s="13">
        <f t="shared" si="384"/>
        <v>0</v>
      </c>
      <c r="AE1419" s="135">
        <f t="shared" si="368"/>
        <v>11518</v>
      </c>
      <c r="AF1419" s="135">
        <v>11752</v>
      </c>
      <c r="AG1419" s="135">
        <f t="shared" si="385"/>
        <v>234</v>
      </c>
      <c r="AH1419" s="136">
        <f t="shared" si="386"/>
        <v>234</v>
      </c>
      <c r="AI1419" s="50">
        <f t="shared" si="387"/>
        <v>1899</v>
      </c>
    </row>
    <row r="1420" spans="1:36">
      <c r="A1420" s="12">
        <v>45795</v>
      </c>
      <c r="B1420" s="8">
        <f t="shared" si="369"/>
        <v>2174840</v>
      </c>
      <c r="C1420" s="8">
        <v>2174995</v>
      </c>
      <c r="D1420" s="13">
        <f t="shared" si="370"/>
        <v>155</v>
      </c>
      <c r="E1420" s="77">
        <f t="shared" si="371"/>
        <v>214694</v>
      </c>
      <c r="F1420" s="69">
        <v>215451</v>
      </c>
      <c r="G1420" s="133">
        <f t="shared" si="372"/>
        <v>757</v>
      </c>
      <c r="H1420" s="8">
        <f t="shared" si="373"/>
        <v>384667</v>
      </c>
      <c r="I1420" s="8">
        <v>384667</v>
      </c>
      <c r="J1420" s="13">
        <f t="shared" si="374"/>
        <v>0</v>
      </c>
      <c r="K1420" s="138">
        <f t="shared" si="375"/>
        <v>912</v>
      </c>
      <c r="L1420" s="8">
        <f t="shared" si="376"/>
        <v>1380325</v>
      </c>
      <c r="M1420" s="8">
        <v>1381765</v>
      </c>
      <c r="N1420" s="13">
        <f t="shared" si="377"/>
        <v>1440</v>
      </c>
      <c r="O1420" s="136">
        <f t="shared" si="388"/>
        <v>826</v>
      </c>
      <c r="P1420" s="8">
        <f t="shared" si="390"/>
        <v>214112</v>
      </c>
      <c r="Q1420" s="8">
        <v>214124</v>
      </c>
      <c r="R1420" s="134">
        <f t="shared" si="365"/>
        <v>12</v>
      </c>
      <c r="S1420" s="8">
        <f t="shared" si="378"/>
        <v>56885</v>
      </c>
      <c r="T1420" s="8">
        <v>56959</v>
      </c>
      <c r="U1420" s="133">
        <f t="shared" si="379"/>
        <v>74</v>
      </c>
      <c r="V1420" s="8">
        <f t="shared" si="380"/>
        <v>405443</v>
      </c>
      <c r="W1420" s="8">
        <v>405576</v>
      </c>
      <c r="X1420" s="13">
        <f t="shared" si="381"/>
        <v>133</v>
      </c>
      <c r="Y1420" s="8">
        <f t="shared" si="389"/>
        <v>48400</v>
      </c>
      <c r="Z1420" s="8">
        <v>48468</v>
      </c>
      <c r="AA1420" s="13">
        <f t="shared" si="382"/>
        <v>68</v>
      </c>
      <c r="AB1420" s="8">
        <f t="shared" si="383"/>
        <v>276387</v>
      </c>
      <c r="AC1420" s="8">
        <v>276387</v>
      </c>
      <c r="AD1420" s="13">
        <f t="shared" si="384"/>
        <v>0</v>
      </c>
      <c r="AE1420" s="135">
        <f t="shared" si="368"/>
        <v>11752</v>
      </c>
      <c r="AF1420" s="135">
        <v>11973</v>
      </c>
      <c r="AG1420" s="135">
        <f t="shared" si="385"/>
        <v>221</v>
      </c>
      <c r="AH1420" s="136">
        <f t="shared" si="386"/>
        <v>221</v>
      </c>
      <c r="AI1420" s="50">
        <f t="shared" si="387"/>
        <v>1113</v>
      </c>
    </row>
    <row r="1421" spans="1:36">
      <c r="A1421" s="12">
        <v>45796</v>
      </c>
      <c r="B1421" s="8">
        <f t="shared" si="369"/>
        <v>2174995</v>
      </c>
      <c r="C1421" s="8">
        <v>2175156</v>
      </c>
      <c r="D1421" s="13">
        <f t="shared" si="370"/>
        <v>161</v>
      </c>
      <c r="E1421" s="77">
        <f t="shared" si="371"/>
        <v>215451</v>
      </c>
      <c r="F1421" s="69">
        <v>216211</v>
      </c>
      <c r="G1421" s="133">
        <f t="shared" si="372"/>
        <v>760</v>
      </c>
      <c r="H1421" s="8">
        <f t="shared" si="373"/>
        <v>384667</v>
      </c>
      <c r="I1421" s="8">
        <v>385012</v>
      </c>
      <c r="J1421" s="13">
        <f t="shared" si="374"/>
        <v>345</v>
      </c>
      <c r="K1421" s="138">
        <f t="shared" si="375"/>
        <v>1266</v>
      </c>
      <c r="L1421" s="8">
        <f t="shared" si="376"/>
        <v>1381765</v>
      </c>
      <c r="M1421" s="8">
        <v>1382347</v>
      </c>
      <c r="N1421" s="13">
        <f t="shared" si="377"/>
        <v>582</v>
      </c>
      <c r="O1421" s="136">
        <f t="shared" si="388"/>
        <v>1075</v>
      </c>
      <c r="P1421" s="8">
        <f t="shared" si="390"/>
        <v>214124</v>
      </c>
      <c r="Q1421" s="8">
        <v>214124</v>
      </c>
      <c r="R1421" s="134">
        <f t="shared" si="365"/>
        <v>0</v>
      </c>
      <c r="S1421" s="8">
        <f t="shared" si="378"/>
        <v>56959</v>
      </c>
      <c r="T1421" s="8">
        <v>57150</v>
      </c>
      <c r="U1421" s="133">
        <f t="shared" si="379"/>
        <v>191</v>
      </c>
      <c r="V1421" s="8">
        <f t="shared" si="380"/>
        <v>405576</v>
      </c>
      <c r="W1421" s="8">
        <v>405757</v>
      </c>
      <c r="X1421" s="13">
        <f t="shared" si="381"/>
        <v>181</v>
      </c>
      <c r="Y1421" s="8">
        <f t="shared" si="389"/>
        <v>48468</v>
      </c>
      <c r="Z1421" s="8">
        <v>48527</v>
      </c>
      <c r="AA1421" s="13">
        <f t="shared" si="382"/>
        <v>59</v>
      </c>
      <c r="AB1421" s="8">
        <f t="shared" si="383"/>
        <v>276387</v>
      </c>
      <c r="AC1421" s="8">
        <v>276387</v>
      </c>
      <c r="AD1421" s="13">
        <f t="shared" si="384"/>
        <v>0</v>
      </c>
      <c r="AE1421" s="135">
        <f t="shared" si="368"/>
        <v>11973</v>
      </c>
      <c r="AF1421" s="135">
        <v>12156</v>
      </c>
      <c r="AG1421" s="135">
        <f t="shared" si="385"/>
        <v>183</v>
      </c>
      <c r="AH1421" s="136">
        <f t="shared" si="386"/>
        <v>183</v>
      </c>
      <c r="AI1421" s="50">
        <f t="shared" si="387"/>
        <v>1506</v>
      </c>
      <c r="AJ1421" s="8" t="s">
        <v>1995</v>
      </c>
    </row>
    <row r="1422" spans="1:36">
      <c r="A1422" s="12">
        <v>45797</v>
      </c>
      <c r="B1422" s="8">
        <f>C1421</f>
        <v>2175156</v>
      </c>
      <c r="C1422" s="8">
        <v>2175318</v>
      </c>
      <c r="D1422" s="13">
        <f t="shared" si="370"/>
        <v>162</v>
      </c>
      <c r="E1422" s="77">
        <f t="shared" si="371"/>
        <v>216211</v>
      </c>
      <c r="F1422" s="69">
        <v>216938</v>
      </c>
      <c r="G1422" s="133">
        <f t="shared" si="372"/>
        <v>727</v>
      </c>
      <c r="H1422" s="8">
        <f t="shared" si="373"/>
        <v>385012</v>
      </c>
      <c r="I1422" s="8">
        <v>385372</v>
      </c>
      <c r="J1422" s="13">
        <f t="shared" si="374"/>
        <v>360</v>
      </c>
      <c r="K1422" s="138">
        <f t="shared" si="375"/>
        <v>1249</v>
      </c>
      <c r="L1422" s="8">
        <f t="shared" si="376"/>
        <v>1382347</v>
      </c>
      <c r="M1422" s="8">
        <v>1383321</v>
      </c>
      <c r="N1422" s="13">
        <f t="shared" si="377"/>
        <v>974</v>
      </c>
      <c r="O1422" s="136">
        <f t="shared" si="388"/>
        <v>532</v>
      </c>
      <c r="P1422" s="8">
        <f>Q1421</f>
        <v>214124</v>
      </c>
      <c r="Q1422" s="8">
        <v>214735</v>
      </c>
      <c r="R1422" s="134">
        <f t="shared" si="365"/>
        <v>611</v>
      </c>
      <c r="S1422" s="8">
        <f t="shared" si="378"/>
        <v>57150</v>
      </c>
      <c r="T1422" s="8">
        <v>57256</v>
      </c>
      <c r="U1422" s="133">
        <f t="shared" si="379"/>
        <v>106</v>
      </c>
      <c r="V1422" s="8">
        <f t="shared" si="380"/>
        <v>405757</v>
      </c>
      <c r="W1422" s="8">
        <v>405887</v>
      </c>
      <c r="X1422" s="13">
        <f t="shared" si="381"/>
        <v>130</v>
      </c>
      <c r="Y1422" s="8">
        <f t="shared" si="389"/>
        <v>48527</v>
      </c>
      <c r="Z1422" s="8">
        <v>48568</v>
      </c>
      <c r="AA1422" s="13">
        <f t="shared" si="382"/>
        <v>41</v>
      </c>
      <c r="AB1422" s="8">
        <f t="shared" si="383"/>
        <v>276387</v>
      </c>
      <c r="AC1422" s="8">
        <v>276387</v>
      </c>
      <c r="AD1422" s="13">
        <f t="shared" si="384"/>
        <v>0</v>
      </c>
      <c r="AE1422" s="135">
        <f t="shared" si="368"/>
        <v>12156</v>
      </c>
      <c r="AF1422" s="135">
        <v>12311</v>
      </c>
      <c r="AG1422" s="135">
        <f t="shared" si="385"/>
        <v>155</v>
      </c>
      <c r="AH1422" s="136">
        <f t="shared" si="386"/>
        <v>155</v>
      </c>
      <c r="AI1422" s="50">
        <f t="shared" si="387"/>
        <v>1420</v>
      </c>
    </row>
    <row r="1423" spans="1:36">
      <c r="A1423" s="12">
        <v>45798</v>
      </c>
      <c r="B1423" s="8">
        <f t="shared" si="369"/>
        <v>2175318</v>
      </c>
      <c r="C1423" s="8">
        <v>2175500</v>
      </c>
      <c r="D1423" s="13">
        <f t="shared" si="370"/>
        <v>182</v>
      </c>
      <c r="E1423" s="77">
        <f t="shared" si="371"/>
        <v>216938</v>
      </c>
      <c r="F1423" s="69">
        <v>217679</v>
      </c>
      <c r="G1423" s="133">
        <f t="shared" si="372"/>
        <v>741</v>
      </c>
      <c r="H1423" s="8">
        <f t="shared" si="373"/>
        <v>385372</v>
      </c>
      <c r="I1423" s="8">
        <v>386128</v>
      </c>
      <c r="J1423" s="13">
        <f t="shared" si="374"/>
        <v>756</v>
      </c>
      <c r="K1423" s="138">
        <f t="shared" si="375"/>
        <v>1679</v>
      </c>
      <c r="L1423" s="8">
        <f t="shared" si="376"/>
        <v>1383321</v>
      </c>
      <c r="M1423" s="8">
        <v>1383346</v>
      </c>
      <c r="N1423" s="13">
        <f t="shared" si="377"/>
        <v>25</v>
      </c>
      <c r="O1423" s="136">
        <f t="shared" si="388"/>
        <v>1124</v>
      </c>
      <c r="P1423" s="8">
        <f t="shared" ref="P1423:P1434" si="392">Q1422</f>
        <v>214735</v>
      </c>
      <c r="Q1423" s="8">
        <v>215121</v>
      </c>
      <c r="R1423" s="134">
        <f t="shared" si="365"/>
        <v>386</v>
      </c>
      <c r="S1423" s="8">
        <f t="shared" si="378"/>
        <v>57256</v>
      </c>
      <c r="T1423" s="8">
        <v>57425</v>
      </c>
      <c r="U1423" s="133">
        <f t="shared" si="379"/>
        <v>169</v>
      </c>
      <c r="V1423" s="8">
        <f t="shared" si="380"/>
        <v>405887</v>
      </c>
      <c r="W1423" s="8">
        <v>406088</v>
      </c>
      <c r="X1423" s="13">
        <f t="shared" si="381"/>
        <v>201</v>
      </c>
      <c r="Y1423" s="8">
        <f t="shared" si="389"/>
        <v>48568</v>
      </c>
      <c r="Z1423" s="8">
        <v>48598</v>
      </c>
      <c r="AA1423" s="13">
        <f t="shared" si="382"/>
        <v>30</v>
      </c>
      <c r="AB1423" s="8">
        <f t="shared" si="383"/>
        <v>276387</v>
      </c>
      <c r="AC1423" s="8">
        <v>276387</v>
      </c>
      <c r="AD1423" s="13">
        <f t="shared" si="384"/>
        <v>0</v>
      </c>
      <c r="AE1423" s="135">
        <f t="shared" si="368"/>
        <v>12311</v>
      </c>
      <c r="AF1423" s="135">
        <v>12339</v>
      </c>
      <c r="AG1423" s="135">
        <f t="shared" si="385"/>
        <v>28</v>
      </c>
      <c r="AH1423" s="136">
        <f t="shared" si="386"/>
        <v>28</v>
      </c>
      <c r="AI1423" s="50">
        <f t="shared" si="387"/>
        <v>1910</v>
      </c>
    </row>
    <row r="1424" spans="1:36">
      <c r="A1424" s="12">
        <v>45799</v>
      </c>
      <c r="B1424" s="8">
        <f t="shared" si="369"/>
        <v>2175500</v>
      </c>
      <c r="C1424" s="8">
        <v>2176160</v>
      </c>
      <c r="D1424" s="13">
        <f t="shared" si="370"/>
        <v>660</v>
      </c>
      <c r="E1424" s="77">
        <f t="shared" si="371"/>
        <v>217679</v>
      </c>
      <c r="F1424" s="69">
        <v>218433</v>
      </c>
      <c r="G1424" s="133">
        <f t="shared" si="372"/>
        <v>754</v>
      </c>
      <c r="H1424" s="8">
        <f t="shared" si="373"/>
        <v>386128</v>
      </c>
      <c r="I1424" s="8">
        <v>386128</v>
      </c>
      <c r="J1424" s="13">
        <f t="shared" si="374"/>
        <v>0</v>
      </c>
      <c r="K1424" s="138">
        <f t="shared" si="375"/>
        <v>1414</v>
      </c>
      <c r="L1424" s="8">
        <f t="shared" si="376"/>
        <v>1383346</v>
      </c>
      <c r="M1424" s="8">
        <v>1384566</v>
      </c>
      <c r="N1424" s="13">
        <f t="shared" si="377"/>
        <v>1220</v>
      </c>
      <c r="O1424" s="136">
        <f t="shared" si="388"/>
        <v>693</v>
      </c>
      <c r="P1424" s="8">
        <f t="shared" si="392"/>
        <v>215121</v>
      </c>
      <c r="Q1424" s="8">
        <v>215715</v>
      </c>
      <c r="R1424" s="134">
        <f t="shared" si="365"/>
        <v>594</v>
      </c>
      <c r="S1424" s="8">
        <f t="shared" si="378"/>
        <v>57425</v>
      </c>
      <c r="T1424" s="8">
        <v>57529</v>
      </c>
      <c r="U1424" s="133">
        <f t="shared" si="379"/>
        <v>104</v>
      </c>
      <c r="V1424" s="8">
        <f t="shared" si="380"/>
        <v>406088</v>
      </c>
      <c r="W1424" s="8">
        <v>406195</v>
      </c>
      <c r="X1424" s="13">
        <f t="shared" si="381"/>
        <v>107</v>
      </c>
      <c r="Y1424" s="8">
        <f t="shared" si="389"/>
        <v>48598</v>
      </c>
      <c r="Z1424" s="8">
        <v>48644</v>
      </c>
      <c r="AA1424" s="13">
        <f t="shared" si="382"/>
        <v>46</v>
      </c>
      <c r="AB1424" s="8">
        <f t="shared" si="383"/>
        <v>276387</v>
      </c>
      <c r="AC1424" s="8">
        <v>276364</v>
      </c>
      <c r="AD1424" s="13">
        <f t="shared" si="384"/>
        <v>-23</v>
      </c>
      <c r="AE1424" s="135">
        <f t="shared" si="368"/>
        <v>12339</v>
      </c>
      <c r="AF1424" s="135">
        <v>12339</v>
      </c>
      <c r="AG1424" s="135">
        <f t="shared" si="385"/>
        <v>0</v>
      </c>
      <c r="AH1424" s="136">
        <f t="shared" si="386"/>
        <v>-23</v>
      </c>
      <c r="AI1424" s="50">
        <f t="shared" si="387"/>
        <v>1544</v>
      </c>
    </row>
    <row r="1425" spans="1:35">
      <c r="A1425" s="12">
        <v>45800</v>
      </c>
      <c r="B1425" s="8">
        <f t="shared" si="369"/>
        <v>2176160</v>
      </c>
      <c r="C1425" s="8">
        <v>2176606</v>
      </c>
      <c r="D1425" s="13">
        <f t="shared" si="370"/>
        <v>446</v>
      </c>
      <c r="E1425" s="77">
        <f t="shared" si="371"/>
        <v>218433</v>
      </c>
      <c r="F1425" s="69">
        <v>219165</v>
      </c>
      <c r="G1425" s="133">
        <f t="shared" si="372"/>
        <v>732</v>
      </c>
      <c r="H1425" s="8">
        <f t="shared" si="373"/>
        <v>386128</v>
      </c>
      <c r="I1425" s="8">
        <v>386128</v>
      </c>
      <c r="J1425" s="13">
        <f t="shared" si="374"/>
        <v>0</v>
      </c>
      <c r="K1425" s="138">
        <f t="shared" si="375"/>
        <v>1178</v>
      </c>
      <c r="L1425" s="8">
        <f t="shared" si="376"/>
        <v>1384566</v>
      </c>
      <c r="M1425" s="8">
        <v>1385742</v>
      </c>
      <c r="N1425" s="13">
        <f t="shared" si="377"/>
        <v>1176</v>
      </c>
      <c r="O1425" s="136">
        <f t="shared" si="388"/>
        <v>584</v>
      </c>
      <c r="P1425" s="8">
        <f t="shared" si="392"/>
        <v>215715</v>
      </c>
      <c r="Q1425" s="8">
        <v>216299</v>
      </c>
      <c r="R1425" s="134">
        <f t="shared" si="365"/>
        <v>584</v>
      </c>
      <c r="S1425" s="8">
        <f t="shared" si="378"/>
        <v>57529</v>
      </c>
      <c r="T1425" s="8">
        <v>57574</v>
      </c>
      <c r="U1425" s="133">
        <f t="shared" si="379"/>
        <v>45</v>
      </c>
      <c r="V1425" s="8">
        <f t="shared" si="380"/>
        <v>406195</v>
      </c>
      <c r="W1425" s="8">
        <v>406274</v>
      </c>
      <c r="X1425" s="13">
        <f t="shared" si="381"/>
        <v>79</v>
      </c>
      <c r="Y1425" s="8">
        <f t="shared" si="389"/>
        <v>48644</v>
      </c>
      <c r="Z1425" s="8">
        <v>48659</v>
      </c>
      <c r="AA1425" s="13">
        <f t="shared" si="382"/>
        <v>15</v>
      </c>
      <c r="AB1425" s="8">
        <f t="shared" si="383"/>
        <v>276364</v>
      </c>
      <c r="AC1425" s="8">
        <v>276399</v>
      </c>
      <c r="AD1425" s="13">
        <f t="shared" si="384"/>
        <v>35</v>
      </c>
      <c r="AE1425" s="135">
        <f t="shared" si="368"/>
        <v>12339</v>
      </c>
      <c r="AF1425" s="135">
        <v>12339</v>
      </c>
      <c r="AG1425" s="135">
        <f t="shared" si="385"/>
        <v>0</v>
      </c>
      <c r="AH1425" s="136">
        <f t="shared" si="386"/>
        <v>35</v>
      </c>
      <c r="AI1425" s="50">
        <f t="shared" si="387"/>
        <v>1307</v>
      </c>
    </row>
    <row r="1426" spans="1:35">
      <c r="A1426" s="12">
        <v>45801</v>
      </c>
      <c r="B1426" s="8">
        <f t="shared" si="369"/>
        <v>2176606</v>
      </c>
      <c r="C1426" s="8">
        <v>2177000</v>
      </c>
      <c r="D1426" s="13">
        <f t="shared" si="370"/>
        <v>394</v>
      </c>
      <c r="E1426" s="77">
        <f t="shared" si="371"/>
        <v>219165</v>
      </c>
      <c r="F1426" s="69">
        <v>219924</v>
      </c>
      <c r="G1426" s="133">
        <f t="shared" si="372"/>
        <v>759</v>
      </c>
      <c r="H1426" s="8">
        <f t="shared" si="373"/>
        <v>386128</v>
      </c>
      <c r="I1426" s="8">
        <v>386128</v>
      </c>
      <c r="J1426" s="13">
        <f t="shared" si="374"/>
        <v>0</v>
      </c>
      <c r="K1426" s="138">
        <f t="shared" si="375"/>
        <v>1153</v>
      </c>
      <c r="L1426" s="8">
        <f t="shared" si="376"/>
        <v>1385742</v>
      </c>
      <c r="M1426" s="8">
        <v>1386587</v>
      </c>
      <c r="N1426" s="13">
        <f t="shared" si="377"/>
        <v>845</v>
      </c>
      <c r="O1426" s="136">
        <f t="shared" si="388"/>
        <v>792</v>
      </c>
      <c r="P1426" s="8">
        <f t="shared" si="392"/>
        <v>216299</v>
      </c>
      <c r="Q1426" s="8">
        <v>216605</v>
      </c>
      <c r="R1426" s="134">
        <f t="shared" si="365"/>
        <v>306</v>
      </c>
      <c r="S1426" s="8">
        <f t="shared" si="378"/>
        <v>57574</v>
      </c>
      <c r="T1426" s="8">
        <v>57688</v>
      </c>
      <c r="U1426" s="133">
        <f t="shared" si="379"/>
        <v>114</v>
      </c>
      <c r="V1426" s="8">
        <f t="shared" si="380"/>
        <v>406274</v>
      </c>
      <c r="W1426" s="8">
        <v>406461</v>
      </c>
      <c r="X1426" s="13">
        <f t="shared" si="381"/>
        <v>187</v>
      </c>
      <c r="Y1426" s="8">
        <f t="shared" si="389"/>
        <v>48659</v>
      </c>
      <c r="Z1426" s="8">
        <v>48699</v>
      </c>
      <c r="AA1426" s="13">
        <f t="shared" si="382"/>
        <v>40</v>
      </c>
      <c r="AB1426" s="8">
        <f t="shared" si="383"/>
        <v>276399</v>
      </c>
      <c r="AC1426" s="8">
        <v>276458</v>
      </c>
      <c r="AD1426" s="13">
        <f t="shared" si="384"/>
        <v>59</v>
      </c>
      <c r="AE1426" s="135">
        <f t="shared" si="368"/>
        <v>12339</v>
      </c>
      <c r="AF1426" s="135">
        <v>12339</v>
      </c>
      <c r="AG1426" s="135">
        <f t="shared" si="385"/>
        <v>0</v>
      </c>
      <c r="AH1426" s="136">
        <f t="shared" si="386"/>
        <v>59</v>
      </c>
      <c r="AI1426" s="50">
        <f t="shared" si="387"/>
        <v>1439</v>
      </c>
    </row>
    <row r="1427" spans="1:35">
      <c r="A1427" s="12">
        <v>45802</v>
      </c>
      <c r="B1427" s="8">
        <f t="shared" si="369"/>
        <v>2177000</v>
      </c>
      <c r="C1427" s="8">
        <v>2177477</v>
      </c>
      <c r="D1427" s="13">
        <f t="shared" si="370"/>
        <v>477</v>
      </c>
      <c r="E1427" s="77">
        <f t="shared" si="371"/>
        <v>219924</v>
      </c>
      <c r="F1427" s="69">
        <v>220683</v>
      </c>
      <c r="G1427" s="133">
        <f t="shared" si="372"/>
        <v>759</v>
      </c>
      <c r="H1427" s="8">
        <f t="shared" si="373"/>
        <v>386128</v>
      </c>
      <c r="I1427" s="8">
        <v>386128</v>
      </c>
      <c r="J1427" s="13">
        <f t="shared" si="374"/>
        <v>0</v>
      </c>
      <c r="K1427" s="138">
        <f t="shared" si="375"/>
        <v>1236</v>
      </c>
      <c r="L1427" s="8">
        <f t="shared" si="376"/>
        <v>1386587</v>
      </c>
      <c r="M1427" s="8">
        <v>1387717</v>
      </c>
      <c r="N1427" s="13">
        <f t="shared" si="377"/>
        <v>1130</v>
      </c>
      <c r="O1427" s="136">
        <f t="shared" si="388"/>
        <v>719</v>
      </c>
      <c r="P1427" s="8">
        <f t="shared" si="392"/>
        <v>216605</v>
      </c>
      <c r="Q1427" s="8">
        <v>217222</v>
      </c>
      <c r="R1427" s="134">
        <f t="shared" si="365"/>
        <v>617</v>
      </c>
      <c r="S1427" s="8">
        <f t="shared" si="378"/>
        <v>57688</v>
      </c>
      <c r="T1427" s="8">
        <v>57720</v>
      </c>
      <c r="U1427" s="133">
        <f t="shared" si="379"/>
        <v>32</v>
      </c>
      <c r="V1427" s="8">
        <f t="shared" si="380"/>
        <v>406461</v>
      </c>
      <c r="W1427" s="8">
        <v>406544</v>
      </c>
      <c r="X1427" s="13">
        <f t="shared" si="381"/>
        <v>83</v>
      </c>
      <c r="Y1427" s="8">
        <f t="shared" si="389"/>
        <v>48699</v>
      </c>
      <c r="Z1427" s="8">
        <v>48723</v>
      </c>
      <c r="AA1427" s="13">
        <f t="shared" si="382"/>
        <v>24</v>
      </c>
      <c r="AB1427" s="8">
        <f t="shared" si="383"/>
        <v>276458</v>
      </c>
      <c r="AC1427" s="8">
        <v>276590</v>
      </c>
      <c r="AD1427" s="13">
        <f t="shared" si="384"/>
        <v>132</v>
      </c>
      <c r="AE1427" s="135">
        <f t="shared" si="368"/>
        <v>12339</v>
      </c>
      <c r="AF1427" s="135">
        <v>12339</v>
      </c>
      <c r="AG1427" s="135">
        <f t="shared" si="385"/>
        <v>0</v>
      </c>
      <c r="AH1427" s="136">
        <f t="shared" si="386"/>
        <v>132</v>
      </c>
      <c r="AI1427" s="50">
        <f t="shared" si="387"/>
        <v>1475</v>
      </c>
    </row>
    <row r="1428" spans="1:35">
      <c r="A1428" s="12">
        <v>45803</v>
      </c>
      <c r="B1428" s="8">
        <f t="shared" si="369"/>
        <v>2177477</v>
      </c>
      <c r="C1428" s="8">
        <v>2177966</v>
      </c>
      <c r="D1428" s="13">
        <f t="shared" si="370"/>
        <v>489</v>
      </c>
      <c r="E1428" s="77">
        <f t="shared" si="371"/>
        <v>220683</v>
      </c>
      <c r="F1428" s="69">
        <v>221423</v>
      </c>
      <c r="G1428" s="133">
        <f t="shared" si="372"/>
        <v>740</v>
      </c>
      <c r="H1428" s="8">
        <f t="shared" si="373"/>
        <v>386128</v>
      </c>
      <c r="I1428" s="8">
        <v>386773</v>
      </c>
      <c r="J1428" s="13">
        <f t="shared" si="374"/>
        <v>645</v>
      </c>
      <c r="K1428" s="138">
        <f t="shared" si="375"/>
        <v>1874</v>
      </c>
      <c r="L1428" s="8">
        <f t="shared" si="376"/>
        <v>1387717</v>
      </c>
      <c r="M1428" s="8">
        <v>1388104</v>
      </c>
      <c r="N1428" s="13">
        <f t="shared" si="377"/>
        <v>387</v>
      </c>
      <c r="O1428" s="136">
        <f t="shared" si="388"/>
        <v>1350</v>
      </c>
      <c r="P1428" s="8">
        <f t="shared" si="392"/>
        <v>217222</v>
      </c>
      <c r="Q1428" s="8">
        <v>217762</v>
      </c>
      <c r="R1428" s="134">
        <f t="shared" si="365"/>
        <v>540</v>
      </c>
      <c r="S1428" s="8">
        <f t="shared" si="378"/>
        <v>57720</v>
      </c>
      <c r="T1428" s="8">
        <v>57787</v>
      </c>
      <c r="U1428" s="133">
        <f t="shared" si="379"/>
        <v>67</v>
      </c>
      <c r="V1428" s="8">
        <f t="shared" si="380"/>
        <v>406544</v>
      </c>
      <c r="W1428" s="8">
        <v>406680</v>
      </c>
      <c r="X1428" s="13">
        <f t="shared" si="381"/>
        <v>136</v>
      </c>
      <c r="Y1428" s="8">
        <f t="shared" si="389"/>
        <v>48723</v>
      </c>
      <c r="Z1428" s="8">
        <v>48748</v>
      </c>
      <c r="AA1428" s="13">
        <f t="shared" si="382"/>
        <v>25</v>
      </c>
      <c r="AB1428" s="8">
        <f t="shared" si="383"/>
        <v>276590</v>
      </c>
      <c r="AC1428" s="8">
        <v>276673</v>
      </c>
      <c r="AD1428" s="13">
        <f t="shared" si="384"/>
        <v>83</v>
      </c>
      <c r="AE1428" s="135">
        <f t="shared" si="368"/>
        <v>12339</v>
      </c>
      <c r="AF1428" s="135">
        <v>12339</v>
      </c>
      <c r="AG1428" s="135">
        <f t="shared" si="385"/>
        <v>0</v>
      </c>
      <c r="AH1428" s="136">
        <f t="shared" si="386"/>
        <v>83</v>
      </c>
      <c r="AI1428" s="50">
        <f t="shared" si="387"/>
        <v>2118</v>
      </c>
    </row>
    <row r="1429" spans="1:35">
      <c r="A1429" s="12">
        <v>45804</v>
      </c>
      <c r="B1429" s="8">
        <f t="shared" si="369"/>
        <v>2177966</v>
      </c>
      <c r="C1429" s="8">
        <v>2178169</v>
      </c>
      <c r="D1429" s="13">
        <f t="shared" si="370"/>
        <v>203</v>
      </c>
      <c r="E1429" s="77">
        <f t="shared" si="371"/>
        <v>221423</v>
      </c>
      <c r="F1429" s="69">
        <v>222160</v>
      </c>
      <c r="G1429" s="133">
        <f t="shared" si="372"/>
        <v>737</v>
      </c>
      <c r="H1429" s="8">
        <f t="shared" si="373"/>
        <v>386773</v>
      </c>
      <c r="I1429" s="8">
        <v>386773</v>
      </c>
      <c r="J1429" s="13">
        <f t="shared" si="374"/>
        <v>0</v>
      </c>
      <c r="K1429" s="138">
        <f t="shared" si="375"/>
        <v>940</v>
      </c>
      <c r="L1429" s="8">
        <f t="shared" si="376"/>
        <v>1388104</v>
      </c>
      <c r="M1429" s="8">
        <v>1389167</v>
      </c>
      <c r="N1429" s="13">
        <f t="shared" si="377"/>
        <v>1063</v>
      </c>
      <c r="O1429" s="136">
        <f t="shared" si="388"/>
        <v>663</v>
      </c>
      <c r="P1429" s="8">
        <f t="shared" si="392"/>
        <v>217762</v>
      </c>
      <c r="Q1429" s="8">
        <v>218053</v>
      </c>
      <c r="R1429" s="134">
        <f t="shared" si="365"/>
        <v>291</v>
      </c>
      <c r="S1429" s="8">
        <f t="shared" si="378"/>
        <v>57787</v>
      </c>
      <c r="T1429" s="8">
        <v>57851</v>
      </c>
      <c r="U1429" s="133">
        <f t="shared" si="379"/>
        <v>64</v>
      </c>
      <c r="V1429" s="8">
        <f t="shared" si="380"/>
        <v>406680</v>
      </c>
      <c r="W1429" s="8">
        <v>406934</v>
      </c>
      <c r="X1429" s="13">
        <f t="shared" si="381"/>
        <v>254</v>
      </c>
      <c r="Y1429" s="8">
        <f t="shared" si="389"/>
        <v>48748</v>
      </c>
      <c r="Z1429" s="8">
        <v>48798</v>
      </c>
      <c r="AA1429" s="13">
        <f t="shared" si="382"/>
        <v>50</v>
      </c>
      <c r="AB1429" s="8">
        <f t="shared" si="383"/>
        <v>276673</v>
      </c>
      <c r="AC1429" s="8">
        <v>276751</v>
      </c>
      <c r="AD1429" s="13">
        <f t="shared" si="384"/>
        <v>78</v>
      </c>
      <c r="AE1429" s="135">
        <f t="shared" si="368"/>
        <v>12339</v>
      </c>
      <c r="AF1429" s="135">
        <v>12339</v>
      </c>
      <c r="AG1429" s="135">
        <f t="shared" si="385"/>
        <v>0</v>
      </c>
      <c r="AH1429" s="136">
        <f t="shared" si="386"/>
        <v>78</v>
      </c>
      <c r="AI1429" s="50">
        <f t="shared" si="387"/>
        <v>1322</v>
      </c>
    </row>
    <row r="1430" spans="1:35">
      <c r="A1430" s="12">
        <v>45805</v>
      </c>
      <c r="B1430" s="8">
        <f t="shared" si="369"/>
        <v>2178169</v>
      </c>
      <c r="C1430" s="8">
        <v>2178520</v>
      </c>
      <c r="D1430" s="13">
        <f t="shared" si="370"/>
        <v>351</v>
      </c>
      <c r="E1430" s="77">
        <f t="shared" si="371"/>
        <v>222160</v>
      </c>
      <c r="F1430" s="69">
        <v>222892</v>
      </c>
      <c r="G1430" s="133">
        <f t="shared" si="372"/>
        <v>732</v>
      </c>
      <c r="H1430" s="8">
        <f t="shared" si="373"/>
        <v>386773</v>
      </c>
      <c r="I1430" s="8">
        <v>386773</v>
      </c>
      <c r="J1430" s="13">
        <f t="shared" si="374"/>
        <v>0</v>
      </c>
      <c r="K1430" s="138">
        <f t="shared" si="375"/>
        <v>1083</v>
      </c>
      <c r="L1430" s="8">
        <f t="shared" si="376"/>
        <v>1389167</v>
      </c>
      <c r="M1430" s="8">
        <v>1390445</v>
      </c>
      <c r="N1430" s="13">
        <f t="shared" si="377"/>
        <v>1278</v>
      </c>
      <c r="O1430" s="136">
        <f t="shared" si="388"/>
        <v>424</v>
      </c>
      <c r="P1430" s="8">
        <f t="shared" si="392"/>
        <v>218053</v>
      </c>
      <c r="Q1430" s="8">
        <v>218721</v>
      </c>
      <c r="R1430" s="134">
        <f t="shared" si="365"/>
        <v>668</v>
      </c>
      <c r="S1430" s="8">
        <f t="shared" si="378"/>
        <v>57851</v>
      </c>
      <c r="T1430" s="8">
        <v>57912</v>
      </c>
      <c r="U1430" s="133">
        <f t="shared" si="379"/>
        <v>61</v>
      </c>
      <c r="V1430" s="8">
        <f t="shared" si="380"/>
        <v>406934</v>
      </c>
      <c r="W1430" s="8">
        <v>407173</v>
      </c>
      <c r="X1430" s="13">
        <f t="shared" si="381"/>
        <v>239</v>
      </c>
      <c r="Y1430" s="8">
        <f t="shared" si="389"/>
        <v>48798</v>
      </c>
      <c r="Z1430" s="8">
        <v>48819</v>
      </c>
      <c r="AA1430" s="13">
        <f t="shared" si="382"/>
        <v>21</v>
      </c>
      <c r="AB1430" s="8">
        <f t="shared" si="383"/>
        <v>276751</v>
      </c>
      <c r="AC1430" s="8">
        <v>276821</v>
      </c>
      <c r="AD1430" s="13">
        <f t="shared" si="384"/>
        <v>70</v>
      </c>
      <c r="AE1430" s="135">
        <f t="shared" si="368"/>
        <v>12339</v>
      </c>
      <c r="AF1430" s="135">
        <v>12339</v>
      </c>
      <c r="AG1430" s="135">
        <f t="shared" si="385"/>
        <v>0</v>
      </c>
      <c r="AH1430" s="136">
        <f t="shared" si="386"/>
        <v>70</v>
      </c>
      <c r="AI1430" s="50">
        <f t="shared" si="387"/>
        <v>1413</v>
      </c>
    </row>
    <row r="1431" spans="1:35">
      <c r="A1431" s="12">
        <v>45806</v>
      </c>
      <c r="B1431" s="8">
        <f t="shared" si="369"/>
        <v>2178520</v>
      </c>
      <c r="C1431" s="8">
        <v>2178816</v>
      </c>
      <c r="D1431" s="13">
        <f t="shared" si="370"/>
        <v>296</v>
      </c>
      <c r="E1431" s="77">
        <f t="shared" si="371"/>
        <v>222892</v>
      </c>
      <c r="F1431" s="69">
        <v>223658</v>
      </c>
      <c r="G1431" s="133">
        <f t="shared" si="372"/>
        <v>766</v>
      </c>
      <c r="H1431" s="8">
        <f t="shared" si="373"/>
        <v>386773</v>
      </c>
      <c r="I1431" s="8">
        <v>387320</v>
      </c>
      <c r="J1431" s="13">
        <f t="shared" si="374"/>
        <v>547</v>
      </c>
      <c r="K1431" s="138">
        <f t="shared" si="375"/>
        <v>1609</v>
      </c>
      <c r="L1431" s="8">
        <f t="shared" si="376"/>
        <v>1390445</v>
      </c>
      <c r="M1431" s="8">
        <v>1390804</v>
      </c>
      <c r="N1431" s="13">
        <f t="shared" si="377"/>
        <v>359</v>
      </c>
      <c r="O1431" s="136">
        <f t="shared" si="388"/>
        <v>1172</v>
      </c>
      <c r="P1431" s="8">
        <f t="shared" si="392"/>
        <v>218721</v>
      </c>
      <c r="Q1431" s="8">
        <v>219103</v>
      </c>
      <c r="R1431" s="134">
        <f t="shared" si="365"/>
        <v>382</v>
      </c>
      <c r="S1431" s="8">
        <f t="shared" si="378"/>
        <v>57912</v>
      </c>
      <c r="T1431" s="8">
        <v>58047</v>
      </c>
      <c r="U1431" s="133">
        <f t="shared" si="379"/>
        <v>135</v>
      </c>
      <c r="V1431" s="8">
        <f t="shared" si="380"/>
        <v>407173</v>
      </c>
      <c r="W1431" s="8">
        <v>407368</v>
      </c>
      <c r="X1431" s="13">
        <f t="shared" si="381"/>
        <v>195</v>
      </c>
      <c r="Y1431" s="8">
        <f t="shared" si="389"/>
        <v>48819</v>
      </c>
      <c r="Z1431" s="8">
        <v>48829</v>
      </c>
      <c r="AA1431" s="13">
        <f t="shared" si="382"/>
        <v>10</v>
      </c>
      <c r="AB1431" s="8">
        <f t="shared" si="383"/>
        <v>276821</v>
      </c>
      <c r="AC1431" s="8">
        <v>276901</v>
      </c>
      <c r="AD1431" s="13">
        <f t="shared" si="384"/>
        <v>80</v>
      </c>
      <c r="AE1431" s="135">
        <f t="shared" si="368"/>
        <v>12339</v>
      </c>
      <c r="AF1431" s="135">
        <v>12339</v>
      </c>
      <c r="AG1431" s="135">
        <f t="shared" si="385"/>
        <v>0</v>
      </c>
      <c r="AH1431" s="136">
        <f t="shared" si="386"/>
        <v>80</v>
      </c>
      <c r="AI1431" s="50">
        <f t="shared" si="387"/>
        <v>1894</v>
      </c>
    </row>
    <row r="1432" spans="1:35">
      <c r="A1432" s="12">
        <v>45807</v>
      </c>
      <c r="B1432" s="8">
        <f t="shared" si="369"/>
        <v>2178816</v>
      </c>
      <c r="C1432" s="8">
        <v>2178963</v>
      </c>
      <c r="D1432" s="13">
        <f t="shared" si="370"/>
        <v>147</v>
      </c>
      <c r="E1432" s="77">
        <f t="shared" si="371"/>
        <v>223658</v>
      </c>
      <c r="F1432" s="69">
        <v>224362</v>
      </c>
      <c r="G1432" s="133">
        <f t="shared" si="372"/>
        <v>704</v>
      </c>
      <c r="H1432" s="8">
        <f t="shared" si="373"/>
        <v>387320</v>
      </c>
      <c r="I1432" s="8">
        <v>387896</v>
      </c>
      <c r="J1432" s="13">
        <f t="shared" si="374"/>
        <v>576</v>
      </c>
      <c r="K1432" s="138">
        <f t="shared" si="375"/>
        <v>1427</v>
      </c>
      <c r="L1432" s="8">
        <f t="shared" si="376"/>
        <v>1390804</v>
      </c>
      <c r="M1432" s="8">
        <v>1391486</v>
      </c>
      <c r="N1432" s="13">
        <f t="shared" si="377"/>
        <v>682</v>
      </c>
      <c r="O1432" s="136">
        <f t="shared" si="388"/>
        <v>1387</v>
      </c>
      <c r="P1432" s="8">
        <f t="shared" si="392"/>
        <v>219103</v>
      </c>
      <c r="Q1432" s="8">
        <v>219204</v>
      </c>
      <c r="R1432" s="134">
        <f t="shared" si="365"/>
        <v>101</v>
      </c>
      <c r="S1432" s="8">
        <f t="shared" si="378"/>
        <v>58047</v>
      </c>
      <c r="T1432" s="8">
        <v>58075</v>
      </c>
      <c r="U1432" s="133">
        <f t="shared" si="379"/>
        <v>28</v>
      </c>
      <c r="V1432" s="8">
        <f t="shared" si="380"/>
        <v>407368</v>
      </c>
      <c r="W1432" s="8">
        <v>407443</v>
      </c>
      <c r="X1432" s="13">
        <f t="shared" si="381"/>
        <v>75</v>
      </c>
      <c r="Y1432" s="8">
        <f t="shared" si="389"/>
        <v>48829</v>
      </c>
      <c r="Z1432" s="8">
        <v>48850</v>
      </c>
      <c r="AA1432" s="13">
        <f t="shared" si="382"/>
        <v>21</v>
      </c>
      <c r="AB1432" s="8">
        <f t="shared" si="383"/>
        <v>276901</v>
      </c>
      <c r="AC1432" s="8">
        <v>276990</v>
      </c>
      <c r="AD1432" s="13">
        <f t="shared" si="384"/>
        <v>89</v>
      </c>
      <c r="AE1432" s="135">
        <f t="shared" si="368"/>
        <v>12339</v>
      </c>
      <c r="AF1432" s="135">
        <v>12339</v>
      </c>
      <c r="AG1432" s="135">
        <f t="shared" si="385"/>
        <v>0</v>
      </c>
      <c r="AH1432" s="136">
        <f t="shared" si="386"/>
        <v>89</v>
      </c>
      <c r="AI1432" s="50">
        <f t="shared" si="387"/>
        <v>1612</v>
      </c>
    </row>
    <row r="1433" spans="1:35">
      <c r="A1433" s="12">
        <v>45808</v>
      </c>
      <c r="B1433" s="8">
        <f t="shared" si="369"/>
        <v>2178963</v>
      </c>
      <c r="C1433" s="8">
        <v>2179013</v>
      </c>
      <c r="D1433" s="13">
        <f t="shared" si="370"/>
        <v>50</v>
      </c>
      <c r="E1433" s="77">
        <f t="shared" si="371"/>
        <v>224362</v>
      </c>
      <c r="F1433" s="69">
        <v>225090</v>
      </c>
      <c r="G1433" s="133">
        <f t="shared" si="372"/>
        <v>728</v>
      </c>
      <c r="H1433" s="8">
        <f t="shared" si="373"/>
        <v>387896</v>
      </c>
      <c r="I1433" s="8">
        <v>388391</v>
      </c>
      <c r="J1433" s="13">
        <f t="shared" si="374"/>
        <v>495</v>
      </c>
      <c r="K1433" s="138">
        <f t="shared" si="375"/>
        <v>1273</v>
      </c>
      <c r="L1433" s="8">
        <f t="shared" si="376"/>
        <v>1391486</v>
      </c>
      <c r="M1433" s="8">
        <v>1392279</v>
      </c>
      <c r="N1433" s="13">
        <f t="shared" si="377"/>
        <v>793</v>
      </c>
      <c r="O1433" s="136">
        <f t="shared" si="388"/>
        <v>952</v>
      </c>
      <c r="P1433" s="8">
        <f t="shared" si="392"/>
        <v>219204</v>
      </c>
      <c r="Q1433" s="8">
        <v>219529</v>
      </c>
      <c r="R1433" s="134">
        <f t="shared" si="365"/>
        <v>325</v>
      </c>
      <c r="S1433" s="8">
        <f t="shared" si="378"/>
        <v>58075</v>
      </c>
      <c r="T1433" s="8">
        <v>58165</v>
      </c>
      <c r="U1433" s="133">
        <f t="shared" si="379"/>
        <v>90</v>
      </c>
      <c r="V1433" s="8">
        <f t="shared" si="380"/>
        <v>407443</v>
      </c>
      <c r="W1433" s="8">
        <v>407605</v>
      </c>
      <c r="X1433" s="13">
        <f t="shared" si="381"/>
        <v>162</v>
      </c>
      <c r="Y1433" s="8">
        <f t="shared" si="389"/>
        <v>48850</v>
      </c>
      <c r="Z1433" s="8">
        <v>48872</v>
      </c>
      <c r="AA1433" s="13">
        <f t="shared" si="382"/>
        <v>22</v>
      </c>
      <c r="AB1433" s="8">
        <f t="shared" si="383"/>
        <v>276990</v>
      </c>
      <c r="AC1433" s="8">
        <v>277084</v>
      </c>
      <c r="AD1433" s="13">
        <f t="shared" si="384"/>
        <v>94</v>
      </c>
      <c r="AE1433" s="135">
        <f t="shared" si="368"/>
        <v>12339</v>
      </c>
      <c r="AF1433" s="135">
        <v>12339</v>
      </c>
      <c r="AG1433" s="135">
        <f t="shared" si="385"/>
        <v>0</v>
      </c>
      <c r="AH1433" s="136">
        <f t="shared" si="386"/>
        <v>94</v>
      </c>
      <c r="AI1433" s="50">
        <f t="shared" si="387"/>
        <v>1551</v>
      </c>
    </row>
    <row r="1434" spans="1:35">
      <c r="A1434" s="12">
        <v>45809</v>
      </c>
      <c r="B1434" s="8">
        <f t="shared" si="369"/>
        <v>2179013</v>
      </c>
      <c r="C1434" s="8">
        <v>2179115</v>
      </c>
      <c r="D1434" s="13">
        <f t="shared" si="370"/>
        <v>102</v>
      </c>
      <c r="E1434" s="77">
        <f t="shared" si="371"/>
        <v>225090</v>
      </c>
      <c r="F1434" s="69">
        <v>225830</v>
      </c>
      <c r="G1434" s="133">
        <f t="shared" si="372"/>
        <v>740</v>
      </c>
      <c r="H1434" s="8">
        <f t="shared" si="373"/>
        <v>388391</v>
      </c>
      <c r="I1434" s="8">
        <v>388505</v>
      </c>
      <c r="J1434" s="13">
        <f t="shared" si="374"/>
        <v>114</v>
      </c>
      <c r="K1434" s="138">
        <f t="shared" si="375"/>
        <v>956</v>
      </c>
      <c r="L1434" s="8">
        <f t="shared" si="376"/>
        <v>1392279</v>
      </c>
      <c r="M1434" s="8">
        <v>1393050</v>
      </c>
      <c r="N1434" s="13">
        <f t="shared" si="377"/>
        <v>771</v>
      </c>
      <c r="O1434" s="136">
        <f t="shared" si="388"/>
        <v>496</v>
      </c>
      <c r="P1434" s="8">
        <f t="shared" si="392"/>
        <v>219529</v>
      </c>
      <c r="Q1434" s="8">
        <v>220014</v>
      </c>
      <c r="R1434" s="134">
        <f t="shared" si="365"/>
        <v>485</v>
      </c>
      <c r="S1434" s="8">
        <f t="shared" si="378"/>
        <v>58165</v>
      </c>
      <c r="T1434" s="8">
        <v>58228</v>
      </c>
      <c r="U1434" s="133">
        <f t="shared" si="379"/>
        <v>63</v>
      </c>
      <c r="V1434" s="8">
        <f t="shared" si="380"/>
        <v>407605</v>
      </c>
      <c r="W1434" s="8">
        <v>407856</v>
      </c>
      <c r="X1434" s="13">
        <f t="shared" si="381"/>
        <v>251</v>
      </c>
      <c r="Y1434" s="8">
        <f t="shared" si="389"/>
        <v>48872</v>
      </c>
      <c r="Z1434" s="8">
        <v>48890</v>
      </c>
      <c r="AA1434" s="13">
        <f t="shared" si="382"/>
        <v>18</v>
      </c>
      <c r="AB1434" s="8">
        <f t="shared" si="383"/>
        <v>277084</v>
      </c>
      <c r="AC1434" s="8">
        <v>277172</v>
      </c>
      <c r="AD1434" s="13">
        <f t="shared" si="384"/>
        <v>88</v>
      </c>
      <c r="AE1434" s="135">
        <f t="shared" si="368"/>
        <v>12339</v>
      </c>
      <c r="AF1434" s="135">
        <v>12339</v>
      </c>
      <c r="AG1434" s="135">
        <f t="shared" si="385"/>
        <v>0</v>
      </c>
      <c r="AH1434" s="136">
        <f t="shared" si="386"/>
        <v>88</v>
      </c>
      <c r="AI1434" s="50">
        <f t="shared" si="387"/>
        <v>1313</v>
      </c>
    </row>
    <row r="1435" spans="1:35">
      <c r="A1435" s="12">
        <v>45810</v>
      </c>
      <c r="B1435" s="8">
        <f t="shared" si="369"/>
        <v>2179115</v>
      </c>
      <c r="C1435" s="8">
        <v>2179325</v>
      </c>
      <c r="D1435" s="13">
        <f t="shared" si="370"/>
        <v>210</v>
      </c>
      <c r="E1435" s="77">
        <f t="shared" si="371"/>
        <v>225830</v>
      </c>
      <c r="F1435" s="69">
        <v>226564</v>
      </c>
      <c r="G1435" s="133">
        <f t="shared" si="372"/>
        <v>734</v>
      </c>
      <c r="H1435" s="8">
        <f t="shared" si="373"/>
        <v>388505</v>
      </c>
      <c r="I1435" s="8">
        <v>389104</v>
      </c>
      <c r="J1435" s="13">
        <f t="shared" si="374"/>
        <v>599</v>
      </c>
      <c r="K1435" s="138">
        <f t="shared" si="375"/>
        <v>1543</v>
      </c>
      <c r="L1435" s="8">
        <f t="shared" si="376"/>
        <v>1393050</v>
      </c>
      <c r="M1435" s="8">
        <v>1394087</v>
      </c>
      <c r="N1435" s="13">
        <f t="shared" si="377"/>
        <v>1037</v>
      </c>
      <c r="O1435" s="136">
        <f t="shared" si="388"/>
        <v>940</v>
      </c>
      <c r="P1435" s="8">
        <f>Q1434</f>
        <v>220014</v>
      </c>
      <c r="Q1435" s="8">
        <v>220504</v>
      </c>
      <c r="R1435" s="134">
        <f t="shared" si="365"/>
        <v>490</v>
      </c>
      <c r="S1435" s="8">
        <f t="shared" si="378"/>
        <v>58228</v>
      </c>
      <c r="T1435" s="8">
        <v>58428</v>
      </c>
      <c r="U1435" s="133">
        <f t="shared" si="379"/>
        <v>200</v>
      </c>
      <c r="V1435" s="8">
        <f t="shared" si="380"/>
        <v>407856</v>
      </c>
      <c r="W1435" s="8">
        <v>408000</v>
      </c>
      <c r="X1435" s="13">
        <f t="shared" si="381"/>
        <v>144</v>
      </c>
      <c r="Y1435" s="8">
        <f t="shared" si="389"/>
        <v>48890</v>
      </c>
      <c r="Z1435" s="8">
        <v>48921</v>
      </c>
      <c r="AA1435" s="13">
        <f t="shared" si="382"/>
        <v>31</v>
      </c>
      <c r="AB1435" s="8">
        <f t="shared" si="383"/>
        <v>277172</v>
      </c>
      <c r="AC1435" s="8">
        <v>277259</v>
      </c>
      <c r="AD1435" s="13">
        <f t="shared" si="384"/>
        <v>87</v>
      </c>
      <c r="AE1435" s="135">
        <f t="shared" si="368"/>
        <v>12339</v>
      </c>
      <c r="AF1435" s="135">
        <v>12339</v>
      </c>
      <c r="AG1435" s="135">
        <f t="shared" si="385"/>
        <v>0</v>
      </c>
      <c r="AH1435" s="136">
        <f t="shared" si="386"/>
        <v>87</v>
      </c>
      <c r="AI1435" s="50">
        <f t="shared" si="387"/>
        <v>1805</v>
      </c>
    </row>
    <row r="1436" spans="1:35">
      <c r="A1436" s="12">
        <v>45811</v>
      </c>
      <c r="B1436" s="8">
        <f t="shared" si="369"/>
        <v>2179325</v>
      </c>
      <c r="C1436" s="8">
        <v>2179494</v>
      </c>
      <c r="D1436" s="13">
        <f t="shared" si="370"/>
        <v>169</v>
      </c>
      <c r="E1436" s="77">
        <f t="shared" si="371"/>
        <v>226564</v>
      </c>
      <c r="F1436" s="69">
        <v>227333</v>
      </c>
      <c r="G1436" s="133">
        <f t="shared" si="372"/>
        <v>769</v>
      </c>
      <c r="H1436" s="8">
        <f t="shared" si="373"/>
        <v>389104</v>
      </c>
      <c r="I1436" s="8">
        <v>389895</v>
      </c>
      <c r="J1436" s="13">
        <f t="shared" si="374"/>
        <v>791</v>
      </c>
      <c r="K1436" s="138">
        <f t="shared" si="375"/>
        <v>1729</v>
      </c>
      <c r="L1436" s="8">
        <f t="shared" si="376"/>
        <v>1394087</v>
      </c>
      <c r="M1436" s="8">
        <v>1394292</v>
      </c>
      <c r="N1436" s="13">
        <f t="shared" si="377"/>
        <v>205</v>
      </c>
      <c r="O1436" s="136">
        <f t="shared" si="388"/>
        <v>1323</v>
      </c>
      <c r="P1436" s="8">
        <f t="shared" ref="P1436:P1499" si="393">Q1435</f>
        <v>220504</v>
      </c>
      <c r="Q1436" s="8">
        <v>220962</v>
      </c>
      <c r="R1436" s="134">
        <f t="shared" si="365"/>
        <v>458</v>
      </c>
      <c r="S1436" s="8">
        <f t="shared" si="378"/>
        <v>58428</v>
      </c>
      <c r="T1436" s="8">
        <v>58439</v>
      </c>
      <c r="U1436" s="133">
        <f t="shared" si="379"/>
        <v>11</v>
      </c>
      <c r="V1436" s="8">
        <f t="shared" si="380"/>
        <v>408000</v>
      </c>
      <c r="W1436" s="8">
        <v>408205</v>
      </c>
      <c r="X1436" s="13">
        <f t="shared" si="381"/>
        <v>205</v>
      </c>
      <c r="Y1436" s="8">
        <f t="shared" si="389"/>
        <v>48921</v>
      </c>
      <c r="Z1436" s="8">
        <v>48940</v>
      </c>
      <c r="AA1436" s="13">
        <f t="shared" si="382"/>
        <v>19</v>
      </c>
      <c r="AB1436" s="8">
        <f t="shared" si="383"/>
        <v>277259</v>
      </c>
      <c r="AC1436" s="8">
        <v>277322</v>
      </c>
      <c r="AD1436" s="13">
        <f t="shared" si="384"/>
        <v>63</v>
      </c>
      <c r="AE1436" s="135">
        <f t="shared" si="368"/>
        <v>12339</v>
      </c>
      <c r="AF1436" s="135">
        <v>12339</v>
      </c>
      <c r="AG1436" s="135">
        <f t="shared" si="385"/>
        <v>0</v>
      </c>
      <c r="AH1436" s="136">
        <f t="shared" si="386"/>
        <v>63</v>
      </c>
      <c r="AI1436" s="50">
        <f t="shared" si="387"/>
        <v>2016</v>
      </c>
    </row>
    <row r="1437" spans="1:35">
      <c r="A1437" s="12">
        <v>45812</v>
      </c>
      <c r="B1437" s="8">
        <f t="shared" si="369"/>
        <v>2179494</v>
      </c>
      <c r="C1437" s="8">
        <v>2180392</v>
      </c>
      <c r="D1437" s="13">
        <f t="shared" si="370"/>
        <v>898</v>
      </c>
      <c r="E1437" s="77">
        <f t="shared" si="371"/>
        <v>227333</v>
      </c>
      <c r="F1437" s="69">
        <v>228015</v>
      </c>
      <c r="G1437" s="133">
        <f t="shared" si="372"/>
        <v>682</v>
      </c>
      <c r="H1437" s="8">
        <f t="shared" si="373"/>
        <v>389895</v>
      </c>
      <c r="I1437" s="8">
        <v>389895</v>
      </c>
      <c r="J1437" s="13">
        <f t="shared" si="374"/>
        <v>0</v>
      </c>
      <c r="K1437" s="138">
        <f t="shared" si="375"/>
        <v>1580</v>
      </c>
      <c r="L1437" s="8">
        <f t="shared" si="376"/>
        <v>1394292</v>
      </c>
      <c r="M1437" s="8">
        <v>1395574</v>
      </c>
      <c r="N1437" s="13">
        <f t="shared" si="377"/>
        <v>1282</v>
      </c>
      <c r="O1437" s="136">
        <f t="shared" si="388"/>
        <v>888</v>
      </c>
      <c r="P1437" s="8">
        <f t="shared" si="393"/>
        <v>220962</v>
      </c>
      <c r="Q1437" s="8">
        <v>221462</v>
      </c>
      <c r="R1437" s="134">
        <f t="shared" si="365"/>
        <v>500</v>
      </c>
      <c r="S1437" s="8">
        <f t="shared" si="378"/>
        <v>58439</v>
      </c>
      <c r="T1437" s="8">
        <v>58681</v>
      </c>
      <c r="U1437" s="133">
        <f t="shared" si="379"/>
        <v>242</v>
      </c>
      <c r="V1437" s="8">
        <f t="shared" si="380"/>
        <v>408205</v>
      </c>
      <c r="W1437" s="8">
        <v>408445</v>
      </c>
      <c r="X1437" s="13">
        <f t="shared" si="381"/>
        <v>240</v>
      </c>
      <c r="Y1437" s="8">
        <f t="shared" si="389"/>
        <v>48940</v>
      </c>
      <c r="Z1437" s="8">
        <v>48950</v>
      </c>
      <c r="AA1437" s="13">
        <f t="shared" si="382"/>
        <v>10</v>
      </c>
      <c r="AB1437" s="8">
        <f t="shared" si="383"/>
        <v>277322</v>
      </c>
      <c r="AC1437" s="8">
        <v>277372</v>
      </c>
      <c r="AD1437" s="13">
        <f t="shared" si="384"/>
        <v>50</v>
      </c>
      <c r="AE1437" s="135">
        <f t="shared" si="368"/>
        <v>12339</v>
      </c>
      <c r="AF1437" s="135">
        <v>12339</v>
      </c>
      <c r="AG1437" s="135">
        <f t="shared" si="385"/>
        <v>0</v>
      </c>
      <c r="AH1437" s="136">
        <f t="shared" si="386"/>
        <v>50</v>
      </c>
      <c r="AI1437" s="50">
        <f t="shared" si="387"/>
        <v>1880</v>
      </c>
    </row>
    <row r="1438" spans="1:35">
      <c r="A1438" s="12">
        <v>45813</v>
      </c>
      <c r="B1438" s="8">
        <f t="shared" si="369"/>
        <v>2180392</v>
      </c>
      <c r="C1438" s="8">
        <v>2181067</v>
      </c>
      <c r="D1438" s="13">
        <f t="shared" si="370"/>
        <v>675</v>
      </c>
      <c r="E1438" s="77">
        <f t="shared" si="371"/>
        <v>228015</v>
      </c>
      <c r="F1438" s="69">
        <v>228733</v>
      </c>
      <c r="G1438" s="133">
        <f t="shared" si="372"/>
        <v>718</v>
      </c>
      <c r="H1438" s="8">
        <f t="shared" si="373"/>
        <v>389895</v>
      </c>
      <c r="I1438" s="8">
        <v>389895</v>
      </c>
      <c r="J1438" s="13">
        <f t="shared" si="374"/>
        <v>0</v>
      </c>
      <c r="K1438" s="138">
        <f t="shared" si="375"/>
        <v>1393</v>
      </c>
      <c r="L1438" s="8">
        <f t="shared" si="376"/>
        <v>1395574</v>
      </c>
      <c r="M1438" s="8">
        <v>1396665</v>
      </c>
      <c r="N1438" s="13">
        <f t="shared" si="377"/>
        <v>1091</v>
      </c>
      <c r="O1438" s="136">
        <f t="shared" si="388"/>
        <v>724</v>
      </c>
      <c r="P1438" s="8">
        <f t="shared" si="393"/>
        <v>221462</v>
      </c>
      <c r="Q1438" s="8">
        <v>222037</v>
      </c>
      <c r="R1438" s="134">
        <f t="shared" si="365"/>
        <v>575</v>
      </c>
      <c r="S1438" s="8">
        <f t="shared" si="378"/>
        <v>58681</v>
      </c>
      <c r="T1438" s="8">
        <v>58795</v>
      </c>
      <c r="U1438" s="133">
        <f t="shared" si="379"/>
        <v>114</v>
      </c>
      <c r="V1438" s="8">
        <f t="shared" si="380"/>
        <v>408445</v>
      </c>
      <c r="W1438" s="8">
        <v>408630</v>
      </c>
      <c r="X1438" s="13">
        <f t="shared" si="381"/>
        <v>185</v>
      </c>
      <c r="Y1438" s="8">
        <f t="shared" si="389"/>
        <v>48950</v>
      </c>
      <c r="Z1438" s="8">
        <v>48982</v>
      </c>
      <c r="AA1438" s="13">
        <f t="shared" si="382"/>
        <v>32</v>
      </c>
      <c r="AB1438" s="8">
        <f t="shared" si="383"/>
        <v>277372</v>
      </c>
      <c r="AC1438" s="8">
        <v>277392</v>
      </c>
      <c r="AD1438" s="13">
        <f t="shared" si="384"/>
        <v>20</v>
      </c>
      <c r="AE1438" s="135">
        <f t="shared" si="368"/>
        <v>12339</v>
      </c>
      <c r="AF1438" s="135">
        <v>12339</v>
      </c>
      <c r="AG1438" s="135">
        <f t="shared" si="385"/>
        <v>0</v>
      </c>
      <c r="AH1438" s="136">
        <f t="shared" si="386"/>
        <v>20</v>
      </c>
      <c r="AI1438" s="50">
        <f t="shared" si="387"/>
        <v>1630</v>
      </c>
    </row>
    <row r="1439" spans="1:35">
      <c r="A1439" s="12">
        <v>45814</v>
      </c>
      <c r="B1439" s="8">
        <f t="shared" si="369"/>
        <v>2181067</v>
      </c>
      <c r="C1439" s="8">
        <v>2181380</v>
      </c>
      <c r="D1439" s="13">
        <f t="shared" si="370"/>
        <v>313</v>
      </c>
      <c r="E1439" s="77">
        <f t="shared" si="371"/>
        <v>228733</v>
      </c>
      <c r="F1439" s="69">
        <v>229508</v>
      </c>
      <c r="G1439" s="133">
        <f t="shared" si="372"/>
        <v>775</v>
      </c>
      <c r="H1439" s="8">
        <f t="shared" si="373"/>
        <v>389895</v>
      </c>
      <c r="I1439" s="8">
        <v>389895</v>
      </c>
      <c r="J1439" s="13">
        <f t="shared" si="374"/>
        <v>0</v>
      </c>
      <c r="K1439" s="138">
        <f t="shared" si="375"/>
        <v>1088</v>
      </c>
      <c r="L1439" s="8">
        <f t="shared" si="376"/>
        <v>1396665</v>
      </c>
      <c r="M1439" s="8">
        <v>1398029</v>
      </c>
      <c r="N1439" s="13">
        <f t="shared" si="377"/>
        <v>1364</v>
      </c>
      <c r="O1439" s="136">
        <f t="shared" si="388"/>
        <v>384</v>
      </c>
      <c r="P1439" s="8">
        <f t="shared" si="393"/>
        <v>222037</v>
      </c>
      <c r="Q1439" s="8">
        <v>222710</v>
      </c>
      <c r="R1439" s="134">
        <f t="shared" si="365"/>
        <v>673</v>
      </c>
      <c r="S1439" s="8">
        <f t="shared" si="378"/>
        <v>58795</v>
      </c>
      <c r="T1439" s="8">
        <v>58876</v>
      </c>
      <c r="U1439" s="133">
        <f t="shared" si="379"/>
        <v>81</v>
      </c>
      <c r="V1439" s="8">
        <f t="shared" si="380"/>
        <v>408630</v>
      </c>
      <c r="W1439" s="8">
        <v>408774</v>
      </c>
      <c r="X1439" s="13">
        <f t="shared" si="381"/>
        <v>144</v>
      </c>
      <c r="Y1439" s="8">
        <f t="shared" si="389"/>
        <v>48982</v>
      </c>
      <c r="Z1439" s="8">
        <v>48994</v>
      </c>
      <c r="AA1439" s="13">
        <f t="shared" si="382"/>
        <v>12</v>
      </c>
      <c r="AB1439" s="8">
        <f t="shared" si="383"/>
        <v>277392</v>
      </c>
      <c r="AC1439" s="8">
        <v>277442</v>
      </c>
      <c r="AD1439" s="13">
        <f t="shared" si="384"/>
        <v>50</v>
      </c>
      <c r="AE1439" s="135">
        <f t="shared" si="368"/>
        <v>12339</v>
      </c>
      <c r="AF1439" s="135">
        <v>12339</v>
      </c>
      <c r="AG1439" s="135">
        <f t="shared" si="385"/>
        <v>0</v>
      </c>
      <c r="AH1439" s="136">
        <f t="shared" si="386"/>
        <v>50</v>
      </c>
      <c r="AI1439" s="50">
        <f t="shared" si="387"/>
        <v>1294</v>
      </c>
    </row>
    <row r="1440" spans="1:35">
      <c r="A1440" s="12">
        <v>45815</v>
      </c>
      <c r="B1440" s="8">
        <f t="shared" si="369"/>
        <v>2181380</v>
      </c>
      <c r="C1440" s="8">
        <v>2182037</v>
      </c>
      <c r="D1440" s="13">
        <f t="shared" si="370"/>
        <v>657</v>
      </c>
      <c r="E1440" s="77">
        <f t="shared" si="371"/>
        <v>229508</v>
      </c>
      <c r="F1440" s="69">
        <v>230213</v>
      </c>
      <c r="G1440" s="133">
        <f t="shared" si="372"/>
        <v>705</v>
      </c>
      <c r="H1440" s="8">
        <f t="shared" si="373"/>
        <v>389895</v>
      </c>
      <c r="I1440" s="8">
        <v>390184</v>
      </c>
      <c r="J1440" s="13">
        <f t="shared" si="374"/>
        <v>289</v>
      </c>
      <c r="K1440" s="138">
        <f t="shared" si="375"/>
        <v>1651</v>
      </c>
      <c r="L1440" s="8">
        <f t="shared" si="376"/>
        <v>1398029</v>
      </c>
      <c r="M1440" s="8">
        <v>1398913</v>
      </c>
      <c r="N1440" s="13">
        <f t="shared" si="377"/>
        <v>884</v>
      </c>
      <c r="O1440" s="136">
        <f t="shared" si="388"/>
        <v>985</v>
      </c>
      <c r="P1440" s="8">
        <f t="shared" si="393"/>
        <v>222710</v>
      </c>
      <c r="Q1440" s="8">
        <v>223314</v>
      </c>
      <c r="R1440" s="134">
        <f t="shared" si="365"/>
        <v>604</v>
      </c>
      <c r="S1440" s="8">
        <f t="shared" si="378"/>
        <v>58876</v>
      </c>
      <c r="T1440" s="8">
        <v>58976</v>
      </c>
      <c r="U1440" s="133">
        <f t="shared" si="379"/>
        <v>100</v>
      </c>
      <c r="V1440" s="8">
        <f t="shared" si="380"/>
        <v>408774</v>
      </c>
      <c r="W1440" s="8">
        <v>408911</v>
      </c>
      <c r="X1440" s="13">
        <f t="shared" si="381"/>
        <v>137</v>
      </c>
      <c r="Y1440" s="8">
        <f t="shared" si="389"/>
        <v>48994</v>
      </c>
      <c r="Z1440" s="8">
        <v>49012</v>
      </c>
      <c r="AA1440" s="13">
        <f t="shared" si="382"/>
        <v>18</v>
      </c>
      <c r="AB1440" s="8">
        <f t="shared" si="383"/>
        <v>277442</v>
      </c>
      <c r="AC1440" s="8">
        <v>277480</v>
      </c>
      <c r="AD1440" s="13">
        <f t="shared" si="384"/>
        <v>38</v>
      </c>
      <c r="AE1440" s="135">
        <f t="shared" si="368"/>
        <v>12339</v>
      </c>
      <c r="AF1440" s="135">
        <v>12339</v>
      </c>
      <c r="AG1440" s="135">
        <f t="shared" si="385"/>
        <v>0</v>
      </c>
      <c r="AH1440" s="136">
        <f t="shared" si="386"/>
        <v>38</v>
      </c>
      <c r="AI1440" s="50">
        <f t="shared" si="387"/>
        <v>1844</v>
      </c>
    </row>
    <row r="1441" spans="1:36">
      <c r="A1441" s="12">
        <v>45816</v>
      </c>
      <c r="B1441" s="8">
        <f t="shared" si="369"/>
        <v>2182037</v>
      </c>
      <c r="C1441" s="8">
        <v>2182776</v>
      </c>
      <c r="D1441" s="13">
        <f t="shared" si="370"/>
        <v>739</v>
      </c>
      <c r="E1441" s="77">
        <f t="shared" si="371"/>
        <v>230213</v>
      </c>
      <c r="F1441" s="69">
        <v>230979</v>
      </c>
      <c r="G1441" s="133">
        <f t="shared" si="372"/>
        <v>766</v>
      </c>
      <c r="H1441" s="8">
        <f t="shared" si="373"/>
        <v>390184</v>
      </c>
      <c r="I1441" s="8">
        <v>390184</v>
      </c>
      <c r="J1441" s="13">
        <f t="shared" si="374"/>
        <v>0</v>
      </c>
      <c r="K1441" s="138">
        <f t="shared" si="375"/>
        <v>1505</v>
      </c>
      <c r="L1441" s="8">
        <f t="shared" si="376"/>
        <v>1398913</v>
      </c>
      <c r="M1441" s="8">
        <v>1400131</v>
      </c>
      <c r="N1441" s="13">
        <f t="shared" si="377"/>
        <v>1218</v>
      </c>
      <c r="O1441" s="136">
        <f t="shared" si="388"/>
        <v>882</v>
      </c>
      <c r="P1441" s="8">
        <f t="shared" si="393"/>
        <v>223314</v>
      </c>
      <c r="Q1441" s="8">
        <v>224013</v>
      </c>
      <c r="R1441" s="134">
        <f t="shared" si="365"/>
        <v>699</v>
      </c>
      <c r="S1441" s="8">
        <f t="shared" si="378"/>
        <v>58976</v>
      </c>
      <c r="T1441" s="8">
        <v>58976</v>
      </c>
      <c r="U1441" s="133">
        <f t="shared" si="379"/>
        <v>0</v>
      </c>
      <c r="V1441" s="8">
        <f t="shared" si="380"/>
        <v>408911</v>
      </c>
      <c r="W1441" s="8">
        <v>409016</v>
      </c>
      <c r="X1441" s="13">
        <f t="shared" si="381"/>
        <v>105</v>
      </c>
      <c r="Y1441" s="8">
        <f t="shared" si="389"/>
        <v>49012</v>
      </c>
      <c r="Z1441" s="8">
        <v>49033</v>
      </c>
      <c r="AA1441" s="13">
        <f t="shared" si="382"/>
        <v>21</v>
      </c>
      <c r="AB1441" s="8">
        <f t="shared" si="383"/>
        <v>277480</v>
      </c>
      <c r="AC1441" s="8">
        <v>277556</v>
      </c>
      <c r="AD1441" s="13">
        <f t="shared" si="384"/>
        <v>76</v>
      </c>
      <c r="AE1441" s="135">
        <f t="shared" si="368"/>
        <v>12339</v>
      </c>
      <c r="AF1441" s="135">
        <v>12339</v>
      </c>
      <c r="AG1441" s="135">
        <f t="shared" si="385"/>
        <v>0</v>
      </c>
      <c r="AH1441" s="136">
        <f t="shared" si="386"/>
        <v>76</v>
      </c>
      <c r="AI1441" s="50">
        <f t="shared" si="387"/>
        <v>1707</v>
      </c>
    </row>
    <row r="1442" spans="1:36">
      <c r="A1442" s="12">
        <v>45817</v>
      </c>
      <c r="B1442" s="8">
        <f t="shared" si="369"/>
        <v>2182776</v>
      </c>
      <c r="C1442" s="8">
        <v>2183611</v>
      </c>
      <c r="D1442" s="13">
        <f t="shared" si="370"/>
        <v>835</v>
      </c>
      <c r="E1442" s="77">
        <f t="shared" si="371"/>
        <v>230979</v>
      </c>
      <c r="F1442" s="69">
        <v>231695</v>
      </c>
      <c r="G1442" s="133">
        <f t="shared" si="372"/>
        <v>716</v>
      </c>
      <c r="H1442" s="8">
        <f t="shared" si="373"/>
        <v>390184</v>
      </c>
      <c r="I1442" s="8">
        <v>390184</v>
      </c>
      <c r="J1442" s="13">
        <f t="shared" si="374"/>
        <v>0</v>
      </c>
      <c r="K1442" s="138">
        <f t="shared" si="375"/>
        <v>1551</v>
      </c>
      <c r="L1442" s="8">
        <f t="shared" si="376"/>
        <v>1400131</v>
      </c>
      <c r="M1442" s="8">
        <v>1401231</v>
      </c>
      <c r="N1442" s="13">
        <f t="shared" si="377"/>
        <v>1100</v>
      </c>
      <c r="O1442" s="136">
        <f t="shared" si="388"/>
        <v>1024</v>
      </c>
      <c r="P1442" s="8">
        <f t="shared" si="393"/>
        <v>224013</v>
      </c>
      <c r="Q1442" s="8">
        <v>224533</v>
      </c>
      <c r="R1442" s="134">
        <f t="shared" si="365"/>
        <v>520</v>
      </c>
      <c r="S1442" s="8">
        <f t="shared" si="378"/>
        <v>58976</v>
      </c>
      <c r="T1442" s="8">
        <v>59056</v>
      </c>
      <c r="U1442" s="133">
        <f t="shared" si="379"/>
        <v>80</v>
      </c>
      <c r="V1442" s="8">
        <f t="shared" si="380"/>
        <v>409016</v>
      </c>
      <c r="W1442" s="8">
        <v>409184</v>
      </c>
      <c r="X1442" s="13">
        <f t="shared" si="381"/>
        <v>168</v>
      </c>
      <c r="Y1442" s="8">
        <f t="shared" si="389"/>
        <v>49033</v>
      </c>
      <c r="Z1442" s="8">
        <v>49058</v>
      </c>
      <c r="AA1442" s="13">
        <f t="shared" si="382"/>
        <v>25</v>
      </c>
      <c r="AB1442" s="8">
        <f t="shared" si="383"/>
        <v>277556</v>
      </c>
      <c r="AC1442" s="8">
        <v>277629</v>
      </c>
      <c r="AD1442" s="13">
        <f t="shared" si="384"/>
        <v>73</v>
      </c>
      <c r="AE1442" s="135">
        <f t="shared" si="368"/>
        <v>12339</v>
      </c>
      <c r="AF1442" s="135">
        <v>12339</v>
      </c>
      <c r="AG1442" s="135">
        <f t="shared" si="385"/>
        <v>0</v>
      </c>
      <c r="AH1442" s="136">
        <f t="shared" si="386"/>
        <v>73</v>
      </c>
      <c r="AI1442" s="50">
        <f t="shared" si="387"/>
        <v>1817</v>
      </c>
    </row>
    <row r="1443" spans="1:36">
      <c r="A1443" s="12">
        <v>45818</v>
      </c>
      <c r="B1443" s="8">
        <f t="shared" si="369"/>
        <v>2183611</v>
      </c>
      <c r="C1443" s="8">
        <v>2183930</v>
      </c>
      <c r="D1443" s="13">
        <f t="shared" si="370"/>
        <v>319</v>
      </c>
      <c r="E1443" s="77">
        <f t="shared" si="371"/>
        <v>231695</v>
      </c>
      <c r="F1443" s="69">
        <v>232433</v>
      </c>
      <c r="G1443" s="133">
        <f t="shared" si="372"/>
        <v>738</v>
      </c>
      <c r="H1443" s="8">
        <f t="shared" si="373"/>
        <v>390184</v>
      </c>
      <c r="I1443" s="8">
        <v>390184</v>
      </c>
      <c r="J1443" s="13">
        <f t="shared" si="374"/>
        <v>0</v>
      </c>
      <c r="K1443" s="138">
        <f t="shared" si="375"/>
        <v>1057</v>
      </c>
      <c r="L1443" s="8">
        <f t="shared" si="376"/>
        <v>1401231</v>
      </c>
      <c r="M1443" s="8">
        <v>1402277</v>
      </c>
      <c r="N1443" s="13">
        <f t="shared" si="377"/>
        <v>1046</v>
      </c>
      <c r="O1443" s="136">
        <f t="shared" si="388"/>
        <v>-123</v>
      </c>
      <c r="P1443" s="8">
        <f t="shared" si="393"/>
        <v>224533</v>
      </c>
      <c r="Q1443" s="8">
        <v>225076</v>
      </c>
      <c r="R1443" s="134">
        <f t="shared" si="365"/>
        <v>543</v>
      </c>
      <c r="S1443" s="8">
        <f t="shared" si="378"/>
        <v>59056</v>
      </c>
      <c r="T1443" s="8">
        <v>59744</v>
      </c>
      <c r="U1443" s="133">
        <f t="shared" si="379"/>
        <v>688</v>
      </c>
      <c r="V1443" s="8">
        <f t="shared" si="380"/>
        <v>409184</v>
      </c>
      <c r="W1443" s="8">
        <v>409357</v>
      </c>
      <c r="X1443" s="13">
        <f t="shared" si="381"/>
        <v>173</v>
      </c>
      <c r="Y1443" s="8">
        <f t="shared" si="389"/>
        <v>49058</v>
      </c>
      <c r="Z1443" s="8">
        <v>49105</v>
      </c>
      <c r="AA1443" s="13">
        <f t="shared" si="382"/>
        <v>47</v>
      </c>
      <c r="AB1443" s="8">
        <f t="shared" si="383"/>
        <v>277629</v>
      </c>
      <c r="AC1443" s="8">
        <v>277680</v>
      </c>
      <c r="AD1443" s="13">
        <f t="shared" si="384"/>
        <v>51</v>
      </c>
      <c r="AE1443" s="135">
        <f t="shared" si="368"/>
        <v>12339</v>
      </c>
      <c r="AF1443" s="135">
        <v>12339</v>
      </c>
      <c r="AG1443" s="135">
        <f t="shared" si="385"/>
        <v>0</v>
      </c>
      <c r="AH1443" s="136">
        <f t="shared" si="386"/>
        <v>51</v>
      </c>
      <c r="AI1443" s="50">
        <f t="shared" si="387"/>
        <v>1328</v>
      </c>
    </row>
    <row r="1444" spans="1:36">
      <c r="A1444" s="12">
        <v>45819</v>
      </c>
      <c r="B1444" s="8">
        <f t="shared" si="369"/>
        <v>2183930</v>
      </c>
      <c r="C1444" s="8">
        <v>2184226</v>
      </c>
      <c r="D1444" s="13">
        <f t="shared" si="370"/>
        <v>296</v>
      </c>
      <c r="E1444" s="77">
        <f t="shared" si="371"/>
        <v>232433</v>
      </c>
      <c r="F1444" s="69">
        <v>233196</v>
      </c>
      <c r="G1444" s="133">
        <f t="shared" si="372"/>
        <v>763</v>
      </c>
      <c r="H1444" s="8">
        <f t="shared" si="373"/>
        <v>390184</v>
      </c>
      <c r="I1444" s="8">
        <v>390852</v>
      </c>
      <c r="J1444" s="13">
        <f t="shared" si="374"/>
        <v>668</v>
      </c>
      <c r="K1444" s="138">
        <f t="shared" si="375"/>
        <v>1727</v>
      </c>
      <c r="L1444" s="8">
        <f t="shared" si="376"/>
        <v>1402277</v>
      </c>
      <c r="M1444" s="8">
        <v>1402711</v>
      </c>
      <c r="N1444" s="13">
        <f t="shared" si="377"/>
        <v>434</v>
      </c>
      <c r="O1444" s="136">
        <f t="shared" si="388"/>
        <v>1192</v>
      </c>
      <c r="P1444" s="8">
        <f t="shared" si="393"/>
        <v>225076</v>
      </c>
      <c r="Q1444" s="8">
        <v>225651</v>
      </c>
      <c r="R1444" s="134">
        <f t="shared" si="365"/>
        <v>575</v>
      </c>
      <c r="S1444" s="8">
        <f t="shared" si="378"/>
        <v>59744</v>
      </c>
      <c r="T1444" s="8">
        <v>59786</v>
      </c>
      <c r="U1444" s="133">
        <f t="shared" si="379"/>
        <v>42</v>
      </c>
      <c r="V1444" s="8">
        <f t="shared" si="380"/>
        <v>409357</v>
      </c>
      <c r="W1444" s="8">
        <v>409535</v>
      </c>
      <c r="X1444" s="13">
        <f t="shared" si="381"/>
        <v>178</v>
      </c>
      <c r="Y1444" s="8">
        <f t="shared" si="389"/>
        <v>49105</v>
      </c>
      <c r="Z1444" s="8">
        <v>49120</v>
      </c>
      <c r="AA1444" s="13">
        <f t="shared" si="382"/>
        <v>15</v>
      </c>
      <c r="AB1444" s="8">
        <f t="shared" si="383"/>
        <v>277680</v>
      </c>
      <c r="AC1444" s="8">
        <v>277762</v>
      </c>
      <c r="AD1444" s="13">
        <f t="shared" si="384"/>
        <v>82</v>
      </c>
      <c r="AE1444" s="135">
        <f t="shared" si="368"/>
        <v>12339</v>
      </c>
      <c r="AF1444" s="135">
        <v>12339</v>
      </c>
      <c r="AG1444" s="135">
        <f t="shared" si="385"/>
        <v>0</v>
      </c>
      <c r="AH1444" s="136">
        <f t="shared" si="386"/>
        <v>82</v>
      </c>
      <c r="AI1444" s="50">
        <f t="shared" si="387"/>
        <v>2002</v>
      </c>
    </row>
    <row r="1445" spans="1:36">
      <c r="A1445" s="12">
        <v>45820</v>
      </c>
      <c r="B1445" s="8">
        <f t="shared" si="369"/>
        <v>2184226</v>
      </c>
      <c r="C1445" s="8">
        <v>2184436</v>
      </c>
      <c r="D1445" s="13">
        <f t="shared" si="370"/>
        <v>210</v>
      </c>
      <c r="E1445" s="77">
        <f t="shared" si="371"/>
        <v>233196</v>
      </c>
      <c r="F1445" s="69">
        <v>233928</v>
      </c>
      <c r="G1445" s="133">
        <f t="shared" si="372"/>
        <v>732</v>
      </c>
      <c r="H1445" s="8">
        <f t="shared" si="373"/>
        <v>390852</v>
      </c>
      <c r="I1445" s="8">
        <v>390852</v>
      </c>
      <c r="J1445" s="13">
        <f t="shared" si="374"/>
        <v>0</v>
      </c>
      <c r="K1445" s="138">
        <f t="shared" si="375"/>
        <v>942</v>
      </c>
      <c r="L1445" s="8">
        <f t="shared" si="376"/>
        <v>1402711</v>
      </c>
      <c r="M1445" s="8">
        <v>1403928</v>
      </c>
      <c r="N1445" s="13">
        <f t="shared" si="377"/>
        <v>1217</v>
      </c>
      <c r="O1445" s="136">
        <f t="shared" si="388"/>
        <v>210</v>
      </c>
      <c r="P1445" s="8">
        <f t="shared" si="393"/>
        <v>225651</v>
      </c>
      <c r="Q1445" s="8">
        <v>226227</v>
      </c>
      <c r="R1445" s="134">
        <f t="shared" si="365"/>
        <v>576</v>
      </c>
      <c r="S1445" s="8">
        <f t="shared" si="378"/>
        <v>59786</v>
      </c>
      <c r="T1445" s="8">
        <v>60008</v>
      </c>
      <c r="U1445" s="133">
        <f t="shared" si="379"/>
        <v>222</v>
      </c>
      <c r="V1445" s="8">
        <f t="shared" si="380"/>
        <v>409535</v>
      </c>
      <c r="W1445" s="8">
        <v>409673</v>
      </c>
      <c r="X1445" s="13">
        <f t="shared" si="381"/>
        <v>138</v>
      </c>
      <c r="Y1445" s="8">
        <f t="shared" si="389"/>
        <v>49120</v>
      </c>
      <c r="Z1445" s="8">
        <v>49127</v>
      </c>
      <c r="AA1445" s="13">
        <f t="shared" si="382"/>
        <v>7</v>
      </c>
      <c r="AB1445" s="8">
        <f t="shared" si="383"/>
        <v>277762</v>
      </c>
      <c r="AC1445" s="8">
        <v>277828</v>
      </c>
      <c r="AD1445" s="13">
        <f t="shared" si="384"/>
        <v>66</v>
      </c>
      <c r="AE1445" s="135">
        <f t="shared" si="368"/>
        <v>12339</v>
      </c>
      <c r="AF1445" s="135">
        <v>12339</v>
      </c>
      <c r="AG1445" s="135">
        <f t="shared" si="385"/>
        <v>0</v>
      </c>
      <c r="AH1445" s="136">
        <f t="shared" si="386"/>
        <v>66</v>
      </c>
      <c r="AI1445" s="50">
        <f t="shared" si="387"/>
        <v>1153</v>
      </c>
    </row>
    <row r="1446" spans="1:36">
      <c r="A1446" s="12">
        <v>45821</v>
      </c>
      <c r="B1446" s="8">
        <f t="shared" si="369"/>
        <v>2184436</v>
      </c>
      <c r="C1446" s="8">
        <v>2184781</v>
      </c>
      <c r="D1446" s="13">
        <f t="shared" si="370"/>
        <v>345</v>
      </c>
      <c r="E1446" s="77">
        <f t="shared" si="371"/>
        <v>233928</v>
      </c>
      <c r="F1446" s="69">
        <v>234655</v>
      </c>
      <c r="G1446" s="133">
        <f t="shared" si="372"/>
        <v>727</v>
      </c>
      <c r="H1446" s="8">
        <f t="shared" si="373"/>
        <v>390852</v>
      </c>
      <c r="I1446" s="8">
        <v>391552</v>
      </c>
      <c r="J1446" s="13">
        <f t="shared" si="374"/>
        <v>700</v>
      </c>
      <c r="K1446" s="138">
        <f t="shared" si="375"/>
        <v>1772</v>
      </c>
      <c r="L1446" s="8">
        <f t="shared" si="376"/>
        <v>1403928</v>
      </c>
      <c r="M1446" s="8">
        <v>1404163</v>
      </c>
      <c r="N1446" s="13">
        <f t="shared" si="377"/>
        <v>235</v>
      </c>
      <c r="O1446" s="136">
        <f t="shared" si="388"/>
        <v>1292</v>
      </c>
      <c r="P1446" s="8">
        <f t="shared" si="393"/>
        <v>226227</v>
      </c>
      <c r="Q1446" s="8">
        <v>226687</v>
      </c>
      <c r="R1446" s="134">
        <f t="shared" si="365"/>
        <v>460</v>
      </c>
      <c r="S1446" s="8">
        <f t="shared" si="378"/>
        <v>60008</v>
      </c>
      <c r="T1446" s="8">
        <v>60108</v>
      </c>
      <c r="U1446" s="133">
        <f t="shared" si="379"/>
        <v>100</v>
      </c>
      <c r="V1446" s="8">
        <f t="shared" si="380"/>
        <v>409673</v>
      </c>
      <c r="W1446" s="8">
        <v>409795</v>
      </c>
      <c r="X1446" s="13">
        <f t="shared" si="381"/>
        <v>122</v>
      </c>
      <c r="Y1446" s="8">
        <f t="shared" si="389"/>
        <v>49127</v>
      </c>
      <c r="Z1446" s="8">
        <v>49139</v>
      </c>
      <c r="AA1446" s="13">
        <f t="shared" si="382"/>
        <v>12</v>
      </c>
      <c r="AB1446" s="8">
        <f t="shared" si="383"/>
        <v>277828</v>
      </c>
      <c r="AC1446" s="8">
        <v>277908</v>
      </c>
      <c r="AD1446" s="13">
        <f t="shared" si="384"/>
        <v>80</v>
      </c>
      <c r="AE1446" s="135">
        <f t="shared" si="368"/>
        <v>12339</v>
      </c>
      <c r="AF1446" s="135">
        <v>12339</v>
      </c>
      <c r="AG1446" s="135">
        <f t="shared" si="385"/>
        <v>0</v>
      </c>
      <c r="AH1446" s="136">
        <f t="shared" si="386"/>
        <v>80</v>
      </c>
      <c r="AI1446" s="50">
        <f t="shared" si="387"/>
        <v>1986</v>
      </c>
    </row>
    <row r="1447" spans="1:36">
      <c r="A1447" s="12">
        <v>45822</v>
      </c>
      <c r="B1447" s="8">
        <f t="shared" si="369"/>
        <v>2184781</v>
      </c>
      <c r="C1447" s="8">
        <v>2185302</v>
      </c>
      <c r="D1447" s="13">
        <f t="shared" si="370"/>
        <v>521</v>
      </c>
      <c r="E1447" s="77">
        <f t="shared" si="371"/>
        <v>234655</v>
      </c>
      <c r="F1447" s="69">
        <v>235393</v>
      </c>
      <c r="G1447" s="133">
        <f t="shared" si="372"/>
        <v>738</v>
      </c>
      <c r="H1447" s="8">
        <f t="shared" si="373"/>
        <v>391552</v>
      </c>
      <c r="I1447" s="8">
        <v>391552</v>
      </c>
      <c r="J1447" s="13">
        <f t="shared" si="374"/>
        <v>0</v>
      </c>
      <c r="K1447" s="138">
        <f t="shared" si="375"/>
        <v>1259</v>
      </c>
      <c r="L1447" s="8">
        <f t="shared" si="376"/>
        <v>1404163</v>
      </c>
      <c r="M1447" s="8">
        <v>1405630</v>
      </c>
      <c r="N1447" s="13">
        <f t="shared" si="377"/>
        <v>1467</v>
      </c>
      <c r="O1447" s="136">
        <f t="shared" si="388"/>
        <v>552</v>
      </c>
      <c r="P1447" s="8">
        <f t="shared" si="393"/>
        <v>226687</v>
      </c>
      <c r="Q1447" s="8">
        <v>227110</v>
      </c>
      <c r="R1447" s="134">
        <f t="shared" si="365"/>
        <v>423</v>
      </c>
      <c r="S1447" s="8">
        <f t="shared" si="378"/>
        <v>60108</v>
      </c>
      <c r="T1447" s="8">
        <v>60445</v>
      </c>
      <c r="U1447" s="133">
        <f t="shared" si="379"/>
        <v>337</v>
      </c>
      <c r="V1447" s="8">
        <f t="shared" si="380"/>
        <v>409795</v>
      </c>
      <c r="W1447" s="8">
        <v>409945</v>
      </c>
      <c r="X1447" s="13">
        <f t="shared" si="381"/>
        <v>150</v>
      </c>
      <c r="Y1447" s="8">
        <f t="shared" si="389"/>
        <v>49139</v>
      </c>
      <c r="Z1447" s="8">
        <v>49151</v>
      </c>
      <c r="AA1447" s="13">
        <f t="shared" si="382"/>
        <v>12</v>
      </c>
      <c r="AB1447" s="8">
        <f t="shared" si="383"/>
        <v>277908</v>
      </c>
      <c r="AC1447" s="8">
        <v>277961</v>
      </c>
      <c r="AD1447" s="13">
        <f t="shared" si="384"/>
        <v>53</v>
      </c>
      <c r="AE1447" s="135">
        <f t="shared" si="368"/>
        <v>12339</v>
      </c>
      <c r="AF1447" s="135">
        <v>12339</v>
      </c>
      <c r="AG1447" s="135">
        <f t="shared" si="385"/>
        <v>0</v>
      </c>
      <c r="AH1447" s="136">
        <f t="shared" si="386"/>
        <v>53</v>
      </c>
      <c r="AI1447" s="50">
        <f t="shared" si="387"/>
        <v>1474</v>
      </c>
    </row>
    <row r="1448" spans="1:36">
      <c r="A1448" s="12">
        <v>45823</v>
      </c>
      <c r="B1448" s="8">
        <f t="shared" si="369"/>
        <v>2185302</v>
      </c>
      <c r="C1448" s="8">
        <v>2185952</v>
      </c>
      <c r="D1448" s="13">
        <f t="shared" si="370"/>
        <v>650</v>
      </c>
      <c r="E1448" s="77">
        <f t="shared" si="371"/>
        <v>235393</v>
      </c>
      <c r="F1448" s="69">
        <v>236168</v>
      </c>
      <c r="G1448" s="133">
        <f t="shared" si="372"/>
        <v>775</v>
      </c>
      <c r="H1448" s="8">
        <f t="shared" si="373"/>
        <v>391552</v>
      </c>
      <c r="I1448" s="8">
        <v>391552</v>
      </c>
      <c r="J1448" s="13">
        <f t="shared" si="374"/>
        <v>0</v>
      </c>
      <c r="K1448" s="138">
        <f t="shared" si="375"/>
        <v>1425</v>
      </c>
      <c r="L1448" s="8">
        <f t="shared" si="376"/>
        <v>1405630</v>
      </c>
      <c r="M1448" s="8">
        <v>1406827</v>
      </c>
      <c r="N1448" s="13">
        <f t="shared" si="377"/>
        <v>1197</v>
      </c>
      <c r="O1448" s="136">
        <f t="shared" si="388"/>
        <v>947</v>
      </c>
      <c r="P1448" s="8">
        <f t="shared" si="393"/>
        <v>227110</v>
      </c>
      <c r="Q1448" s="8">
        <v>227466</v>
      </c>
      <c r="R1448" s="134">
        <f t="shared" si="365"/>
        <v>356</v>
      </c>
      <c r="S1448" s="8">
        <f t="shared" si="378"/>
        <v>60445</v>
      </c>
      <c r="T1448" s="8">
        <v>60642</v>
      </c>
      <c r="U1448" s="133">
        <f t="shared" si="379"/>
        <v>197</v>
      </c>
      <c r="V1448" s="8">
        <v>9</v>
      </c>
      <c r="W1448" s="8">
        <v>181</v>
      </c>
      <c r="X1448" s="13">
        <f t="shared" si="381"/>
        <v>172</v>
      </c>
      <c r="Y1448" s="8">
        <f t="shared" si="389"/>
        <v>49151</v>
      </c>
      <c r="Z1448" s="8">
        <v>49164</v>
      </c>
      <c r="AA1448" s="13">
        <f t="shared" si="382"/>
        <v>13</v>
      </c>
      <c r="AB1448" s="8">
        <f t="shared" si="383"/>
        <v>277961</v>
      </c>
      <c r="AC1448" s="8">
        <v>278036</v>
      </c>
      <c r="AD1448" s="13">
        <f t="shared" si="384"/>
        <v>75</v>
      </c>
      <c r="AE1448" s="135">
        <f t="shared" si="368"/>
        <v>12339</v>
      </c>
      <c r="AF1448" s="135">
        <v>12339</v>
      </c>
      <c r="AG1448" s="135">
        <f t="shared" si="385"/>
        <v>0</v>
      </c>
      <c r="AH1448" s="136">
        <f t="shared" si="386"/>
        <v>75</v>
      </c>
      <c r="AI1448" s="50">
        <f t="shared" si="387"/>
        <v>1685</v>
      </c>
      <c r="AJ1448" s="8" t="s">
        <v>1997</v>
      </c>
    </row>
    <row r="1449" spans="1:36">
      <c r="A1449" s="12">
        <v>45824</v>
      </c>
      <c r="B1449" s="8">
        <f t="shared" si="369"/>
        <v>2185952</v>
      </c>
      <c r="C1449" s="8">
        <v>2186340</v>
      </c>
      <c r="D1449" s="13">
        <f t="shared" si="370"/>
        <v>388</v>
      </c>
      <c r="E1449" s="77">
        <f t="shared" si="371"/>
        <v>236168</v>
      </c>
      <c r="F1449" s="69">
        <v>236892</v>
      </c>
      <c r="G1449" s="133">
        <f t="shared" si="372"/>
        <v>724</v>
      </c>
      <c r="H1449" s="8">
        <f t="shared" si="373"/>
        <v>391552</v>
      </c>
      <c r="I1449" s="8">
        <v>391552</v>
      </c>
      <c r="J1449" s="13">
        <f t="shared" si="374"/>
        <v>0</v>
      </c>
      <c r="K1449" s="138">
        <f t="shared" si="375"/>
        <v>1112</v>
      </c>
      <c r="L1449" s="8">
        <f t="shared" si="376"/>
        <v>1406827</v>
      </c>
      <c r="M1449" s="8">
        <v>1407539</v>
      </c>
      <c r="N1449" s="13">
        <f t="shared" si="377"/>
        <v>712</v>
      </c>
      <c r="O1449" s="136">
        <f t="shared" si="388"/>
        <v>367</v>
      </c>
      <c r="P1449" s="8">
        <f t="shared" si="393"/>
        <v>227466</v>
      </c>
      <c r="Q1449" s="8">
        <v>228079</v>
      </c>
      <c r="R1449" s="134">
        <f t="shared" si="365"/>
        <v>613</v>
      </c>
      <c r="S1449" s="8">
        <f t="shared" si="378"/>
        <v>60642</v>
      </c>
      <c r="T1449" s="8">
        <v>60842</v>
      </c>
      <c r="U1449" s="133">
        <f t="shared" si="379"/>
        <v>200</v>
      </c>
      <c r="V1449" s="8">
        <f t="shared" si="380"/>
        <v>181</v>
      </c>
      <c r="W1449" s="8">
        <v>401</v>
      </c>
      <c r="X1449" s="13">
        <f t="shared" si="381"/>
        <v>220</v>
      </c>
      <c r="Y1449" s="8">
        <f t="shared" si="389"/>
        <v>49164</v>
      </c>
      <c r="Z1449" s="8">
        <v>49176</v>
      </c>
      <c r="AA1449" s="13">
        <f t="shared" si="382"/>
        <v>12</v>
      </c>
      <c r="AB1449" s="8">
        <f t="shared" si="383"/>
        <v>278036</v>
      </c>
      <c r="AC1449" s="8">
        <v>278104</v>
      </c>
      <c r="AD1449" s="13">
        <f t="shared" si="384"/>
        <v>68</v>
      </c>
      <c r="AE1449" s="135">
        <f t="shared" si="368"/>
        <v>12339</v>
      </c>
      <c r="AF1449" s="135">
        <v>12339</v>
      </c>
      <c r="AG1449" s="135">
        <f t="shared" si="385"/>
        <v>0</v>
      </c>
      <c r="AH1449" s="136">
        <f t="shared" si="386"/>
        <v>68</v>
      </c>
      <c r="AI1449" s="50">
        <f t="shared" si="387"/>
        <v>1412</v>
      </c>
      <c r="AJ1449" s="8" t="s">
        <v>1996</v>
      </c>
    </row>
    <row r="1450" spans="1:36">
      <c r="A1450" s="12">
        <v>45825</v>
      </c>
      <c r="B1450" s="8">
        <f t="shared" si="369"/>
        <v>2186340</v>
      </c>
      <c r="C1450" s="8">
        <v>2186451</v>
      </c>
      <c r="D1450" s="13">
        <f t="shared" si="370"/>
        <v>111</v>
      </c>
      <c r="E1450" s="77">
        <f t="shared" si="371"/>
        <v>236892</v>
      </c>
      <c r="F1450" s="69">
        <v>237643</v>
      </c>
      <c r="G1450" s="133">
        <f t="shared" si="372"/>
        <v>751</v>
      </c>
      <c r="H1450" s="8">
        <f t="shared" si="373"/>
        <v>391552</v>
      </c>
      <c r="I1450" s="8">
        <v>391910</v>
      </c>
      <c r="J1450" s="13">
        <f t="shared" si="374"/>
        <v>358</v>
      </c>
      <c r="K1450" s="138">
        <f t="shared" si="375"/>
        <v>1220</v>
      </c>
      <c r="L1450" s="8">
        <f t="shared" si="376"/>
        <v>1407539</v>
      </c>
      <c r="M1450" s="8">
        <v>1408604</v>
      </c>
      <c r="N1450" s="13">
        <f t="shared" si="377"/>
        <v>1065</v>
      </c>
      <c r="O1450" s="136">
        <f t="shared" si="388"/>
        <v>416</v>
      </c>
      <c r="P1450" s="8">
        <v>9</v>
      </c>
      <c r="Q1450" s="8">
        <v>712</v>
      </c>
      <c r="R1450" s="134">
        <f t="shared" si="365"/>
        <v>703</v>
      </c>
      <c r="S1450" s="8">
        <f t="shared" si="378"/>
        <v>60842</v>
      </c>
      <c r="T1450" s="8">
        <v>61014</v>
      </c>
      <c r="U1450" s="133">
        <f t="shared" si="379"/>
        <v>172</v>
      </c>
      <c r="V1450" s="8">
        <f t="shared" si="380"/>
        <v>401</v>
      </c>
      <c r="W1450" s="8">
        <v>546</v>
      </c>
      <c r="X1450" s="13">
        <f t="shared" si="381"/>
        <v>145</v>
      </c>
      <c r="Y1450" s="8">
        <f t="shared" si="389"/>
        <v>49176</v>
      </c>
      <c r="Z1450" s="8">
        <v>49196</v>
      </c>
      <c r="AA1450" s="13">
        <f t="shared" si="382"/>
        <v>20</v>
      </c>
      <c r="AB1450" s="8">
        <f t="shared" si="383"/>
        <v>278104</v>
      </c>
      <c r="AC1450" s="8">
        <v>278175</v>
      </c>
      <c r="AD1450" s="13">
        <f t="shared" si="384"/>
        <v>71</v>
      </c>
      <c r="AE1450" s="135">
        <f t="shared" si="368"/>
        <v>12339</v>
      </c>
      <c r="AF1450" s="135">
        <v>12339</v>
      </c>
      <c r="AG1450" s="135">
        <f t="shared" si="385"/>
        <v>0</v>
      </c>
      <c r="AH1450" s="136">
        <f t="shared" si="386"/>
        <v>71</v>
      </c>
      <c r="AI1450" s="50">
        <f t="shared" si="387"/>
        <v>1456</v>
      </c>
    </row>
    <row r="1451" spans="1:36">
      <c r="A1451" s="12">
        <v>45826</v>
      </c>
      <c r="B1451" s="8">
        <f t="shared" si="369"/>
        <v>2186451</v>
      </c>
      <c r="C1451" s="8">
        <v>2186621</v>
      </c>
      <c r="D1451" s="13">
        <f t="shared" si="370"/>
        <v>170</v>
      </c>
      <c r="E1451" s="77">
        <f t="shared" si="371"/>
        <v>237643</v>
      </c>
      <c r="F1451" s="69">
        <v>238399</v>
      </c>
      <c r="G1451" s="133">
        <f t="shared" si="372"/>
        <v>756</v>
      </c>
      <c r="H1451" s="8">
        <f t="shared" si="373"/>
        <v>391910</v>
      </c>
      <c r="I1451" s="8">
        <v>391910</v>
      </c>
      <c r="J1451" s="13">
        <f t="shared" si="374"/>
        <v>0</v>
      </c>
      <c r="K1451" s="138">
        <f t="shared" si="375"/>
        <v>926</v>
      </c>
      <c r="L1451" s="8">
        <f t="shared" si="376"/>
        <v>1408604</v>
      </c>
      <c r="M1451" s="8">
        <v>1409231</v>
      </c>
      <c r="N1451" s="13">
        <f t="shared" si="377"/>
        <v>627</v>
      </c>
      <c r="O1451" s="136">
        <f t="shared" si="388"/>
        <v>296</v>
      </c>
      <c r="P1451" s="8">
        <f t="shared" si="393"/>
        <v>712</v>
      </c>
      <c r="Q1451" s="8">
        <v>1304</v>
      </c>
      <c r="R1451" s="134">
        <f t="shared" si="365"/>
        <v>592</v>
      </c>
      <c r="S1451" s="8">
        <f t="shared" si="378"/>
        <v>61014</v>
      </c>
      <c r="T1451" s="8">
        <v>61107</v>
      </c>
      <c r="U1451" s="133">
        <f t="shared" si="379"/>
        <v>93</v>
      </c>
      <c r="V1451" s="8">
        <f t="shared" si="380"/>
        <v>546</v>
      </c>
      <c r="W1451" s="8">
        <v>773</v>
      </c>
      <c r="X1451" s="13">
        <f t="shared" si="381"/>
        <v>227</v>
      </c>
      <c r="Y1451" s="8">
        <f t="shared" si="389"/>
        <v>49196</v>
      </c>
      <c r="Z1451" s="8">
        <v>49209</v>
      </c>
      <c r="AA1451" s="13">
        <f t="shared" si="382"/>
        <v>13</v>
      </c>
      <c r="AB1451" s="8">
        <f t="shared" si="383"/>
        <v>278175</v>
      </c>
      <c r="AC1451" s="8">
        <v>278230</v>
      </c>
      <c r="AD1451" s="13">
        <f t="shared" si="384"/>
        <v>55</v>
      </c>
      <c r="AE1451" s="135">
        <f t="shared" si="368"/>
        <v>12339</v>
      </c>
      <c r="AF1451" s="135">
        <v>12339</v>
      </c>
      <c r="AG1451" s="135">
        <f t="shared" si="385"/>
        <v>0</v>
      </c>
      <c r="AH1451" s="136">
        <f t="shared" si="386"/>
        <v>55</v>
      </c>
      <c r="AI1451" s="50">
        <f t="shared" si="387"/>
        <v>1221</v>
      </c>
    </row>
    <row r="1452" spans="1:36">
      <c r="A1452" s="12">
        <v>45827</v>
      </c>
      <c r="B1452" s="8">
        <f t="shared" si="369"/>
        <v>2186621</v>
      </c>
      <c r="C1452" s="8">
        <v>2186961</v>
      </c>
      <c r="D1452" s="13">
        <f t="shared" si="370"/>
        <v>340</v>
      </c>
      <c r="E1452" s="77">
        <f t="shared" si="371"/>
        <v>238399</v>
      </c>
      <c r="F1452" s="69">
        <v>239124</v>
      </c>
      <c r="G1452" s="133">
        <f t="shared" si="372"/>
        <v>725</v>
      </c>
      <c r="H1452" s="8">
        <f t="shared" si="373"/>
        <v>391910</v>
      </c>
      <c r="I1452" s="8">
        <v>392240</v>
      </c>
      <c r="J1452" s="13">
        <f t="shared" si="374"/>
        <v>330</v>
      </c>
      <c r="K1452" s="138">
        <f t="shared" si="375"/>
        <v>1395</v>
      </c>
      <c r="L1452" s="8">
        <f t="shared" si="376"/>
        <v>1409231</v>
      </c>
      <c r="M1452" s="8">
        <v>1410015</v>
      </c>
      <c r="N1452" s="13">
        <f t="shared" si="377"/>
        <v>784</v>
      </c>
      <c r="O1452" s="136">
        <f t="shared" si="388"/>
        <v>734</v>
      </c>
      <c r="P1452" s="8">
        <f t="shared" si="393"/>
        <v>1304</v>
      </c>
      <c r="Q1452" s="8">
        <v>1875</v>
      </c>
      <c r="R1452" s="134">
        <f t="shared" si="365"/>
        <v>571</v>
      </c>
      <c r="S1452" s="8">
        <f t="shared" si="378"/>
        <v>61107</v>
      </c>
      <c r="T1452" s="8">
        <v>61197</v>
      </c>
      <c r="U1452" s="133">
        <f t="shared" si="379"/>
        <v>90</v>
      </c>
      <c r="V1452" s="8">
        <f t="shared" si="380"/>
        <v>773</v>
      </c>
      <c r="W1452" s="8">
        <v>937</v>
      </c>
      <c r="X1452" s="13">
        <f t="shared" si="381"/>
        <v>164</v>
      </c>
      <c r="Y1452" s="8">
        <f t="shared" si="389"/>
        <v>49209</v>
      </c>
      <c r="Z1452" s="8">
        <v>49214</v>
      </c>
      <c r="AA1452" s="13">
        <f t="shared" si="382"/>
        <v>5</v>
      </c>
      <c r="AB1452" s="8">
        <f t="shared" si="383"/>
        <v>278230</v>
      </c>
      <c r="AC1452" s="8">
        <v>278230</v>
      </c>
      <c r="AD1452" s="13">
        <f t="shared" si="384"/>
        <v>0</v>
      </c>
      <c r="AE1452" s="135">
        <f t="shared" si="368"/>
        <v>12339</v>
      </c>
      <c r="AF1452" s="135">
        <v>12462</v>
      </c>
      <c r="AG1452" s="135">
        <f t="shared" si="385"/>
        <v>123</v>
      </c>
      <c r="AH1452" s="136">
        <f t="shared" si="386"/>
        <v>123</v>
      </c>
      <c r="AI1452" s="50">
        <f t="shared" si="387"/>
        <v>1564</v>
      </c>
    </row>
    <row r="1453" spans="1:36">
      <c r="A1453" s="12">
        <v>45828</v>
      </c>
      <c r="B1453" s="8">
        <f t="shared" si="369"/>
        <v>2186961</v>
      </c>
      <c r="C1453" s="8">
        <v>2186961</v>
      </c>
      <c r="D1453" s="13">
        <f t="shared" si="370"/>
        <v>0</v>
      </c>
      <c r="E1453" s="77">
        <f t="shared" si="371"/>
        <v>239124</v>
      </c>
      <c r="F1453" s="69">
        <v>239733</v>
      </c>
      <c r="G1453" s="133">
        <f t="shared" si="372"/>
        <v>609</v>
      </c>
      <c r="H1453" s="8">
        <f t="shared" si="373"/>
        <v>392240</v>
      </c>
      <c r="I1453" s="8">
        <v>392438</v>
      </c>
      <c r="J1453" s="13">
        <f t="shared" si="374"/>
        <v>198</v>
      </c>
      <c r="K1453" s="138">
        <f t="shared" si="375"/>
        <v>807</v>
      </c>
      <c r="L1453" s="8">
        <f t="shared" si="376"/>
        <v>1410015</v>
      </c>
      <c r="M1453" s="8">
        <v>1410151</v>
      </c>
      <c r="N1453" s="13">
        <f t="shared" si="377"/>
        <v>136</v>
      </c>
      <c r="O1453" s="136">
        <f t="shared" si="388"/>
        <v>679</v>
      </c>
      <c r="P1453" s="8">
        <f t="shared" si="393"/>
        <v>1875</v>
      </c>
      <c r="Q1453" s="8">
        <v>1999</v>
      </c>
      <c r="R1453" s="134">
        <f t="shared" si="365"/>
        <v>124</v>
      </c>
      <c r="S1453" s="8">
        <f t="shared" si="378"/>
        <v>61197</v>
      </c>
      <c r="T1453" s="8">
        <v>61213</v>
      </c>
      <c r="U1453" s="133">
        <f t="shared" si="379"/>
        <v>16</v>
      </c>
      <c r="V1453" s="8">
        <f t="shared" si="380"/>
        <v>937</v>
      </c>
      <c r="W1453" s="8">
        <v>1155</v>
      </c>
      <c r="X1453" s="13">
        <f t="shared" si="381"/>
        <v>218</v>
      </c>
      <c r="Y1453" s="8">
        <f t="shared" si="389"/>
        <v>49214</v>
      </c>
      <c r="Z1453" s="8">
        <v>49225</v>
      </c>
      <c r="AA1453" s="13">
        <f t="shared" si="382"/>
        <v>11</v>
      </c>
      <c r="AB1453" s="8">
        <f t="shared" si="383"/>
        <v>278230</v>
      </c>
      <c r="AC1453" s="8">
        <v>278242</v>
      </c>
      <c r="AD1453" s="13">
        <f t="shared" si="384"/>
        <v>12</v>
      </c>
      <c r="AE1453" s="135">
        <f t="shared" si="368"/>
        <v>12462</v>
      </c>
      <c r="AF1453" s="135">
        <v>12502</v>
      </c>
      <c r="AG1453" s="135">
        <f t="shared" si="385"/>
        <v>40</v>
      </c>
      <c r="AH1453" s="136">
        <f t="shared" si="386"/>
        <v>52</v>
      </c>
      <c r="AI1453" s="50">
        <f t="shared" si="387"/>
        <v>1048</v>
      </c>
    </row>
    <row r="1454" spans="1:36">
      <c r="A1454" s="12">
        <v>45829</v>
      </c>
      <c r="B1454" s="8">
        <f t="shared" si="369"/>
        <v>2186961</v>
      </c>
      <c r="C1454" s="8">
        <v>2186972</v>
      </c>
      <c r="D1454" s="13">
        <f t="shared" si="370"/>
        <v>11</v>
      </c>
      <c r="E1454" s="77">
        <f t="shared" si="371"/>
        <v>239733</v>
      </c>
      <c r="F1454" s="69">
        <v>240479</v>
      </c>
      <c r="G1454" s="133">
        <f t="shared" si="372"/>
        <v>746</v>
      </c>
      <c r="H1454" s="8">
        <f t="shared" si="373"/>
        <v>392438</v>
      </c>
      <c r="I1454" s="8">
        <v>392849</v>
      </c>
      <c r="J1454" s="13">
        <f t="shared" si="374"/>
        <v>411</v>
      </c>
      <c r="K1454" s="138">
        <f t="shared" si="375"/>
        <v>1168</v>
      </c>
      <c r="L1454" s="8">
        <f t="shared" si="376"/>
        <v>1410151</v>
      </c>
      <c r="M1454" s="8">
        <v>1411051</v>
      </c>
      <c r="N1454" s="13">
        <f t="shared" si="377"/>
        <v>900</v>
      </c>
      <c r="O1454" s="136">
        <f t="shared" si="388"/>
        <v>1087</v>
      </c>
      <c r="P1454" s="8">
        <f t="shared" si="393"/>
        <v>1999</v>
      </c>
      <c r="Q1454" s="8">
        <v>1999</v>
      </c>
      <c r="R1454" s="134">
        <f t="shared" ref="R1454:R1518" si="394">Q1454-P1454</f>
        <v>0</v>
      </c>
      <c r="S1454" s="8">
        <f t="shared" si="378"/>
        <v>61213</v>
      </c>
      <c r="T1454" s="8">
        <v>61315</v>
      </c>
      <c r="U1454" s="133">
        <f t="shared" si="379"/>
        <v>102</v>
      </c>
      <c r="V1454" s="8">
        <f t="shared" si="380"/>
        <v>1155</v>
      </c>
      <c r="W1454" s="8">
        <v>1337</v>
      </c>
      <c r="X1454" s="13">
        <f t="shared" si="381"/>
        <v>182</v>
      </c>
      <c r="Y1454" s="8">
        <f t="shared" si="389"/>
        <v>49225</v>
      </c>
      <c r="Z1454" s="8">
        <v>49228</v>
      </c>
      <c r="AA1454" s="13">
        <f t="shared" si="382"/>
        <v>3</v>
      </c>
      <c r="AB1454" s="8">
        <f t="shared" si="383"/>
        <v>278242</v>
      </c>
      <c r="AC1454" s="8">
        <v>278263</v>
      </c>
      <c r="AD1454" s="13">
        <f t="shared" si="384"/>
        <v>21</v>
      </c>
      <c r="AE1454" s="135">
        <f t="shared" si="368"/>
        <v>12502</v>
      </c>
      <c r="AF1454" s="135">
        <v>12502</v>
      </c>
      <c r="AG1454" s="135">
        <f t="shared" si="385"/>
        <v>0</v>
      </c>
      <c r="AH1454" s="136">
        <f t="shared" si="386"/>
        <v>21</v>
      </c>
      <c r="AI1454" s="50">
        <f t="shared" si="387"/>
        <v>1374</v>
      </c>
    </row>
    <row r="1455" spans="1:36">
      <c r="A1455" s="12">
        <v>45830</v>
      </c>
      <c r="B1455" s="8">
        <f t="shared" si="369"/>
        <v>2186972</v>
      </c>
      <c r="C1455" s="8">
        <v>2187448</v>
      </c>
      <c r="D1455" s="13">
        <f t="shared" si="370"/>
        <v>476</v>
      </c>
      <c r="E1455" s="77">
        <f t="shared" si="371"/>
        <v>240479</v>
      </c>
      <c r="F1455" s="69">
        <v>241219</v>
      </c>
      <c r="G1455" s="133">
        <f t="shared" si="372"/>
        <v>740</v>
      </c>
      <c r="H1455" s="8">
        <f t="shared" si="373"/>
        <v>392849</v>
      </c>
      <c r="I1455" s="8">
        <v>393752</v>
      </c>
      <c r="J1455" s="13">
        <f t="shared" si="374"/>
        <v>903</v>
      </c>
      <c r="K1455" s="138">
        <f t="shared" si="375"/>
        <v>2119</v>
      </c>
      <c r="L1455" s="8">
        <f t="shared" si="376"/>
        <v>1411051</v>
      </c>
      <c r="M1455" s="8">
        <v>1411160</v>
      </c>
      <c r="N1455" s="13">
        <f t="shared" si="377"/>
        <v>109</v>
      </c>
      <c r="O1455" s="136">
        <f t="shared" si="388"/>
        <v>1424</v>
      </c>
      <c r="P1455" s="8">
        <f t="shared" si="393"/>
        <v>1999</v>
      </c>
      <c r="Q1455" s="8">
        <v>2594</v>
      </c>
      <c r="R1455" s="134">
        <f t="shared" si="394"/>
        <v>595</v>
      </c>
      <c r="S1455" s="8">
        <f t="shared" si="378"/>
        <v>61315</v>
      </c>
      <c r="T1455" s="8">
        <v>61415</v>
      </c>
      <c r="U1455" s="133">
        <f t="shared" si="379"/>
        <v>100</v>
      </c>
      <c r="V1455" s="8">
        <f t="shared" si="380"/>
        <v>1337</v>
      </c>
      <c r="W1455" s="8">
        <v>1556</v>
      </c>
      <c r="X1455" s="13">
        <f t="shared" si="381"/>
        <v>219</v>
      </c>
      <c r="Y1455" s="8">
        <f t="shared" si="389"/>
        <v>49228</v>
      </c>
      <c r="Z1455" s="8">
        <v>49237</v>
      </c>
      <c r="AA1455" s="13">
        <f t="shared" si="382"/>
        <v>9</v>
      </c>
      <c r="AB1455" s="8">
        <f t="shared" si="383"/>
        <v>278263</v>
      </c>
      <c r="AC1455" s="8">
        <v>278263</v>
      </c>
      <c r="AD1455" s="13">
        <f t="shared" si="384"/>
        <v>0</v>
      </c>
      <c r="AE1455" s="135">
        <f t="shared" si="368"/>
        <v>12502</v>
      </c>
      <c r="AF1455" s="135">
        <v>12655</v>
      </c>
      <c r="AG1455" s="135">
        <f t="shared" si="385"/>
        <v>153</v>
      </c>
      <c r="AH1455" s="136">
        <f t="shared" si="386"/>
        <v>153</v>
      </c>
      <c r="AI1455" s="50">
        <f t="shared" si="387"/>
        <v>2347</v>
      </c>
    </row>
    <row r="1456" spans="1:36">
      <c r="A1456" s="12">
        <v>45831</v>
      </c>
      <c r="B1456" s="8">
        <f t="shared" si="369"/>
        <v>2187448</v>
      </c>
      <c r="C1456" s="8">
        <v>2187661</v>
      </c>
      <c r="D1456" s="13">
        <f t="shared" si="370"/>
        <v>213</v>
      </c>
      <c r="E1456" s="77">
        <f t="shared" si="371"/>
        <v>241219</v>
      </c>
      <c r="F1456" s="69">
        <v>241972</v>
      </c>
      <c r="G1456" s="133">
        <f t="shared" si="372"/>
        <v>753</v>
      </c>
      <c r="H1456" s="8">
        <f t="shared" si="373"/>
        <v>393752</v>
      </c>
      <c r="I1456" s="8">
        <v>393752</v>
      </c>
      <c r="J1456" s="13">
        <f t="shared" si="374"/>
        <v>0</v>
      </c>
      <c r="K1456" s="138">
        <f t="shared" si="375"/>
        <v>966</v>
      </c>
      <c r="L1456" s="8">
        <f t="shared" si="376"/>
        <v>1411160</v>
      </c>
      <c r="M1456" s="8">
        <v>1412386</v>
      </c>
      <c r="N1456" s="13">
        <f t="shared" si="377"/>
        <v>1226</v>
      </c>
      <c r="O1456" s="136">
        <f t="shared" si="388"/>
        <v>296</v>
      </c>
      <c r="P1456" s="8">
        <f t="shared" si="393"/>
        <v>2594</v>
      </c>
      <c r="Q1456" s="8">
        <v>3171</v>
      </c>
      <c r="R1456" s="134">
        <f t="shared" si="394"/>
        <v>577</v>
      </c>
      <c r="S1456" s="8">
        <f t="shared" si="378"/>
        <v>61415</v>
      </c>
      <c r="T1456" s="8">
        <v>61508</v>
      </c>
      <c r="U1456" s="133">
        <f t="shared" si="379"/>
        <v>93</v>
      </c>
      <c r="V1456" s="8">
        <f t="shared" si="380"/>
        <v>1556</v>
      </c>
      <c r="W1456" s="8">
        <v>1733</v>
      </c>
      <c r="X1456" s="13">
        <f t="shared" si="381"/>
        <v>177</v>
      </c>
      <c r="Y1456" s="8">
        <f t="shared" si="389"/>
        <v>49237</v>
      </c>
      <c r="Z1456" s="8">
        <v>49248</v>
      </c>
      <c r="AA1456" s="13">
        <f t="shared" si="382"/>
        <v>11</v>
      </c>
      <c r="AB1456" s="8">
        <f t="shared" si="383"/>
        <v>278263</v>
      </c>
      <c r="AC1456" s="8">
        <v>278263</v>
      </c>
      <c r="AD1456" s="13">
        <f t="shared" si="384"/>
        <v>0</v>
      </c>
      <c r="AE1456" s="135">
        <f t="shared" si="368"/>
        <v>12655</v>
      </c>
      <c r="AF1456" s="135">
        <v>12714</v>
      </c>
      <c r="AG1456" s="135">
        <f t="shared" si="385"/>
        <v>59</v>
      </c>
      <c r="AH1456" s="136">
        <f t="shared" si="386"/>
        <v>59</v>
      </c>
      <c r="AI1456" s="50">
        <f t="shared" si="387"/>
        <v>1154</v>
      </c>
    </row>
    <row r="1457" spans="1:36">
      <c r="A1457" s="12">
        <v>45832</v>
      </c>
      <c r="B1457" s="8">
        <f t="shared" si="369"/>
        <v>2187661</v>
      </c>
      <c r="C1457" s="8">
        <v>2187930</v>
      </c>
      <c r="D1457" s="13">
        <f t="shared" si="370"/>
        <v>269</v>
      </c>
      <c r="E1457" s="77">
        <f t="shared" si="371"/>
        <v>241972</v>
      </c>
      <c r="F1457" s="69">
        <v>242724</v>
      </c>
      <c r="G1457" s="133">
        <f t="shared" si="372"/>
        <v>752</v>
      </c>
      <c r="H1457" s="8">
        <f t="shared" si="373"/>
        <v>393752</v>
      </c>
      <c r="I1457" s="8">
        <v>394120</v>
      </c>
      <c r="J1457" s="13">
        <f t="shared" si="374"/>
        <v>368</v>
      </c>
      <c r="K1457" s="138">
        <f t="shared" si="375"/>
        <v>1389</v>
      </c>
      <c r="L1457" s="8">
        <f t="shared" si="376"/>
        <v>1412386</v>
      </c>
      <c r="M1457" s="8">
        <v>1413281</v>
      </c>
      <c r="N1457" s="13">
        <f t="shared" si="377"/>
        <v>895</v>
      </c>
      <c r="O1457" s="136">
        <f t="shared" si="388"/>
        <v>671</v>
      </c>
      <c r="P1457" s="8">
        <f t="shared" si="393"/>
        <v>3171</v>
      </c>
      <c r="Q1457" s="8">
        <v>3814</v>
      </c>
      <c r="R1457" s="134">
        <f t="shared" si="394"/>
        <v>643</v>
      </c>
      <c r="S1457" s="8">
        <f t="shared" si="378"/>
        <v>61508</v>
      </c>
      <c r="T1457" s="8">
        <v>61583</v>
      </c>
      <c r="U1457" s="133">
        <f t="shared" si="379"/>
        <v>75</v>
      </c>
      <c r="V1457" s="8">
        <f t="shared" si="380"/>
        <v>1733</v>
      </c>
      <c r="W1457" s="8">
        <v>1946</v>
      </c>
      <c r="X1457" s="13">
        <f t="shared" si="381"/>
        <v>213</v>
      </c>
      <c r="Y1457" s="8">
        <f t="shared" si="389"/>
        <v>49248</v>
      </c>
      <c r="Z1457" s="8">
        <v>49254</v>
      </c>
      <c r="AA1457" s="13">
        <f t="shared" si="382"/>
        <v>6</v>
      </c>
      <c r="AB1457" s="8">
        <f t="shared" si="383"/>
        <v>278263</v>
      </c>
      <c r="AC1457" s="8">
        <v>278263</v>
      </c>
      <c r="AD1457" s="13">
        <f t="shared" si="384"/>
        <v>0</v>
      </c>
      <c r="AE1457" s="135">
        <f t="shared" si="368"/>
        <v>12714</v>
      </c>
      <c r="AF1457" s="135">
        <v>12774</v>
      </c>
      <c r="AG1457" s="135">
        <f t="shared" si="385"/>
        <v>60</v>
      </c>
      <c r="AH1457" s="136">
        <f t="shared" si="386"/>
        <v>60</v>
      </c>
      <c r="AI1457" s="50">
        <f t="shared" si="387"/>
        <v>1608</v>
      </c>
    </row>
    <row r="1458" spans="1:36">
      <c r="A1458" s="12">
        <v>45833</v>
      </c>
      <c r="B1458" s="8">
        <f t="shared" si="369"/>
        <v>2187930</v>
      </c>
      <c r="C1458" s="8">
        <v>2188454</v>
      </c>
      <c r="D1458" s="13">
        <f t="shared" si="370"/>
        <v>524</v>
      </c>
      <c r="E1458" s="77">
        <f t="shared" si="371"/>
        <v>242724</v>
      </c>
      <c r="F1458" s="69">
        <v>243459</v>
      </c>
      <c r="G1458" s="133">
        <f t="shared" si="372"/>
        <v>735</v>
      </c>
      <c r="H1458" s="8">
        <f t="shared" si="373"/>
        <v>394120</v>
      </c>
      <c r="I1458" s="8">
        <v>394497</v>
      </c>
      <c r="J1458" s="13">
        <f t="shared" si="374"/>
        <v>377</v>
      </c>
      <c r="K1458" s="138">
        <f t="shared" si="375"/>
        <v>1636</v>
      </c>
      <c r="L1458" s="8">
        <f t="shared" si="376"/>
        <v>1413281</v>
      </c>
      <c r="M1458" s="8">
        <v>1414088</v>
      </c>
      <c r="N1458" s="13">
        <f t="shared" si="377"/>
        <v>807</v>
      </c>
      <c r="O1458" s="136">
        <f t="shared" si="388"/>
        <v>848</v>
      </c>
      <c r="P1458" s="8">
        <f t="shared" si="393"/>
        <v>3814</v>
      </c>
      <c r="Q1458" s="8">
        <v>4485</v>
      </c>
      <c r="R1458" s="134">
        <f t="shared" si="394"/>
        <v>671</v>
      </c>
      <c r="S1458" s="8">
        <f t="shared" si="378"/>
        <v>61583</v>
      </c>
      <c r="T1458" s="8">
        <v>61703</v>
      </c>
      <c r="U1458" s="133">
        <f t="shared" si="379"/>
        <v>120</v>
      </c>
      <c r="V1458" s="8">
        <f t="shared" si="380"/>
        <v>1946</v>
      </c>
      <c r="W1458" s="8">
        <v>2165</v>
      </c>
      <c r="X1458" s="13">
        <f t="shared" si="381"/>
        <v>219</v>
      </c>
      <c r="Y1458" s="8">
        <f t="shared" si="389"/>
        <v>49254</v>
      </c>
      <c r="Z1458" s="8">
        <v>49267</v>
      </c>
      <c r="AA1458" s="13">
        <f t="shared" si="382"/>
        <v>13</v>
      </c>
      <c r="AB1458" s="8">
        <f t="shared" si="383"/>
        <v>278263</v>
      </c>
      <c r="AC1458" s="8">
        <v>278266</v>
      </c>
      <c r="AD1458" s="13">
        <f t="shared" si="384"/>
        <v>3</v>
      </c>
      <c r="AE1458" s="135">
        <f t="shared" si="368"/>
        <v>12774</v>
      </c>
      <c r="AF1458" s="135">
        <v>12774</v>
      </c>
      <c r="AG1458" s="135">
        <f t="shared" si="385"/>
        <v>0</v>
      </c>
      <c r="AH1458" s="136">
        <f t="shared" si="386"/>
        <v>3</v>
      </c>
      <c r="AI1458" s="50">
        <f t="shared" si="387"/>
        <v>1871</v>
      </c>
    </row>
    <row r="1459" spans="1:36">
      <c r="A1459" s="12">
        <v>45834</v>
      </c>
      <c r="B1459" s="8">
        <f t="shared" si="369"/>
        <v>2188454</v>
      </c>
      <c r="C1459" s="8">
        <v>2188824</v>
      </c>
      <c r="D1459" s="13">
        <f t="shared" si="370"/>
        <v>370</v>
      </c>
      <c r="E1459" s="77">
        <f t="shared" si="371"/>
        <v>243459</v>
      </c>
      <c r="F1459" s="69">
        <v>244183</v>
      </c>
      <c r="G1459" s="133">
        <f t="shared" si="372"/>
        <v>724</v>
      </c>
      <c r="H1459" s="8">
        <f t="shared" si="373"/>
        <v>394497</v>
      </c>
      <c r="I1459" s="8">
        <v>395188</v>
      </c>
      <c r="J1459" s="13">
        <f t="shared" si="374"/>
        <v>691</v>
      </c>
      <c r="K1459" s="138">
        <f t="shared" si="375"/>
        <v>1785</v>
      </c>
      <c r="L1459" s="8">
        <f t="shared" si="376"/>
        <v>1414088</v>
      </c>
      <c r="M1459" s="8">
        <v>1414389</v>
      </c>
      <c r="N1459" s="13">
        <f t="shared" si="377"/>
        <v>301</v>
      </c>
      <c r="O1459" s="136">
        <f t="shared" si="388"/>
        <v>1303</v>
      </c>
      <c r="P1459" s="8">
        <f t="shared" si="393"/>
        <v>4485</v>
      </c>
      <c r="Q1459" s="8">
        <v>4984</v>
      </c>
      <c r="R1459" s="134">
        <f t="shared" si="394"/>
        <v>499</v>
      </c>
      <c r="S1459" s="8">
        <f t="shared" si="378"/>
        <v>61703</v>
      </c>
      <c r="T1459" s="8">
        <v>61815</v>
      </c>
      <c r="U1459" s="133">
        <f t="shared" si="379"/>
        <v>112</v>
      </c>
      <c r="V1459" s="8">
        <f t="shared" si="380"/>
        <v>2165</v>
      </c>
      <c r="W1459" s="8">
        <v>2362</v>
      </c>
      <c r="X1459" s="13">
        <f t="shared" si="381"/>
        <v>197</v>
      </c>
      <c r="Y1459" s="8">
        <f t="shared" si="389"/>
        <v>49267</v>
      </c>
      <c r="Z1459" s="8">
        <v>49280</v>
      </c>
      <c r="AA1459" s="13">
        <f>Z1459-Y1459</f>
        <v>13</v>
      </c>
      <c r="AB1459" s="8">
        <f t="shared" si="383"/>
        <v>278266</v>
      </c>
      <c r="AC1459" s="8">
        <v>278395</v>
      </c>
      <c r="AD1459" s="13">
        <f t="shared" si="384"/>
        <v>129</v>
      </c>
      <c r="AE1459" s="135">
        <f t="shared" si="368"/>
        <v>12774</v>
      </c>
      <c r="AF1459" s="135">
        <v>12774</v>
      </c>
      <c r="AG1459" s="135">
        <f t="shared" si="385"/>
        <v>0</v>
      </c>
      <c r="AH1459" s="136">
        <f t="shared" si="386"/>
        <v>129</v>
      </c>
      <c r="AI1459" s="50">
        <f t="shared" si="387"/>
        <v>2124</v>
      </c>
    </row>
    <row r="1460" spans="1:36">
      <c r="A1460" s="12">
        <v>45835</v>
      </c>
      <c r="B1460" s="8">
        <f t="shared" si="369"/>
        <v>2188824</v>
      </c>
      <c r="C1460" s="8">
        <v>2189093</v>
      </c>
      <c r="D1460" s="13">
        <f t="shared" si="370"/>
        <v>269</v>
      </c>
      <c r="E1460" s="77">
        <f t="shared" si="371"/>
        <v>244183</v>
      </c>
      <c r="F1460" s="69">
        <v>244920</v>
      </c>
      <c r="G1460" s="133">
        <f t="shared" si="372"/>
        <v>737</v>
      </c>
      <c r="H1460" s="8">
        <f t="shared" si="373"/>
        <v>395188</v>
      </c>
      <c r="I1460" s="8">
        <v>395827</v>
      </c>
      <c r="J1460" s="13">
        <f t="shared" si="374"/>
        <v>639</v>
      </c>
      <c r="K1460" s="138">
        <f t="shared" si="375"/>
        <v>1645</v>
      </c>
      <c r="L1460" s="8">
        <f t="shared" si="376"/>
        <v>1414389</v>
      </c>
      <c r="M1460" s="8">
        <v>1415099</v>
      </c>
      <c r="N1460" s="13">
        <f t="shared" si="377"/>
        <v>710</v>
      </c>
      <c r="O1460" s="136">
        <f t="shared" si="388"/>
        <v>908</v>
      </c>
      <c r="P1460" s="8">
        <f t="shared" si="393"/>
        <v>4984</v>
      </c>
      <c r="Q1460" s="8">
        <v>5674</v>
      </c>
      <c r="R1460" s="134">
        <f t="shared" si="394"/>
        <v>690</v>
      </c>
      <c r="S1460" s="8">
        <f t="shared" si="378"/>
        <v>61815</v>
      </c>
      <c r="T1460" s="8">
        <v>61895</v>
      </c>
      <c r="U1460" s="133">
        <f t="shared" si="379"/>
        <v>80</v>
      </c>
      <c r="V1460" s="8">
        <f t="shared" si="380"/>
        <v>2362</v>
      </c>
      <c r="W1460" s="8">
        <v>2581</v>
      </c>
      <c r="X1460" s="13">
        <f t="shared" si="381"/>
        <v>219</v>
      </c>
      <c r="Y1460" s="8">
        <f t="shared" si="389"/>
        <v>49280</v>
      </c>
      <c r="Z1460" s="8">
        <v>49298</v>
      </c>
      <c r="AA1460" s="13">
        <f t="shared" si="382"/>
        <v>18</v>
      </c>
      <c r="AB1460" s="8">
        <f t="shared" si="383"/>
        <v>278395</v>
      </c>
      <c r="AC1460" s="8">
        <v>278428</v>
      </c>
      <c r="AD1460" s="13">
        <f t="shared" si="384"/>
        <v>33</v>
      </c>
      <c r="AE1460" s="135">
        <f t="shared" ref="AE1460:AE1523" si="395">AF1459</f>
        <v>12774</v>
      </c>
      <c r="AF1460" s="135">
        <v>12774</v>
      </c>
      <c r="AG1460" s="135">
        <f t="shared" si="385"/>
        <v>0</v>
      </c>
      <c r="AH1460" s="136">
        <f t="shared" si="386"/>
        <v>33</v>
      </c>
      <c r="AI1460" s="50">
        <f t="shared" si="387"/>
        <v>1915</v>
      </c>
    </row>
    <row r="1461" spans="1:36">
      <c r="A1461" s="12">
        <v>45836</v>
      </c>
      <c r="B1461" s="8">
        <f t="shared" si="369"/>
        <v>2189093</v>
      </c>
      <c r="C1461" s="8">
        <v>2189439</v>
      </c>
      <c r="D1461" s="13">
        <f t="shared" si="370"/>
        <v>346</v>
      </c>
      <c r="E1461" s="77">
        <f t="shared" si="371"/>
        <v>244920</v>
      </c>
      <c r="F1461" s="69">
        <v>245670</v>
      </c>
      <c r="G1461" s="133">
        <f t="shared" si="372"/>
        <v>750</v>
      </c>
      <c r="H1461" s="8">
        <f t="shared" si="373"/>
        <v>395827</v>
      </c>
      <c r="I1461" s="8">
        <v>395827</v>
      </c>
      <c r="J1461" s="13">
        <f t="shared" si="374"/>
        <v>0</v>
      </c>
      <c r="K1461" s="138">
        <f t="shared" si="375"/>
        <v>1096</v>
      </c>
      <c r="L1461" s="8">
        <f t="shared" si="376"/>
        <v>1415099</v>
      </c>
      <c r="M1461" s="8">
        <v>1416595</v>
      </c>
      <c r="N1461" s="13">
        <f t="shared" si="377"/>
        <v>1496</v>
      </c>
      <c r="O1461" s="136">
        <f t="shared" si="388"/>
        <v>453</v>
      </c>
      <c r="P1461" s="8">
        <f t="shared" si="393"/>
        <v>5674</v>
      </c>
      <c r="Q1461" s="8">
        <v>6353</v>
      </c>
      <c r="R1461" s="134">
        <f t="shared" si="394"/>
        <v>679</v>
      </c>
      <c r="S1461" s="8">
        <f t="shared" si="378"/>
        <v>61895</v>
      </c>
      <c r="T1461" s="8">
        <v>61990</v>
      </c>
      <c r="U1461" s="133">
        <f t="shared" si="379"/>
        <v>95</v>
      </c>
      <c r="V1461" s="8">
        <f t="shared" si="380"/>
        <v>2581</v>
      </c>
      <c r="W1461" s="8">
        <v>2731</v>
      </c>
      <c r="X1461" s="13">
        <f t="shared" si="381"/>
        <v>150</v>
      </c>
      <c r="Y1461" s="8">
        <f t="shared" si="389"/>
        <v>49298</v>
      </c>
      <c r="Z1461" s="8">
        <v>49318</v>
      </c>
      <c r="AA1461" s="13">
        <f t="shared" si="382"/>
        <v>20</v>
      </c>
      <c r="AB1461" s="8">
        <f t="shared" si="383"/>
        <v>278428</v>
      </c>
      <c r="AC1461" s="8">
        <v>278559</v>
      </c>
      <c r="AD1461" s="13">
        <f t="shared" si="384"/>
        <v>131</v>
      </c>
      <c r="AE1461" s="135">
        <f t="shared" si="395"/>
        <v>12774</v>
      </c>
      <c r="AF1461" s="135">
        <v>12774</v>
      </c>
      <c r="AG1461" s="135">
        <f t="shared" si="385"/>
        <v>0</v>
      </c>
      <c r="AH1461" s="136">
        <f t="shared" si="386"/>
        <v>131</v>
      </c>
      <c r="AI1461" s="50">
        <f t="shared" si="387"/>
        <v>1397</v>
      </c>
    </row>
    <row r="1462" spans="1:36">
      <c r="A1462" s="12">
        <v>45837</v>
      </c>
      <c r="B1462" s="8">
        <f t="shared" ref="B1462:B1525" si="396">C1461</f>
        <v>2189439</v>
      </c>
      <c r="C1462" s="8">
        <v>2190004</v>
      </c>
      <c r="D1462" s="13">
        <f t="shared" ref="D1462:D1525" si="397">C1462-B1462</f>
        <v>565</v>
      </c>
      <c r="E1462" s="77">
        <f t="shared" ref="E1462:E1525" si="398">F1461</f>
        <v>245670</v>
      </c>
      <c r="F1462" s="69">
        <v>246431</v>
      </c>
      <c r="G1462" s="133">
        <f t="shared" ref="G1462:G1525" si="399">F1462-E1462</f>
        <v>761</v>
      </c>
      <c r="H1462" s="8">
        <f t="shared" ref="H1462:H1525" si="400">I1461</f>
        <v>395827</v>
      </c>
      <c r="I1462" s="8">
        <v>396191</v>
      </c>
      <c r="J1462" s="13">
        <f t="shared" ref="J1462:J1525" si="401">I1462-H1462</f>
        <v>364</v>
      </c>
      <c r="K1462" s="138">
        <f t="shared" ref="K1462:K1525" si="402">J1462+G1462+D1462</f>
        <v>1690</v>
      </c>
      <c r="L1462" s="8">
        <f t="shared" ref="L1462:L1525" si="403">M1461</f>
        <v>1416595</v>
      </c>
      <c r="M1462" s="8">
        <v>1417376</v>
      </c>
      <c r="N1462" s="13">
        <f t="shared" ref="N1462:N1525" si="404">M1462-L1462</f>
        <v>781</v>
      </c>
      <c r="O1462" s="136">
        <f t="shared" si="388"/>
        <v>1150</v>
      </c>
      <c r="P1462" s="8">
        <f t="shared" si="393"/>
        <v>6353</v>
      </c>
      <c r="Q1462" s="8">
        <v>6853</v>
      </c>
      <c r="R1462" s="134">
        <f t="shared" si="394"/>
        <v>500</v>
      </c>
      <c r="S1462" s="8">
        <f t="shared" ref="S1462:S1525" si="405">T1461</f>
        <v>61990</v>
      </c>
      <c r="T1462" s="8">
        <v>62115</v>
      </c>
      <c r="U1462" s="133">
        <f t="shared" ref="U1462:U1525" si="406">T1462-S1462</f>
        <v>125</v>
      </c>
      <c r="V1462" s="8">
        <f t="shared" ref="V1462:V1525" si="407">W1461</f>
        <v>2731</v>
      </c>
      <c r="W1462" s="8">
        <v>2889</v>
      </c>
      <c r="X1462" s="13">
        <f t="shared" ref="X1462:X1525" si="408">W1462-V1462</f>
        <v>158</v>
      </c>
      <c r="Y1462" s="8">
        <f t="shared" ref="Y1462:Y1525" si="409">Z1461</f>
        <v>49318</v>
      </c>
      <c r="Z1462" s="8">
        <v>49341</v>
      </c>
      <c r="AA1462" s="13">
        <f t="shared" ref="AA1462:AA1525" si="410">Z1462-Y1462</f>
        <v>23</v>
      </c>
      <c r="AB1462" s="8">
        <f t="shared" ref="AB1462:AB1467" si="411">AC1461</f>
        <v>278559</v>
      </c>
      <c r="AC1462" s="8">
        <v>278644</v>
      </c>
      <c r="AD1462" s="13">
        <f t="shared" ref="AD1462:AD1464" si="412">AC1462-AB1462</f>
        <v>85</v>
      </c>
      <c r="AE1462" s="135">
        <f t="shared" si="395"/>
        <v>12774</v>
      </c>
      <c r="AF1462" s="135">
        <v>12774</v>
      </c>
      <c r="AG1462" s="135">
        <f t="shared" ref="AG1462:AG1525" si="413">AF1462-AE1462</f>
        <v>0</v>
      </c>
      <c r="AH1462" s="136">
        <f t="shared" ref="AH1462:AH1464" si="414">AG1462+AD1462</f>
        <v>85</v>
      </c>
      <c r="AI1462" s="50">
        <f t="shared" ref="AI1462:AI1463" si="415">AA1462+U1462+R1462+O1462+X1462</f>
        <v>1956</v>
      </c>
    </row>
    <row r="1463" spans="1:36">
      <c r="A1463" s="12">
        <v>45838</v>
      </c>
      <c r="B1463" s="8">
        <f t="shared" si="396"/>
        <v>2190004</v>
      </c>
      <c r="C1463" s="8">
        <v>2190265</v>
      </c>
      <c r="D1463" s="13">
        <f t="shared" si="397"/>
        <v>261</v>
      </c>
      <c r="E1463" s="77">
        <f t="shared" si="398"/>
        <v>246431</v>
      </c>
      <c r="F1463" s="69">
        <v>247152</v>
      </c>
      <c r="G1463" s="133">
        <f t="shared" si="399"/>
        <v>721</v>
      </c>
      <c r="H1463" s="8">
        <f t="shared" si="400"/>
        <v>396191</v>
      </c>
      <c r="I1463" s="8">
        <v>396191</v>
      </c>
      <c r="J1463" s="13">
        <f t="shared" si="401"/>
        <v>0</v>
      </c>
      <c r="K1463" s="138">
        <f t="shared" si="402"/>
        <v>982</v>
      </c>
      <c r="L1463" s="8">
        <f t="shared" si="403"/>
        <v>1417376</v>
      </c>
      <c r="M1463" s="8">
        <v>1418399</v>
      </c>
      <c r="N1463" s="13">
        <f t="shared" si="404"/>
        <v>1023</v>
      </c>
      <c r="O1463" s="136">
        <f t="shared" si="388"/>
        <v>435</v>
      </c>
      <c r="P1463" s="8">
        <f t="shared" si="393"/>
        <v>6853</v>
      </c>
      <c r="Q1463" s="8">
        <v>7319</v>
      </c>
      <c r="R1463" s="134">
        <f t="shared" si="394"/>
        <v>466</v>
      </c>
      <c r="S1463" s="8">
        <f t="shared" si="405"/>
        <v>62115</v>
      </c>
      <c r="T1463" s="8">
        <v>62245</v>
      </c>
      <c r="U1463" s="133">
        <f t="shared" si="406"/>
        <v>130</v>
      </c>
      <c r="V1463" s="8">
        <f t="shared" si="407"/>
        <v>2889</v>
      </c>
      <c r="W1463" s="8">
        <v>3114</v>
      </c>
      <c r="X1463" s="13">
        <f t="shared" si="408"/>
        <v>225</v>
      </c>
      <c r="Y1463" s="8">
        <f t="shared" si="409"/>
        <v>49341</v>
      </c>
      <c r="Z1463" s="8">
        <v>49369</v>
      </c>
      <c r="AA1463" s="13">
        <f t="shared" si="410"/>
        <v>28</v>
      </c>
      <c r="AB1463" s="8">
        <f t="shared" si="411"/>
        <v>278644</v>
      </c>
      <c r="AC1463" s="8">
        <v>278693</v>
      </c>
      <c r="AD1463" s="13">
        <f t="shared" si="412"/>
        <v>49</v>
      </c>
      <c r="AE1463" s="135">
        <f t="shared" si="395"/>
        <v>12774</v>
      </c>
      <c r="AF1463" s="135">
        <v>12774</v>
      </c>
      <c r="AG1463" s="135">
        <f t="shared" si="413"/>
        <v>0</v>
      </c>
      <c r="AH1463" s="136">
        <f t="shared" si="414"/>
        <v>49</v>
      </c>
      <c r="AI1463" s="50">
        <f t="shared" si="415"/>
        <v>1284</v>
      </c>
    </row>
    <row r="1464" spans="1:36">
      <c r="A1464" s="12">
        <v>45839</v>
      </c>
      <c r="B1464" s="8">
        <f t="shared" si="396"/>
        <v>2190265</v>
      </c>
      <c r="C1464" s="8">
        <v>2190424</v>
      </c>
      <c r="D1464" s="13">
        <f t="shared" si="397"/>
        <v>159</v>
      </c>
      <c r="E1464" s="77">
        <f t="shared" si="398"/>
        <v>247152</v>
      </c>
      <c r="F1464" s="69">
        <v>247881</v>
      </c>
      <c r="G1464" s="133">
        <f t="shared" si="399"/>
        <v>729</v>
      </c>
      <c r="H1464" s="8">
        <f t="shared" si="400"/>
        <v>396191</v>
      </c>
      <c r="I1464" s="8">
        <v>396911</v>
      </c>
      <c r="J1464" s="13">
        <f t="shared" si="401"/>
        <v>720</v>
      </c>
      <c r="K1464" s="138">
        <f t="shared" si="402"/>
        <v>1608</v>
      </c>
      <c r="L1464" s="8">
        <f t="shared" si="403"/>
        <v>1418399</v>
      </c>
      <c r="M1464" s="8">
        <v>1418982</v>
      </c>
      <c r="N1464" s="13">
        <f t="shared" si="404"/>
        <v>583</v>
      </c>
      <c r="O1464" s="136">
        <f t="shared" si="388"/>
        <v>796</v>
      </c>
      <c r="P1464" s="8">
        <f t="shared" si="393"/>
        <v>7319</v>
      </c>
      <c r="Q1464" s="8">
        <v>8066</v>
      </c>
      <c r="R1464" s="134">
        <f t="shared" si="394"/>
        <v>747</v>
      </c>
      <c r="S1464" s="8">
        <f t="shared" si="405"/>
        <v>62245</v>
      </c>
      <c r="T1464" s="8">
        <v>62362</v>
      </c>
      <c r="U1464" s="133">
        <f t="shared" si="406"/>
        <v>117</v>
      </c>
      <c r="V1464" s="8">
        <f t="shared" si="407"/>
        <v>3114</v>
      </c>
      <c r="W1464" s="8">
        <v>3276</v>
      </c>
      <c r="X1464" s="13">
        <f t="shared" si="408"/>
        <v>162</v>
      </c>
      <c r="Y1464" s="8">
        <f t="shared" si="409"/>
        <v>49369</v>
      </c>
      <c r="Z1464" s="8">
        <v>49381</v>
      </c>
      <c r="AA1464" s="13">
        <f t="shared" si="410"/>
        <v>12</v>
      </c>
      <c r="AB1464" s="8">
        <f t="shared" si="411"/>
        <v>278693</v>
      </c>
      <c r="AC1464" s="8">
        <v>278745</v>
      </c>
      <c r="AD1464" s="13">
        <f t="shared" si="412"/>
        <v>52</v>
      </c>
      <c r="AE1464" s="135">
        <f t="shared" si="395"/>
        <v>12774</v>
      </c>
      <c r="AF1464" s="135">
        <v>12774</v>
      </c>
      <c r="AG1464" s="135">
        <f t="shared" si="413"/>
        <v>0</v>
      </c>
      <c r="AH1464" s="136">
        <f t="shared" si="414"/>
        <v>52</v>
      </c>
      <c r="AI1464" s="50">
        <f t="shared" ref="AI1464:AI1525" si="416">AA1464+U1464+R1464+O1464+X1464</f>
        <v>1834</v>
      </c>
    </row>
    <row r="1465" spans="1:36">
      <c r="A1465" s="12">
        <v>45840</v>
      </c>
      <c r="B1465" s="8">
        <f t="shared" si="396"/>
        <v>2190424</v>
      </c>
      <c r="C1465" s="8">
        <v>2190484</v>
      </c>
      <c r="D1465" s="13">
        <f t="shared" si="397"/>
        <v>60</v>
      </c>
      <c r="E1465" s="77">
        <f t="shared" si="398"/>
        <v>247881</v>
      </c>
      <c r="F1465" s="69">
        <v>248620</v>
      </c>
      <c r="G1465" s="133">
        <f t="shared" si="399"/>
        <v>739</v>
      </c>
      <c r="H1465" s="8">
        <f t="shared" si="400"/>
        <v>396911</v>
      </c>
      <c r="I1465" s="8">
        <v>397646</v>
      </c>
      <c r="J1465" s="13">
        <f t="shared" si="401"/>
        <v>735</v>
      </c>
      <c r="K1465" s="138">
        <f t="shared" si="402"/>
        <v>1534</v>
      </c>
      <c r="L1465" s="8">
        <f t="shared" si="403"/>
        <v>1418982</v>
      </c>
      <c r="M1465" s="8">
        <v>1419359</v>
      </c>
      <c r="N1465" s="13">
        <f t="shared" si="404"/>
        <v>377</v>
      </c>
      <c r="O1465" s="136">
        <f t="shared" si="388"/>
        <v>1044</v>
      </c>
      <c r="P1465" s="8">
        <f t="shared" si="393"/>
        <v>8066</v>
      </c>
      <c r="Q1465" s="8">
        <v>8592</v>
      </c>
      <c r="R1465" s="134">
        <f t="shared" si="394"/>
        <v>526</v>
      </c>
      <c r="S1465" s="8">
        <f t="shared" si="405"/>
        <v>62362</v>
      </c>
      <c r="T1465" s="8">
        <v>62372</v>
      </c>
      <c r="U1465" s="133">
        <f t="shared" si="406"/>
        <v>10</v>
      </c>
      <c r="V1465" s="8">
        <f t="shared" si="407"/>
        <v>3276</v>
      </c>
      <c r="W1465" s="8">
        <v>3467</v>
      </c>
      <c r="X1465" s="13">
        <f t="shared" si="408"/>
        <v>191</v>
      </c>
      <c r="Y1465" s="8">
        <f t="shared" si="409"/>
        <v>49381</v>
      </c>
      <c r="Z1465" s="8">
        <v>49390</v>
      </c>
      <c r="AA1465" s="13">
        <f t="shared" si="410"/>
        <v>9</v>
      </c>
      <c r="AB1465" s="8">
        <f t="shared" si="411"/>
        <v>278745</v>
      </c>
      <c r="AC1465" s="8">
        <v>278791</v>
      </c>
      <c r="AD1465" s="13">
        <f t="shared" ref="AD1465:AD1525" si="417">AC1465-AB1465</f>
        <v>46</v>
      </c>
      <c r="AE1465" s="135">
        <f t="shared" si="395"/>
        <v>12774</v>
      </c>
      <c r="AF1465" s="135">
        <v>12774</v>
      </c>
      <c r="AG1465" s="135">
        <f t="shared" si="413"/>
        <v>0</v>
      </c>
      <c r="AH1465" s="136">
        <f t="shared" ref="AH1465:AH1525" si="418">AG1465+AD1465</f>
        <v>46</v>
      </c>
      <c r="AI1465" s="50">
        <f t="shared" si="416"/>
        <v>1780</v>
      </c>
    </row>
    <row r="1466" spans="1:36">
      <c r="A1466" s="12">
        <v>45841</v>
      </c>
      <c r="B1466" s="8">
        <f t="shared" si="396"/>
        <v>2190484</v>
      </c>
      <c r="C1466" s="8">
        <v>2190492</v>
      </c>
      <c r="D1466" s="13">
        <f t="shared" si="397"/>
        <v>8</v>
      </c>
      <c r="E1466" s="77">
        <f t="shared" si="398"/>
        <v>248620</v>
      </c>
      <c r="F1466" s="69">
        <v>249349</v>
      </c>
      <c r="G1466" s="133">
        <f t="shared" si="399"/>
        <v>729</v>
      </c>
      <c r="H1466" s="8">
        <f t="shared" si="400"/>
        <v>397646</v>
      </c>
      <c r="I1466" s="8">
        <v>398539</v>
      </c>
      <c r="J1466" s="13">
        <f t="shared" si="401"/>
        <v>893</v>
      </c>
      <c r="K1466" s="138">
        <f t="shared" si="402"/>
        <v>1630</v>
      </c>
      <c r="L1466" s="8">
        <f t="shared" si="403"/>
        <v>1419359</v>
      </c>
      <c r="M1466" s="8">
        <v>1419559</v>
      </c>
      <c r="N1466" s="13">
        <f t="shared" si="404"/>
        <v>200</v>
      </c>
      <c r="O1466" s="136">
        <f t="shared" si="388"/>
        <v>1039</v>
      </c>
      <c r="P1466" s="8">
        <f t="shared" si="393"/>
        <v>8592</v>
      </c>
      <c r="Q1466" s="8">
        <v>9084</v>
      </c>
      <c r="R1466" s="134">
        <f t="shared" si="394"/>
        <v>492</v>
      </c>
      <c r="S1466" s="8">
        <f t="shared" si="405"/>
        <v>62372</v>
      </c>
      <c r="T1466" s="8">
        <v>62471</v>
      </c>
      <c r="U1466" s="133">
        <f t="shared" si="406"/>
        <v>99</v>
      </c>
      <c r="V1466" s="8">
        <f t="shared" si="407"/>
        <v>3467</v>
      </c>
      <c r="W1466" s="8">
        <v>3611</v>
      </c>
      <c r="X1466" s="13">
        <f t="shared" si="408"/>
        <v>144</v>
      </c>
      <c r="Y1466" s="8">
        <f t="shared" si="409"/>
        <v>49390</v>
      </c>
      <c r="Z1466" s="8">
        <v>49409</v>
      </c>
      <c r="AA1466" s="13">
        <f t="shared" si="410"/>
        <v>19</v>
      </c>
      <c r="AB1466" s="8">
        <f t="shared" si="411"/>
        <v>278791</v>
      </c>
      <c r="AC1466" s="8">
        <v>278791</v>
      </c>
      <c r="AD1466" s="13">
        <f t="shared" si="417"/>
        <v>0</v>
      </c>
      <c r="AE1466" s="135">
        <f t="shared" si="395"/>
        <v>12774</v>
      </c>
      <c r="AF1466" s="135">
        <v>12970</v>
      </c>
      <c r="AG1466" s="135">
        <f t="shared" si="413"/>
        <v>196</v>
      </c>
      <c r="AH1466" s="136">
        <f t="shared" si="418"/>
        <v>196</v>
      </c>
      <c r="AI1466" s="50">
        <f t="shared" si="416"/>
        <v>1793</v>
      </c>
    </row>
    <row r="1467" spans="1:36">
      <c r="A1467" s="12">
        <v>45842</v>
      </c>
      <c r="B1467" s="8">
        <f t="shared" si="396"/>
        <v>2190492</v>
      </c>
      <c r="C1467" s="8">
        <v>2190501</v>
      </c>
      <c r="D1467" s="13">
        <f t="shared" si="397"/>
        <v>9</v>
      </c>
      <c r="E1467" s="77">
        <f t="shared" si="398"/>
        <v>249349</v>
      </c>
      <c r="F1467" s="69">
        <v>250115</v>
      </c>
      <c r="G1467" s="133">
        <f t="shared" si="399"/>
        <v>766</v>
      </c>
      <c r="H1467" s="8">
        <f t="shared" si="400"/>
        <v>398539</v>
      </c>
      <c r="I1467" s="8">
        <v>398539</v>
      </c>
      <c r="J1467" s="13">
        <f t="shared" si="401"/>
        <v>0</v>
      </c>
      <c r="K1467" s="138">
        <f t="shared" si="402"/>
        <v>775</v>
      </c>
      <c r="L1467" s="8">
        <f t="shared" si="403"/>
        <v>1419559</v>
      </c>
      <c r="M1467" s="8">
        <v>1420465</v>
      </c>
      <c r="N1467" s="13">
        <f t="shared" si="404"/>
        <v>906</v>
      </c>
      <c r="O1467" s="136">
        <f t="shared" ref="O1467:O1530" si="419">(D1467+G1467+J1467+AD1467)-(U1467+R1467)</f>
        <v>162</v>
      </c>
      <c r="P1467" s="8">
        <f t="shared" si="393"/>
        <v>9084</v>
      </c>
      <c r="Q1467" s="8">
        <v>9625</v>
      </c>
      <c r="R1467" s="134">
        <f t="shared" si="394"/>
        <v>541</v>
      </c>
      <c r="S1467" s="8">
        <f t="shared" si="405"/>
        <v>62471</v>
      </c>
      <c r="T1467" s="8">
        <v>62604</v>
      </c>
      <c r="U1467" s="133">
        <f t="shared" si="406"/>
        <v>133</v>
      </c>
      <c r="V1467" s="8">
        <f t="shared" si="407"/>
        <v>3611</v>
      </c>
      <c r="W1467" s="8">
        <v>3733</v>
      </c>
      <c r="X1467" s="13">
        <f t="shared" si="408"/>
        <v>122</v>
      </c>
      <c r="Y1467" s="8">
        <f t="shared" si="409"/>
        <v>49409</v>
      </c>
      <c r="Z1467" s="8">
        <v>49427</v>
      </c>
      <c r="AA1467" s="13">
        <f t="shared" si="410"/>
        <v>18</v>
      </c>
      <c r="AB1467" s="8">
        <f t="shared" si="411"/>
        <v>278791</v>
      </c>
      <c r="AC1467" s="8">
        <v>278852</v>
      </c>
      <c r="AD1467" s="13">
        <f t="shared" si="417"/>
        <v>61</v>
      </c>
      <c r="AE1467" s="135">
        <f t="shared" si="395"/>
        <v>12970</v>
      </c>
      <c r="AF1467" s="135">
        <v>12984</v>
      </c>
      <c r="AG1467" s="135">
        <f t="shared" si="413"/>
        <v>14</v>
      </c>
      <c r="AH1467" s="136">
        <f t="shared" si="418"/>
        <v>75</v>
      </c>
      <c r="AI1467" s="50">
        <f t="shared" si="416"/>
        <v>976</v>
      </c>
    </row>
    <row r="1468" spans="1:36">
      <c r="A1468" s="12">
        <v>45843</v>
      </c>
      <c r="B1468" s="8">
        <f t="shared" si="396"/>
        <v>2190501</v>
      </c>
      <c r="C1468" s="8">
        <v>2190592</v>
      </c>
      <c r="D1468" s="13">
        <f t="shared" si="397"/>
        <v>91</v>
      </c>
      <c r="E1468" s="77">
        <f t="shared" si="398"/>
        <v>250115</v>
      </c>
      <c r="F1468" s="69">
        <v>250855</v>
      </c>
      <c r="G1468" s="133">
        <f t="shared" si="399"/>
        <v>740</v>
      </c>
      <c r="H1468" s="8">
        <f t="shared" si="400"/>
        <v>398539</v>
      </c>
      <c r="I1468" s="8">
        <v>398960</v>
      </c>
      <c r="J1468" s="13">
        <f t="shared" si="401"/>
        <v>421</v>
      </c>
      <c r="K1468" s="138">
        <f t="shared" si="402"/>
        <v>1252</v>
      </c>
      <c r="L1468" s="8">
        <f t="shared" si="403"/>
        <v>1420465</v>
      </c>
      <c r="M1468" s="8">
        <v>1421298</v>
      </c>
      <c r="N1468" s="13">
        <f t="shared" si="404"/>
        <v>833</v>
      </c>
      <c r="O1468" s="136">
        <f t="shared" si="419"/>
        <v>576</v>
      </c>
      <c r="P1468" s="8">
        <f t="shared" si="393"/>
        <v>9625</v>
      </c>
      <c r="Q1468" s="8">
        <v>10270</v>
      </c>
      <c r="R1468" s="134">
        <f t="shared" si="394"/>
        <v>645</v>
      </c>
      <c r="S1468" s="8">
        <f t="shared" si="405"/>
        <v>62604</v>
      </c>
      <c r="T1468" s="8">
        <v>62709</v>
      </c>
      <c r="U1468" s="133">
        <f t="shared" si="406"/>
        <v>105</v>
      </c>
      <c r="V1468" s="8">
        <f t="shared" si="407"/>
        <v>3733</v>
      </c>
      <c r="W1468" s="8">
        <v>3843</v>
      </c>
      <c r="X1468" s="13">
        <f t="shared" si="408"/>
        <v>110</v>
      </c>
      <c r="Y1468" s="8">
        <v>49427</v>
      </c>
      <c r="Z1468" s="8">
        <v>49439</v>
      </c>
      <c r="AA1468" s="13">
        <f t="shared" si="410"/>
        <v>12</v>
      </c>
      <c r="AB1468" s="8">
        <f t="shared" ref="AB1468:AB1525" si="420">AC1467</f>
        <v>278852</v>
      </c>
      <c r="AC1468" s="8">
        <v>278926</v>
      </c>
      <c r="AD1468" s="13">
        <f t="shared" si="417"/>
        <v>74</v>
      </c>
      <c r="AE1468" s="135">
        <f t="shared" si="395"/>
        <v>12984</v>
      </c>
      <c r="AF1468" s="135">
        <v>12984</v>
      </c>
      <c r="AG1468" s="135">
        <f t="shared" si="413"/>
        <v>0</v>
      </c>
      <c r="AH1468" s="136">
        <f t="shared" si="418"/>
        <v>74</v>
      </c>
      <c r="AI1468" s="50">
        <f t="shared" si="416"/>
        <v>1448</v>
      </c>
    </row>
    <row r="1469" spans="1:36">
      <c r="A1469" s="12">
        <v>45844</v>
      </c>
      <c r="B1469" s="8">
        <f t="shared" si="396"/>
        <v>2190592</v>
      </c>
      <c r="C1469" s="8">
        <v>2190657</v>
      </c>
      <c r="D1469" s="13">
        <f t="shared" si="397"/>
        <v>65</v>
      </c>
      <c r="E1469" s="77">
        <f t="shared" si="398"/>
        <v>250855</v>
      </c>
      <c r="F1469" s="69">
        <v>251609</v>
      </c>
      <c r="G1469" s="133">
        <f t="shared" si="399"/>
        <v>754</v>
      </c>
      <c r="H1469" s="8">
        <f t="shared" si="400"/>
        <v>398960</v>
      </c>
      <c r="I1469" s="8">
        <v>399352</v>
      </c>
      <c r="J1469" s="13">
        <f t="shared" si="401"/>
        <v>392</v>
      </c>
      <c r="K1469" s="138">
        <f t="shared" si="402"/>
        <v>1211</v>
      </c>
      <c r="L1469" s="8">
        <f t="shared" si="403"/>
        <v>1421298</v>
      </c>
      <c r="M1469" s="8">
        <v>1422033</v>
      </c>
      <c r="N1469" s="13">
        <f t="shared" si="404"/>
        <v>735</v>
      </c>
      <c r="O1469" s="136">
        <f t="shared" si="419"/>
        <v>636</v>
      </c>
      <c r="P1469" s="8">
        <f t="shared" si="393"/>
        <v>10270</v>
      </c>
      <c r="Q1469" s="8">
        <v>10846</v>
      </c>
      <c r="R1469" s="134">
        <f t="shared" si="394"/>
        <v>576</v>
      </c>
      <c r="S1469" s="8">
        <f t="shared" si="405"/>
        <v>62709</v>
      </c>
      <c r="T1469" s="8">
        <v>62749</v>
      </c>
      <c r="U1469" s="133">
        <f t="shared" si="406"/>
        <v>40</v>
      </c>
      <c r="V1469" s="8">
        <f t="shared" si="407"/>
        <v>3843</v>
      </c>
      <c r="W1469" s="8">
        <v>3960</v>
      </c>
      <c r="X1469" s="13">
        <f t="shared" si="408"/>
        <v>117</v>
      </c>
      <c r="Y1469" s="8">
        <f t="shared" si="409"/>
        <v>49439</v>
      </c>
      <c r="Z1469" s="8">
        <v>49457</v>
      </c>
      <c r="AA1469" s="13">
        <f t="shared" si="410"/>
        <v>18</v>
      </c>
      <c r="AB1469" s="8">
        <f t="shared" si="420"/>
        <v>278926</v>
      </c>
      <c r="AC1469" s="8">
        <v>278967</v>
      </c>
      <c r="AD1469" s="13">
        <f t="shared" si="417"/>
        <v>41</v>
      </c>
      <c r="AE1469" s="135">
        <f t="shared" si="395"/>
        <v>12984</v>
      </c>
      <c r="AF1469" s="135">
        <v>12993</v>
      </c>
      <c r="AG1469" s="135">
        <f t="shared" si="413"/>
        <v>9</v>
      </c>
      <c r="AH1469" s="136">
        <f t="shared" si="418"/>
        <v>50</v>
      </c>
      <c r="AI1469" s="50">
        <f t="shared" si="416"/>
        <v>1387</v>
      </c>
    </row>
    <row r="1470" spans="1:36">
      <c r="A1470" s="12">
        <v>45845</v>
      </c>
      <c r="B1470" s="8">
        <f t="shared" si="396"/>
        <v>2190657</v>
      </c>
      <c r="C1470" s="8">
        <v>2190657</v>
      </c>
      <c r="D1470" s="13">
        <f t="shared" si="397"/>
        <v>0</v>
      </c>
      <c r="E1470" s="77">
        <f t="shared" si="398"/>
        <v>251609</v>
      </c>
      <c r="F1470" s="69">
        <v>252343</v>
      </c>
      <c r="G1470" s="133">
        <f t="shared" si="399"/>
        <v>734</v>
      </c>
      <c r="H1470" s="8">
        <f t="shared" si="400"/>
        <v>399352</v>
      </c>
      <c r="I1470" s="8">
        <v>399989</v>
      </c>
      <c r="J1470" s="13">
        <f t="shared" si="401"/>
        <v>637</v>
      </c>
      <c r="K1470" s="138">
        <f t="shared" si="402"/>
        <v>1371</v>
      </c>
      <c r="L1470" s="8">
        <f t="shared" si="403"/>
        <v>1422033</v>
      </c>
      <c r="M1470" s="8">
        <v>1422039</v>
      </c>
      <c r="N1470" s="13">
        <f t="shared" si="404"/>
        <v>6</v>
      </c>
      <c r="O1470" s="136">
        <f t="shared" si="419"/>
        <v>1007</v>
      </c>
      <c r="P1470" s="8">
        <f t="shared" si="393"/>
        <v>10846</v>
      </c>
      <c r="Q1470" s="8">
        <v>11210</v>
      </c>
      <c r="R1470" s="134">
        <f t="shared" si="394"/>
        <v>364</v>
      </c>
      <c r="S1470" s="8">
        <f t="shared" si="405"/>
        <v>62749</v>
      </c>
      <c r="T1470" s="8">
        <v>62749</v>
      </c>
      <c r="U1470" s="133">
        <f t="shared" si="406"/>
        <v>0</v>
      </c>
      <c r="V1470" s="8">
        <f t="shared" si="407"/>
        <v>3960</v>
      </c>
      <c r="W1470" s="8">
        <v>4073</v>
      </c>
      <c r="X1470" s="13">
        <f t="shared" si="408"/>
        <v>113</v>
      </c>
      <c r="Y1470" s="8">
        <f t="shared" si="409"/>
        <v>49457</v>
      </c>
      <c r="Z1470" s="8">
        <v>49478</v>
      </c>
      <c r="AA1470" s="13">
        <f t="shared" si="410"/>
        <v>21</v>
      </c>
      <c r="AB1470" s="8">
        <f t="shared" si="420"/>
        <v>278967</v>
      </c>
      <c r="AC1470" s="8">
        <v>278967</v>
      </c>
      <c r="AD1470" s="13">
        <f t="shared" si="417"/>
        <v>0</v>
      </c>
      <c r="AE1470" s="135">
        <f t="shared" si="395"/>
        <v>12993</v>
      </c>
      <c r="AF1470" s="135">
        <v>13060</v>
      </c>
      <c r="AG1470" s="135">
        <f t="shared" si="413"/>
        <v>67</v>
      </c>
      <c r="AH1470" s="136">
        <f t="shared" si="418"/>
        <v>67</v>
      </c>
      <c r="AI1470" s="50">
        <f t="shared" si="416"/>
        <v>1505</v>
      </c>
    </row>
    <row r="1471" spans="1:36">
      <c r="A1471" s="12">
        <v>45846</v>
      </c>
      <c r="B1471" s="8">
        <f t="shared" si="396"/>
        <v>2190657</v>
      </c>
      <c r="C1471" s="8">
        <v>2190932</v>
      </c>
      <c r="D1471" s="13">
        <f t="shared" si="397"/>
        <v>275</v>
      </c>
      <c r="E1471" s="77">
        <f t="shared" si="398"/>
        <v>252343</v>
      </c>
      <c r="F1471" s="69">
        <v>253082</v>
      </c>
      <c r="G1471" s="133">
        <f t="shared" si="399"/>
        <v>739</v>
      </c>
      <c r="H1471" s="8">
        <f t="shared" si="400"/>
        <v>399989</v>
      </c>
      <c r="I1471" s="8">
        <v>400503</v>
      </c>
      <c r="J1471" s="13">
        <f t="shared" si="401"/>
        <v>514</v>
      </c>
      <c r="K1471" s="138">
        <f t="shared" si="402"/>
        <v>1528</v>
      </c>
      <c r="L1471" s="8">
        <f t="shared" si="403"/>
        <v>1422039</v>
      </c>
      <c r="M1471" s="8">
        <v>1422604</v>
      </c>
      <c r="N1471" s="13">
        <f t="shared" si="404"/>
        <v>565</v>
      </c>
      <c r="O1471" s="136">
        <f t="shared" si="419"/>
        <v>960</v>
      </c>
      <c r="P1471" s="8">
        <f t="shared" si="393"/>
        <v>11210</v>
      </c>
      <c r="Q1471" s="8">
        <v>11742</v>
      </c>
      <c r="R1471" s="134">
        <f t="shared" si="394"/>
        <v>532</v>
      </c>
      <c r="S1471" s="8">
        <f t="shared" si="405"/>
        <v>62749</v>
      </c>
      <c r="T1471" s="8">
        <v>62841</v>
      </c>
      <c r="U1471" s="133">
        <f t="shared" si="406"/>
        <v>92</v>
      </c>
      <c r="V1471" s="8">
        <f t="shared" si="407"/>
        <v>4073</v>
      </c>
      <c r="W1471" s="8">
        <v>4156</v>
      </c>
      <c r="X1471" s="13">
        <f t="shared" si="408"/>
        <v>83</v>
      </c>
      <c r="Y1471" s="8">
        <f t="shared" si="409"/>
        <v>49478</v>
      </c>
      <c r="Z1471" s="8">
        <v>49490</v>
      </c>
      <c r="AA1471" s="13">
        <f t="shared" si="410"/>
        <v>12</v>
      </c>
      <c r="AB1471" s="8">
        <f t="shared" si="420"/>
        <v>278967</v>
      </c>
      <c r="AC1471" s="8">
        <v>279023</v>
      </c>
      <c r="AD1471" s="13">
        <f t="shared" si="417"/>
        <v>56</v>
      </c>
      <c r="AE1471" s="135">
        <f t="shared" si="395"/>
        <v>13060</v>
      </c>
      <c r="AF1471" s="135">
        <v>13177</v>
      </c>
      <c r="AG1471" s="135">
        <f t="shared" si="413"/>
        <v>117</v>
      </c>
      <c r="AH1471" s="136">
        <f t="shared" si="418"/>
        <v>173</v>
      </c>
      <c r="AI1471" s="50">
        <f t="shared" si="416"/>
        <v>1679</v>
      </c>
    </row>
    <row r="1472" spans="1:36">
      <c r="A1472" s="12">
        <v>45847</v>
      </c>
      <c r="B1472" s="8">
        <f t="shared" si="396"/>
        <v>2190932</v>
      </c>
      <c r="C1472" s="8">
        <v>2191111</v>
      </c>
      <c r="D1472" s="13">
        <f t="shared" si="397"/>
        <v>179</v>
      </c>
      <c r="E1472" s="77">
        <f t="shared" si="398"/>
        <v>253082</v>
      </c>
      <c r="F1472" s="69">
        <v>253824</v>
      </c>
      <c r="G1472" s="133">
        <f t="shared" si="399"/>
        <v>742</v>
      </c>
      <c r="H1472" s="8">
        <f t="shared" si="400"/>
        <v>400503</v>
      </c>
      <c r="I1472" s="8">
        <v>400503</v>
      </c>
      <c r="J1472" s="13">
        <f t="shared" si="401"/>
        <v>0</v>
      </c>
      <c r="K1472" s="138">
        <f t="shared" si="402"/>
        <v>921</v>
      </c>
      <c r="L1472" s="8">
        <f t="shared" si="403"/>
        <v>1422604</v>
      </c>
      <c r="M1472" s="8">
        <v>1424019</v>
      </c>
      <c r="N1472" s="13">
        <f t="shared" si="404"/>
        <v>1415</v>
      </c>
      <c r="O1472" s="136">
        <f t="shared" si="419"/>
        <v>202</v>
      </c>
      <c r="P1472" s="8">
        <f t="shared" si="393"/>
        <v>11742</v>
      </c>
      <c r="Q1472" s="8">
        <v>12420</v>
      </c>
      <c r="R1472" s="134">
        <f t="shared" si="394"/>
        <v>678</v>
      </c>
      <c r="S1472" s="8">
        <f t="shared" si="405"/>
        <v>62841</v>
      </c>
      <c r="T1472" s="8">
        <v>62882</v>
      </c>
      <c r="U1472" s="133">
        <f t="shared" si="406"/>
        <v>41</v>
      </c>
      <c r="V1472" s="8">
        <f t="shared" si="407"/>
        <v>4156</v>
      </c>
      <c r="W1472" s="8">
        <v>4217</v>
      </c>
      <c r="X1472" s="13">
        <f t="shared" si="408"/>
        <v>61</v>
      </c>
      <c r="Y1472" s="8">
        <f t="shared" si="409"/>
        <v>49490</v>
      </c>
      <c r="Z1472" s="8">
        <v>49514</v>
      </c>
      <c r="AA1472" s="13">
        <f t="shared" si="410"/>
        <v>24</v>
      </c>
      <c r="AB1472" s="8">
        <f t="shared" si="420"/>
        <v>279023</v>
      </c>
      <c r="AC1472" s="8">
        <v>279023</v>
      </c>
      <c r="AD1472" s="13">
        <f t="shared" si="417"/>
        <v>0</v>
      </c>
      <c r="AE1472" s="135">
        <f t="shared" si="395"/>
        <v>13177</v>
      </c>
      <c r="AF1472" s="135">
        <v>13303</v>
      </c>
      <c r="AG1472" s="135">
        <f t="shared" si="413"/>
        <v>126</v>
      </c>
      <c r="AH1472" s="136">
        <f t="shared" si="418"/>
        <v>126</v>
      </c>
      <c r="AI1472" s="50">
        <f t="shared" si="416"/>
        <v>1006</v>
      </c>
      <c r="AJ1472" s="8" t="s">
        <v>1998</v>
      </c>
    </row>
    <row r="1473" spans="1:35">
      <c r="A1473" s="12">
        <v>45848</v>
      </c>
      <c r="B1473" s="8">
        <f t="shared" si="396"/>
        <v>2191111</v>
      </c>
      <c r="C1473" s="8">
        <v>2191927</v>
      </c>
      <c r="D1473" s="13">
        <f t="shared" si="397"/>
        <v>816</v>
      </c>
      <c r="E1473" s="77">
        <f t="shared" si="398"/>
        <v>253824</v>
      </c>
      <c r="F1473" s="69">
        <v>254486</v>
      </c>
      <c r="G1473" s="133">
        <f t="shared" si="399"/>
        <v>662</v>
      </c>
      <c r="H1473" s="8">
        <f t="shared" si="400"/>
        <v>400503</v>
      </c>
      <c r="I1473" s="8">
        <v>401360</v>
      </c>
      <c r="J1473" s="13">
        <f t="shared" si="401"/>
        <v>857</v>
      </c>
      <c r="K1473" s="138">
        <f t="shared" si="402"/>
        <v>2335</v>
      </c>
      <c r="L1473" s="8">
        <f t="shared" si="403"/>
        <v>1424019</v>
      </c>
      <c r="M1473" s="8">
        <v>1424127</v>
      </c>
      <c r="N1473" s="13">
        <f t="shared" si="404"/>
        <v>108</v>
      </c>
      <c r="O1473" s="136">
        <f t="shared" si="419"/>
        <v>1810</v>
      </c>
      <c r="P1473" s="8">
        <f t="shared" si="393"/>
        <v>12420</v>
      </c>
      <c r="Q1473" s="8">
        <v>12954</v>
      </c>
      <c r="R1473" s="134">
        <f t="shared" si="394"/>
        <v>534</v>
      </c>
      <c r="S1473" s="8">
        <f t="shared" si="405"/>
        <v>62882</v>
      </c>
      <c r="T1473" s="8">
        <v>62927</v>
      </c>
      <c r="U1473" s="133">
        <f t="shared" si="406"/>
        <v>45</v>
      </c>
      <c r="V1473" s="8">
        <f t="shared" si="407"/>
        <v>4217</v>
      </c>
      <c r="W1473" s="8">
        <v>4324</v>
      </c>
      <c r="X1473" s="13">
        <f t="shared" si="408"/>
        <v>107</v>
      </c>
      <c r="Y1473" s="8">
        <f t="shared" si="409"/>
        <v>49514</v>
      </c>
      <c r="Z1473" s="8">
        <v>49525</v>
      </c>
      <c r="AA1473" s="13">
        <f t="shared" si="410"/>
        <v>11</v>
      </c>
      <c r="AB1473" s="8">
        <f t="shared" si="420"/>
        <v>279023</v>
      </c>
      <c r="AC1473" s="8">
        <v>279077</v>
      </c>
      <c r="AD1473" s="13">
        <f t="shared" si="417"/>
        <v>54</v>
      </c>
      <c r="AE1473" s="135">
        <f t="shared" si="395"/>
        <v>13303</v>
      </c>
      <c r="AF1473" s="135">
        <v>13405</v>
      </c>
      <c r="AG1473" s="135">
        <f t="shared" si="413"/>
        <v>102</v>
      </c>
      <c r="AH1473" s="136">
        <f t="shared" si="418"/>
        <v>156</v>
      </c>
      <c r="AI1473" s="50">
        <f t="shared" si="416"/>
        <v>2507</v>
      </c>
    </row>
    <row r="1474" spans="1:35">
      <c r="A1474" s="12">
        <v>45849</v>
      </c>
      <c r="B1474" s="8">
        <f t="shared" si="396"/>
        <v>2191927</v>
      </c>
      <c r="C1474" s="8">
        <v>2192355</v>
      </c>
      <c r="D1474" s="13">
        <f t="shared" si="397"/>
        <v>428</v>
      </c>
      <c r="E1474" s="77">
        <f t="shared" si="398"/>
        <v>254486</v>
      </c>
      <c r="F1474" s="69">
        <v>254815</v>
      </c>
      <c r="G1474" s="133">
        <f t="shared" si="399"/>
        <v>329</v>
      </c>
      <c r="H1474" s="8">
        <f t="shared" si="400"/>
        <v>401360</v>
      </c>
      <c r="I1474" s="8">
        <v>401360</v>
      </c>
      <c r="J1474" s="13">
        <f t="shared" si="401"/>
        <v>0</v>
      </c>
      <c r="K1474" s="138">
        <f t="shared" si="402"/>
        <v>757</v>
      </c>
      <c r="L1474" s="8">
        <f t="shared" si="403"/>
        <v>1424127</v>
      </c>
      <c r="M1474" s="8">
        <v>1425448</v>
      </c>
      <c r="N1474" s="13">
        <f t="shared" si="404"/>
        <v>1321</v>
      </c>
      <c r="O1474" s="136">
        <f t="shared" si="419"/>
        <v>45</v>
      </c>
      <c r="P1474" s="8">
        <f t="shared" si="393"/>
        <v>12954</v>
      </c>
      <c r="Q1474" s="8">
        <v>13648</v>
      </c>
      <c r="R1474" s="134">
        <f t="shared" si="394"/>
        <v>694</v>
      </c>
      <c r="S1474" s="8">
        <f t="shared" si="405"/>
        <v>62927</v>
      </c>
      <c r="T1474" s="8">
        <v>63001</v>
      </c>
      <c r="U1474" s="133">
        <f t="shared" si="406"/>
        <v>74</v>
      </c>
      <c r="V1474" s="8">
        <f t="shared" si="407"/>
        <v>4324</v>
      </c>
      <c r="W1474" s="8">
        <v>4424</v>
      </c>
      <c r="X1474" s="13">
        <f t="shared" si="408"/>
        <v>100</v>
      </c>
      <c r="Y1474" s="8">
        <f t="shared" si="409"/>
        <v>49525</v>
      </c>
      <c r="Z1474" s="8">
        <v>49531</v>
      </c>
      <c r="AA1474" s="13">
        <f t="shared" si="410"/>
        <v>6</v>
      </c>
      <c r="AB1474" s="8">
        <f t="shared" si="420"/>
        <v>279077</v>
      </c>
      <c r="AC1474" s="8">
        <v>279133</v>
      </c>
      <c r="AD1474" s="13">
        <f t="shared" si="417"/>
        <v>56</v>
      </c>
      <c r="AE1474" s="135">
        <f t="shared" si="395"/>
        <v>13405</v>
      </c>
      <c r="AF1474" s="135">
        <v>13405</v>
      </c>
      <c r="AG1474" s="135">
        <f t="shared" si="413"/>
        <v>0</v>
      </c>
      <c r="AH1474" s="136">
        <f t="shared" si="418"/>
        <v>56</v>
      </c>
      <c r="AI1474" s="50">
        <f t="shared" si="416"/>
        <v>919</v>
      </c>
    </row>
    <row r="1475" spans="1:35">
      <c r="A1475" s="12">
        <v>45850</v>
      </c>
      <c r="B1475" s="8">
        <f t="shared" si="396"/>
        <v>2192355</v>
      </c>
      <c r="C1475" s="8">
        <v>2192920</v>
      </c>
      <c r="D1475" s="13">
        <f t="shared" si="397"/>
        <v>565</v>
      </c>
      <c r="E1475" s="77">
        <f t="shared" si="398"/>
        <v>254815</v>
      </c>
      <c r="F1475" s="69">
        <v>255555</v>
      </c>
      <c r="G1475" s="133">
        <f t="shared" si="399"/>
        <v>740</v>
      </c>
      <c r="H1475" s="8">
        <f t="shared" si="400"/>
        <v>401360</v>
      </c>
      <c r="I1475" s="8">
        <v>401360</v>
      </c>
      <c r="J1475" s="13">
        <f t="shared" si="401"/>
        <v>0</v>
      </c>
      <c r="K1475" s="138">
        <f t="shared" si="402"/>
        <v>1305</v>
      </c>
      <c r="L1475" s="8">
        <f t="shared" si="403"/>
        <v>1425448</v>
      </c>
      <c r="M1475" s="8">
        <v>1426442</v>
      </c>
      <c r="N1475" s="13">
        <f t="shared" si="404"/>
        <v>994</v>
      </c>
      <c r="O1475" s="136">
        <f t="shared" si="419"/>
        <v>820</v>
      </c>
      <c r="P1475" s="8">
        <f t="shared" si="393"/>
        <v>13648</v>
      </c>
      <c r="Q1475" s="8">
        <v>14194</v>
      </c>
      <c r="R1475" s="134">
        <f t="shared" si="394"/>
        <v>546</v>
      </c>
      <c r="S1475" s="8">
        <f t="shared" si="405"/>
        <v>63001</v>
      </c>
      <c r="T1475" s="8">
        <v>63024</v>
      </c>
      <c r="U1475" s="133">
        <f t="shared" si="406"/>
        <v>23</v>
      </c>
      <c r="V1475" s="8">
        <f t="shared" si="407"/>
        <v>4424</v>
      </c>
      <c r="W1475" s="8">
        <v>4558</v>
      </c>
      <c r="X1475" s="13">
        <f t="shared" si="408"/>
        <v>134</v>
      </c>
      <c r="Y1475" s="8">
        <f t="shared" si="409"/>
        <v>49531</v>
      </c>
      <c r="Z1475" s="8">
        <v>49542</v>
      </c>
      <c r="AA1475" s="13">
        <f t="shared" si="410"/>
        <v>11</v>
      </c>
      <c r="AB1475" s="8">
        <f t="shared" si="420"/>
        <v>279133</v>
      </c>
      <c r="AC1475" s="8">
        <v>279217</v>
      </c>
      <c r="AD1475" s="13">
        <f t="shared" si="417"/>
        <v>84</v>
      </c>
      <c r="AE1475" s="135">
        <f t="shared" si="395"/>
        <v>13405</v>
      </c>
      <c r="AF1475" s="135">
        <v>13470</v>
      </c>
      <c r="AG1475" s="135">
        <f t="shared" si="413"/>
        <v>65</v>
      </c>
      <c r="AH1475" s="136">
        <f t="shared" si="418"/>
        <v>149</v>
      </c>
      <c r="AI1475" s="50">
        <f t="shared" si="416"/>
        <v>1534</v>
      </c>
    </row>
    <row r="1476" spans="1:35">
      <c r="A1476" s="12">
        <v>45851</v>
      </c>
      <c r="B1476" s="8">
        <f t="shared" si="396"/>
        <v>2192920</v>
      </c>
      <c r="C1476" s="8">
        <v>2193631</v>
      </c>
      <c r="D1476" s="13">
        <f t="shared" si="397"/>
        <v>711</v>
      </c>
      <c r="E1476" s="77">
        <f t="shared" si="398"/>
        <v>255555</v>
      </c>
      <c r="F1476" s="69">
        <v>256332</v>
      </c>
      <c r="G1476" s="133">
        <f t="shared" si="399"/>
        <v>777</v>
      </c>
      <c r="H1476" s="8">
        <f t="shared" si="400"/>
        <v>401360</v>
      </c>
      <c r="I1476" s="8">
        <v>401360</v>
      </c>
      <c r="J1476" s="13">
        <f t="shared" si="401"/>
        <v>0</v>
      </c>
      <c r="K1476" s="138">
        <f t="shared" si="402"/>
        <v>1488</v>
      </c>
      <c r="L1476" s="8">
        <f t="shared" si="403"/>
        <v>1426442</v>
      </c>
      <c r="M1476" s="8">
        <v>1427766</v>
      </c>
      <c r="N1476" s="13">
        <f t="shared" si="404"/>
        <v>1324</v>
      </c>
      <c r="O1476" s="136">
        <f t="shared" si="419"/>
        <v>906</v>
      </c>
      <c r="P1476" s="8">
        <f t="shared" si="393"/>
        <v>14194</v>
      </c>
      <c r="Q1476" s="8">
        <v>14816</v>
      </c>
      <c r="R1476" s="134">
        <f t="shared" si="394"/>
        <v>622</v>
      </c>
      <c r="S1476" s="8">
        <f t="shared" si="405"/>
        <v>63024</v>
      </c>
      <c r="T1476" s="8">
        <v>63059</v>
      </c>
      <c r="U1476" s="133">
        <f t="shared" si="406"/>
        <v>35</v>
      </c>
      <c r="V1476" s="8">
        <f t="shared" si="407"/>
        <v>4558</v>
      </c>
      <c r="W1476" s="8">
        <v>4664</v>
      </c>
      <c r="X1476" s="13">
        <f t="shared" si="408"/>
        <v>106</v>
      </c>
      <c r="Y1476" s="8">
        <f t="shared" si="409"/>
        <v>49542</v>
      </c>
      <c r="Z1476" s="8">
        <v>49550</v>
      </c>
      <c r="AA1476" s="13">
        <f t="shared" si="410"/>
        <v>8</v>
      </c>
      <c r="AB1476" s="8">
        <f t="shared" si="420"/>
        <v>279217</v>
      </c>
      <c r="AC1476" s="8">
        <v>279292</v>
      </c>
      <c r="AD1476" s="13">
        <f t="shared" si="417"/>
        <v>75</v>
      </c>
      <c r="AE1476" s="135">
        <f t="shared" si="395"/>
        <v>13470</v>
      </c>
      <c r="AF1476" s="135">
        <v>13470</v>
      </c>
      <c r="AG1476" s="135">
        <f t="shared" si="413"/>
        <v>0</v>
      </c>
      <c r="AH1476" s="136">
        <f t="shared" si="418"/>
        <v>75</v>
      </c>
      <c r="AI1476" s="50">
        <f t="shared" si="416"/>
        <v>1677</v>
      </c>
    </row>
    <row r="1477" spans="1:35">
      <c r="A1477" s="12">
        <v>45852</v>
      </c>
      <c r="B1477" s="8">
        <f t="shared" si="396"/>
        <v>2193631</v>
      </c>
      <c r="C1477" s="8">
        <v>2194180</v>
      </c>
      <c r="D1477" s="13">
        <f t="shared" si="397"/>
        <v>549</v>
      </c>
      <c r="E1477" s="77">
        <f t="shared" si="398"/>
        <v>256332</v>
      </c>
      <c r="F1477" s="69">
        <v>257052</v>
      </c>
      <c r="G1477" s="133">
        <f t="shared" si="399"/>
        <v>720</v>
      </c>
      <c r="H1477" s="8">
        <f t="shared" si="400"/>
        <v>401360</v>
      </c>
      <c r="I1477" s="8">
        <v>401645</v>
      </c>
      <c r="J1477" s="13">
        <f t="shared" si="401"/>
        <v>285</v>
      </c>
      <c r="K1477" s="138">
        <f t="shared" si="402"/>
        <v>1554</v>
      </c>
      <c r="L1477" s="8">
        <f t="shared" si="403"/>
        <v>1427766</v>
      </c>
      <c r="M1477" s="8">
        <v>1428533</v>
      </c>
      <c r="N1477" s="13">
        <f t="shared" si="404"/>
        <v>767</v>
      </c>
      <c r="O1477" s="136">
        <f t="shared" si="419"/>
        <v>1014</v>
      </c>
      <c r="P1477" s="8">
        <f t="shared" si="393"/>
        <v>14816</v>
      </c>
      <c r="Q1477" s="8">
        <v>15347</v>
      </c>
      <c r="R1477" s="134">
        <f t="shared" si="394"/>
        <v>531</v>
      </c>
      <c r="S1477" s="8">
        <f t="shared" si="405"/>
        <v>63059</v>
      </c>
      <c r="T1477" s="8">
        <v>63133</v>
      </c>
      <c r="U1477" s="133">
        <f t="shared" si="406"/>
        <v>74</v>
      </c>
      <c r="V1477" s="8">
        <f t="shared" si="407"/>
        <v>4664</v>
      </c>
      <c r="W1477" s="8">
        <v>4764</v>
      </c>
      <c r="X1477" s="13">
        <f t="shared" si="408"/>
        <v>100</v>
      </c>
      <c r="Y1477" s="8">
        <f t="shared" si="409"/>
        <v>49550</v>
      </c>
      <c r="Z1477" s="8">
        <v>49565</v>
      </c>
      <c r="AA1477" s="13">
        <f t="shared" si="410"/>
        <v>15</v>
      </c>
      <c r="AB1477" s="8">
        <f t="shared" si="420"/>
        <v>279292</v>
      </c>
      <c r="AC1477" s="8">
        <v>279357</v>
      </c>
      <c r="AD1477" s="13">
        <f t="shared" si="417"/>
        <v>65</v>
      </c>
      <c r="AE1477" s="135">
        <f t="shared" si="395"/>
        <v>13470</v>
      </c>
      <c r="AF1477" s="135">
        <v>13470</v>
      </c>
      <c r="AG1477" s="135">
        <f t="shared" si="413"/>
        <v>0</v>
      </c>
      <c r="AH1477" s="136">
        <f t="shared" si="418"/>
        <v>65</v>
      </c>
      <c r="AI1477" s="50">
        <f t="shared" si="416"/>
        <v>1734</v>
      </c>
    </row>
    <row r="1478" spans="1:35">
      <c r="A1478" s="12">
        <v>45853</v>
      </c>
      <c r="B1478" s="8">
        <f t="shared" si="396"/>
        <v>2194180</v>
      </c>
      <c r="C1478" s="8">
        <v>2195086</v>
      </c>
      <c r="D1478" s="13">
        <f t="shared" si="397"/>
        <v>906</v>
      </c>
      <c r="E1478" s="77">
        <f t="shared" si="398"/>
        <v>257052</v>
      </c>
      <c r="F1478" s="69">
        <v>257799</v>
      </c>
      <c r="G1478" s="133">
        <f t="shared" si="399"/>
        <v>747</v>
      </c>
      <c r="H1478" s="8">
        <f t="shared" si="400"/>
        <v>401645</v>
      </c>
      <c r="I1478" s="8">
        <v>401645</v>
      </c>
      <c r="J1478" s="13">
        <f t="shared" si="401"/>
        <v>0</v>
      </c>
      <c r="K1478" s="138">
        <f t="shared" si="402"/>
        <v>1653</v>
      </c>
      <c r="L1478" s="8">
        <f t="shared" si="403"/>
        <v>1428533</v>
      </c>
      <c r="M1478" s="8">
        <v>1429820</v>
      </c>
      <c r="N1478" s="13">
        <f t="shared" si="404"/>
        <v>1287</v>
      </c>
      <c r="O1478" s="136">
        <f t="shared" si="419"/>
        <v>1044</v>
      </c>
      <c r="P1478" s="8">
        <f t="shared" si="393"/>
        <v>15347</v>
      </c>
      <c r="Q1478" s="8">
        <v>15935</v>
      </c>
      <c r="R1478" s="134">
        <f t="shared" si="394"/>
        <v>588</v>
      </c>
      <c r="S1478" s="8">
        <f t="shared" si="405"/>
        <v>63133</v>
      </c>
      <c r="T1478" s="8">
        <v>63249</v>
      </c>
      <c r="U1478" s="133">
        <f t="shared" si="406"/>
        <v>116</v>
      </c>
      <c r="V1478" s="8">
        <f t="shared" si="407"/>
        <v>4764</v>
      </c>
      <c r="W1478" s="8">
        <v>4828</v>
      </c>
      <c r="X1478" s="13">
        <f t="shared" si="408"/>
        <v>64</v>
      </c>
      <c r="Y1478" s="8">
        <f t="shared" si="409"/>
        <v>49565</v>
      </c>
      <c r="Z1478" s="8">
        <v>49578</v>
      </c>
      <c r="AA1478" s="13">
        <f t="shared" si="410"/>
        <v>13</v>
      </c>
      <c r="AB1478" s="8">
        <f t="shared" si="420"/>
        <v>279357</v>
      </c>
      <c r="AC1478" s="8">
        <v>279452</v>
      </c>
      <c r="AD1478" s="13">
        <f t="shared" si="417"/>
        <v>95</v>
      </c>
      <c r="AE1478" s="135">
        <f t="shared" si="395"/>
        <v>13470</v>
      </c>
      <c r="AF1478" s="135">
        <v>13470</v>
      </c>
      <c r="AG1478" s="135">
        <f t="shared" si="413"/>
        <v>0</v>
      </c>
      <c r="AH1478" s="136">
        <f t="shared" si="418"/>
        <v>95</v>
      </c>
      <c r="AI1478" s="50">
        <f t="shared" si="416"/>
        <v>1825</v>
      </c>
    </row>
    <row r="1479" spans="1:35">
      <c r="A1479" s="12">
        <v>45854</v>
      </c>
      <c r="B1479" s="8">
        <f t="shared" si="396"/>
        <v>2195086</v>
      </c>
      <c r="C1479" s="8">
        <v>2195650</v>
      </c>
      <c r="D1479" s="13">
        <f t="shared" si="397"/>
        <v>564</v>
      </c>
      <c r="E1479" s="77">
        <f t="shared" si="398"/>
        <v>257799</v>
      </c>
      <c r="F1479" s="69">
        <v>258497</v>
      </c>
      <c r="G1479" s="133">
        <f t="shared" si="399"/>
        <v>698</v>
      </c>
      <c r="H1479" s="8">
        <f t="shared" si="400"/>
        <v>401645</v>
      </c>
      <c r="I1479" s="8">
        <v>401645</v>
      </c>
      <c r="J1479" s="13">
        <f t="shared" si="401"/>
        <v>0</v>
      </c>
      <c r="K1479" s="138">
        <f t="shared" si="402"/>
        <v>1262</v>
      </c>
      <c r="L1479" s="8">
        <f t="shared" si="403"/>
        <v>1429820</v>
      </c>
      <c r="M1479" s="8">
        <v>1430820</v>
      </c>
      <c r="N1479" s="13">
        <f t="shared" si="404"/>
        <v>1000</v>
      </c>
      <c r="O1479" s="136">
        <f t="shared" si="419"/>
        <v>591</v>
      </c>
      <c r="P1479" s="8">
        <f t="shared" si="393"/>
        <v>15935</v>
      </c>
      <c r="Q1479" s="8">
        <v>16593</v>
      </c>
      <c r="R1479" s="134">
        <f t="shared" si="394"/>
        <v>658</v>
      </c>
      <c r="S1479" s="8">
        <f t="shared" si="405"/>
        <v>63249</v>
      </c>
      <c r="T1479" s="8">
        <v>63335</v>
      </c>
      <c r="U1479" s="133">
        <f t="shared" si="406"/>
        <v>86</v>
      </c>
      <c r="V1479" s="8">
        <f t="shared" si="407"/>
        <v>4828</v>
      </c>
      <c r="W1479" s="8">
        <v>4940</v>
      </c>
      <c r="X1479" s="13">
        <f t="shared" si="408"/>
        <v>112</v>
      </c>
      <c r="Y1479" s="8">
        <f t="shared" si="409"/>
        <v>49578</v>
      </c>
      <c r="Z1479" s="8">
        <v>49587</v>
      </c>
      <c r="AA1479" s="13">
        <f t="shared" si="410"/>
        <v>9</v>
      </c>
      <c r="AB1479" s="8">
        <f t="shared" si="420"/>
        <v>279452</v>
      </c>
      <c r="AC1479" s="8">
        <v>279525</v>
      </c>
      <c r="AD1479" s="13">
        <f t="shared" si="417"/>
        <v>73</v>
      </c>
      <c r="AE1479" s="135">
        <f t="shared" si="395"/>
        <v>13470</v>
      </c>
      <c r="AF1479" s="135">
        <v>13470</v>
      </c>
      <c r="AG1479" s="135">
        <f t="shared" si="413"/>
        <v>0</v>
      </c>
      <c r="AH1479" s="136">
        <f t="shared" si="418"/>
        <v>73</v>
      </c>
      <c r="AI1479" s="50">
        <f t="shared" si="416"/>
        <v>1456</v>
      </c>
    </row>
    <row r="1480" spans="1:35">
      <c r="A1480" s="12">
        <v>45855</v>
      </c>
      <c r="B1480" s="8">
        <f t="shared" si="396"/>
        <v>2195650</v>
      </c>
      <c r="C1480" s="8">
        <v>2196453</v>
      </c>
      <c r="D1480" s="13">
        <f t="shared" si="397"/>
        <v>803</v>
      </c>
      <c r="E1480" s="77">
        <f t="shared" si="398"/>
        <v>258497</v>
      </c>
      <c r="F1480" s="69">
        <v>259265</v>
      </c>
      <c r="G1480" s="133">
        <f t="shared" si="399"/>
        <v>768</v>
      </c>
      <c r="H1480" s="8">
        <f t="shared" si="400"/>
        <v>401645</v>
      </c>
      <c r="I1480" s="8">
        <v>401645</v>
      </c>
      <c r="J1480" s="13">
        <f t="shared" si="401"/>
        <v>0</v>
      </c>
      <c r="K1480" s="138">
        <f t="shared" si="402"/>
        <v>1571</v>
      </c>
      <c r="L1480" s="8">
        <f t="shared" si="403"/>
        <v>1430820</v>
      </c>
      <c r="M1480" s="8">
        <v>1432048</v>
      </c>
      <c r="N1480" s="13">
        <f t="shared" si="404"/>
        <v>1228</v>
      </c>
      <c r="O1480" s="136">
        <f t="shared" si="419"/>
        <v>1166</v>
      </c>
      <c r="P1480" s="8">
        <f t="shared" si="393"/>
        <v>16593</v>
      </c>
      <c r="Q1480" s="8">
        <v>17005</v>
      </c>
      <c r="R1480" s="134">
        <f t="shared" si="394"/>
        <v>412</v>
      </c>
      <c r="S1480" s="8">
        <f t="shared" si="405"/>
        <v>63335</v>
      </c>
      <c r="T1480" s="8">
        <v>63421</v>
      </c>
      <c r="U1480" s="133">
        <f t="shared" si="406"/>
        <v>86</v>
      </c>
      <c r="V1480" s="8">
        <f t="shared" si="407"/>
        <v>4940</v>
      </c>
      <c r="W1480" s="8">
        <v>5006</v>
      </c>
      <c r="X1480" s="13">
        <f t="shared" si="408"/>
        <v>66</v>
      </c>
      <c r="Y1480" s="8">
        <f t="shared" si="409"/>
        <v>49587</v>
      </c>
      <c r="Z1480" s="8">
        <v>49599</v>
      </c>
      <c r="AA1480" s="13">
        <f t="shared" si="410"/>
        <v>12</v>
      </c>
      <c r="AB1480" s="8">
        <f t="shared" si="420"/>
        <v>279525</v>
      </c>
      <c r="AC1480" s="8">
        <v>279618</v>
      </c>
      <c r="AD1480" s="13">
        <f t="shared" si="417"/>
        <v>93</v>
      </c>
      <c r="AE1480" s="135">
        <f t="shared" si="395"/>
        <v>13470</v>
      </c>
      <c r="AF1480" s="135">
        <v>13470</v>
      </c>
      <c r="AG1480" s="135">
        <f t="shared" si="413"/>
        <v>0</v>
      </c>
      <c r="AH1480" s="136">
        <f t="shared" si="418"/>
        <v>93</v>
      </c>
      <c r="AI1480" s="50">
        <f t="shared" si="416"/>
        <v>1742</v>
      </c>
    </row>
    <row r="1481" spans="1:35">
      <c r="A1481" s="12">
        <v>45856</v>
      </c>
      <c r="B1481" s="8">
        <f t="shared" si="396"/>
        <v>2196453</v>
      </c>
      <c r="C1481" s="8">
        <v>2197549</v>
      </c>
      <c r="D1481" s="13">
        <f t="shared" si="397"/>
        <v>1096</v>
      </c>
      <c r="E1481" s="77">
        <f t="shared" si="398"/>
        <v>259265</v>
      </c>
      <c r="F1481" s="69">
        <v>260006</v>
      </c>
      <c r="G1481" s="133">
        <f t="shared" si="399"/>
        <v>741</v>
      </c>
      <c r="H1481" s="8">
        <f t="shared" si="400"/>
        <v>401645</v>
      </c>
      <c r="I1481" s="8">
        <v>401645</v>
      </c>
      <c r="J1481" s="13">
        <f t="shared" si="401"/>
        <v>0</v>
      </c>
      <c r="K1481" s="138">
        <f t="shared" si="402"/>
        <v>1837</v>
      </c>
      <c r="L1481" s="8">
        <f t="shared" si="403"/>
        <v>1432048</v>
      </c>
      <c r="M1481" s="8">
        <v>1433416</v>
      </c>
      <c r="N1481" s="13">
        <f t="shared" si="404"/>
        <v>1368</v>
      </c>
      <c r="O1481" s="136">
        <f t="shared" si="419"/>
        <v>1160</v>
      </c>
      <c r="P1481" s="8">
        <f t="shared" si="393"/>
        <v>17005</v>
      </c>
      <c r="Q1481" s="8">
        <v>17760</v>
      </c>
      <c r="R1481" s="134">
        <f t="shared" si="394"/>
        <v>755</v>
      </c>
      <c r="S1481" s="8">
        <f t="shared" si="405"/>
        <v>63421</v>
      </c>
      <c r="T1481" s="8">
        <v>63435</v>
      </c>
      <c r="U1481" s="133">
        <f t="shared" si="406"/>
        <v>14</v>
      </c>
      <c r="V1481" s="8">
        <f t="shared" si="407"/>
        <v>5006</v>
      </c>
      <c r="W1481" s="8">
        <v>5053</v>
      </c>
      <c r="X1481" s="13">
        <f t="shared" si="408"/>
        <v>47</v>
      </c>
      <c r="Y1481" s="8">
        <f t="shared" si="409"/>
        <v>49599</v>
      </c>
      <c r="Z1481" s="8">
        <v>49612</v>
      </c>
      <c r="AA1481" s="13">
        <f t="shared" si="410"/>
        <v>13</v>
      </c>
      <c r="AB1481" s="8">
        <f t="shared" si="420"/>
        <v>279618</v>
      </c>
      <c r="AC1481" s="8">
        <v>279710</v>
      </c>
      <c r="AD1481" s="13">
        <f t="shared" si="417"/>
        <v>92</v>
      </c>
      <c r="AE1481" s="135">
        <f t="shared" si="395"/>
        <v>13470</v>
      </c>
      <c r="AF1481" s="135">
        <v>13470</v>
      </c>
      <c r="AG1481" s="135">
        <f t="shared" si="413"/>
        <v>0</v>
      </c>
      <c r="AH1481" s="136">
        <f t="shared" si="418"/>
        <v>92</v>
      </c>
      <c r="AI1481" s="50">
        <f t="shared" si="416"/>
        <v>1989</v>
      </c>
    </row>
    <row r="1482" spans="1:35">
      <c r="A1482" s="12">
        <v>45857</v>
      </c>
      <c r="B1482" s="8">
        <f t="shared" si="396"/>
        <v>2197549</v>
      </c>
      <c r="C1482" s="8">
        <v>2198425</v>
      </c>
      <c r="D1482" s="13">
        <f t="shared" si="397"/>
        <v>876</v>
      </c>
      <c r="E1482" s="77">
        <f t="shared" si="398"/>
        <v>260006</v>
      </c>
      <c r="F1482" s="69">
        <v>260796</v>
      </c>
      <c r="G1482" s="133">
        <f t="shared" si="399"/>
        <v>790</v>
      </c>
      <c r="H1482" s="8">
        <f t="shared" si="400"/>
        <v>401645</v>
      </c>
      <c r="I1482" s="8">
        <v>401645</v>
      </c>
      <c r="J1482" s="13">
        <f t="shared" si="401"/>
        <v>0</v>
      </c>
      <c r="K1482" s="138">
        <f t="shared" si="402"/>
        <v>1666</v>
      </c>
      <c r="L1482" s="8">
        <f t="shared" si="403"/>
        <v>1433416</v>
      </c>
      <c r="M1482" s="8">
        <v>1434713</v>
      </c>
      <c r="N1482" s="13">
        <f t="shared" si="404"/>
        <v>1297</v>
      </c>
      <c r="O1482" s="136">
        <f t="shared" si="419"/>
        <v>1020</v>
      </c>
      <c r="P1482" s="8">
        <f t="shared" si="393"/>
        <v>17760</v>
      </c>
      <c r="Q1482" s="8">
        <v>18455</v>
      </c>
      <c r="R1482" s="134">
        <f t="shared" si="394"/>
        <v>695</v>
      </c>
      <c r="S1482" s="8">
        <f t="shared" si="405"/>
        <v>63435</v>
      </c>
      <c r="T1482" s="8">
        <v>63472</v>
      </c>
      <c r="U1482" s="133">
        <f t="shared" si="406"/>
        <v>37</v>
      </c>
      <c r="V1482" s="8">
        <f t="shared" si="407"/>
        <v>5053</v>
      </c>
      <c r="W1482" s="8">
        <v>5152</v>
      </c>
      <c r="X1482" s="13">
        <f t="shared" si="408"/>
        <v>99</v>
      </c>
      <c r="Y1482" s="8">
        <f t="shared" si="409"/>
        <v>49612</v>
      </c>
      <c r="Z1482" s="8">
        <v>49822</v>
      </c>
      <c r="AA1482" s="13">
        <f t="shared" si="410"/>
        <v>210</v>
      </c>
      <c r="AB1482" s="8">
        <f t="shared" si="420"/>
        <v>279710</v>
      </c>
      <c r="AC1482" s="8">
        <v>279796</v>
      </c>
      <c r="AD1482" s="13">
        <f t="shared" si="417"/>
        <v>86</v>
      </c>
      <c r="AE1482" s="135">
        <f t="shared" si="395"/>
        <v>13470</v>
      </c>
      <c r="AF1482" s="135">
        <v>13470</v>
      </c>
      <c r="AG1482" s="135">
        <f t="shared" si="413"/>
        <v>0</v>
      </c>
      <c r="AH1482" s="136">
        <f t="shared" si="418"/>
        <v>86</v>
      </c>
      <c r="AI1482" s="50">
        <f t="shared" si="416"/>
        <v>2061</v>
      </c>
    </row>
    <row r="1483" spans="1:35">
      <c r="A1483" s="12">
        <v>45858</v>
      </c>
      <c r="B1483" s="8">
        <f t="shared" si="396"/>
        <v>2198425</v>
      </c>
      <c r="C1483" s="8">
        <v>2199351</v>
      </c>
      <c r="D1483" s="13">
        <f t="shared" si="397"/>
        <v>926</v>
      </c>
      <c r="E1483" s="77">
        <f t="shared" si="398"/>
        <v>260796</v>
      </c>
      <c r="F1483" s="69">
        <v>261906</v>
      </c>
      <c r="G1483" s="133">
        <f t="shared" si="399"/>
        <v>1110</v>
      </c>
      <c r="H1483" s="8">
        <f t="shared" si="400"/>
        <v>401645</v>
      </c>
      <c r="I1483" s="8">
        <v>401645</v>
      </c>
      <c r="J1483" s="13">
        <f t="shared" si="401"/>
        <v>0</v>
      </c>
      <c r="K1483" s="138">
        <f t="shared" si="402"/>
        <v>2036</v>
      </c>
      <c r="L1483" s="8">
        <f t="shared" si="403"/>
        <v>1434713</v>
      </c>
      <c r="M1483" s="8">
        <v>1435990</v>
      </c>
      <c r="N1483" s="13">
        <f t="shared" si="404"/>
        <v>1277</v>
      </c>
      <c r="O1483" s="136">
        <f t="shared" si="419"/>
        <v>1375</v>
      </c>
      <c r="P1483" s="8">
        <f t="shared" si="393"/>
        <v>18455</v>
      </c>
      <c r="Q1483" s="8">
        <v>19150</v>
      </c>
      <c r="R1483" s="134">
        <f t="shared" si="394"/>
        <v>695</v>
      </c>
      <c r="S1483" s="8">
        <f t="shared" si="405"/>
        <v>63472</v>
      </c>
      <c r="T1483" s="8">
        <v>63548</v>
      </c>
      <c r="U1483" s="133">
        <f t="shared" si="406"/>
        <v>76</v>
      </c>
      <c r="V1483" s="8">
        <f t="shared" si="407"/>
        <v>5152</v>
      </c>
      <c r="W1483" s="8">
        <v>5230</v>
      </c>
      <c r="X1483" s="13">
        <f t="shared" si="408"/>
        <v>78</v>
      </c>
      <c r="Y1483" s="8">
        <f t="shared" si="409"/>
        <v>49822</v>
      </c>
      <c r="Z1483" s="8">
        <v>49992</v>
      </c>
      <c r="AA1483" s="13">
        <f t="shared" si="410"/>
        <v>170</v>
      </c>
      <c r="AB1483" s="8">
        <f t="shared" si="420"/>
        <v>279796</v>
      </c>
      <c r="AC1483" s="8">
        <v>279906</v>
      </c>
      <c r="AD1483" s="13">
        <f t="shared" si="417"/>
        <v>110</v>
      </c>
      <c r="AE1483" s="135">
        <f t="shared" si="395"/>
        <v>13470</v>
      </c>
      <c r="AF1483" s="135">
        <v>13470</v>
      </c>
      <c r="AG1483" s="135">
        <f t="shared" si="413"/>
        <v>0</v>
      </c>
      <c r="AH1483" s="136">
        <f t="shared" si="418"/>
        <v>110</v>
      </c>
      <c r="AI1483" s="50">
        <f t="shared" si="416"/>
        <v>2394</v>
      </c>
    </row>
    <row r="1484" spans="1:35">
      <c r="A1484" s="12">
        <v>45859</v>
      </c>
      <c r="B1484" s="8">
        <f t="shared" si="396"/>
        <v>2199351</v>
      </c>
      <c r="C1484" s="8">
        <v>2200181</v>
      </c>
      <c r="D1484" s="13">
        <f t="shared" si="397"/>
        <v>830</v>
      </c>
      <c r="E1484" s="77">
        <f t="shared" si="398"/>
        <v>261906</v>
      </c>
      <c r="F1484" s="69">
        <v>262078</v>
      </c>
      <c r="G1484" s="133">
        <f t="shared" si="399"/>
        <v>172</v>
      </c>
      <c r="H1484" s="8">
        <f t="shared" si="400"/>
        <v>401645</v>
      </c>
      <c r="I1484" s="8">
        <v>401645</v>
      </c>
      <c r="J1484" s="13">
        <f t="shared" si="401"/>
        <v>0</v>
      </c>
      <c r="K1484" s="138">
        <f t="shared" si="402"/>
        <v>1002</v>
      </c>
      <c r="L1484" s="8">
        <f t="shared" si="403"/>
        <v>1435990</v>
      </c>
      <c r="M1484" s="8">
        <v>1437266</v>
      </c>
      <c r="N1484" s="13">
        <f t="shared" si="404"/>
        <v>1276</v>
      </c>
      <c r="O1484" s="136">
        <f t="shared" si="419"/>
        <v>436</v>
      </c>
      <c r="P1484" s="8">
        <f t="shared" si="393"/>
        <v>19150</v>
      </c>
      <c r="Q1484" s="8">
        <v>19703</v>
      </c>
      <c r="R1484" s="134">
        <f t="shared" si="394"/>
        <v>553</v>
      </c>
      <c r="S1484" s="8">
        <f t="shared" si="405"/>
        <v>63548</v>
      </c>
      <c r="T1484" s="8">
        <v>63602</v>
      </c>
      <c r="U1484" s="133">
        <f t="shared" si="406"/>
        <v>54</v>
      </c>
      <c r="V1484" s="8">
        <f t="shared" si="407"/>
        <v>5230</v>
      </c>
      <c r="W1484" s="8">
        <v>5335</v>
      </c>
      <c r="X1484" s="13">
        <f t="shared" si="408"/>
        <v>105</v>
      </c>
      <c r="Y1484" s="8">
        <f t="shared" si="409"/>
        <v>49992</v>
      </c>
      <c r="Z1484" s="8">
        <v>50195</v>
      </c>
      <c r="AA1484" s="13">
        <f t="shared" si="410"/>
        <v>203</v>
      </c>
      <c r="AB1484" s="8">
        <f t="shared" si="420"/>
        <v>279906</v>
      </c>
      <c r="AC1484" s="8">
        <v>279947</v>
      </c>
      <c r="AD1484" s="13">
        <f t="shared" si="417"/>
        <v>41</v>
      </c>
      <c r="AE1484" s="135">
        <f t="shared" si="395"/>
        <v>13470</v>
      </c>
      <c r="AF1484" s="135">
        <v>13470</v>
      </c>
      <c r="AG1484" s="135">
        <f t="shared" si="413"/>
        <v>0</v>
      </c>
      <c r="AH1484" s="136">
        <f t="shared" si="418"/>
        <v>41</v>
      </c>
      <c r="AI1484" s="50">
        <f t="shared" si="416"/>
        <v>1351</v>
      </c>
    </row>
    <row r="1485" spans="1:35">
      <c r="A1485" s="12">
        <v>45860</v>
      </c>
      <c r="B1485" s="8">
        <f t="shared" si="396"/>
        <v>2200181</v>
      </c>
      <c r="C1485" s="8">
        <v>2200602</v>
      </c>
      <c r="D1485" s="13">
        <f t="shared" si="397"/>
        <v>421</v>
      </c>
      <c r="E1485" s="77">
        <f t="shared" si="398"/>
        <v>262078</v>
      </c>
      <c r="F1485" s="69">
        <v>262789</v>
      </c>
      <c r="G1485" s="133">
        <f t="shared" si="399"/>
        <v>711</v>
      </c>
      <c r="H1485" s="8">
        <f t="shared" si="400"/>
        <v>401645</v>
      </c>
      <c r="I1485" s="8">
        <v>401645</v>
      </c>
      <c r="J1485" s="13">
        <f t="shared" si="401"/>
        <v>0</v>
      </c>
      <c r="K1485" s="138">
        <f t="shared" si="402"/>
        <v>1132</v>
      </c>
      <c r="L1485" s="8">
        <f t="shared" si="403"/>
        <v>1437266</v>
      </c>
      <c r="M1485" s="8">
        <v>1438425</v>
      </c>
      <c r="N1485" s="13">
        <f t="shared" si="404"/>
        <v>1159</v>
      </c>
      <c r="O1485" s="136">
        <f t="shared" si="419"/>
        <v>619</v>
      </c>
      <c r="P1485" s="8">
        <f t="shared" si="393"/>
        <v>19703</v>
      </c>
      <c r="Q1485" s="8">
        <v>20352</v>
      </c>
      <c r="R1485" s="134">
        <f t="shared" si="394"/>
        <v>649</v>
      </c>
      <c r="S1485" s="8">
        <f t="shared" si="405"/>
        <v>63602</v>
      </c>
      <c r="T1485" s="8">
        <v>63620</v>
      </c>
      <c r="U1485" s="133">
        <f t="shared" si="406"/>
        <v>18</v>
      </c>
      <c r="V1485" s="8">
        <f t="shared" si="407"/>
        <v>5335</v>
      </c>
      <c r="W1485" s="8">
        <v>5402</v>
      </c>
      <c r="X1485" s="13">
        <f t="shared" si="408"/>
        <v>67</v>
      </c>
      <c r="Y1485" s="8">
        <f t="shared" si="409"/>
        <v>50195</v>
      </c>
      <c r="Z1485" s="8">
        <v>50395</v>
      </c>
      <c r="AA1485" s="13">
        <f t="shared" si="410"/>
        <v>200</v>
      </c>
      <c r="AB1485" s="8">
        <f t="shared" si="420"/>
        <v>279947</v>
      </c>
      <c r="AC1485" s="8">
        <v>280101</v>
      </c>
      <c r="AD1485" s="13">
        <f t="shared" si="417"/>
        <v>154</v>
      </c>
      <c r="AE1485" s="135">
        <f t="shared" si="395"/>
        <v>13470</v>
      </c>
      <c r="AF1485" s="135">
        <v>13470</v>
      </c>
      <c r="AG1485" s="135">
        <f t="shared" si="413"/>
        <v>0</v>
      </c>
      <c r="AH1485" s="136">
        <f t="shared" si="418"/>
        <v>154</v>
      </c>
      <c r="AI1485" s="50">
        <f t="shared" si="416"/>
        <v>1553</v>
      </c>
    </row>
    <row r="1486" spans="1:35">
      <c r="A1486" s="12">
        <v>45861</v>
      </c>
      <c r="B1486" s="8">
        <f t="shared" si="396"/>
        <v>2200602</v>
      </c>
      <c r="C1486" s="8">
        <v>2201050</v>
      </c>
      <c r="D1486" s="13">
        <f t="shared" si="397"/>
        <v>448</v>
      </c>
      <c r="E1486" s="77">
        <f t="shared" si="398"/>
        <v>262789</v>
      </c>
      <c r="F1486" s="69">
        <v>263514</v>
      </c>
      <c r="G1486" s="133">
        <f t="shared" si="399"/>
        <v>725</v>
      </c>
      <c r="H1486" s="8">
        <f t="shared" si="400"/>
        <v>401645</v>
      </c>
      <c r="I1486" s="8">
        <v>401645</v>
      </c>
      <c r="J1486" s="13">
        <f t="shared" si="401"/>
        <v>0</v>
      </c>
      <c r="K1486" s="138">
        <f t="shared" si="402"/>
        <v>1173</v>
      </c>
      <c r="L1486" s="8">
        <f t="shared" si="403"/>
        <v>1438425</v>
      </c>
      <c r="M1486" s="8">
        <v>1439458</v>
      </c>
      <c r="N1486" s="13">
        <f t="shared" si="404"/>
        <v>1033</v>
      </c>
      <c r="O1486" s="136">
        <f t="shared" si="419"/>
        <v>840</v>
      </c>
      <c r="P1486" s="8">
        <f t="shared" si="393"/>
        <v>20352</v>
      </c>
      <c r="Q1486" s="8">
        <v>20824</v>
      </c>
      <c r="R1486" s="134">
        <f t="shared" si="394"/>
        <v>472</v>
      </c>
      <c r="S1486" s="8">
        <f t="shared" si="405"/>
        <v>63620</v>
      </c>
      <c r="T1486" s="8">
        <v>63644</v>
      </c>
      <c r="U1486" s="133">
        <f t="shared" si="406"/>
        <v>24</v>
      </c>
      <c r="V1486" s="8">
        <f t="shared" si="407"/>
        <v>5402</v>
      </c>
      <c r="W1486" s="8">
        <v>5533</v>
      </c>
      <c r="X1486" s="13">
        <f t="shared" si="408"/>
        <v>131</v>
      </c>
      <c r="Y1486" s="8">
        <f t="shared" si="409"/>
        <v>50395</v>
      </c>
      <c r="Z1486" s="8">
        <v>50596</v>
      </c>
      <c r="AA1486" s="13">
        <f t="shared" si="410"/>
        <v>201</v>
      </c>
      <c r="AB1486" s="8">
        <f t="shared" si="420"/>
        <v>280101</v>
      </c>
      <c r="AC1486" s="8">
        <v>280264</v>
      </c>
      <c r="AD1486" s="13">
        <f t="shared" si="417"/>
        <v>163</v>
      </c>
      <c r="AE1486" s="135">
        <f t="shared" si="395"/>
        <v>13470</v>
      </c>
      <c r="AF1486" s="135">
        <v>13470</v>
      </c>
      <c r="AG1486" s="135">
        <f t="shared" si="413"/>
        <v>0</v>
      </c>
      <c r="AH1486" s="136">
        <f t="shared" si="418"/>
        <v>163</v>
      </c>
      <c r="AI1486" s="50">
        <f t="shared" si="416"/>
        <v>1668</v>
      </c>
    </row>
    <row r="1487" spans="1:35">
      <c r="A1487" s="12">
        <v>45862</v>
      </c>
      <c r="B1487" s="8">
        <f t="shared" si="396"/>
        <v>2201050</v>
      </c>
      <c r="C1487" s="8">
        <v>2201446</v>
      </c>
      <c r="D1487" s="13">
        <f t="shared" si="397"/>
        <v>396</v>
      </c>
      <c r="E1487" s="77">
        <f t="shared" si="398"/>
        <v>263514</v>
      </c>
      <c r="F1487" s="69">
        <v>264223</v>
      </c>
      <c r="G1487" s="133">
        <f t="shared" si="399"/>
        <v>709</v>
      </c>
      <c r="H1487" s="8">
        <f t="shared" si="400"/>
        <v>401645</v>
      </c>
      <c r="I1487" s="8">
        <v>401645</v>
      </c>
      <c r="J1487" s="13">
        <f t="shared" si="401"/>
        <v>0</v>
      </c>
      <c r="K1487" s="138">
        <f t="shared" si="402"/>
        <v>1105</v>
      </c>
      <c r="L1487" s="8">
        <f t="shared" si="403"/>
        <v>1439458</v>
      </c>
      <c r="M1487" s="8">
        <v>1440399</v>
      </c>
      <c r="N1487" s="13">
        <f t="shared" si="404"/>
        <v>941</v>
      </c>
      <c r="O1487" s="136">
        <f t="shared" si="419"/>
        <v>801</v>
      </c>
      <c r="P1487" s="8">
        <f t="shared" si="393"/>
        <v>20824</v>
      </c>
      <c r="Q1487" s="8">
        <v>21118</v>
      </c>
      <c r="R1487" s="134">
        <f>Q1487-P1487</f>
        <v>294</v>
      </c>
      <c r="S1487" s="8">
        <f t="shared" si="405"/>
        <v>63644</v>
      </c>
      <c r="T1487" s="8">
        <v>63722</v>
      </c>
      <c r="U1487" s="133">
        <f t="shared" si="406"/>
        <v>78</v>
      </c>
      <c r="V1487" s="8">
        <f t="shared" si="407"/>
        <v>5533</v>
      </c>
      <c r="W1487" s="8">
        <v>5710</v>
      </c>
      <c r="X1487" s="13">
        <f t="shared" si="408"/>
        <v>177</v>
      </c>
      <c r="Y1487" s="8">
        <f t="shared" si="409"/>
        <v>50596</v>
      </c>
      <c r="Z1487" s="8">
        <v>50791</v>
      </c>
      <c r="AA1487" s="13">
        <f t="shared" si="410"/>
        <v>195</v>
      </c>
      <c r="AB1487" s="8">
        <f t="shared" si="420"/>
        <v>280264</v>
      </c>
      <c r="AC1487" s="8">
        <v>280332</v>
      </c>
      <c r="AD1487" s="13">
        <f t="shared" si="417"/>
        <v>68</v>
      </c>
      <c r="AE1487" s="135">
        <f t="shared" si="395"/>
        <v>13470</v>
      </c>
      <c r="AF1487" s="135">
        <v>13470</v>
      </c>
      <c r="AG1487" s="135">
        <f t="shared" si="413"/>
        <v>0</v>
      </c>
      <c r="AH1487" s="136">
        <f t="shared" si="418"/>
        <v>68</v>
      </c>
      <c r="AI1487" s="50">
        <f t="shared" si="416"/>
        <v>1545</v>
      </c>
    </row>
    <row r="1488" spans="1:35">
      <c r="A1488" s="12">
        <v>45863</v>
      </c>
      <c r="B1488" s="8">
        <f t="shared" si="396"/>
        <v>2201446</v>
      </c>
      <c r="C1488" s="8">
        <v>2201884</v>
      </c>
      <c r="D1488" s="13">
        <f t="shared" si="397"/>
        <v>438</v>
      </c>
      <c r="E1488" s="77">
        <f t="shared" si="398"/>
        <v>264223</v>
      </c>
      <c r="F1488" s="69">
        <v>264841</v>
      </c>
      <c r="G1488" s="133">
        <f t="shared" si="399"/>
        <v>618</v>
      </c>
      <c r="H1488" s="8">
        <f t="shared" si="400"/>
        <v>401645</v>
      </c>
      <c r="I1488" s="8">
        <v>401645</v>
      </c>
      <c r="J1488" s="13">
        <f t="shared" si="401"/>
        <v>0</v>
      </c>
      <c r="K1488" s="138">
        <f t="shared" si="402"/>
        <v>1056</v>
      </c>
      <c r="L1488" s="8">
        <f t="shared" si="403"/>
        <v>1440399</v>
      </c>
      <c r="M1488" s="8">
        <v>1441115</v>
      </c>
      <c r="N1488" s="13">
        <f t="shared" si="404"/>
        <v>716</v>
      </c>
      <c r="O1488" s="136">
        <f t="shared" si="419"/>
        <v>660</v>
      </c>
      <c r="P1488" s="8">
        <f>Q1487</f>
        <v>21118</v>
      </c>
      <c r="Q1488" s="8">
        <v>21518</v>
      </c>
      <c r="R1488" s="134">
        <f>Q1488-P1488</f>
        <v>400</v>
      </c>
      <c r="S1488" s="8">
        <f t="shared" si="405"/>
        <v>63722</v>
      </c>
      <c r="T1488" s="8">
        <v>63745</v>
      </c>
      <c r="U1488" s="133">
        <f t="shared" si="406"/>
        <v>23</v>
      </c>
      <c r="V1488" s="8">
        <f t="shared" si="407"/>
        <v>5710</v>
      </c>
      <c r="W1488" s="8">
        <v>5880</v>
      </c>
      <c r="X1488" s="13">
        <f t="shared" si="408"/>
        <v>170</v>
      </c>
      <c r="Y1488" s="8">
        <f t="shared" si="409"/>
        <v>50791</v>
      </c>
      <c r="Z1488" s="8">
        <v>50995</v>
      </c>
      <c r="AA1488" s="13">
        <f t="shared" si="410"/>
        <v>204</v>
      </c>
      <c r="AB1488" s="8">
        <f t="shared" si="420"/>
        <v>280332</v>
      </c>
      <c r="AC1488" s="8">
        <v>280359</v>
      </c>
      <c r="AD1488" s="13">
        <f t="shared" si="417"/>
        <v>27</v>
      </c>
      <c r="AE1488" s="135">
        <f t="shared" si="395"/>
        <v>13470</v>
      </c>
      <c r="AF1488" s="135">
        <v>13470</v>
      </c>
      <c r="AG1488" s="135">
        <f t="shared" si="413"/>
        <v>0</v>
      </c>
      <c r="AH1488" s="136">
        <f t="shared" si="418"/>
        <v>27</v>
      </c>
      <c r="AI1488" s="50">
        <f t="shared" si="416"/>
        <v>1457</v>
      </c>
    </row>
    <row r="1489" spans="1:36">
      <c r="A1489" s="12">
        <v>45864</v>
      </c>
      <c r="B1489" s="8">
        <f t="shared" si="396"/>
        <v>2201884</v>
      </c>
      <c r="C1489" s="8">
        <v>2202707</v>
      </c>
      <c r="D1489" s="13">
        <f t="shared" si="397"/>
        <v>823</v>
      </c>
      <c r="E1489" s="77">
        <f t="shared" si="398"/>
        <v>264841</v>
      </c>
      <c r="F1489" s="69">
        <v>265498</v>
      </c>
      <c r="G1489" s="133">
        <f t="shared" si="399"/>
        <v>657</v>
      </c>
      <c r="H1489" s="8">
        <f t="shared" si="400"/>
        <v>401645</v>
      </c>
      <c r="I1489" s="8">
        <v>401645</v>
      </c>
      <c r="J1489" s="13">
        <f t="shared" si="401"/>
        <v>0</v>
      </c>
      <c r="K1489" s="138">
        <f t="shared" si="402"/>
        <v>1480</v>
      </c>
      <c r="L1489" s="8">
        <f t="shared" si="403"/>
        <v>1441115</v>
      </c>
      <c r="M1489" s="8">
        <v>1441995</v>
      </c>
      <c r="N1489" s="13">
        <f t="shared" si="404"/>
        <v>880</v>
      </c>
      <c r="O1489" s="136">
        <f t="shared" si="419"/>
        <v>954</v>
      </c>
      <c r="P1489" s="8">
        <f>Q1488</f>
        <v>21518</v>
      </c>
      <c r="Q1489" s="8">
        <v>22050</v>
      </c>
      <c r="R1489" s="134">
        <f t="shared" si="394"/>
        <v>532</v>
      </c>
      <c r="S1489" s="8">
        <f t="shared" si="405"/>
        <v>63745</v>
      </c>
      <c r="T1489" s="8">
        <v>63795</v>
      </c>
      <c r="U1489" s="133">
        <f t="shared" si="406"/>
        <v>50</v>
      </c>
      <c r="V1489" s="8">
        <f t="shared" si="407"/>
        <v>5880</v>
      </c>
      <c r="W1489" s="8">
        <v>6075</v>
      </c>
      <c r="X1489" s="13">
        <f t="shared" si="408"/>
        <v>195</v>
      </c>
      <c r="Y1489" s="8">
        <f t="shared" si="409"/>
        <v>50995</v>
      </c>
      <c r="Z1489" s="8">
        <v>51205</v>
      </c>
      <c r="AA1489" s="13">
        <f t="shared" si="410"/>
        <v>210</v>
      </c>
      <c r="AB1489" s="8">
        <f t="shared" si="420"/>
        <v>280359</v>
      </c>
      <c r="AC1489" s="8">
        <v>280415</v>
      </c>
      <c r="AD1489" s="13">
        <f t="shared" si="417"/>
        <v>56</v>
      </c>
      <c r="AE1489" s="135">
        <f t="shared" si="395"/>
        <v>13470</v>
      </c>
      <c r="AF1489" s="135">
        <v>13470</v>
      </c>
      <c r="AG1489" s="135">
        <f t="shared" si="413"/>
        <v>0</v>
      </c>
      <c r="AH1489" s="136">
        <f t="shared" si="418"/>
        <v>56</v>
      </c>
      <c r="AI1489" s="50">
        <f t="shared" si="416"/>
        <v>1941</v>
      </c>
    </row>
    <row r="1490" spans="1:36">
      <c r="A1490" s="12">
        <v>45865</v>
      </c>
      <c r="B1490" s="8">
        <f t="shared" si="396"/>
        <v>2202707</v>
      </c>
      <c r="C1490" s="8">
        <v>2203081</v>
      </c>
      <c r="D1490" s="13">
        <f t="shared" si="397"/>
        <v>374</v>
      </c>
      <c r="E1490" s="77">
        <f t="shared" si="398"/>
        <v>265498</v>
      </c>
      <c r="F1490" s="69">
        <v>266480</v>
      </c>
      <c r="G1490" s="133">
        <f t="shared" si="399"/>
        <v>982</v>
      </c>
      <c r="H1490" s="8">
        <f t="shared" si="400"/>
        <v>401645</v>
      </c>
      <c r="I1490" s="8">
        <v>401645</v>
      </c>
      <c r="J1490" s="13">
        <f t="shared" si="401"/>
        <v>0</v>
      </c>
      <c r="K1490" s="138">
        <f t="shared" si="402"/>
        <v>1356</v>
      </c>
      <c r="L1490" s="8">
        <f t="shared" si="403"/>
        <v>1441995</v>
      </c>
      <c r="M1490" s="8">
        <v>1443308</v>
      </c>
      <c r="N1490" s="13">
        <f t="shared" si="404"/>
        <v>1313</v>
      </c>
      <c r="O1490" s="136">
        <f t="shared" si="419"/>
        <v>711</v>
      </c>
      <c r="P1490" s="8">
        <f t="shared" si="393"/>
        <v>22050</v>
      </c>
      <c r="Q1490" s="8">
        <v>22711</v>
      </c>
      <c r="R1490" s="134">
        <f t="shared" si="394"/>
        <v>661</v>
      </c>
      <c r="S1490" s="8">
        <f t="shared" si="405"/>
        <v>63795</v>
      </c>
      <c r="T1490" s="8">
        <v>63827</v>
      </c>
      <c r="U1490" s="133">
        <f t="shared" si="406"/>
        <v>32</v>
      </c>
      <c r="V1490" s="8">
        <f t="shared" si="407"/>
        <v>6075</v>
      </c>
      <c r="W1490" s="8">
        <v>6242</v>
      </c>
      <c r="X1490" s="13">
        <f t="shared" si="408"/>
        <v>167</v>
      </c>
      <c r="Y1490" s="8">
        <f t="shared" si="409"/>
        <v>51205</v>
      </c>
      <c r="Z1490" s="8">
        <v>51405</v>
      </c>
      <c r="AA1490" s="13">
        <f t="shared" si="410"/>
        <v>200</v>
      </c>
      <c r="AB1490" s="8">
        <f t="shared" si="420"/>
        <v>280415</v>
      </c>
      <c r="AC1490" s="8">
        <v>280463</v>
      </c>
      <c r="AD1490" s="13">
        <f t="shared" si="417"/>
        <v>48</v>
      </c>
      <c r="AE1490" s="135">
        <f t="shared" si="395"/>
        <v>13470</v>
      </c>
      <c r="AF1490" s="135">
        <v>13470</v>
      </c>
      <c r="AG1490" s="135">
        <f t="shared" si="413"/>
        <v>0</v>
      </c>
      <c r="AH1490" s="136">
        <f t="shared" si="418"/>
        <v>48</v>
      </c>
      <c r="AI1490" s="50">
        <f t="shared" si="416"/>
        <v>1771</v>
      </c>
    </row>
    <row r="1491" spans="1:36">
      <c r="A1491" s="12">
        <v>45866</v>
      </c>
      <c r="B1491" s="8">
        <f t="shared" si="396"/>
        <v>2203081</v>
      </c>
      <c r="C1491" s="8">
        <v>2203584</v>
      </c>
      <c r="D1491" s="13">
        <f t="shared" si="397"/>
        <v>503</v>
      </c>
      <c r="E1491" s="77">
        <f t="shared" si="398"/>
        <v>266480</v>
      </c>
      <c r="F1491" s="69">
        <v>267216</v>
      </c>
      <c r="G1491" s="133">
        <f t="shared" si="399"/>
        <v>736</v>
      </c>
      <c r="H1491" s="8">
        <f t="shared" si="400"/>
        <v>401645</v>
      </c>
      <c r="I1491" s="8">
        <v>401645</v>
      </c>
      <c r="J1491" s="13">
        <f t="shared" si="401"/>
        <v>0</v>
      </c>
      <c r="K1491" s="138">
        <f t="shared" si="402"/>
        <v>1239</v>
      </c>
      <c r="L1491" s="8">
        <f t="shared" si="403"/>
        <v>1443308</v>
      </c>
      <c r="M1491" s="8">
        <v>1443965</v>
      </c>
      <c r="N1491" s="13">
        <f t="shared" si="404"/>
        <v>657</v>
      </c>
      <c r="O1491" s="136">
        <f t="shared" si="419"/>
        <v>985</v>
      </c>
      <c r="P1491" s="8">
        <f t="shared" si="393"/>
        <v>22711</v>
      </c>
      <c r="Q1491" s="8">
        <v>23023</v>
      </c>
      <c r="R1491" s="134">
        <f t="shared" si="394"/>
        <v>312</v>
      </c>
      <c r="S1491" s="8">
        <f t="shared" si="405"/>
        <v>63827</v>
      </c>
      <c r="T1491" s="8">
        <v>63848</v>
      </c>
      <c r="U1491" s="133">
        <f t="shared" si="406"/>
        <v>21</v>
      </c>
      <c r="V1491" s="8">
        <f t="shared" si="407"/>
        <v>6242</v>
      </c>
      <c r="W1491" s="8">
        <v>6447</v>
      </c>
      <c r="X1491" s="13">
        <f t="shared" si="408"/>
        <v>205</v>
      </c>
      <c r="Y1491" s="8">
        <f t="shared" si="409"/>
        <v>51405</v>
      </c>
      <c r="Z1491" s="8">
        <v>51435</v>
      </c>
      <c r="AA1491" s="13">
        <f t="shared" si="410"/>
        <v>30</v>
      </c>
      <c r="AB1491" s="8">
        <f t="shared" si="420"/>
        <v>280463</v>
      </c>
      <c r="AC1491" s="8">
        <v>280542</v>
      </c>
      <c r="AD1491" s="13">
        <f t="shared" si="417"/>
        <v>79</v>
      </c>
      <c r="AE1491" s="135">
        <f t="shared" si="395"/>
        <v>13470</v>
      </c>
      <c r="AF1491" s="135">
        <v>13470</v>
      </c>
      <c r="AG1491" s="135">
        <f t="shared" si="413"/>
        <v>0</v>
      </c>
      <c r="AH1491" s="136">
        <f t="shared" si="418"/>
        <v>79</v>
      </c>
      <c r="AI1491" s="50">
        <f t="shared" si="416"/>
        <v>1553</v>
      </c>
    </row>
    <row r="1492" spans="1:36">
      <c r="A1492" s="12">
        <v>45867</v>
      </c>
      <c r="B1492" s="8">
        <f t="shared" si="396"/>
        <v>2203584</v>
      </c>
      <c r="C1492" s="8">
        <v>2204243</v>
      </c>
      <c r="D1492" s="13">
        <f t="shared" si="397"/>
        <v>659</v>
      </c>
      <c r="E1492" s="77">
        <f t="shared" si="398"/>
        <v>267216</v>
      </c>
      <c r="F1492" s="69">
        <v>267951</v>
      </c>
      <c r="G1492" s="133">
        <f t="shared" si="399"/>
        <v>735</v>
      </c>
      <c r="H1492" s="8">
        <f t="shared" si="400"/>
        <v>401645</v>
      </c>
      <c r="I1492" s="8">
        <v>401809</v>
      </c>
      <c r="J1492" s="13">
        <f t="shared" si="401"/>
        <v>164</v>
      </c>
      <c r="K1492" s="138">
        <f t="shared" si="402"/>
        <v>1558</v>
      </c>
      <c r="L1492" s="8">
        <f t="shared" si="403"/>
        <v>1443965</v>
      </c>
      <c r="M1492" s="8">
        <v>1445004</v>
      </c>
      <c r="N1492" s="13">
        <f t="shared" si="404"/>
        <v>1039</v>
      </c>
      <c r="O1492" s="136">
        <f t="shared" si="419"/>
        <v>975</v>
      </c>
      <c r="P1492" s="8">
        <f t="shared" si="393"/>
        <v>23023</v>
      </c>
      <c r="Q1492" s="8">
        <v>23683</v>
      </c>
      <c r="R1492" s="134">
        <f t="shared" si="394"/>
        <v>660</v>
      </c>
      <c r="S1492" s="8">
        <f t="shared" si="405"/>
        <v>63848</v>
      </c>
      <c r="T1492" s="8">
        <v>63888</v>
      </c>
      <c r="U1492" s="133">
        <f t="shared" si="406"/>
        <v>40</v>
      </c>
      <c r="V1492" s="8">
        <f t="shared" si="407"/>
        <v>6447</v>
      </c>
      <c r="W1492" s="8">
        <v>6512</v>
      </c>
      <c r="X1492" s="13">
        <f t="shared" si="408"/>
        <v>65</v>
      </c>
      <c r="Y1492" s="8">
        <f t="shared" si="409"/>
        <v>51435</v>
      </c>
      <c r="Z1492" s="8">
        <v>51521</v>
      </c>
      <c r="AA1492" s="13">
        <f t="shared" si="410"/>
        <v>86</v>
      </c>
      <c r="AB1492" s="8">
        <f t="shared" si="420"/>
        <v>280542</v>
      </c>
      <c r="AC1492" s="8">
        <v>280659</v>
      </c>
      <c r="AD1492" s="13">
        <f t="shared" si="417"/>
        <v>117</v>
      </c>
      <c r="AE1492" s="135">
        <f t="shared" si="395"/>
        <v>13470</v>
      </c>
      <c r="AF1492" s="135">
        <v>13470</v>
      </c>
      <c r="AG1492" s="135">
        <f t="shared" si="413"/>
        <v>0</v>
      </c>
      <c r="AH1492" s="136">
        <f t="shared" si="418"/>
        <v>117</v>
      </c>
      <c r="AI1492" s="50">
        <f t="shared" si="416"/>
        <v>1826</v>
      </c>
    </row>
    <row r="1493" spans="1:36">
      <c r="A1493" s="12">
        <v>45868</v>
      </c>
      <c r="B1493" s="8">
        <f t="shared" si="396"/>
        <v>2204243</v>
      </c>
      <c r="C1493" s="8">
        <v>2204767</v>
      </c>
      <c r="D1493" s="13">
        <f t="shared" si="397"/>
        <v>524</v>
      </c>
      <c r="E1493" s="77">
        <f t="shared" si="398"/>
        <v>267951</v>
      </c>
      <c r="F1493" s="69">
        <v>268685</v>
      </c>
      <c r="G1493" s="133">
        <f t="shared" si="399"/>
        <v>734</v>
      </c>
      <c r="H1493" s="8">
        <f t="shared" si="400"/>
        <v>401809</v>
      </c>
      <c r="I1493" s="8">
        <v>401809</v>
      </c>
      <c r="J1493" s="13">
        <f t="shared" si="401"/>
        <v>0</v>
      </c>
      <c r="K1493" s="138">
        <f t="shared" si="402"/>
        <v>1258</v>
      </c>
      <c r="L1493" s="8">
        <f t="shared" si="403"/>
        <v>1445004</v>
      </c>
      <c r="M1493" s="8">
        <v>1446080</v>
      </c>
      <c r="N1493" s="13">
        <f t="shared" si="404"/>
        <v>1076</v>
      </c>
      <c r="O1493" s="136">
        <f t="shared" si="419"/>
        <v>863</v>
      </c>
      <c r="P1493" s="8">
        <f t="shared" si="393"/>
        <v>23683</v>
      </c>
      <c r="Q1493" s="8">
        <v>24238</v>
      </c>
      <c r="R1493" s="134">
        <f t="shared" si="394"/>
        <v>555</v>
      </c>
      <c r="S1493" s="8">
        <f t="shared" si="405"/>
        <v>63888</v>
      </c>
      <c r="T1493" s="8">
        <v>63898</v>
      </c>
      <c r="U1493" s="133">
        <f t="shared" si="406"/>
        <v>10</v>
      </c>
      <c r="V1493" s="8">
        <f t="shared" si="407"/>
        <v>6512</v>
      </c>
      <c r="W1493" s="8">
        <v>6641</v>
      </c>
      <c r="X1493" s="13">
        <f t="shared" si="408"/>
        <v>129</v>
      </c>
      <c r="Y1493" s="8">
        <f t="shared" si="409"/>
        <v>51521</v>
      </c>
      <c r="Z1493" s="8">
        <v>51598</v>
      </c>
      <c r="AA1493" s="13">
        <f t="shared" si="410"/>
        <v>77</v>
      </c>
      <c r="AB1493" s="8">
        <f t="shared" si="420"/>
        <v>280659</v>
      </c>
      <c r="AC1493" s="8">
        <v>280829</v>
      </c>
      <c r="AD1493" s="13">
        <f t="shared" si="417"/>
        <v>170</v>
      </c>
      <c r="AE1493" s="135">
        <f t="shared" si="395"/>
        <v>13470</v>
      </c>
      <c r="AF1493" s="135">
        <v>13470</v>
      </c>
      <c r="AG1493" s="135">
        <f t="shared" si="413"/>
        <v>0</v>
      </c>
      <c r="AH1493" s="136">
        <f t="shared" si="418"/>
        <v>170</v>
      </c>
      <c r="AI1493" s="50">
        <f t="shared" si="416"/>
        <v>1634</v>
      </c>
    </row>
    <row r="1494" spans="1:36">
      <c r="A1494" s="12">
        <v>45869</v>
      </c>
      <c r="B1494" s="8">
        <f t="shared" si="396"/>
        <v>2204767</v>
      </c>
      <c r="C1494" s="8">
        <v>2205511</v>
      </c>
      <c r="D1494" s="13">
        <f t="shared" si="397"/>
        <v>744</v>
      </c>
      <c r="E1494" s="77">
        <f t="shared" si="398"/>
        <v>268685</v>
      </c>
      <c r="F1494" s="69">
        <v>269448</v>
      </c>
      <c r="G1494" s="133">
        <f t="shared" si="399"/>
        <v>763</v>
      </c>
      <c r="H1494" s="8">
        <f t="shared" si="400"/>
        <v>401809</v>
      </c>
      <c r="I1494" s="8">
        <v>401809</v>
      </c>
      <c r="J1494" s="13">
        <f t="shared" si="401"/>
        <v>0</v>
      </c>
      <c r="K1494" s="138">
        <f t="shared" si="402"/>
        <v>1507</v>
      </c>
      <c r="L1494" s="8">
        <f t="shared" si="403"/>
        <v>1446080</v>
      </c>
      <c r="M1494" s="8">
        <v>1447047</v>
      </c>
      <c r="N1494" s="13">
        <f t="shared" si="404"/>
        <v>967</v>
      </c>
      <c r="O1494" s="136">
        <f t="shared" si="419"/>
        <v>1113</v>
      </c>
      <c r="P1494" s="8">
        <f t="shared" si="393"/>
        <v>24238</v>
      </c>
      <c r="Q1494" s="8">
        <v>24720</v>
      </c>
      <c r="R1494" s="134">
        <f t="shared" si="394"/>
        <v>482</v>
      </c>
      <c r="S1494" s="8">
        <f t="shared" si="405"/>
        <v>63898</v>
      </c>
      <c r="T1494" s="8">
        <v>63927</v>
      </c>
      <c r="U1494" s="133">
        <f t="shared" si="406"/>
        <v>29</v>
      </c>
      <c r="V1494" s="8">
        <f t="shared" si="407"/>
        <v>6641</v>
      </c>
      <c r="W1494" s="8">
        <v>6785</v>
      </c>
      <c r="X1494" s="13">
        <f t="shared" si="408"/>
        <v>144</v>
      </c>
      <c r="Y1494" s="8">
        <f t="shared" si="409"/>
        <v>51598</v>
      </c>
      <c r="Z1494" s="8">
        <v>51698</v>
      </c>
      <c r="AA1494" s="13">
        <f t="shared" si="410"/>
        <v>100</v>
      </c>
      <c r="AB1494" s="8">
        <f t="shared" si="420"/>
        <v>280829</v>
      </c>
      <c r="AC1494" s="8">
        <v>280946</v>
      </c>
      <c r="AD1494" s="13">
        <f t="shared" si="417"/>
        <v>117</v>
      </c>
      <c r="AE1494" s="135">
        <f t="shared" si="395"/>
        <v>13470</v>
      </c>
      <c r="AF1494" s="135">
        <v>13470</v>
      </c>
      <c r="AG1494" s="135">
        <f t="shared" si="413"/>
        <v>0</v>
      </c>
      <c r="AH1494" s="136">
        <f t="shared" si="418"/>
        <v>117</v>
      </c>
      <c r="AI1494" s="50">
        <f t="shared" si="416"/>
        <v>1868</v>
      </c>
      <c r="AJ1494" s="8" t="s">
        <v>1999</v>
      </c>
    </row>
    <row r="1495" spans="1:36">
      <c r="A1495" s="12">
        <v>45870</v>
      </c>
      <c r="B1495" s="8">
        <f t="shared" si="396"/>
        <v>2205511</v>
      </c>
      <c r="C1495" s="8">
        <v>2205835</v>
      </c>
      <c r="D1495" s="13">
        <f t="shared" si="397"/>
        <v>324</v>
      </c>
      <c r="E1495" s="77">
        <f t="shared" si="398"/>
        <v>269448</v>
      </c>
      <c r="F1495" s="69">
        <v>270162</v>
      </c>
      <c r="G1495" s="133">
        <f t="shared" si="399"/>
        <v>714</v>
      </c>
      <c r="H1495" s="8">
        <f t="shared" si="400"/>
        <v>401809</v>
      </c>
      <c r="I1495" s="8">
        <v>401809</v>
      </c>
      <c r="J1495" s="13">
        <f t="shared" si="401"/>
        <v>0</v>
      </c>
      <c r="K1495" s="138">
        <f t="shared" si="402"/>
        <v>1038</v>
      </c>
      <c r="L1495" s="8">
        <f t="shared" si="403"/>
        <v>1447047</v>
      </c>
      <c r="M1495" s="8">
        <v>1448059</v>
      </c>
      <c r="N1495" s="13">
        <f t="shared" si="404"/>
        <v>1012</v>
      </c>
      <c r="O1495" s="136">
        <f t="shared" si="419"/>
        <v>761</v>
      </c>
      <c r="P1495" s="8">
        <f t="shared" si="393"/>
        <v>24720</v>
      </c>
      <c r="Q1495" s="8">
        <v>25059</v>
      </c>
      <c r="R1495" s="134">
        <f t="shared" si="394"/>
        <v>339</v>
      </c>
      <c r="S1495" s="8">
        <f t="shared" si="405"/>
        <v>63927</v>
      </c>
      <c r="T1495" s="8">
        <v>63959</v>
      </c>
      <c r="U1495" s="133">
        <f t="shared" si="406"/>
        <v>32</v>
      </c>
      <c r="V1495" s="8">
        <f t="shared" si="407"/>
        <v>6785</v>
      </c>
      <c r="W1495" s="8">
        <v>6900</v>
      </c>
      <c r="X1495" s="13">
        <f t="shared" si="408"/>
        <v>115</v>
      </c>
      <c r="Y1495" s="8">
        <f t="shared" si="409"/>
        <v>51698</v>
      </c>
      <c r="Z1495" s="8">
        <v>51791</v>
      </c>
      <c r="AA1495" s="13">
        <f t="shared" si="410"/>
        <v>93</v>
      </c>
      <c r="AB1495" s="8">
        <f t="shared" si="420"/>
        <v>280946</v>
      </c>
      <c r="AC1495" s="8">
        <v>281040</v>
      </c>
      <c r="AD1495" s="13">
        <f t="shared" si="417"/>
        <v>94</v>
      </c>
      <c r="AE1495" s="135">
        <f t="shared" si="395"/>
        <v>13470</v>
      </c>
      <c r="AF1495" s="135">
        <v>13470</v>
      </c>
      <c r="AG1495" s="135">
        <f t="shared" si="413"/>
        <v>0</v>
      </c>
      <c r="AH1495" s="136">
        <f t="shared" si="418"/>
        <v>94</v>
      </c>
      <c r="AI1495" s="50">
        <f t="shared" si="416"/>
        <v>1340</v>
      </c>
    </row>
    <row r="1496" spans="1:36">
      <c r="A1496" s="12">
        <v>45871</v>
      </c>
      <c r="B1496" s="8">
        <f t="shared" si="396"/>
        <v>2205835</v>
      </c>
      <c r="C1496" s="8">
        <v>2206118</v>
      </c>
      <c r="D1496" s="13">
        <f t="shared" si="397"/>
        <v>283</v>
      </c>
      <c r="E1496" s="77">
        <f t="shared" si="398"/>
        <v>270162</v>
      </c>
      <c r="F1496" s="69">
        <v>270898</v>
      </c>
      <c r="G1496" s="133">
        <f t="shared" si="399"/>
        <v>736</v>
      </c>
      <c r="H1496" s="8">
        <f t="shared" si="400"/>
        <v>401809</v>
      </c>
      <c r="I1496" s="8">
        <v>401809</v>
      </c>
      <c r="J1496" s="13">
        <f t="shared" si="401"/>
        <v>0</v>
      </c>
      <c r="K1496" s="138">
        <f t="shared" si="402"/>
        <v>1019</v>
      </c>
      <c r="L1496" s="8">
        <f t="shared" si="403"/>
        <v>1448059</v>
      </c>
      <c r="M1496" s="8">
        <v>1449119</v>
      </c>
      <c r="N1496" s="13">
        <f t="shared" si="404"/>
        <v>1060</v>
      </c>
      <c r="O1496" s="136">
        <f t="shared" si="419"/>
        <v>949</v>
      </c>
      <c r="P1496" s="8">
        <f t="shared" si="393"/>
        <v>25059</v>
      </c>
      <c r="Q1496" s="8">
        <v>25209</v>
      </c>
      <c r="R1496" s="134">
        <f t="shared" si="394"/>
        <v>150</v>
      </c>
      <c r="S1496" s="8">
        <f t="shared" si="405"/>
        <v>63959</v>
      </c>
      <c r="T1496" s="8">
        <v>63995</v>
      </c>
      <c r="U1496" s="133">
        <f t="shared" si="406"/>
        <v>36</v>
      </c>
      <c r="V1496" s="8">
        <f t="shared" si="407"/>
        <v>6900</v>
      </c>
      <c r="W1496" s="8">
        <v>7088</v>
      </c>
      <c r="X1496" s="13">
        <f t="shared" si="408"/>
        <v>188</v>
      </c>
      <c r="Y1496" s="8">
        <f t="shared" si="409"/>
        <v>51791</v>
      </c>
      <c r="Z1496" s="8">
        <v>51899</v>
      </c>
      <c r="AA1496" s="13">
        <f t="shared" si="410"/>
        <v>108</v>
      </c>
      <c r="AB1496" s="8">
        <f t="shared" si="420"/>
        <v>281040</v>
      </c>
      <c r="AC1496" s="8">
        <v>281156</v>
      </c>
      <c r="AD1496" s="13">
        <f t="shared" si="417"/>
        <v>116</v>
      </c>
      <c r="AE1496" s="135">
        <f t="shared" si="395"/>
        <v>13470</v>
      </c>
      <c r="AF1496" s="135">
        <v>13470</v>
      </c>
      <c r="AG1496" s="135">
        <f t="shared" si="413"/>
        <v>0</v>
      </c>
      <c r="AH1496" s="136">
        <f t="shared" si="418"/>
        <v>116</v>
      </c>
      <c r="AI1496" s="50">
        <f t="shared" si="416"/>
        <v>1431</v>
      </c>
    </row>
    <row r="1497" spans="1:36">
      <c r="A1497" s="12">
        <v>45872</v>
      </c>
      <c r="B1497" s="8">
        <f t="shared" si="396"/>
        <v>2206118</v>
      </c>
      <c r="C1497" s="8">
        <v>2206498</v>
      </c>
      <c r="D1497" s="13">
        <f t="shared" si="397"/>
        <v>380</v>
      </c>
      <c r="E1497" s="77">
        <f t="shared" si="398"/>
        <v>270898</v>
      </c>
      <c r="F1497" s="69">
        <v>271675</v>
      </c>
      <c r="G1497" s="133">
        <f t="shared" si="399"/>
        <v>777</v>
      </c>
      <c r="H1497" s="8">
        <f t="shared" si="400"/>
        <v>401809</v>
      </c>
      <c r="I1497" s="8">
        <v>401809</v>
      </c>
      <c r="J1497" s="13">
        <f t="shared" si="401"/>
        <v>0</v>
      </c>
      <c r="K1497" s="138">
        <f t="shared" si="402"/>
        <v>1157</v>
      </c>
      <c r="L1497" s="8">
        <f t="shared" si="403"/>
        <v>1449119</v>
      </c>
      <c r="M1497" s="8">
        <v>1450112</v>
      </c>
      <c r="N1497" s="13">
        <f t="shared" si="404"/>
        <v>993</v>
      </c>
      <c r="O1497" s="136">
        <f t="shared" si="419"/>
        <v>1185</v>
      </c>
      <c r="P1497" s="8">
        <f t="shared" si="393"/>
        <v>25209</v>
      </c>
      <c r="Q1497" s="8">
        <v>25217</v>
      </c>
      <c r="R1497" s="134">
        <f t="shared" si="394"/>
        <v>8</v>
      </c>
      <c r="S1497" s="8">
        <f t="shared" si="405"/>
        <v>63995</v>
      </c>
      <c r="T1497" s="8">
        <v>64040</v>
      </c>
      <c r="U1497" s="133">
        <f t="shared" si="406"/>
        <v>45</v>
      </c>
      <c r="V1497" s="8">
        <f t="shared" si="407"/>
        <v>7088</v>
      </c>
      <c r="W1497" s="8">
        <v>7283</v>
      </c>
      <c r="X1497" s="13">
        <f t="shared" si="408"/>
        <v>195</v>
      </c>
      <c r="Y1497" s="8">
        <f t="shared" si="409"/>
        <v>51899</v>
      </c>
      <c r="Z1497" s="8">
        <v>51999</v>
      </c>
      <c r="AA1497" s="13">
        <f t="shared" si="410"/>
        <v>100</v>
      </c>
      <c r="AB1497" s="8">
        <f t="shared" si="420"/>
        <v>281156</v>
      </c>
      <c r="AC1497" s="8">
        <v>281237</v>
      </c>
      <c r="AD1497" s="13">
        <f t="shared" si="417"/>
        <v>81</v>
      </c>
      <c r="AE1497" s="135">
        <f t="shared" si="395"/>
        <v>13470</v>
      </c>
      <c r="AF1497" s="135">
        <v>13470</v>
      </c>
      <c r="AG1497" s="135">
        <f t="shared" si="413"/>
        <v>0</v>
      </c>
      <c r="AH1497" s="136">
        <f t="shared" si="418"/>
        <v>81</v>
      </c>
      <c r="AI1497" s="50">
        <f t="shared" si="416"/>
        <v>1533</v>
      </c>
    </row>
    <row r="1498" spans="1:36">
      <c r="A1498" s="12">
        <v>45873</v>
      </c>
      <c r="B1498" s="8">
        <f t="shared" si="396"/>
        <v>2206498</v>
      </c>
      <c r="C1498" s="8">
        <v>2207061</v>
      </c>
      <c r="D1498" s="13">
        <f t="shared" si="397"/>
        <v>563</v>
      </c>
      <c r="E1498" s="77">
        <f t="shared" si="398"/>
        <v>271675</v>
      </c>
      <c r="F1498" s="69">
        <v>272409</v>
      </c>
      <c r="G1498" s="133">
        <f t="shared" si="399"/>
        <v>734</v>
      </c>
      <c r="H1498" s="8">
        <f t="shared" si="400"/>
        <v>401809</v>
      </c>
      <c r="I1498" s="8">
        <v>402088</v>
      </c>
      <c r="J1498" s="13">
        <f t="shared" si="401"/>
        <v>279</v>
      </c>
      <c r="K1498" s="138">
        <f t="shared" si="402"/>
        <v>1576</v>
      </c>
      <c r="L1498" s="8">
        <f t="shared" si="403"/>
        <v>1450112</v>
      </c>
      <c r="M1498" s="8">
        <v>1450840</v>
      </c>
      <c r="N1498" s="13">
        <f t="shared" si="404"/>
        <v>728</v>
      </c>
      <c r="O1498" s="136">
        <f t="shared" si="419"/>
        <v>1555</v>
      </c>
      <c r="P1498" s="8">
        <f t="shared" si="393"/>
        <v>25217</v>
      </c>
      <c r="Q1498" s="8">
        <v>25217</v>
      </c>
      <c r="R1498" s="134">
        <f t="shared" si="394"/>
        <v>0</v>
      </c>
      <c r="S1498" s="8">
        <f t="shared" si="405"/>
        <v>64040</v>
      </c>
      <c r="T1498" s="8">
        <v>64122</v>
      </c>
      <c r="U1498" s="133">
        <f t="shared" si="406"/>
        <v>82</v>
      </c>
      <c r="V1498" s="8">
        <f t="shared" si="407"/>
        <v>7283</v>
      </c>
      <c r="W1498" s="8">
        <v>7434</v>
      </c>
      <c r="X1498" s="13">
        <f t="shared" si="408"/>
        <v>151</v>
      </c>
      <c r="Y1498" s="8">
        <f t="shared" si="409"/>
        <v>51999</v>
      </c>
      <c r="Z1498" s="8">
        <v>52128</v>
      </c>
      <c r="AA1498" s="13">
        <f t="shared" si="410"/>
        <v>129</v>
      </c>
      <c r="AB1498" s="8">
        <f t="shared" si="420"/>
        <v>281237</v>
      </c>
      <c r="AC1498" s="8">
        <v>281298</v>
      </c>
      <c r="AD1498" s="13">
        <f t="shared" si="417"/>
        <v>61</v>
      </c>
      <c r="AE1498" s="135">
        <f t="shared" si="395"/>
        <v>13470</v>
      </c>
      <c r="AF1498" s="135">
        <v>13470</v>
      </c>
      <c r="AG1498" s="135">
        <f t="shared" si="413"/>
        <v>0</v>
      </c>
      <c r="AH1498" s="136">
        <f t="shared" si="418"/>
        <v>61</v>
      </c>
      <c r="AI1498" s="50">
        <f t="shared" si="416"/>
        <v>1917</v>
      </c>
    </row>
    <row r="1499" spans="1:36">
      <c r="A1499" s="12">
        <v>45874</v>
      </c>
      <c r="B1499" s="8">
        <f t="shared" si="396"/>
        <v>2207061</v>
      </c>
      <c r="C1499" s="8">
        <v>2207171</v>
      </c>
      <c r="D1499" s="13">
        <f t="shared" si="397"/>
        <v>110</v>
      </c>
      <c r="E1499" s="77">
        <f t="shared" si="398"/>
        <v>272409</v>
      </c>
      <c r="F1499" s="69">
        <v>273136</v>
      </c>
      <c r="G1499" s="133">
        <f t="shared" si="399"/>
        <v>727</v>
      </c>
      <c r="H1499" s="8">
        <f t="shared" si="400"/>
        <v>402088</v>
      </c>
      <c r="I1499" s="8">
        <v>402088</v>
      </c>
      <c r="J1499" s="13">
        <f t="shared" si="401"/>
        <v>0</v>
      </c>
      <c r="K1499" s="138">
        <f t="shared" si="402"/>
        <v>837</v>
      </c>
      <c r="L1499" s="8">
        <f t="shared" si="403"/>
        <v>1450840</v>
      </c>
      <c r="M1499" s="8">
        <v>1451948</v>
      </c>
      <c r="N1499" s="13">
        <f t="shared" si="404"/>
        <v>1108</v>
      </c>
      <c r="O1499" s="136">
        <f t="shared" si="419"/>
        <v>920</v>
      </c>
      <c r="P1499" s="8">
        <f t="shared" si="393"/>
        <v>25217</v>
      </c>
      <c r="Q1499" s="8">
        <v>25233</v>
      </c>
      <c r="R1499" s="134">
        <f t="shared" si="394"/>
        <v>16</v>
      </c>
      <c r="S1499" s="8">
        <f t="shared" si="405"/>
        <v>64122</v>
      </c>
      <c r="T1499" s="8">
        <v>64199</v>
      </c>
      <c r="U1499" s="133">
        <f t="shared" si="406"/>
        <v>77</v>
      </c>
      <c r="V1499" s="8">
        <f t="shared" si="407"/>
        <v>7434</v>
      </c>
      <c r="W1499" s="8">
        <v>7583</v>
      </c>
      <c r="X1499" s="13">
        <f t="shared" si="408"/>
        <v>149</v>
      </c>
      <c r="Y1499" s="8">
        <f t="shared" si="409"/>
        <v>52128</v>
      </c>
      <c r="Z1499" s="8">
        <v>52227</v>
      </c>
      <c r="AA1499" s="13">
        <f t="shared" si="410"/>
        <v>99</v>
      </c>
      <c r="AB1499" s="8">
        <f t="shared" si="420"/>
        <v>281298</v>
      </c>
      <c r="AC1499" s="8">
        <v>281474</v>
      </c>
      <c r="AD1499" s="13">
        <f t="shared" si="417"/>
        <v>176</v>
      </c>
      <c r="AE1499" s="135">
        <f t="shared" si="395"/>
        <v>13470</v>
      </c>
      <c r="AF1499" s="135">
        <v>13470</v>
      </c>
      <c r="AG1499" s="135">
        <f t="shared" si="413"/>
        <v>0</v>
      </c>
      <c r="AH1499" s="136">
        <f t="shared" si="418"/>
        <v>176</v>
      </c>
      <c r="AI1499" s="50">
        <f t="shared" si="416"/>
        <v>1261</v>
      </c>
    </row>
    <row r="1500" spans="1:36">
      <c r="A1500" s="12">
        <v>45875</v>
      </c>
      <c r="B1500" s="8">
        <f t="shared" si="396"/>
        <v>2207171</v>
      </c>
      <c r="C1500" s="8">
        <v>2207483</v>
      </c>
      <c r="D1500" s="13">
        <f t="shared" si="397"/>
        <v>312</v>
      </c>
      <c r="E1500" s="77">
        <f t="shared" si="398"/>
        <v>273136</v>
      </c>
      <c r="F1500" s="69">
        <v>273862</v>
      </c>
      <c r="G1500" s="133">
        <f t="shared" si="399"/>
        <v>726</v>
      </c>
      <c r="H1500" s="8">
        <f t="shared" si="400"/>
        <v>402088</v>
      </c>
      <c r="I1500" s="8">
        <v>402738</v>
      </c>
      <c r="J1500" s="13">
        <f t="shared" si="401"/>
        <v>650</v>
      </c>
      <c r="K1500" s="138">
        <f t="shared" si="402"/>
        <v>1688</v>
      </c>
      <c r="L1500" s="8">
        <f t="shared" si="403"/>
        <v>1451948</v>
      </c>
      <c r="M1500" s="8">
        <v>1452187</v>
      </c>
      <c r="N1500" s="13">
        <f t="shared" si="404"/>
        <v>239</v>
      </c>
      <c r="O1500" s="136">
        <f t="shared" si="419"/>
        <v>1666</v>
      </c>
      <c r="P1500" s="8">
        <f t="shared" ref="P1500:P1563" si="421">Q1499</f>
        <v>25233</v>
      </c>
      <c r="Q1500" s="8">
        <v>25263</v>
      </c>
      <c r="R1500" s="134">
        <f t="shared" si="394"/>
        <v>30</v>
      </c>
      <c r="S1500" s="8">
        <f t="shared" si="405"/>
        <v>64199</v>
      </c>
      <c r="T1500" s="8">
        <v>64304</v>
      </c>
      <c r="U1500" s="133">
        <f t="shared" si="406"/>
        <v>105</v>
      </c>
      <c r="V1500" s="8">
        <f t="shared" si="407"/>
        <v>7583</v>
      </c>
      <c r="W1500" s="8">
        <v>7808</v>
      </c>
      <c r="X1500" s="13">
        <f t="shared" si="408"/>
        <v>225</v>
      </c>
      <c r="Y1500" s="8">
        <f t="shared" si="409"/>
        <v>52227</v>
      </c>
      <c r="Z1500" s="8">
        <v>52328</v>
      </c>
      <c r="AA1500" s="13">
        <f t="shared" si="410"/>
        <v>101</v>
      </c>
      <c r="AB1500" s="8">
        <f t="shared" si="420"/>
        <v>281474</v>
      </c>
      <c r="AC1500" s="8">
        <v>281587</v>
      </c>
      <c r="AD1500" s="13">
        <f t="shared" si="417"/>
        <v>113</v>
      </c>
      <c r="AE1500" s="135">
        <f t="shared" si="395"/>
        <v>13470</v>
      </c>
      <c r="AF1500" s="135">
        <v>13470</v>
      </c>
      <c r="AG1500" s="135">
        <f t="shared" si="413"/>
        <v>0</v>
      </c>
      <c r="AH1500" s="136">
        <f t="shared" si="418"/>
        <v>113</v>
      </c>
      <c r="AI1500" s="50">
        <f t="shared" si="416"/>
        <v>2127</v>
      </c>
    </row>
    <row r="1501" spans="1:36">
      <c r="A1501" s="12">
        <v>45876</v>
      </c>
      <c r="B1501" s="8">
        <f t="shared" si="396"/>
        <v>2207483</v>
      </c>
      <c r="C1501" s="8">
        <v>2207870</v>
      </c>
      <c r="D1501" s="13">
        <f t="shared" si="397"/>
        <v>387</v>
      </c>
      <c r="E1501" s="77">
        <f t="shared" si="398"/>
        <v>273862</v>
      </c>
      <c r="F1501" s="69">
        <v>274588</v>
      </c>
      <c r="G1501" s="133">
        <f t="shared" si="399"/>
        <v>726</v>
      </c>
      <c r="H1501" s="8">
        <f t="shared" si="400"/>
        <v>402738</v>
      </c>
      <c r="I1501" s="8">
        <v>402738</v>
      </c>
      <c r="J1501" s="13">
        <f t="shared" si="401"/>
        <v>0</v>
      </c>
      <c r="K1501" s="138">
        <f t="shared" si="402"/>
        <v>1113</v>
      </c>
      <c r="L1501" s="8">
        <f t="shared" si="403"/>
        <v>1452187</v>
      </c>
      <c r="M1501" s="8">
        <v>1453564</v>
      </c>
      <c r="N1501" s="13">
        <f t="shared" si="404"/>
        <v>1377</v>
      </c>
      <c r="O1501" s="136">
        <f t="shared" si="419"/>
        <v>1116</v>
      </c>
      <c r="P1501" s="8">
        <f t="shared" si="421"/>
        <v>25263</v>
      </c>
      <c r="Q1501" s="8">
        <v>25286</v>
      </c>
      <c r="R1501" s="134">
        <f t="shared" si="394"/>
        <v>23</v>
      </c>
      <c r="S1501" s="8">
        <f t="shared" si="405"/>
        <v>64304</v>
      </c>
      <c r="T1501" s="8">
        <v>64372</v>
      </c>
      <c r="U1501" s="133">
        <f t="shared" si="406"/>
        <v>68</v>
      </c>
      <c r="V1501" s="8">
        <f t="shared" si="407"/>
        <v>7808</v>
      </c>
      <c r="W1501" s="8">
        <v>7979</v>
      </c>
      <c r="X1501" s="13">
        <f t="shared" si="408"/>
        <v>171</v>
      </c>
      <c r="Y1501" s="8">
        <f t="shared" si="409"/>
        <v>52328</v>
      </c>
      <c r="Z1501" s="8">
        <v>52425</v>
      </c>
      <c r="AA1501" s="13">
        <f t="shared" si="410"/>
        <v>97</v>
      </c>
      <c r="AB1501" s="8">
        <f t="shared" si="420"/>
        <v>281587</v>
      </c>
      <c r="AC1501" s="8">
        <v>281681</v>
      </c>
      <c r="AD1501" s="13">
        <f t="shared" si="417"/>
        <v>94</v>
      </c>
      <c r="AE1501" s="135">
        <f t="shared" si="395"/>
        <v>13470</v>
      </c>
      <c r="AF1501" s="135">
        <v>13470</v>
      </c>
      <c r="AG1501" s="135">
        <f t="shared" si="413"/>
        <v>0</v>
      </c>
      <c r="AH1501" s="136">
        <f t="shared" si="418"/>
        <v>94</v>
      </c>
      <c r="AI1501" s="50">
        <f t="shared" si="416"/>
        <v>1475</v>
      </c>
    </row>
    <row r="1502" spans="1:36">
      <c r="A1502" s="12">
        <v>45877</v>
      </c>
      <c r="B1502" s="8">
        <f t="shared" si="396"/>
        <v>2207870</v>
      </c>
      <c r="C1502" s="8">
        <v>2208275</v>
      </c>
      <c r="D1502" s="13">
        <f t="shared" si="397"/>
        <v>405</v>
      </c>
      <c r="E1502" s="77">
        <f t="shared" si="398"/>
        <v>274588</v>
      </c>
      <c r="F1502" s="69">
        <v>275341</v>
      </c>
      <c r="G1502" s="133">
        <f t="shared" si="399"/>
        <v>753</v>
      </c>
      <c r="H1502" s="8">
        <f t="shared" si="400"/>
        <v>402738</v>
      </c>
      <c r="I1502" s="8">
        <v>402891</v>
      </c>
      <c r="J1502" s="13">
        <f t="shared" si="401"/>
        <v>153</v>
      </c>
      <c r="K1502" s="138">
        <f t="shared" si="402"/>
        <v>1311</v>
      </c>
      <c r="L1502" s="8">
        <f t="shared" si="403"/>
        <v>1453564</v>
      </c>
      <c r="M1502" s="8">
        <v>1454410</v>
      </c>
      <c r="N1502" s="13">
        <f t="shared" si="404"/>
        <v>846</v>
      </c>
      <c r="O1502" s="136">
        <f t="shared" si="419"/>
        <v>989</v>
      </c>
      <c r="P1502" s="8">
        <f t="shared" si="421"/>
        <v>25286</v>
      </c>
      <c r="Q1502" s="8">
        <v>25692</v>
      </c>
      <c r="R1502" s="134">
        <f t="shared" si="394"/>
        <v>406</v>
      </c>
      <c r="S1502" s="8">
        <f t="shared" si="405"/>
        <v>64372</v>
      </c>
      <c r="T1502" s="8">
        <v>64394</v>
      </c>
      <c r="U1502" s="133">
        <f t="shared" si="406"/>
        <v>22</v>
      </c>
      <c r="V1502" s="8">
        <f t="shared" si="407"/>
        <v>7979</v>
      </c>
      <c r="W1502" s="8">
        <v>8169</v>
      </c>
      <c r="X1502" s="13">
        <f t="shared" si="408"/>
        <v>190</v>
      </c>
      <c r="Y1502" s="8">
        <f t="shared" si="409"/>
        <v>52425</v>
      </c>
      <c r="Z1502" s="8">
        <v>52528</v>
      </c>
      <c r="AA1502" s="13">
        <f t="shared" si="410"/>
        <v>103</v>
      </c>
      <c r="AB1502" s="8">
        <f t="shared" si="420"/>
        <v>281681</v>
      </c>
      <c r="AC1502" s="8">
        <v>281787</v>
      </c>
      <c r="AD1502" s="13">
        <f t="shared" si="417"/>
        <v>106</v>
      </c>
      <c r="AE1502" s="135">
        <f t="shared" si="395"/>
        <v>13470</v>
      </c>
      <c r="AF1502" s="135">
        <v>13470</v>
      </c>
      <c r="AG1502" s="135">
        <f t="shared" si="413"/>
        <v>0</v>
      </c>
      <c r="AH1502" s="136">
        <f t="shared" si="418"/>
        <v>106</v>
      </c>
      <c r="AI1502" s="50">
        <f t="shared" si="416"/>
        <v>1710</v>
      </c>
    </row>
    <row r="1503" spans="1:36">
      <c r="A1503" s="12">
        <v>45878</v>
      </c>
      <c r="B1503" s="8">
        <f t="shared" si="396"/>
        <v>2208275</v>
      </c>
      <c r="C1503" s="8">
        <v>2208767</v>
      </c>
      <c r="D1503" s="13">
        <f t="shared" si="397"/>
        <v>492</v>
      </c>
      <c r="E1503" s="77">
        <f t="shared" si="398"/>
        <v>275341</v>
      </c>
      <c r="F1503" s="69">
        <v>276073</v>
      </c>
      <c r="G1503" s="133">
        <f t="shared" si="399"/>
        <v>732</v>
      </c>
      <c r="H1503" s="8">
        <f t="shared" si="400"/>
        <v>402891</v>
      </c>
      <c r="I1503" s="8">
        <v>402891</v>
      </c>
      <c r="J1503" s="13">
        <f t="shared" si="401"/>
        <v>0</v>
      </c>
      <c r="K1503" s="138">
        <f t="shared" si="402"/>
        <v>1224</v>
      </c>
      <c r="L1503" s="8">
        <f t="shared" si="403"/>
        <v>1454410</v>
      </c>
      <c r="M1503" s="8">
        <v>1455428</v>
      </c>
      <c r="N1503" s="13">
        <f t="shared" si="404"/>
        <v>1018</v>
      </c>
      <c r="O1503" s="136">
        <f t="shared" si="419"/>
        <v>893</v>
      </c>
      <c r="P1503" s="8">
        <f t="shared" si="421"/>
        <v>25692</v>
      </c>
      <c r="Q1503" s="8">
        <v>26090</v>
      </c>
      <c r="R1503" s="134">
        <f t="shared" si="394"/>
        <v>398</v>
      </c>
      <c r="S1503" s="8">
        <f t="shared" si="405"/>
        <v>64394</v>
      </c>
      <c r="T1503" s="8">
        <v>64415</v>
      </c>
      <c r="U1503" s="133">
        <f t="shared" si="406"/>
        <v>21</v>
      </c>
      <c r="V1503" s="8">
        <f t="shared" si="407"/>
        <v>8169</v>
      </c>
      <c r="W1503" s="8">
        <v>8337</v>
      </c>
      <c r="X1503" s="13">
        <f t="shared" si="408"/>
        <v>168</v>
      </c>
      <c r="Y1503" s="8">
        <f t="shared" si="409"/>
        <v>52528</v>
      </c>
      <c r="Z1503" s="8">
        <v>52627</v>
      </c>
      <c r="AA1503" s="13">
        <f t="shared" si="410"/>
        <v>99</v>
      </c>
      <c r="AB1503" s="8">
        <f t="shared" si="420"/>
        <v>281787</v>
      </c>
      <c r="AC1503" s="8">
        <v>281875</v>
      </c>
      <c r="AD1503" s="13">
        <f t="shared" si="417"/>
        <v>88</v>
      </c>
      <c r="AE1503" s="135">
        <f t="shared" si="395"/>
        <v>13470</v>
      </c>
      <c r="AF1503" s="135">
        <v>13470</v>
      </c>
      <c r="AG1503" s="135">
        <f t="shared" si="413"/>
        <v>0</v>
      </c>
      <c r="AH1503" s="136">
        <f t="shared" si="418"/>
        <v>88</v>
      </c>
      <c r="AI1503" s="50">
        <f t="shared" si="416"/>
        <v>1579</v>
      </c>
    </row>
    <row r="1504" spans="1:36">
      <c r="A1504" s="12">
        <v>45879</v>
      </c>
      <c r="B1504" s="8">
        <f t="shared" si="396"/>
        <v>2208767</v>
      </c>
      <c r="C1504" s="8">
        <v>2209415</v>
      </c>
      <c r="D1504" s="13">
        <f t="shared" si="397"/>
        <v>648</v>
      </c>
      <c r="E1504" s="77">
        <f t="shared" si="398"/>
        <v>276073</v>
      </c>
      <c r="F1504" s="69">
        <v>276835</v>
      </c>
      <c r="G1504" s="133">
        <f t="shared" si="399"/>
        <v>762</v>
      </c>
      <c r="H1504" s="8">
        <f t="shared" si="400"/>
        <v>402891</v>
      </c>
      <c r="I1504" s="8">
        <v>402891</v>
      </c>
      <c r="J1504" s="13">
        <f t="shared" si="401"/>
        <v>0</v>
      </c>
      <c r="K1504" s="138">
        <f t="shared" si="402"/>
        <v>1410</v>
      </c>
      <c r="L1504" s="8">
        <f t="shared" si="403"/>
        <v>1455428</v>
      </c>
      <c r="M1504" s="8">
        <v>1456673</v>
      </c>
      <c r="N1504" s="13">
        <f t="shared" si="404"/>
        <v>1245</v>
      </c>
      <c r="O1504" s="136">
        <f t="shared" si="419"/>
        <v>976</v>
      </c>
      <c r="P1504" s="8">
        <f t="shared" si="421"/>
        <v>26090</v>
      </c>
      <c r="Q1504" s="8">
        <v>26628</v>
      </c>
      <c r="R1504" s="134">
        <f t="shared" si="394"/>
        <v>538</v>
      </c>
      <c r="S1504" s="8">
        <f t="shared" si="405"/>
        <v>64415</v>
      </c>
      <c r="T1504" s="8">
        <v>64445</v>
      </c>
      <c r="U1504" s="133">
        <f t="shared" si="406"/>
        <v>30</v>
      </c>
      <c r="V1504" s="8">
        <f t="shared" si="407"/>
        <v>8337</v>
      </c>
      <c r="W1504" s="8">
        <v>8462</v>
      </c>
      <c r="X1504" s="13">
        <f t="shared" si="408"/>
        <v>125</v>
      </c>
      <c r="Y1504" s="8">
        <f t="shared" si="409"/>
        <v>52627</v>
      </c>
      <c r="Z1504" s="8">
        <v>52758</v>
      </c>
      <c r="AA1504" s="13">
        <f t="shared" si="410"/>
        <v>131</v>
      </c>
      <c r="AB1504" s="8">
        <f t="shared" si="420"/>
        <v>281875</v>
      </c>
      <c r="AC1504" s="8">
        <v>282009</v>
      </c>
      <c r="AD1504" s="13">
        <f t="shared" si="417"/>
        <v>134</v>
      </c>
      <c r="AE1504" s="135">
        <f t="shared" si="395"/>
        <v>13470</v>
      </c>
      <c r="AF1504" s="135">
        <v>13470</v>
      </c>
      <c r="AG1504" s="135">
        <f t="shared" si="413"/>
        <v>0</v>
      </c>
      <c r="AH1504" s="136">
        <f t="shared" si="418"/>
        <v>134</v>
      </c>
      <c r="AI1504" s="50">
        <f t="shared" si="416"/>
        <v>1800</v>
      </c>
    </row>
    <row r="1505" spans="1:36">
      <c r="A1505" s="12">
        <v>45880</v>
      </c>
      <c r="B1505" s="8">
        <f t="shared" si="396"/>
        <v>2209415</v>
      </c>
      <c r="C1505" s="8">
        <v>2210170</v>
      </c>
      <c r="D1505" s="13">
        <f t="shared" si="397"/>
        <v>755</v>
      </c>
      <c r="E1505" s="77">
        <f t="shared" si="398"/>
        <v>276835</v>
      </c>
      <c r="F1505" s="69">
        <v>277571</v>
      </c>
      <c r="G1505" s="133">
        <f t="shared" si="399"/>
        <v>736</v>
      </c>
      <c r="H1505" s="8">
        <f t="shared" si="400"/>
        <v>402891</v>
      </c>
      <c r="I1505" s="8">
        <v>402891</v>
      </c>
      <c r="J1505" s="13">
        <f t="shared" si="401"/>
        <v>0</v>
      </c>
      <c r="K1505" s="138">
        <f t="shared" si="402"/>
        <v>1491</v>
      </c>
      <c r="L1505" s="8">
        <f t="shared" si="403"/>
        <v>1456673</v>
      </c>
      <c r="M1505" s="8">
        <v>1457823</v>
      </c>
      <c r="N1505" s="13">
        <f t="shared" si="404"/>
        <v>1150</v>
      </c>
      <c r="O1505" s="136">
        <f t="shared" si="419"/>
        <v>1068</v>
      </c>
      <c r="P1505" s="8">
        <f t="shared" si="421"/>
        <v>26628</v>
      </c>
      <c r="Q1505" s="8">
        <v>27109</v>
      </c>
      <c r="R1505" s="134">
        <f t="shared" si="394"/>
        <v>481</v>
      </c>
      <c r="S1505" s="8">
        <f t="shared" si="405"/>
        <v>64445</v>
      </c>
      <c r="T1505" s="8">
        <v>64472</v>
      </c>
      <c r="U1505" s="133">
        <f t="shared" si="406"/>
        <v>27</v>
      </c>
      <c r="V1505" s="8">
        <f t="shared" si="407"/>
        <v>8462</v>
      </c>
      <c r="W1505" s="8">
        <v>8547</v>
      </c>
      <c r="X1505" s="13">
        <f t="shared" si="408"/>
        <v>85</v>
      </c>
      <c r="Y1505" s="8">
        <f t="shared" si="409"/>
        <v>52758</v>
      </c>
      <c r="Z1505" s="8">
        <v>52854</v>
      </c>
      <c r="AA1505" s="13">
        <f t="shared" si="410"/>
        <v>96</v>
      </c>
      <c r="AB1505" s="8">
        <f t="shared" si="420"/>
        <v>282009</v>
      </c>
      <c r="AC1505" s="8">
        <v>282094</v>
      </c>
      <c r="AD1505" s="13">
        <f t="shared" si="417"/>
        <v>85</v>
      </c>
      <c r="AE1505" s="135">
        <f t="shared" si="395"/>
        <v>13470</v>
      </c>
      <c r="AF1505" s="135">
        <v>13470</v>
      </c>
      <c r="AG1505" s="135">
        <f t="shared" si="413"/>
        <v>0</v>
      </c>
      <c r="AH1505" s="136">
        <f t="shared" si="418"/>
        <v>85</v>
      </c>
      <c r="AI1505" s="50">
        <f t="shared" si="416"/>
        <v>1757</v>
      </c>
    </row>
    <row r="1506" spans="1:36">
      <c r="A1506" s="12">
        <v>45881</v>
      </c>
      <c r="B1506" s="8">
        <f t="shared" si="396"/>
        <v>2210170</v>
      </c>
      <c r="C1506" s="8">
        <v>2210646</v>
      </c>
      <c r="D1506" s="13">
        <f t="shared" si="397"/>
        <v>476</v>
      </c>
      <c r="E1506" s="77">
        <f t="shared" si="398"/>
        <v>277571</v>
      </c>
      <c r="F1506" s="69">
        <v>278293</v>
      </c>
      <c r="G1506" s="133">
        <f t="shared" si="399"/>
        <v>722</v>
      </c>
      <c r="H1506" s="8">
        <f t="shared" si="400"/>
        <v>402891</v>
      </c>
      <c r="I1506" s="8">
        <v>402891</v>
      </c>
      <c r="J1506" s="13">
        <f t="shared" si="401"/>
        <v>0</v>
      </c>
      <c r="K1506" s="138">
        <f t="shared" si="402"/>
        <v>1198</v>
      </c>
      <c r="L1506" s="8">
        <f t="shared" si="403"/>
        <v>1457823</v>
      </c>
      <c r="M1506" s="8">
        <v>1458937</v>
      </c>
      <c r="N1506" s="13">
        <f t="shared" si="404"/>
        <v>1114</v>
      </c>
      <c r="O1506" s="136">
        <f t="shared" si="419"/>
        <v>770</v>
      </c>
      <c r="P1506" s="8">
        <f t="shared" si="421"/>
        <v>27109</v>
      </c>
      <c r="Q1506" s="8">
        <v>27601</v>
      </c>
      <c r="R1506" s="134">
        <f t="shared" si="394"/>
        <v>492</v>
      </c>
      <c r="S1506" s="8">
        <f t="shared" si="405"/>
        <v>64472</v>
      </c>
      <c r="T1506" s="8">
        <v>64524</v>
      </c>
      <c r="U1506" s="133">
        <f t="shared" si="406"/>
        <v>52</v>
      </c>
      <c r="V1506" s="8">
        <f t="shared" si="407"/>
        <v>8547</v>
      </c>
      <c r="W1506" s="8">
        <v>8638</v>
      </c>
      <c r="X1506" s="13">
        <f t="shared" si="408"/>
        <v>91</v>
      </c>
      <c r="Y1506" s="8">
        <f t="shared" si="409"/>
        <v>52854</v>
      </c>
      <c r="Z1506" s="8">
        <v>52958</v>
      </c>
      <c r="AA1506" s="13">
        <f t="shared" si="410"/>
        <v>104</v>
      </c>
      <c r="AB1506" s="8">
        <f t="shared" si="420"/>
        <v>282094</v>
      </c>
      <c r="AC1506" s="8">
        <v>282210</v>
      </c>
      <c r="AD1506" s="13">
        <f t="shared" si="417"/>
        <v>116</v>
      </c>
      <c r="AE1506" s="135">
        <f t="shared" si="395"/>
        <v>13470</v>
      </c>
      <c r="AF1506" s="135">
        <v>13470</v>
      </c>
      <c r="AG1506" s="135">
        <f t="shared" si="413"/>
        <v>0</v>
      </c>
      <c r="AH1506" s="136">
        <f t="shared" si="418"/>
        <v>116</v>
      </c>
      <c r="AI1506" s="50">
        <f t="shared" si="416"/>
        <v>1509</v>
      </c>
    </row>
    <row r="1507" spans="1:36">
      <c r="A1507" s="12">
        <v>45882</v>
      </c>
      <c r="B1507" s="8">
        <f t="shared" si="396"/>
        <v>2210646</v>
      </c>
      <c r="C1507" s="8">
        <v>2211387</v>
      </c>
      <c r="D1507" s="13">
        <f t="shared" si="397"/>
        <v>741</v>
      </c>
      <c r="E1507" s="77">
        <f t="shared" si="398"/>
        <v>278293</v>
      </c>
      <c r="F1507" s="69">
        <v>279030</v>
      </c>
      <c r="G1507" s="133">
        <f t="shared" si="399"/>
        <v>737</v>
      </c>
      <c r="H1507" s="8">
        <f t="shared" si="400"/>
        <v>402891</v>
      </c>
      <c r="I1507" s="8">
        <v>402891</v>
      </c>
      <c r="J1507" s="13">
        <f t="shared" si="401"/>
        <v>0</v>
      </c>
      <c r="K1507" s="138">
        <f t="shared" si="402"/>
        <v>1478</v>
      </c>
      <c r="L1507" s="8">
        <f t="shared" si="403"/>
        <v>1458937</v>
      </c>
      <c r="M1507" s="8">
        <v>1460120</v>
      </c>
      <c r="N1507" s="13">
        <f t="shared" si="404"/>
        <v>1183</v>
      </c>
      <c r="O1507" s="136">
        <f t="shared" si="419"/>
        <v>959</v>
      </c>
      <c r="P1507" s="8">
        <f t="shared" si="421"/>
        <v>27601</v>
      </c>
      <c r="Q1507" s="8">
        <v>28152</v>
      </c>
      <c r="R1507" s="134">
        <f t="shared" si="394"/>
        <v>551</v>
      </c>
      <c r="S1507" s="8">
        <f t="shared" si="405"/>
        <v>64524</v>
      </c>
      <c r="T1507" s="8">
        <v>64561</v>
      </c>
      <c r="U1507" s="133">
        <f t="shared" si="406"/>
        <v>37</v>
      </c>
      <c r="V1507" s="8">
        <f t="shared" si="407"/>
        <v>8638</v>
      </c>
      <c r="W1507" s="8">
        <v>8770</v>
      </c>
      <c r="X1507" s="13">
        <f t="shared" si="408"/>
        <v>132</v>
      </c>
      <c r="Y1507" s="8">
        <f t="shared" si="409"/>
        <v>52958</v>
      </c>
      <c r="Z1507" s="8">
        <v>53053</v>
      </c>
      <c r="AA1507" s="13">
        <f t="shared" si="410"/>
        <v>95</v>
      </c>
      <c r="AB1507" s="8">
        <f t="shared" si="420"/>
        <v>282210</v>
      </c>
      <c r="AC1507" s="8">
        <v>282279</v>
      </c>
      <c r="AD1507" s="13">
        <f t="shared" si="417"/>
        <v>69</v>
      </c>
      <c r="AE1507" s="135">
        <f t="shared" si="395"/>
        <v>13470</v>
      </c>
      <c r="AF1507" s="135">
        <v>13470</v>
      </c>
      <c r="AG1507" s="135">
        <f t="shared" si="413"/>
        <v>0</v>
      </c>
      <c r="AH1507" s="136">
        <f t="shared" si="418"/>
        <v>69</v>
      </c>
      <c r="AI1507" s="50">
        <f t="shared" si="416"/>
        <v>1774</v>
      </c>
      <c r="AJ1507" s="8" t="s">
        <v>2000</v>
      </c>
    </row>
    <row r="1508" spans="1:36">
      <c r="A1508" s="12">
        <v>45883</v>
      </c>
      <c r="B1508" s="8">
        <f t="shared" si="396"/>
        <v>2211387</v>
      </c>
      <c r="C1508" s="8">
        <v>2211737</v>
      </c>
      <c r="D1508" s="13">
        <f t="shared" si="397"/>
        <v>350</v>
      </c>
      <c r="E1508" s="77">
        <f t="shared" si="398"/>
        <v>279030</v>
      </c>
      <c r="F1508" s="69">
        <v>279779</v>
      </c>
      <c r="G1508" s="133">
        <f t="shared" si="399"/>
        <v>749</v>
      </c>
      <c r="H1508" s="8">
        <f t="shared" si="400"/>
        <v>402891</v>
      </c>
      <c r="I1508" s="8">
        <v>402891</v>
      </c>
      <c r="J1508" s="13">
        <f t="shared" si="401"/>
        <v>0</v>
      </c>
      <c r="K1508" s="138">
        <f t="shared" si="402"/>
        <v>1099</v>
      </c>
      <c r="L1508" s="8">
        <f t="shared" si="403"/>
        <v>1460120</v>
      </c>
      <c r="M1508" s="8">
        <v>1461120</v>
      </c>
      <c r="N1508" s="13">
        <f t="shared" si="404"/>
        <v>1000</v>
      </c>
      <c r="O1508" s="136">
        <f t="shared" si="419"/>
        <v>765</v>
      </c>
      <c r="P1508" s="8">
        <f t="shared" si="421"/>
        <v>28152</v>
      </c>
      <c r="Q1508" s="8">
        <v>28563</v>
      </c>
      <c r="R1508" s="134">
        <f t="shared" si="394"/>
        <v>411</v>
      </c>
      <c r="S1508" s="8">
        <f t="shared" si="405"/>
        <v>64561</v>
      </c>
      <c r="T1508" s="8">
        <v>64580</v>
      </c>
      <c r="U1508" s="133">
        <f t="shared" si="406"/>
        <v>19</v>
      </c>
      <c r="V1508" s="8">
        <f t="shared" si="407"/>
        <v>8770</v>
      </c>
      <c r="W1508" s="8">
        <v>8903</v>
      </c>
      <c r="X1508" s="13">
        <f t="shared" si="408"/>
        <v>133</v>
      </c>
      <c r="Y1508" s="8">
        <f t="shared" si="409"/>
        <v>53053</v>
      </c>
      <c r="Z1508" s="8">
        <v>53158</v>
      </c>
      <c r="AA1508" s="13">
        <f t="shared" si="410"/>
        <v>105</v>
      </c>
      <c r="AB1508" s="8">
        <f t="shared" si="420"/>
        <v>282279</v>
      </c>
      <c r="AC1508" s="8">
        <v>282375</v>
      </c>
      <c r="AD1508" s="13">
        <f t="shared" si="417"/>
        <v>96</v>
      </c>
      <c r="AE1508" s="135">
        <f t="shared" si="395"/>
        <v>13470</v>
      </c>
      <c r="AF1508" s="135">
        <v>13470</v>
      </c>
      <c r="AG1508" s="135">
        <f t="shared" si="413"/>
        <v>0</v>
      </c>
      <c r="AH1508" s="136">
        <f t="shared" si="418"/>
        <v>96</v>
      </c>
      <c r="AI1508" s="50">
        <f t="shared" si="416"/>
        <v>1433</v>
      </c>
    </row>
    <row r="1509" spans="1:36">
      <c r="A1509" s="12">
        <v>45884</v>
      </c>
      <c r="B1509" s="8">
        <f t="shared" si="396"/>
        <v>2211737</v>
      </c>
      <c r="C1509" s="8">
        <v>2212236</v>
      </c>
      <c r="D1509" s="13">
        <f t="shared" si="397"/>
        <v>499</v>
      </c>
      <c r="E1509" s="77">
        <f t="shared" si="398"/>
        <v>279779</v>
      </c>
      <c r="F1509" s="69">
        <v>280506</v>
      </c>
      <c r="G1509" s="133">
        <f t="shared" si="399"/>
        <v>727</v>
      </c>
      <c r="H1509" s="8">
        <f t="shared" si="400"/>
        <v>402891</v>
      </c>
      <c r="I1509" s="8">
        <v>402891</v>
      </c>
      <c r="J1509" s="13">
        <f t="shared" si="401"/>
        <v>0</v>
      </c>
      <c r="K1509" s="138">
        <f t="shared" si="402"/>
        <v>1226</v>
      </c>
      <c r="L1509" s="8">
        <f t="shared" si="403"/>
        <v>1461120</v>
      </c>
      <c r="M1509" s="8">
        <v>1462216</v>
      </c>
      <c r="N1509" s="13">
        <f t="shared" si="404"/>
        <v>1096</v>
      </c>
      <c r="O1509" s="136">
        <f t="shared" si="419"/>
        <v>831</v>
      </c>
      <c r="P1509" s="8">
        <f t="shared" si="421"/>
        <v>28563</v>
      </c>
      <c r="Q1509" s="8">
        <v>29059</v>
      </c>
      <c r="R1509" s="134">
        <f t="shared" si="394"/>
        <v>496</v>
      </c>
      <c r="S1509" s="8">
        <f t="shared" si="405"/>
        <v>64580</v>
      </c>
      <c r="T1509" s="8">
        <v>64591</v>
      </c>
      <c r="U1509" s="133">
        <f t="shared" si="406"/>
        <v>11</v>
      </c>
      <c r="V1509" s="8">
        <f t="shared" si="407"/>
        <v>8903</v>
      </c>
      <c r="W1509" s="8">
        <v>9070</v>
      </c>
      <c r="X1509" s="13">
        <f t="shared" si="408"/>
        <v>167</v>
      </c>
      <c r="Y1509" s="8">
        <f t="shared" si="409"/>
        <v>53158</v>
      </c>
      <c r="Z1509" s="8">
        <v>53251</v>
      </c>
      <c r="AA1509" s="13">
        <f t="shared" si="410"/>
        <v>93</v>
      </c>
      <c r="AB1509" s="8">
        <f t="shared" si="420"/>
        <v>282375</v>
      </c>
      <c r="AC1509" s="8">
        <v>282487</v>
      </c>
      <c r="AD1509" s="13">
        <f t="shared" si="417"/>
        <v>112</v>
      </c>
      <c r="AE1509" s="135">
        <f t="shared" si="395"/>
        <v>13470</v>
      </c>
      <c r="AF1509" s="135">
        <v>13470</v>
      </c>
      <c r="AG1509" s="135">
        <f t="shared" si="413"/>
        <v>0</v>
      </c>
      <c r="AH1509" s="136">
        <f t="shared" si="418"/>
        <v>112</v>
      </c>
      <c r="AI1509" s="50">
        <f t="shared" si="416"/>
        <v>1598</v>
      </c>
    </row>
    <row r="1510" spans="1:36">
      <c r="A1510" s="12">
        <v>45885</v>
      </c>
      <c r="B1510" s="8">
        <f t="shared" si="396"/>
        <v>2212236</v>
      </c>
      <c r="C1510" s="8">
        <v>2212904</v>
      </c>
      <c r="D1510" s="13">
        <f t="shared" si="397"/>
        <v>668</v>
      </c>
      <c r="E1510" s="77">
        <f t="shared" si="398"/>
        <v>280506</v>
      </c>
      <c r="F1510" s="69">
        <v>281248</v>
      </c>
      <c r="G1510" s="133">
        <f t="shared" si="399"/>
        <v>742</v>
      </c>
      <c r="H1510" s="8">
        <f t="shared" si="400"/>
        <v>402891</v>
      </c>
      <c r="I1510" s="8">
        <v>402891</v>
      </c>
      <c r="J1510" s="13">
        <f t="shared" si="401"/>
        <v>0</v>
      </c>
      <c r="K1510" s="138">
        <f t="shared" si="402"/>
        <v>1410</v>
      </c>
      <c r="L1510" s="8">
        <f t="shared" si="403"/>
        <v>1462216</v>
      </c>
      <c r="M1510" s="8">
        <v>1463385</v>
      </c>
      <c r="N1510" s="13">
        <f t="shared" si="404"/>
        <v>1169</v>
      </c>
      <c r="O1510" s="136">
        <f t="shared" si="419"/>
        <v>1077</v>
      </c>
      <c r="P1510" s="8">
        <f t="shared" si="421"/>
        <v>29059</v>
      </c>
      <c r="Q1510" s="8">
        <v>29487</v>
      </c>
      <c r="R1510" s="134">
        <f t="shared" si="394"/>
        <v>428</v>
      </c>
      <c r="S1510" s="8">
        <f t="shared" si="405"/>
        <v>64591</v>
      </c>
      <c r="T1510" s="8">
        <v>64615</v>
      </c>
      <c r="U1510" s="133">
        <f t="shared" si="406"/>
        <v>24</v>
      </c>
      <c r="V1510" s="8">
        <f t="shared" si="407"/>
        <v>9070</v>
      </c>
      <c r="W1510" s="8">
        <v>9239</v>
      </c>
      <c r="X1510" s="13">
        <f t="shared" si="408"/>
        <v>169</v>
      </c>
      <c r="Y1510" s="8">
        <f t="shared" si="409"/>
        <v>53251</v>
      </c>
      <c r="Z1510" s="8">
        <v>53358</v>
      </c>
      <c r="AA1510" s="13">
        <f t="shared" si="410"/>
        <v>107</v>
      </c>
      <c r="AB1510" s="8">
        <f t="shared" si="420"/>
        <v>282487</v>
      </c>
      <c r="AC1510" s="8">
        <v>282606</v>
      </c>
      <c r="AD1510" s="13">
        <f t="shared" si="417"/>
        <v>119</v>
      </c>
      <c r="AE1510" s="135">
        <f t="shared" si="395"/>
        <v>13470</v>
      </c>
      <c r="AF1510" s="135">
        <v>13470</v>
      </c>
      <c r="AG1510" s="135">
        <f t="shared" si="413"/>
        <v>0</v>
      </c>
      <c r="AH1510" s="136">
        <f t="shared" si="418"/>
        <v>119</v>
      </c>
      <c r="AI1510" s="50">
        <f t="shared" si="416"/>
        <v>1805</v>
      </c>
    </row>
    <row r="1511" spans="1:36">
      <c r="A1511" s="12">
        <v>45886</v>
      </c>
      <c r="B1511" s="8">
        <f t="shared" si="396"/>
        <v>2212904</v>
      </c>
      <c r="C1511" s="8">
        <v>2213841</v>
      </c>
      <c r="D1511" s="13">
        <f t="shared" si="397"/>
        <v>937</v>
      </c>
      <c r="E1511" s="77">
        <f t="shared" si="398"/>
        <v>281248</v>
      </c>
      <c r="F1511" s="69">
        <v>281980</v>
      </c>
      <c r="G1511" s="133">
        <f t="shared" si="399"/>
        <v>732</v>
      </c>
      <c r="H1511" s="8">
        <f t="shared" si="400"/>
        <v>402891</v>
      </c>
      <c r="I1511" s="8">
        <v>402891</v>
      </c>
      <c r="J1511" s="13">
        <f t="shared" si="401"/>
        <v>0</v>
      </c>
      <c r="K1511" s="138">
        <f t="shared" si="402"/>
        <v>1669</v>
      </c>
      <c r="L1511" s="8">
        <f t="shared" si="403"/>
        <v>1463385</v>
      </c>
      <c r="M1511" s="8">
        <v>1464866</v>
      </c>
      <c r="N1511" s="13">
        <f t="shared" si="404"/>
        <v>1481</v>
      </c>
      <c r="O1511" s="136">
        <f t="shared" si="419"/>
        <v>1436</v>
      </c>
      <c r="P1511" s="8">
        <f t="shared" si="421"/>
        <v>29487</v>
      </c>
      <c r="Q1511" s="8">
        <v>29797</v>
      </c>
      <c r="R1511" s="134">
        <f t="shared" si="394"/>
        <v>310</v>
      </c>
      <c r="S1511" s="8">
        <f t="shared" si="405"/>
        <v>64615</v>
      </c>
      <c r="T1511" s="8">
        <v>64626</v>
      </c>
      <c r="U1511" s="133">
        <f t="shared" si="406"/>
        <v>11</v>
      </c>
      <c r="V1511" s="8">
        <f t="shared" si="407"/>
        <v>9239</v>
      </c>
      <c r="W1511" s="8">
        <v>9364</v>
      </c>
      <c r="X1511" s="13">
        <f t="shared" si="408"/>
        <v>125</v>
      </c>
      <c r="Y1511" s="8">
        <f t="shared" si="409"/>
        <v>53358</v>
      </c>
      <c r="Z1511" s="8">
        <v>53457</v>
      </c>
      <c r="AA1511" s="13">
        <f t="shared" si="410"/>
        <v>99</v>
      </c>
      <c r="AB1511" s="8">
        <f t="shared" si="420"/>
        <v>282606</v>
      </c>
      <c r="AC1511" s="8">
        <v>282694</v>
      </c>
      <c r="AD1511" s="13">
        <f t="shared" si="417"/>
        <v>88</v>
      </c>
      <c r="AE1511" s="135">
        <f t="shared" si="395"/>
        <v>13470</v>
      </c>
      <c r="AF1511" s="135">
        <v>13470</v>
      </c>
      <c r="AG1511" s="135">
        <f t="shared" si="413"/>
        <v>0</v>
      </c>
      <c r="AH1511" s="136">
        <f t="shared" si="418"/>
        <v>88</v>
      </c>
      <c r="AI1511" s="50">
        <f t="shared" si="416"/>
        <v>1981</v>
      </c>
    </row>
    <row r="1512" spans="1:36">
      <c r="A1512" s="12">
        <v>45887</v>
      </c>
      <c r="B1512" s="8">
        <f t="shared" si="396"/>
        <v>2213841</v>
      </c>
      <c r="C1512" s="8">
        <v>2214340</v>
      </c>
      <c r="D1512" s="13">
        <f t="shared" si="397"/>
        <v>499</v>
      </c>
      <c r="E1512" s="77">
        <f t="shared" si="398"/>
        <v>281980</v>
      </c>
      <c r="F1512" s="69">
        <v>282687</v>
      </c>
      <c r="G1512" s="133">
        <f t="shared" si="399"/>
        <v>707</v>
      </c>
      <c r="H1512" s="8">
        <f t="shared" si="400"/>
        <v>402891</v>
      </c>
      <c r="I1512" s="8">
        <v>402891</v>
      </c>
      <c r="J1512" s="13">
        <f t="shared" si="401"/>
        <v>0</v>
      </c>
      <c r="K1512" s="138">
        <f t="shared" si="402"/>
        <v>1206</v>
      </c>
      <c r="L1512" s="8">
        <f t="shared" si="403"/>
        <v>1464866</v>
      </c>
      <c r="M1512" s="8">
        <v>1465932</v>
      </c>
      <c r="N1512" s="13">
        <f t="shared" si="404"/>
        <v>1066</v>
      </c>
      <c r="O1512" s="136">
        <f t="shared" si="419"/>
        <v>799</v>
      </c>
      <c r="P1512" s="8">
        <f t="shared" si="421"/>
        <v>29797</v>
      </c>
      <c r="Q1512" s="8">
        <v>30272</v>
      </c>
      <c r="R1512" s="134">
        <f t="shared" si="394"/>
        <v>475</v>
      </c>
      <c r="S1512" s="8">
        <f t="shared" si="405"/>
        <v>64626</v>
      </c>
      <c r="T1512" s="8">
        <v>64639</v>
      </c>
      <c r="U1512" s="133">
        <f t="shared" si="406"/>
        <v>13</v>
      </c>
      <c r="V1512" s="8">
        <f t="shared" si="407"/>
        <v>9364</v>
      </c>
      <c r="W1512" s="8">
        <v>9486</v>
      </c>
      <c r="X1512" s="13">
        <f t="shared" si="408"/>
        <v>122</v>
      </c>
      <c r="Y1512" s="8">
        <f t="shared" si="409"/>
        <v>53457</v>
      </c>
      <c r="Z1512" s="8">
        <v>53558</v>
      </c>
      <c r="AA1512" s="13">
        <f t="shared" si="410"/>
        <v>101</v>
      </c>
      <c r="AB1512" s="8">
        <f t="shared" si="420"/>
        <v>282694</v>
      </c>
      <c r="AC1512" s="8">
        <v>282775</v>
      </c>
      <c r="AD1512" s="13">
        <f t="shared" si="417"/>
        <v>81</v>
      </c>
      <c r="AE1512" s="135">
        <f t="shared" si="395"/>
        <v>13470</v>
      </c>
      <c r="AF1512" s="135">
        <v>13470</v>
      </c>
      <c r="AG1512" s="135">
        <f t="shared" si="413"/>
        <v>0</v>
      </c>
      <c r="AH1512" s="136">
        <f t="shared" si="418"/>
        <v>81</v>
      </c>
      <c r="AI1512" s="50">
        <f t="shared" si="416"/>
        <v>1510</v>
      </c>
    </row>
    <row r="1513" spans="1:36">
      <c r="A1513" s="12">
        <v>45888</v>
      </c>
      <c r="B1513" s="8">
        <f t="shared" si="396"/>
        <v>2214340</v>
      </c>
      <c r="C1513" s="8">
        <v>2215036</v>
      </c>
      <c r="D1513" s="13">
        <f t="shared" si="397"/>
        <v>696</v>
      </c>
      <c r="E1513" s="77">
        <f t="shared" si="398"/>
        <v>282687</v>
      </c>
      <c r="F1513" s="69">
        <v>283417</v>
      </c>
      <c r="G1513" s="133">
        <f t="shared" si="399"/>
        <v>730</v>
      </c>
      <c r="H1513" s="8">
        <f t="shared" si="400"/>
        <v>402891</v>
      </c>
      <c r="I1513" s="8">
        <v>402891</v>
      </c>
      <c r="J1513" s="13">
        <f t="shared" si="401"/>
        <v>0</v>
      </c>
      <c r="K1513" s="138">
        <f t="shared" si="402"/>
        <v>1426</v>
      </c>
      <c r="L1513" s="8">
        <f t="shared" si="403"/>
        <v>1465932</v>
      </c>
      <c r="M1513" s="8">
        <v>1467127</v>
      </c>
      <c r="N1513" s="13">
        <f t="shared" si="404"/>
        <v>1195</v>
      </c>
      <c r="O1513" s="136">
        <f t="shared" si="419"/>
        <v>967</v>
      </c>
      <c r="P1513" s="8">
        <f t="shared" si="421"/>
        <v>30272</v>
      </c>
      <c r="Q1513" s="8">
        <v>30805</v>
      </c>
      <c r="R1513" s="134">
        <f t="shared" si="394"/>
        <v>533</v>
      </c>
      <c r="S1513" s="8">
        <f t="shared" si="405"/>
        <v>64639</v>
      </c>
      <c r="T1513" s="8">
        <v>64649</v>
      </c>
      <c r="U1513" s="133">
        <f t="shared" si="406"/>
        <v>10</v>
      </c>
      <c r="V1513" s="8">
        <f t="shared" si="407"/>
        <v>9486</v>
      </c>
      <c r="W1513" s="8">
        <v>9579</v>
      </c>
      <c r="X1513" s="13">
        <f t="shared" si="408"/>
        <v>93</v>
      </c>
      <c r="Y1513" s="8">
        <f t="shared" si="409"/>
        <v>53558</v>
      </c>
      <c r="Z1513" s="8">
        <v>53652</v>
      </c>
      <c r="AA1513" s="13">
        <f t="shared" si="410"/>
        <v>94</v>
      </c>
      <c r="AB1513" s="8">
        <f t="shared" si="420"/>
        <v>282775</v>
      </c>
      <c r="AC1513" s="8">
        <v>282859</v>
      </c>
      <c r="AD1513" s="13">
        <f t="shared" si="417"/>
        <v>84</v>
      </c>
      <c r="AE1513" s="135">
        <f t="shared" si="395"/>
        <v>13470</v>
      </c>
      <c r="AF1513" s="135">
        <v>13470</v>
      </c>
      <c r="AG1513" s="135">
        <f t="shared" si="413"/>
        <v>0</v>
      </c>
      <c r="AH1513" s="136">
        <f t="shared" si="418"/>
        <v>84</v>
      </c>
      <c r="AI1513" s="50">
        <f t="shared" si="416"/>
        <v>1697</v>
      </c>
    </row>
    <row r="1514" spans="1:36">
      <c r="A1514" s="12">
        <v>45889</v>
      </c>
      <c r="B1514" s="8">
        <f t="shared" si="396"/>
        <v>2215036</v>
      </c>
      <c r="C1514" s="8">
        <v>2215487</v>
      </c>
      <c r="D1514" s="13">
        <f t="shared" si="397"/>
        <v>451</v>
      </c>
      <c r="E1514" s="77">
        <f t="shared" si="398"/>
        <v>283417</v>
      </c>
      <c r="F1514" s="69">
        <v>284146</v>
      </c>
      <c r="G1514" s="133">
        <f t="shared" si="399"/>
        <v>729</v>
      </c>
      <c r="H1514" s="8">
        <f t="shared" si="400"/>
        <v>402891</v>
      </c>
      <c r="I1514" s="8">
        <v>402891</v>
      </c>
      <c r="J1514" s="13">
        <f t="shared" si="401"/>
        <v>0</v>
      </c>
      <c r="K1514" s="138">
        <f t="shared" si="402"/>
        <v>1180</v>
      </c>
      <c r="L1514" s="8">
        <f t="shared" si="403"/>
        <v>1467127</v>
      </c>
      <c r="M1514" s="8">
        <v>1468181</v>
      </c>
      <c r="N1514" s="13">
        <f t="shared" si="404"/>
        <v>1054</v>
      </c>
      <c r="O1514" s="136">
        <f t="shared" si="419"/>
        <v>801</v>
      </c>
      <c r="P1514" s="8">
        <f t="shared" si="421"/>
        <v>30805</v>
      </c>
      <c r="Q1514" s="8">
        <v>31276</v>
      </c>
      <c r="R1514" s="134">
        <f t="shared" si="394"/>
        <v>471</v>
      </c>
      <c r="S1514" s="8">
        <f t="shared" si="405"/>
        <v>64649</v>
      </c>
      <c r="T1514" s="8">
        <v>64664</v>
      </c>
      <c r="U1514" s="133">
        <f t="shared" si="406"/>
        <v>15</v>
      </c>
      <c r="V1514" s="8">
        <f t="shared" si="407"/>
        <v>9579</v>
      </c>
      <c r="W1514" s="8">
        <v>9717</v>
      </c>
      <c r="X1514" s="13">
        <f t="shared" si="408"/>
        <v>138</v>
      </c>
      <c r="Y1514" s="8">
        <f t="shared" si="409"/>
        <v>53652</v>
      </c>
      <c r="Z1514" s="8">
        <v>53750</v>
      </c>
      <c r="AA1514" s="13">
        <f t="shared" si="410"/>
        <v>98</v>
      </c>
      <c r="AB1514" s="8">
        <f t="shared" si="420"/>
        <v>282859</v>
      </c>
      <c r="AC1514" s="8">
        <v>282966</v>
      </c>
      <c r="AD1514" s="13">
        <f t="shared" si="417"/>
        <v>107</v>
      </c>
      <c r="AE1514" s="135">
        <f t="shared" si="395"/>
        <v>13470</v>
      </c>
      <c r="AF1514" s="135">
        <v>13470</v>
      </c>
      <c r="AG1514" s="135">
        <f t="shared" si="413"/>
        <v>0</v>
      </c>
      <c r="AH1514" s="136">
        <f t="shared" si="418"/>
        <v>107</v>
      </c>
      <c r="AI1514" s="50">
        <f t="shared" si="416"/>
        <v>1523</v>
      </c>
    </row>
    <row r="1515" spans="1:36">
      <c r="A1515" s="12">
        <v>45890</v>
      </c>
      <c r="B1515" s="8">
        <f t="shared" si="396"/>
        <v>2215487</v>
      </c>
      <c r="C1515" s="8">
        <v>2216031</v>
      </c>
      <c r="D1515" s="13">
        <f t="shared" si="397"/>
        <v>544</v>
      </c>
      <c r="E1515" s="77">
        <f t="shared" si="398"/>
        <v>284146</v>
      </c>
      <c r="F1515" s="69">
        <v>284889</v>
      </c>
      <c r="G1515" s="133">
        <f t="shared" si="399"/>
        <v>743</v>
      </c>
      <c r="H1515" s="8">
        <f t="shared" si="400"/>
        <v>402891</v>
      </c>
      <c r="I1515" s="8">
        <v>402891</v>
      </c>
      <c r="J1515" s="13">
        <f t="shared" si="401"/>
        <v>0</v>
      </c>
      <c r="K1515" s="138">
        <f t="shared" si="402"/>
        <v>1287</v>
      </c>
      <c r="L1515" s="8">
        <f t="shared" si="403"/>
        <v>1468181</v>
      </c>
      <c r="M1515" s="8">
        <v>1469158</v>
      </c>
      <c r="N1515" s="13">
        <f t="shared" si="404"/>
        <v>977</v>
      </c>
      <c r="O1515" s="136">
        <f t="shared" si="419"/>
        <v>953</v>
      </c>
      <c r="P1515" s="8">
        <f t="shared" si="421"/>
        <v>31276</v>
      </c>
      <c r="Q1515" s="8">
        <v>31701</v>
      </c>
      <c r="R1515" s="134">
        <f t="shared" si="394"/>
        <v>425</v>
      </c>
      <c r="S1515" s="8">
        <f t="shared" si="405"/>
        <v>64664</v>
      </c>
      <c r="T1515" s="8">
        <v>64677</v>
      </c>
      <c r="U1515" s="133">
        <f t="shared" si="406"/>
        <v>13</v>
      </c>
      <c r="V1515" s="8">
        <f t="shared" si="407"/>
        <v>9717</v>
      </c>
      <c r="W1515" s="8">
        <v>9828</v>
      </c>
      <c r="X1515" s="13">
        <f t="shared" si="408"/>
        <v>111</v>
      </c>
      <c r="Y1515" s="8">
        <f t="shared" si="409"/>
        <v>53750</v>
      </c>
      <c r="Z1515" s="8">
        <v>53750</v>
      </c>
      <c r="AA1515" s="13">
        <f t="shared" si="410"/>
        <v>0</v>
      </c>
      <c r="AB1515" s="8">
        <f t="shared" si="420"/>
        <v>282966</v>
      </c>
      <c r="AC1515" s="8">
        <v>283070</v>
      </c>
      <c r="AD1515" s="13">
        <f t="shared" si="417"/>
        <v>104</v>
      </c>
      <c r="AE1515" s="135">
        <f t="shared" si="395"/>
        <v>13470</v>
      </c>
      <c r="AF1515" s="135">
        <v>13470</v>
      </c>
      <c r="AG1515" s="135">
        <f t="shared" si="413"/>
        <v>0</v>
      </c>
      <c r="AH1515" s="136">
        <f t="shared" si="418"/>
        <v>104</v>
      </c>
      <c r="AI1515" s="50">
        <f t="shared" si="416"/>
        <v>1502</v>
      </c>
    </row>
    <row r="1516" spans="1:36">
      <c r="A1516" s="12">
        <v>45891</v>
      </c>
      <c r="B1516" s="8">
        <f t="shared" si="396"/>
        <v>2216031</v>
      </c>
      <c r="C1516" s="8">
        <v>2216537</v>
      </c>
      <c r="D1516" s="13">
        <f t="shared" si="397"/>
        <v>506</v>
      </c>
      <c r="E1516" s="77">
        <f t="shared" si="398"/>
        <v>284889</v>
      </c>
      <c r="F1516" s="69">
        <v>285622</v>
      </c>
      <c r="G1516" s="133">
        <f t="shared" si="399"/>
        <v>733</v>
      </c>
      <c r="H1516" s="8">
        <f t="shared" si="400"/>
        <v>402891</v>
      </c>
      <c r="I1516" s="8">
        <v>402891</v>
      </c>
      <c r="J1516" s="13">
        <f t="shared" si="401"/>
        <v>0</v>
      </c>
      <c r="K1516" s="138">
        <f t="shared" si="402"/>
        <v>1239</v>
      </c>
      <c r="L1516" s="8">
        <f t="shared" si="403"/>
        <v>1469158</v>
      </c>
      <c r="M1516" s="8">
        <v>1470148</v>
      </c>
      <c r="N1516" s="13">
        <f t="shared" si="404"/>
        <v>990</v>
      </c>
      <c r="O1516" s="136">
        <f t="shared" si="419"/>
        <v>918</v>
      </c>
      <c r="P1516" s="8">
        <f t="shared" si="421"/>
        <v>31701</v>
      </c>
      <c r="Q1516" s="8">
        <v>32116</v>
      </c>
      <c r="R1516" s="134">
        <f t="shared" si="394"/>
        <v>415</v>
      </c>
      <c r="S1516" s="8">
        <f t="shared" si="405"/>
        <v>64677</v>
      </c>
      <c r="T1516" s="8">
        <v>64691</v>
      </c>
      <c r="U1516" s="133">
        <f t="shared" si="406"/>
        <v>14</v>
      </c>
      <c r="V1516" s="8">
        <f t="shared" si="407"/>
        <v>9828</v>
      </c>
      <c r="W1516" s="8">
        <v>9949</v>
      </c>
      <c r="X1516" s="13">
        <f t="shared" si="408"/>
        <v>121</v>
      </c>
      <c r="Y1516" s="8">
        <f t="shared" si="409"/>
        <v>53750</v>
      </c>
      <c r="Z1516" s="8">
        <v>53750</v>
      </c>
      <c r="AA1516" s="13">
        <f t="shared" si="410"/>
        <v>0</v>
      </c>
      <c r="AB1516" s="8">
        <f t="shared" si="420"/>
        <v>283070</v>
      </c>
      <c r="AC1516" s="8">
        <v>283178</v>
      </c>
      <c r="AD1516" s="13">
        <f t="shared" si="417"/>
        <v>108</v>
      </c>
      <c r="AE1516" s="135">
        <f t="shared" si="395"/>
        <v>13470</v>
      </c>
      <c r="AF1516" s="135">
        <v>13470</v>
      </c>
      <c r="AG1516" s="135">
        <f t="shared" si="413"/>
        <v>0</v>
      </c>
      <c r="AH1516" s="136">
        <f t="shared" si="418"/>
        <v>108</v>
      </c>
      <c r="AI1516" s="50">
        <f t="shared" si="416"/>
        <v>1468</v>
      </c>
    </row>
    <row r="1517" spans="1:36">
      <c r="A1517" s="12">
        <v>45892</v>
      </c>
      <c r="B1517" s="8">
        <f t="shared" si="396"/>
        <v>2216537</v>
      </c>
      <c r="C1517" s="8">
        <v>2217243</v>
      </c>
      <c r="D1517" s="13">
        <f t="shared" si="397"/>
        <v>706</v>
      </c>
      <c r="E1517" s="77">
        <f t="shared" si="398"/>
        <v>285622</v>
      </c>
      <c r="F1517" s="69">
        <v>286356</v>
      </c>
      <c r="G1517" s="133">
        <f t="shared" si="399"/>
        <v>734</v>
      </c>
      <c r="H1517" s="8">
        <f t="shared" si="400"/>
        <v>402891</v>
      </c>
      <c r="I1517" s="8">
        <v>402891</v>
      </c>
      <c r="J1517" s="13">
        <f t="shared" si="401"/>
        <v>0</v>
      </c>
      <c r="K1517" s="138">
        <f t="shared" si="402"/>
        <v>1440</v>
      </c>
      <c r="L1517" s="8">
        <f t="shared" si="403"/>
        <v>1470148</v>
      </c>
      <c r="M1517" s="8">
        <v>1471372</v>
      </c>
      <c r="N1517" s="13">
        <f t="shared" si="404"/>
        <v>1224</v>
      </c>
      <c r="O1517" s="136">
        <f t="shared" si="419"/>
        <v>987</v>
      </c>
      <c r="P1517" s="8">
        <f t="shared" si="421"/>
        <v>32116</v>
      </c>
      <c r="Q1517" s="8">
        <v>32678</v>
      </c>
      <c r="R1517" s="134">
        <f t="shared" si="394"/>
        <v>562</v>
      </c>
      <c r="S1517" s="8">
        <f t="shared" si="405"/>
        <v>64691</v>
      </c>
      <c r="T1517" s="8">
        <v>64703</v>
      </c>
      <c r="U1517" s="133">
        <f t="shared" si="406"/>
        <v>12</v>
      </c>
      <c r="V1517" s="8">
        <f t="shared" si="407"/>
        <v>9949</v>
      </c>
      <c r="W1517" s="8">
        <v>10067</v>
      </c>
      <c r="X1517" s="13">
        <f t="shared" si="408"/>
        <v>118</v>
      </c>
      <c r="Y1517" s="8">
        <f t="shared" si="409"/>
        <v>53750</v>
      </c>
      <c r="Z1517" s="8">
        <v>53750</v>
      </c>
      <c r="AA1517" s="13">
        <f t="shared" si="410"/>
        <v>0</v>
      </c>
      <c r="AB1517" s="8">
        <f t="shared" si="420"/>
        <v>283178</v>
      </c>
      <c r="AC1517" s="8">
        <v>283299</v>
      </c>
      <c r="AD1517" s="13">
        <f t="shared" si="417"/>
        <v>121</v>
      </c>
      <c r="AE1517" s="135">
        <f t="shared" si="395"/>
        <v>13470</v>
      </c>
      <c r="AF1517" s="135">
        <v>13470</v>
      </c>
      <c r="AG1517" s="135">
        <f t="shared" si="413"/>
        <v>0</v>
      </c>
      <c r="AH1517" s="136">
        <f t="shared" si="418"/>
        <v>121</v>
      </c>
      <c r="AI1517" s="50">
        <f t="shared" si="416"/>
        <v>1679</v>
      </c>
    </row>
    <row r="1518" spans="1:36">
      <c r="A1518" s="12">
        <v>45893</v>
      </c>
      <c r="B1518" s="8">
        <f t="shared" si="396"/>
        <v>2217243</v>
      </c>
      <c r="C1518" s="8">
        <v>2218132</v>
      </c>
      <c r="D1518" s="13">
        <f t="shared" si="397"/>
        <v>889</v>
      </c>
      <c r="E1518" s="77">
        <f t="shared" si="398"/>
        <v>286356</v>
      </c>
      <c r="F1518" s="69">
        <v>287128</v>
      </c>
      <c r="G1518" s="133">
        <f t="shared" si="399"/>
        <v>772</v>
      </c>
      <c r="H1518" s="8">
        <f t="shared" si="400"/>
        <v>402891</v>
      </c>
      <c r="I1518" s="8">
        <v>402891</v>
      </c>
      <c r="J1518" s="13">
        <f t="shared" si="401"/>
        <v>0</v>
      </c>
      <c r="K1518" s="138">
        <f t="shared" si="402"/>
        <v>1661</v>
      </c>
      <c r="L1518" s="8">
        <f t="shared" si="403"/>
        <v>1471372</v>
      </c>
      <c r="M1518" s="8">
        <v>1472583</v>
      </c>
      <c r="N1518" s="13">
        <f t="shared" si="404"/>
        <v>1211</v>
      </c>
      <c r="O1518" s="136">
        <f t="shared" si="419"/>
        <v>1209</v>
      </c>
      <c r="P1518" s="8">
        <f t="shared" si="421"/>
        <v>32678</v>
      </c>
      <c r="Q1518" s="8">
        <v>33252</v>
      </c>
      <c r="R1518" s="134">
        <f t="shared" si="394"/>
        <v>574</v>
      </c>
      <c r="S1518" s="8">
        <f t="shared" si="405"/>
        <v>64703</v>
      </c>
      <c r="T1518" s="8">
        <v>64713</v>
      </c>
      <c r="U1518" s="133">
        <f t="shared" si="406"/>
        <v>10</v>
      </c>
      <c r="V1518" s="8">
        <f t="shared" si="407"/>
        <v>10067</v>
      </c>
      <c r="W1518" s="8">
        <v>10175</v>
      </c>
      <c r="X1518" s="13">
        <f t="shared" si="408"/>
        <v>108</v>
      </c>
      <c r="Y1518" s="8">
        <f t="shared" si="409"/>
        <v>53750</v>
      </c>
      <c r="Z1518" s="8">
        <v>53797</v>
      </c>
      <c r="AA1518" s="13">
        <f t="shared" si="410"/>
        <v>47</v>
      </c>
      <c r="AB1518" s="8">
        <f t="shared" si="420"/>
        <v>283299</v>
      </c>
      <c r="AC1518" s="8">
        <v>283431</v>
      </c>
      <c r="AD1518" s="13">
        <f t="shared" si="417"/>
        <v>132</v>
      </c>
      <c r="AE1518" s="135">
        <f t="shared" si="395"/>
        <v>13470</v>
      </c>
      <c r="AF1518" s="135">
        <v>13470</v>
      </c>
      <c r="AG1518" s="135">
        <f t="shared" si="413"/>
        <v>0</v>
      </c>
      <c r="AH1518" s="136">
        <f t="shared" si="418"/>
        <v>132</v>
      </c>
      <c r="AI1518" s="50">
        <f t="shared" si="416"/>
        <v>1948</v>
      </c>
    </row>
    <row r="1519" spans="1:36">
      <c r="A1519" s="12">
        <v>45894</v>
      </c>
      <c r="B1519" s="8">
        <f t="shared" si="396"/>
        <v>2218132</v>
      </c>
      <c r="C1519" s="8">
        <v>2218580</v>
      </c>
      <c r="D1519" s="13">
        <f t="shared" si="397"/>
        <v>448</v>
      </c>
      <c r="E1519" s="77">
        <f t="shared" si="398"/>
        <v>287128</v>
      </c>
      <c r="F1519" s="69">
        <v>287853</v>
      </c>
      <c r="G1519" s="133">
        <f t="shared" si="399"/>
        <v>725</v>
      </c>
      <c r="H1519" s="8">
        <f t="shared" si="400"/>
        <v>402891</v>
      </c>
      <c r="I1519" s="8">
        <v>402891</v>
      </c>
      <c r="J1519" s="13">
        <f t="shared" si="401"/>
        <v>0</v>
      </c>
      <c r="K1519" s="138">
        <f t="shared" si="402"/>
        <v>1173</v>
      </c>
      <c r="L1519" s="8">
        <f t="shared" si="403"/>
        <v>1472583</v>
      </c>
      <c r="M1519" s="8">
        <v>1473625</v>
      </c>
      <c r="N1519" s="13">
        <f t="shared" si="404"/>
        <v>1042</v>
      </c>
      <c r="O1519" s="136">
        <f t="shared" si="419"/>
        <v>793</v>
      </c>
      <c r="P1519" s="8">
        <f t="shared" si="421"/>
        <v>33252</v>
      </c>
      <c r="Q1519" s="8">
        <v>33731</v>
      </c>
      <c r="R1519" s="134">
        <f t="shared" ref="R1519:R1583" si="422">Q1519-P1519</f>
        <v>479</v>
      </c>
      <c r="S1519" s="8">
        <f t="shared" si="405"/>
        <v>64713</v>
      </c>
      <c r="T1519" s="8">
        <v>64725</v>
      </c>
      <c r="U1519" s="133">
        <f t="shared" si="406"/>
        <v>12</v>
      </c>
      <c r="V1519" s="8">
        <f t="shared" si="407"/>
        <v>10175</v>
      </c>
      <c r="W1519" s="8">
        <v>10303</v>
      </c>
      <c r="X1519" s="13">
        <f t="shared" si="408"/>
        <v>128</v>
      </c>
      <c r="Y1519" s="8">
        <f t="shared" si="409"/>
        <v>53797</v>
      </c>
      <c r="Z1519" s="8">
        <v>53840</v>
      </c>
      <c r="AA1519" s="13">
        <f t="shared" si="410"/>
        <v>43</v>
      </c>
      <c r="AB1519" s="8">
        <f t="shared" si="420"/>
        <v>283431</v>
      </c>
      <c r="AC1519" s="8">
        <v>283542</v>
      </c>
      <c r="AD1519" s="13">
        <f t="shared" si="417"/>
        <v>111</v>
      </c>
      <c r="AE1519" s="135">
        <f t="shared" si="395"/>
        <v>13470</v>
      </c>
      <c r="AF1519" s="135">
        <v>13470</v>
      </c>
      <c r="AG1519" s="135">
        <f t="shared" si="413"/>
        <v>0</v>
      </c>
      <c r="AH1519" s="136">
        <f t="shared" si="418"/>
        <v>111</v>
      </c>
      <c r="AI1519" s="50">
        <f t="shared" si="416"/>
        <v>1455</v>
      </c>
    </row>
    <row r="1520" spans="1:36">
      <c r="A1520" s="12">
        <v>45895</v>
      </c>
      <c r="B1520" s="8">
        <f t="shared" si="396"/>
        <v>2218580</v>
      </c>
      <c r="C1520" s="8">
        <v>2218899</v>
      </c>
      <c r="D1520" s="13">
        <f t="shared" si="397"/>
        <v>319</v>
      </c>
      <c r="E1520" s="77">
        <f t="shared" si="398"/>
        <v>287853</v>
      </c>
      <c r="F1520" s="69">
        <v>288575</v>
      </c>
      <c r="G1520" s="133">
        <f t="shared" si="399"/>
        <v>722</v>
      </c>
      <c r="H1520" s="8">
        <f t="shared" si="400"/>
        <v>402891</v>
      </c>
      <c r="I1520" s="8">
        <v>402891</v>
      </c>
      <c r="J1520" s="13">
        <f t="shared" si="401"/>
        <v>0</v>
      </c>
      <c r="K1520" s="138">
        <f t="shared" si="402"/>
        <v>1041</v>
      </c>
      <c r="L1520" s="8">
        <f t="shared" si="403"/>
        <v>1473625</v>
      </c>
      <c r="M1520" s="8">
        <v>1474514</v>
      </c>
      <c r="N1520" s="13">
        <f t="shared" si="404"/>
        <v>889</v>
      </c>
      <c r="O1520" s="136">
        <f t="shared" si="419"/>
        <v>752</v>
      </c>
      <c r="P1520" s="8">
        <f t="shared" si="421"/>
        <v>33731</v>
      </c>
      <c r="Q1520" s="8">
        <v>34103</v>
      </c>
      <c r="R1520" s="134">
        <f t="shared" si="422"/>
        <v>372</v>
      </c>
      <c r="S1520" s="8">
        <f t="shared" si="405"/>
        <v>64725</v>
      </c>
      <c r="T1520" s="8">
        <v>64741</v>
      </c>
      <c r="U1520" s="133">
        <f t="shared" si="406"/>
        <v>16</v>
      </c>
      <c r="V1520" s="8">
        <f t="shared" si="407"/>
        <v>10303</v>
      </c>
      <c r="W1520" s="8">
        <v>10472</v>
      </c>
      <c r="X1520" s="13">
        <f t="shared" si="408"/>
        <v>169</v>
      </c>
      <c r="Y1520" s="8">
        <f t="shared" si="409"/>
        <v>53840</v>
      </c>
      <c r="Z1520" s="8">
        <v>53872</v>
      </c>
      <c r="AA1520" s="13">
        <f t="shared" si="410"/>
        <v>32</v>
      </c>
      <c r="AB1520" s="8">
        <f t="shared" si="420"/>
        <v>283542</v>
      </c>
      <c r="AC1520" s="8">
        <v>283641</v>
      </c>
      <c r="AD1520" s="13">
        <f t="shared" si="417"/>
        <v>99</v>
      </c>
      <c r="AE1520" s="135">
        <f t="shared" si="395"/>
        <v>13470</v>
      </c>
      <c r="AF1520" s="135">
        <v>13470</v>
      </c>
      <c r="AG1520" s="135">
        <f t="shared" si="413"/>
        <v>0</v>
      </c>
      <c r="AH1520" s="136">
        <f t="shared" si="418"/>
        <v>99</v>
      </c>
      <c r="AI1520" s="50">
        <f t="shared" si="416"/>
        <v>1341</v>
      </c>
    </row>
    <row r="1521" spans="1:36">
      <c r="A1521" s="12">
        <v>45896</v>
      </c>
      <c r="B1521" s="8">
        <f t="shared" si="396"/>
        <v>2218899</v>
      </c>
      <c r="C1521" s="8">
        <v>2219228</v>
      </c>
      <c r="D1521" s="13">
        <f t="shared" si="397"/>
        <v>329</v>
      </c>
      <c r="E1521" s="77">
        <f t="shared" si="398"/>
        <v>288575</v>
      </c>
      <c r="F1521" s="69">
        <v>289324</v>
      </c>
      <c r="G1521" s="133">
        <f t="shared" si="399"/>
        <v>749</v>
      </c>
      <c r="H1521" s="8">
        <f t="shared" si="400"/>
        <v>402891</v>
      </c>
      <c r="I1521" s="8">
        <v>402891</v>
      </c>
      <c r="J1521" s="13">
        <f t="shared" si="401"/>
        <v>0</v>
      </c>
      <c r="K1521" s="138">
        <f t="shared" si="402"/>
        <v>1078</v>
      </c>
      <c r="L1521" s="8">
        <f t="shared" si="403"/>
        <v>1474514</v>
      </c>
      <c r="M1521" s="8">
        <v>1475493</v>
      </c>
      <c r="N1521" s="13">
        <f t="shared" si="404"/>
        <v>979</v>
      </c>
      <c r="O1521" s="136">
        <f t="shared" si="419"/>
        <v>826</v>
      </c>
      <c r="P1521" s="8">
        <f t="shared" si="421"/>
        <v>34103</v>
      </c>
      <c r="Q1521" s="8">
        <v>34453</v>
      </c>
      <c r="R1521" s="134">
        <f t="shared" si="422"/>
        <v>350</v>
      </c>
      <c r="S1521" s="8">
        <f t="shared" si="405"/>
        <v>64741</v>
      </c>
      <c r="T1521" s="8">
        <v>64764</v>
      </c>
      <c r="U1521" s="133">
        <f t="shared" si="406"/>
        <v>23</v>
      </c>
      <c r="V1521" s="8">
        <f t="shared" si="407"/>
        <v>10472</v>
      </c>
      <c r="W1521" s="8">
        <v>10668</v>
      </c>
      <c r="X1521" s="13">
        <f t="shared" si="408"/>
        <v>196</v>
      </c>
      <c r="Y1521" s="8">
        <f t="shared" si="409"/>
        <v>53872</v>
      </c>
      <c r="Z1521" s="8">
        <v>53899</v>
      </c>
      <c r="AA1521" s="13">
        <f t="shared" si="410"/>
        <v>27</v>
      </c>
      <c r="AB1521" s="8">
        <f t="shared" si="420"/>
        <v>283641</v>
      </c>
      <c r="AC1521" s="8">
        <v>283762</v>
      </c>
      <c r="AD1521" s="13">
        <f t="shared" si="417"/>
        <v>121</v>
      </c>
      <c r="AE1521" s="135">
        <f t="shared" si="395"/>
        <v>13470</v>
      </c>
      <c r="AF1521" s="135">
        <v>13470</v>
      </c>
      <c r="AG1521" s="135">
        <f t="shared" si="413"/>
        <v>0</v>
      </c>
      <c r="AH1521" s="136">
        <f t="shared" si="418"/>
        <v>121</v>
      </c>
      <c r="AI1521" s="50">
        <f t="shared" si="416"/>
        <v>1422</v>
      </c>
    </row>
    <row r="1522" spans="1:36">
      <c r="A1522" s="12">
        <v>45897</v>
      </c>
      <c r="B1522" s="8">
        <f t="shared" si="396"/>
        <v>2219228</v>
      </c>
      <c r="C1522" s="8">
        <v>2220061</v>
      </c>
      <c r="D1522" s="13">
        <f t="shared" si="397"/>
        <v>833</v>
      </c>
      <c r="E1522" s="77">
        <f t="shared" si="398"/>
        <v>289324</v>
      </c>
      <c r="F1522" s="69">
        <v>290057</v>
      </c>
      <c r="G1522" s="133">
        <f t="shared" si="399"/>
        <v>733</v>
      </c>
      <c r="H1522" s="8">
        <f t="shared" si="400"/>
        <v>402891</v>
      </c>
      <c r="I1522" s="8">
        <v>402891</v>
      </c>
      <c r="J1522" s="13">
        <f t="shared" si="401"/>
        <v>0</v>
      </c>
      <c r="K1522" s="138">
        <f t="shared" si="402"/>
        <v>1566</v>
      </c>
      <c r="L1522" s="8">
        <f t="shared" si="403"/>
        <v>1475493</v>
      </c>
      <c r="M1522" s="8">
        <v>1476671</v>
      </c>
      <c r="N1522" s="13">
        <f t="shared" si="404"/>
        <v>1178</v>
      </c>
      <c r="O1522" s="136">
        <f t="shared" si="419"/>
        <v>979</v>
      </c>
      <c r="P1522" s="8">
        <f t="shared" si="421"/>
        <v>34453</v>
      </c>
      <c r="Q1522" s="8">
        <v>35104</v>
      </c>
      <c r="R1522" s="134">
        <f t="shared" si="422"/>
        <v>651</v>
      </c>
      <c r="S1522" s="8">
        <f t="shared" si="405"/>
        <v>64764</v>
      </c>
      <c r="T1522" s="8">
        <v>64797</v>
      </c>
      <c r="U1522" s="133">
        <f t="shared" si="406"/>
        <v>33</v>
      </c>
      <c r="V1522" s="8">
        <f t="shared" si="407"/>
        <v>10668</v>
      </c>
      <c r="W1522" s="8">
        <v>10829</v>
      </c>
      <c r="X1522" s="13">
        <f t="shared" si="408"/>
        <v>161</v>
      </c>
      <c r="Y1522" s="8">
        <f t="shared" si="409"/>
        <v>53899</v>
      </c>
      <c r="Z1522" s="8">
        <v>53924</v>
      </c>
      <c r="AA1522" s="13">
        <f t="shared" si="410"/>
        <v>25</v>
      </c>
      <c r="AB1522" s="8">
        <f t="shared" si="420"/>
        <v>283762</v>
      </c>
      <c r="AC1522" s="8">
        <v>283859</v>
      </c>
      <c r="AD1522" s="13">
        <f t="shared" si="417"/>
        <v>97</v>
      </c>
      <c r="AE1522" s="135">
        <f t="shared" si="395"/>
        <v>13470</v>
      </c>
      <c r="AF1522" s="135">
        <v>13470</v>
      </c>
      <c r="AG1522" s="135">
        <f t="shared" si="413"/>
        <v>0</v>
      </c>
      <c r="AH1522" s="136">
        <f t="shared" si="418"/>
        <v>97</v>
      </c>
      <c r="AI1522" s="50">
        <f t="shared" si="416"/>
        <v>1849</v>
      </c>
    </row>
    <row r="1523" spans="1:36">
      <c r="A1523" s="12">
        <v>45898</v>
      </c>
      <c r="B1523" s="8">
        <f t="shared" si="396"/>
        <v>2220061</v>
      </c>
      <c r="C1523" s="8">
        <v>2220806</v>
      </c>
      <c r="D1523" s="13">
        <f t="shared" si="397"/>
        <v>745</v>
      </c>
      <c r="E1523" s="77">
        <f t="shared" si="398"/>
        <v>290057</v>
      </c>
      <c r="F1523" s="69">
        <v>290789</v>
      </c>
      <c r="G1523" s="133">
        <f t="shared" si="399"/>
        <v>732</v>
      </c>
      <c r="H1523" s="8">
        <f t="shared" si="400"/>
        <v>402891</v>
      </c>
      <c r="I1523" s="8">
        <v>402891</v>
      </c>
      <c r="J1523" s="13">
        <f t="shared" si="401"/>
        <v>0</v>
      </c>
      <c r="K1523" s="138">
        <f t="shared" si="402"/>
        <v>1477</v>
      </c>
      <c r="L1523" s="8">
        <f t="shared" si="403"/>
        <v>1476671</v>
      </c>
      <c r="M1523" s="8">
        <v>1477784</v>
      </c>
      <c r="N1523" s="13">
        <f t="shared" si="404"/>
        <v>1113</v>
      </c>
      <c r="O1523" s="136">
        <f t="shared" si="419"/>
        <v>1147</v>
      </c>
      <c r="P1523" s="8">
        <f t="shared" si="421"/>
        <v>35104</v>
      </c>
      <c r="Q1523" s="8">
        <v>35527</v>
      </c>
      <c r="R1523" s="134">
        <f t="shared" si="422"/>
        <v>423</v>
      </c>
      <c r="S1523" s="8">
        <f t="shared" si="405"/>
        <v>64797</v>
      </c>
      <c r="T1523" s="8">
        <v>64827</v>
      </c>
      <c r="U1523" s="133">
        <f t="shared" si="406"/>
        <v>30</v>
      </c>
      <c r="V1523" s="8">
        <f t="shared" si="407"/>
        <v>10829</v>
      </c>
      <c r="W1523" s="8">
        <v>10972</v>
      </c>
      <c r="X1523" s="13">
        <f t="shared" si="408"/>
        <v>143</v>
      </c>
      <c r="Y1523" s="8">
        <f t="shared" si="409"/>
        <v>53924</v>
      </c>
      <c r="Z1523" s="8">
        <v>53942</v>
      </c>
      <c r="AA1523" s="13">
        <f t="shared" si="410"/>
        <v>18</v>
      </c>
      <c r="AB1523" s="8">
        <f t="shared" si="420"/>
        <v>283859</v>
      </c>
      <c r="AC1523" s="8">
        <v>283982</v>
      </c>
      <c r="AD1523" s="13">
        <f t="shared" si="417"/>
        <v>123</v>
      </c>
      <c r="AE1523" s="135">
        <f t="shared" si="395"/>
        <v>13470</v>
      </c>
      <c r="AF1523" s="135">
        <v>13470</v>
      </c>
      <c r="AG1523" s="135">
        <f t="shared" si="413"/>
        <v>0</v>
      </c>
      <c r="AH1523" s="136">
        <f t="shared" si="418"/>
        <v>123</v>
      </c>
      <c r="AI1523" s="50">
        <f t="shared" si="416"/>
        <v>1761</v>
      </c>
    </row>
    <row r="1524" spans="1:36">
      <c r="A1524" s="12">
        <v>45899</v>
      </c>
      <c r="B1524" s="8">
        <f t="shared" si="396"/>
        <v>2220806</v>
      </c>
      <c r="C1524" s="8">
        <v>2221404</v>
      </c>
      <c r="D1524" s="13">
        <f t="shared" si="397"/>
        <v>598</v>
      </c>
      <c r="E1524" s="77">
        <f t="shared" si="398"/>
        <v>290789</v>
      </c>
      <c r="F1524" s="69">
        <v>291521</v>
      </c>
      <c r="G1524" s="133">
        <f t="shared" si="399"/>
        <v>732</v>
      </c>
      <c r="H1524" s="8">
        <f t="shared" si="400"/>
        <v>402891</v>
      </c>
      <c r="I1524" s="8">
        <v>402891</v>
      </c>
      <c r="J1524" s="13">
        <f t="shared" si="401"/>
        <v>0</v>
      </c>
      <c r="K1524" s="138">
        <f t="shared" si="402"/>
        <v>1330</v>
      </c>
      <c r="L1524" s="8">
        <f t="shared" si="403"/>
        <v>1477784</v>
      </c>
      <c r="M1524" s="8">
        <v>1478877</v>
      </c>
      <c r="N1524" s="13">
        <f t="shared" si="404"/>
        <v>1093</v>
      </c>
      <c r="O1524" s="136">
        <f t="shared" si="419"/>
        <v>882</v>
      </c>
      <c r="P1524" s="8">
        <f t="shared" si="421"/>
        <v>35527</v>
      </c>
      <c r="Q1524" s="8">
        <v>36069</v>
      </c>
      <c r="R1524" s="134">
        <f t="shared" si="422"/>
        <v>542</v>
      </c>
      <c r="S1524" s="8">
        <f t="shared" si="405"/>
        <v>64827</v>
      </c>
      <c r="T1524" s="8">
        <v>64844</v>
      </c>
      <c r="U1524" s="133">
        <f t="shared" si="406"/>
        <v>17</v>
      </c>
      <c r="V1524" s="8">
        <f t="shared" si="407"/>
        <v>10972</v>
      </c>
      <c r="W1524" s="8">
        <v>11200</v>
      </c>
      <c r="X1524" s="13">
        <f t="shared" si="408"/>
        <v>228</v>
      </c>
      <c r="Y1524" s="8">
        <f t="shared" si="409"/>
        <v>53942</v>
      </c>
      <c r="Z1524" s="8">
        <v>53974</v>
      </c>
      <c r="AA1524" s="13">
        <f t="shared" si="410"/>
        <v>32</v>
      </c>
      <c r="AB1524" s="8">
        <f t="shared" si="420"/>
        <v>283982</v>
      </c>
      <c r="AC1524" s="8">
        <v>284093</v>
      </c>
      <c r="AD1524" s="13">
        <f t="shared" si="417"/>
        <v>111</v>
      </c>
      <c r="AE1524" s="135">
        <f t="shared" ref="AE1524:AE1587" si="423">AF1523</f>
        <v>13470</v>
      </c>
      <c r="AF1524" s="135">
        <v>13470</v>
      </c>
      <c r="AG1524" s="135">
        <f t="shared" si="413"/>
        <v>0</v>
      </c>
      <c r="AH1524" s="136">
        <f t="shared" si="418"/>
        <v>111</v>
      </c>
      <c r="AI1524" s="50">
        <f t="shared" si="416"/>
        <v>1701</v>
      </c>
    </row>
    <row r="1525" spans="1:36">
      <c r="A1525" s="12">
        <v>45900</v>
      </c>
      <c r="B1525" s="8">
        <f t="shared" si="396"/>
        <v>2221404</v>
      </c>
      <c r="C1525" s="8">
        <v>2222054</v>
      </c>
      <c r="D1525" s="13">
        <f t="shared" si="397"/>
        <v>650</v>
      </c>
      <c r="E1525" s="77">
        <f t="shared" si="398"/>
        <v>291521</v>
      </c>
      <c r="F1525" s="69">
        <v>292273</v>
      </c>
      <c r="G1525" s="133">
        <f t="shared" si="399"/>
        <v>752</v>
      </c>
      <c r="H1525" s="8">
        <f t="shared" si="400"/>
        <v>402891</v>
      </c>
      <c r="I1525" s="8">
        <v>402891</v>
      </c>
      <c r="J1525" s="13">
        <f t="shared" si="401"/>
        <v>0</v>
      </c>
      <c r="K1525" s="138">
        <f t="shared" si="402"/>
        <v>1402</v>
      </c>
      <c r="L1525" s="8">
        <f t="shared" si="403"/>
        <v>1478877</v>
      </c>
      <c r="M1525" s="8">
        <v>1480018</v>
      </c>
      <c r="N1525" s="13">
        <f t="shared" si="404"/>
        <v>1141</v>
      </c>
      <c r="O1525" s="136">
        <f t="shared" si="419"/>
        <v>1004</v>
      </c>
      <c r="P1525" s="8">
        <f t="shared" si="421"/>
        <v>36069</v>
      </c>
      <c r="Q1525" s="8">
        <v>36607</v>
      </c>
      <c r="R1525" s="134">
        <f t="shared" si="422"/>
        <v>538</v>
      </c>
      <c r="S1525" s="8">
        <f t="shared" si="405"/>
        <v>64844</v>
      </c>
      <c r="T1525" s="8">
        <v>64862</v>
      </c>
      <c r="U1525" s="133">
        <f t="shared" si="406"/>
        <v>18</v>
      </c>
      <c r="V1525" s="8">
        <f t="shared" si="407"/>
        <v>11200</v>
      </c>
      <c r="W1525" s="8">
        <v>11351</v>
      </c>
      <c r="X1525" s="13">
        <f t="shared" si="408"/>
        <v>151</v>
      </c>
      <c r="Y1525" s="8">
        <f t="shared" si="409"/>
        <v>53974</v>
      </c>
      <c r="Z1525" s="8">
        <v>53999</v>
      </c>
      <c r="AA1525" s="13">
        <f t="shared" si="410"/>
        <v>25</v>
      </c>
      <c r="AB1525" s="8">
        <f t="shared" si="420"/>
        <v>284093</v>
      </c>
      <c r="AC1525" s="8">
        <v>284251</v>
      </c>
      <c r="AD1525" s="13">
        <f t="shared" si="417"/>
        <v>158</v>
      </c>
      <c r="AE1525" s="135">
        <f t="shared" si="423"/>
        <v>13470</v>
      </c>
      <c r="AF1525" s="135">
        <v>13470</v>
      </c>
      <c r="AG1525" s="135">
        <f t="shared" si="413"/>
        <v>0</v>
      </c>
      <c r="AH1525" s="136">
        <f t="shared" si="418"/>
        <v>158</v>
      </c>
      <c r="AI1525" s="50">
        <f t="shared" si="416"/>
        <v>1736</v>
      </c>
    </row>
    <row r="1526" spans="1:36">
      <c r="A1526" s="12">
        <v>45901</v>
      </c>
      <c r="B1526" s="8">
        <f t="shared" ref="B1526:B1589" si="424">C1525</f>
        <v>2222054</v>
      </c>
      <c r="C1526" s="8">
        <v>2222713</v>
      </c>
      <c r="D1526" s="13">
        <f t="shared" ref="D1526:D1589" si="425">C1526-B1526</f>
        <v>659</v>
      </c>
      <c r="E1526" s="77">
        <f t="shared" ref="E1526:E1589" si="426">F1525</f>
        <v>292273</v>
      </c>
      <c r="F1526" s="69">
        <v>293008</v>
      </c>
      <c r="G1526" s="133">
        <f t="shared" ref="G1526:G1589" si="427">F1526-E1526</f>
        <v>735</v>
      </c>
      <c r="H1526" s="8">
        <f t="shared" ref="H1526:H1589" si="428">I1525</f>
        <v>402891</v>
      </c>
      <c r="I1526" s="8">
        <v>402891</v>
      </c>
      <c r="J1526" s="13">
        <f t="shared" ref="J1526:J1589" si="429">I1526-H1526</f>
        <v>0</v>
      </c>
      <c r="K1526" s="138">
        <f t="shared" ref="K1526:K1589" si="430">J1526+G1526+D1526</f>
        <v>1394</v>
      </c>
      <c r="L1526" s="8">
        <f t="shared" ref="L1526:L1589" si="431">M1525</f>
        <v>1480018</v>
      </c>
      <c r="M1526" s="8">
        <v>1481186</v>
      </c>
      <c r="N1526" s="13">
        <f t="shared" ref="N1526:N1589" si="432">M1526-L1526</f>
        <v>1168</v>
      </c>
      <c r="O1526" s="136">
        <f t="shared" si="419"/>
        <v>931</v>
      </c>
      <c r="P1526" s="8">
        <f t="shared" si="421"/>
        <v>36607</v>
      </c>
      <c r="Q1526" s="8">
        <v>37144</v>
      </c>
      <c r="R1526" s="134">
        <f t="shared" si="422"/>
        <v>537</v>
      </c>
      <c r="S1526" s="8">
        <f t="shared" ref="S1526:S1589" si="433">T1525</f>
        <v>64862</v>
      </c>
      <c r="T1526" s="8">
        <v>64876</v>
      </c>
      <c r="U1526" s="133">
        <f t="shared" ref="U1526:U1589" si="434">T1526-S1526</f>
        <v>14</v>
      </c>
      <c r="V1526" s="8">
        <f t="shared" ref="V1526:V1589" si="435">W1525</f>
        <v>11351</v>
      </c>
      <c r="W1526" s="8">
        <v>11506</v>
      </c>
      <c r="X1526" s="13">
        <f t="shared" ref="X1526:X1589" si="436">W1526-V1526</f>
        <v>155</v>
      </c>
      <c r="Y1526" s="8">
        <f t="shared" ref="Y1526:Y1589" si="437">Z1525</f>
        <v>53999</v>
      </c>
      <c r="Z1526" s="8">
        <v>54022</v>
      </c>
      <c r="AA1526" s="13">
        <f t="shared" ref="AA1526:AA1530" si="438">Z1526-Y1526</f>
        <v>23</v>
      </c>
      <c r="AB1526" s="8">
        <f t="shared" ref="AB1526:AB1589" si="439">AC1525</f>
        <v>284251</v>
      </c>
      <c r="AC1526" s="8">
        <v>284339</v>
      </c>
      <c r="AD1526" s="13">
        <f t="shared" ref="AD1526:AD1589" si="440">AC1526-AB1526</f>
        <v>88</v>
      </c>
      <c r="AE1526" s="135">
        <f t="shared" si="423"/>
        <v>13470</v>
      </c>
      <c r="AF1526" s="135">
        <v>13470</v>
      </c>
      <c r="AG1526" s="135">
        <f t="shared" ref="AG1526:AG1589" si="441">AF1526-AE1526</f>
        <v>0</v>
      </c>
      <c r="AH1526" s="136">
        <f t="shared" ref="AH1526:AH1589" si="442">AG1526+AD1526</f>
        <v>88</v>
      </c>
      <c r="AI1526" s="50">
        <f t="shared" ref="AI1526:AI1589" si="443">AA1526+U1526+R1526+O1526+X1526</f>
        <v>1660</v>
      </c>
    </row>
    <row r="1527" spans="1:36">
      <c r="A1527" s="12">
        <v>45902</v>
      </c>
      <c r="B1527" s="8">
        <f t="shared" si="424"/>
        <v>2222713</v>
      </c>
      <c r="C1527" s="8">
        <v>2223578</v>
      </c>
      <c r="D1527" s="13">
        <f t="shared" si="425"/>
        <v>865</v>
      </c>
      <c r="E1527" s="77">
        <f t="shared" si="426"/>
        <v>293008</v>
      </c>
      <c r="F1527" s="69">
        <v>293728</v>
      </c>
      <c r="G1527" s="133">
        <f t="shared" si="427"/>
        <v>720</v>
      </c>
      <c r="H1527" s="8">
        <f t="shared" si="428"/>
        <v>402891</v>
      </c>
      <c r="I1527" s="8">
        <v>402891</v>
      </c>
      <c r="J1527" s="13">
        <f t="shared" si="429"/>
        <v>0</v>
      </c>
      <c r="K1527" s="138">
        <f t="shared" si="430"/>
        <v>1585</v>
      </c>
      <c r="L1527" s="8">
        <f t="shared" si="431"/>
        <v>1481186</v>
      </c>
      <c r="M1527" s="8">
        <v>1482296</v>
      </c>
      <c r="N1527" s="13">
        <f t="shared" si="432"/>
        <v>1110</v>
      </c>
      <c r="O1527" s="136">
        <f t="shared" si="419"/>
        <v>1120</v>
      </c>
      <c r="P1527" s="8">
        <f t="shared" si="421"/>
        <v>37144</v>
      </c>
      <c r="Q1527" s="8">
        <v>37670</v>
      </c>
      <c r="R1527" s="134">
        <f t="shared" si="422"/>
        <v>526</v>
      </c>
      <c r="S1527" s="8">
        <f t="shared" si="433"/>
        <v>64876</v>
      </c>
      <c r="T1527" s="8">
        <v>64889</v>
      </c>
      <c r="U1527" s="133">
        <f t="shared" si="434"/>
        <v>13</v>
      </c>
      <c r="V1527" s="8">
        <f t="shared" si="435"/>
        <v>11506</v>
      </c>
      <c r="W1527" s="8">
        <v>11660</v>
      </c>
      <c r="X1527" s="13">
        <f t="shared" si="436"/>
        <v>154</v>
      </c>
      <c r="Y1527" s="8">
        <f t="shared" si="437"/>
        <v>54022</v>
      </c>
      <c r="Z1527" s="8">
        <v>54034</v>
      </c>
      <c r="AA1527" s="13">
        <f t="shared" si="438"/>
        <v>12</v>
      </c>
      <c r="AB1527" s="8">
        <f t="shared" si="439"/>
        <v>284339</v>
      </c>
      <c r="AC1527" s="8">
        <v>284413</v>
      </c>
      <c r="AD1527" s="13">
        <f t="shared" si="440"/>
        <v>74</v>
      </c>
      <c r="AE1527" s="135">
        <f t="shared" si="423"/>
        <v>13470</v>
      </c>
      <c r="AF1527" s="135">
        <v>13470</v>
      </c>
      <c r="AG1527" s="135">
        <f t="shared" si="441"/>
        <v>0</v>
      </c>
      <c r="AH1527" s="136">
        <f t="shared" si="442"/>
        <v>74</v>
      </c>
      <c r="AI1527" s="50">
        <f t="shared" si="443"/>
        <v>1825</v>
      </c>
    </row>
    <row r="1528" spans="1:36">
      <c r="A1528" s="12">
        <v>45903</v>
      </c>
      <c r="B1528" s="8">
        <f t="shared" si="424"/>
        <v>2223578</v>
      </c>
      <c r="C1528" s="8">
        <v>2223685</v>
      </c>
      <c r="D1528" s="13">
        <f t="shared" si="425"/>
        <v>107</v>
      </c>
      <c r="E1528" s="77">
        <f t="shared" si="426"/>
        <v>293728</v>
      </c>
      <c r="F1528" s="69">
        <v>294456</v>
      </c>
      <c r="G1528" s="133">
        <f t="shared" si="427"/>
        <v>728</v>
      </c>
      <c r="H1528" s="8">
        <f t="shared" si="428"/>
        <v>402891</v>
      </c>
      <c r="I1528" s="8">
        <v>402891</v>
      </c>
      <c r="J1528" s="13">
        <f t="shared" si="429"/>
        <v>0</v>
      </c>
      <c r="K1528" s="138">
        <f t="shared" si="430"/>
        <v>835</v>
      </c>
      <c r="L1528" s="8">
        <f t="shared" si="431"/>
        <v>1482296</v>
      </c>
      <c r="M1528" s="8">
        <v>1483431</v>
      </c>
      <c r="N1528" s="13">
        <f t="shared" si="432"/>
        <v>1135</v>
      </c>
      <c r="O1528" s="136">
        <f t="shared" si="419"/>
        <v>394</v>
      </c>
      <c r="P1528" s="8">
        <f t="shared" si="421"/>
        <v>37670</v>
      </c>
      <c r="Q1528" s="8">
        <v>38195</v>
      </c>
      <c r="R1528" s="134">
        <f t="shared" si="422"/>
        <v>525</v>
      </c>
      <c r="S1528" s="8">
        <f t="shared" si="433"/>
        <v>64889</v>
      </c>
      <c r="T1528" s="8">
        <v>64902</v>
      </c>
      <c r="U1528" s="133">
        <f t="shared" si="434"/>
        <v>13</v>
      </c>
      <c r="V1528" s="8">
        <f t="shared" si="435"/>
        <v>11660</v>
      </c>
      <c r="W1528" s="8">
        <v>11809</v>
      </c>
      <c r="X1528" s="13">
        <f t="shared" si="436"/>
        <v>149</v>
      </c>
      <c r="Y1528" s="8">
        <f t="shared" si="437"/>
        <v>54034</v>
      </c>
      <c r="Z1528" s="8">
        <v>54045</v>
      </c>
      <c r="AA1528" s="13">
        <f t="shared" si="438"/>
        <v>11</v>
      </c>
      <c r="AB1528" s="8">
        <f t="shared" si="439"/>
        <v>284413</v>
      </c>
      <c r="AC1528" s="8">
        <v>284510</v>
      </c>
      <c r="AD1528" s="13">
        <f t="shared" si="440"/>
        <v>97</v>
      </c>
      <c r="AE1528" s="135">
        <f t="shared" si="423"/>
        <v>13470</v>
      </c>
      <c r="AF1528" s="135">
        <v>13470</v>
      </c>
      <c r="AG1528" s="135">
        <f t="shared" si="441"/>
        <v>0</v>
      </c>
      <c r="AH1528" s="136">
        <f t="shared" si="442"/>
        <v>97</v>
      </c>
      <c r="AI1528" s="50">
        <f t="shared" si="443"/>
        <v>1092</v>
      </c>
    </row>
    <row r="1529" spans="1:36">
      <c r="A1529" s="12">
        <v>45904</v>
      </c>
      <c r="B1529" s="8">
        <f t="shared" si="424"/>
        <v>2223685</v>
      </c>
      <c r="C1529" s="8">
        <v>2223921</v>
      </c>
      <c r="D1529" s="13">
        <f t="shared" si="425"/>
        <v>236</v>
      </c>
      <c r="E1529" s="77">
        <f t="shared" si="426"/>
        <v>294456</v>
      </c>
      <c r="F1529" s="69">
        <v>295196</v>
      </c>
      <c r="G1529" s="133">
        <f t="shared" si="427"/>
        <v>740</v>
      </c>
      <c r="H1529" s="8">
        <f t="shared" si="428"/>
        <v>402891</v>
      </c>
      <c r="I1529" s="8">
        <v>403247</v>
      </c>
      <c r="J1529" s="13">
        <f t="shared" si="429"/>
        <v>356</v>
      </c>
      <c r="K1529" s="138">
        <f t="shared" si="430"/>
        <v>1332</v>
      </c>
      <c r="L1529" s="8">
        <f t="shared" si="431"/>
        <v>1483431</v>
      </c>
      <c r="M1529" s="8">
        <v>1483987</v>
      </c>
      <c r="N1529" s="13">
        <f t="shared" si="432"/>
        <v>556</v>
      </c>
      <c r="O1529" s="136">
        <f t="shared" si="419"/>
        <v>1058</v>
      </c>
      <c r="P1529" s="8">
        <f t="shared" si="421"/>
        <v>38195</v>
      </c>
      <c r="Q1529" s="8">
        <v>38569</v>
      </c>
      <c r="R1529" s="134">
        <f t="shared" si="422"/>
        <v>374</v>
      </c>
      <c r="S1529" s="8">
        <f t="shared" si="433"/>
        <v>64902</v>
      </c>
      <c r="T1529" s="8">
        <v>64915</v>
      </c>
      <c r="U1529" s="133">
        <f t="shared" si="434"/>
        <v>13</v>
      </c>
      <c r="V1529" s="8">
        <f t="shared" si="435"/>
        <v>11809</v>
      </c>
      <c r="W1529" s="8">
        <v>11954</v>
      </c>
      <c r="X1529" s="13">
        <f t="shared" si="436"/>
        <v>145</v>
      </c>
      <c r="Y1529" s="8">
        <f t="shared" si="437"/>
        <v>54045</v>
      </c>
      <c r="Z1529" s="8">
        <v>54068</v>
      </c>
      <c r="AA1529" s="13">
        <f t="shared" si="438"/>
        <v>23</v>
      </c>
      <c r="AB1529" s="8">
        <f t="shared" si="439"/>
        <v>284510</v>
      </c>
      <c r="AC1529" s="8">
        <v>284623</v>
      </c>
      <c r="AD1529" s="13">
        <f t="shared" si="440"/>
        <v>113</v>
      </c>
      <c r="AE1529" s="135">
        <f t="shared" si="423"/>
        <v>13470</v>
      </c>
      <c r="AF1529" s="135">
        <v>13470</v>
      </c>
      <c r="AG1529" s="135">
        <f t="shared" si="441"/>
        <v>0</v>
      </c>
      <c r="AH1529" s="136">
        <f t="shared" si="442"/>
        <v>113</v>
      </c>
      <c r="AI1529" s="50">
        <f t="shared" si="443"/>
        <v>1613</v>
      </c>
    </row>
    <row r="1530" spans="1:36">
      <c r="A1530" s="12">
        <v>45905</v>
      </c>
      <c r="B1530" s="8">
        <f t="shared" si="424"/>
        <v>2223921</v>
      </c>
      <c r="C1530" s="8">
        <v>2224594</v>
      </c>
      <c r="D1530" s="13">
        <f t="shared" si="425"/>
        <v>673</v>
      </c>
      <c r="E1530" s="77">
        <f t="shared" si="426"/>
        <v>295196</v>
      </c>
      <c r="F1530" s="69">
        <v>295936</v>
      </c>
      <c r="G1530" s="133">
        <f t="shared" si="427"/>
        <v>740</v>
      </c>
      <c r="H1530" s="8">
        <f t="shared" si="428"/>
        <v>403247</v>
      </c>
      <c r="I1530" s="8">
        <v>403572</v>
      </c>
      <c r="J1530" s="13">
        <f t="shared" si="429"/>
        <v>325</v>
      </c>
      <c r="K1530" s="138">
        <f t="shared" si="430"/>
        <v>1738</v>
      </c>
      <c r="L1530" s="8">
        <f t="shared" si="431"/>
        <v>1483987</v>
      </c>
      <c r="M1530" s="8">
        <v>1484716</v>
      </c>
      <c r="N1530" s="13">
        <f t="shared" si="432"/>
        <v>729</v>
      </c>
      <c r="O1530" s="136">
        <f t="shared" si="419"/>
        <v>1374</v>
      </c>
      <c r="P1530" s="8">
        <f t="shared" si="421"/>
        <v>38569</v>
      </c>
      <c r="Q1530" s="8">
        <v>39008</v>
      </c>
      <c r="R1530" s="134">
        <f t="shared" si="422"/>
        <v>439</v>
      </c>
      <c r="S1530" s="8">
        <f t="shared" si="433"/>
        <v>64915</v>
      </c>
      <c r="T1530" s="8">
        <v>64974</v>
      </c>
      <c r="U1530" s="133">
        <f t="shared" si="434"/>
        <v>59</v>
      </c>
      <c r="V1530" s="8">
        <f t="shared" si="435"/>
        <v>11954</v>
      </c>
      <c r="W1530" s="8">
        <v>12163</v>
      </c>
      <c r="X1530" s="13">
        <f t="shared" si="436"/>
        <v>209</v>
      </c>
      <c r="Y1530" s="8">
        <f t="shared" si="437"/>
        <v>54068</v>
      </c>
      <c r="Z1530" s="8">
        <v>54100</v>
      </c>
      <c r="AA1530" s="13">
        <f t="shared" si="438"/>
        <v>32</v>
      </c>
      <c r="AB1530" s="8">
        <f t="shared" si="439"/>
        <v>284623</v>
      </c>
      <c r="AC1530" s="8">
        <v>284757</v>
      </c>
      <c r="AD1530" s="13">
        <f t="shared" si="440"/>
        <v>134</v>
      </c>
      <c r="AE1530" s="135">
        <f t="shared" si="423"/>
        <v>13470</v>
      </c>
      <c r="AF1530" s="135">
        <v>13470</v>
      </c>
      <c r="AG1530" s="135">
        <f t="shared" si="441"/>
        <v>0</v>
      </c>
      <c r="AH1530" s="136">
        <f t="shared" si="442"/>
        <v>134</v>
      </c>
      <c r="AI1530" s="50">
        <f t="shared" si="443"/>
        <v>2113</v>
      </c>
    </row>
    <row r="1531" spans="1:36">
      <c r="A1531" s="12">
        <v>45906</v>
      </c>
      <c r="B1531" s="8">
        <f t="shared" si="424"/>
        <v>2224594</v>
      </c>
      <c r="C1531" s="8">
        <v>2224833</v>
      </c>
      <c r="D1531" s="13">
        <f t="shared" si="425"/>
        <v>239</v>
      </c>
      <c r="E1531" s="77">
        <f t="shared" si="426"/>
        <v>295936</v>
      </c>
      <c r="F1531" s="69">
        <v>296681</v>
      </c>
      <c r="G1531" s="133">
        <f t="shared" si="427"/>
        <v>745</v>
      </c>
      <c r="H1531" s="8">
        <f t="shared" si="428"/>
        <v>403572</v>
      </c>
      <c r="I1531" s="8">
        <v>403791</v>
      </c>
      <c r="J1531" s="13">
        <f t="shared" si="429"/>
        <v>219</v>
      </c>
      <c r="K1531" s="138">
        <f t="shared" si="430"/>
        <v>1203</v>
      </c>
      <c r="L1531" s="8">
        <f t="shared" si="431"/>
        <v>1484716</v>
      </c>
      <c r="M1531" s="8">
        <v>1485864</v>
      </c>
      <c r="N1531" s="13">
        <f t="shared" si="432"/>
        <v>1148</v>
      </c>
      <c r="O1531" s="136">
        <f t="shared" ref="O1531:O1594" si="444">(D1531+G1531+J1531+AD1531)-(U1531+R1531)</f>
        <v>816</v>
      </c>
      <c r="P1531" s="8">
        <f t="shared" si="421"/>
        <v>39008</v>
      </c>
      <c r="Q1531" s="8">
        <v>39442</v>
      </c>
      <c r="R1531" s="134">
        <f t="shared" si="422"/>
        <v>434</v>
      </c>
      <c r="S1531" s="8">
        <f t="shared" si="433"/>
        <v>64974</v>
      </c>
      <c r="T1531" s="8">
        <v>65055</v>
      </c>
      <c r="U1531" s="133">
        <f t="shared" si="434"/>
        <v>81</v>
      </c>
      <c r="V1531" s="8">
        <f t="shared" si="435"/>
        <v>12163</v>
      </c>
      <c r="W1531" s="8">
        <v>12283</v>
      </c>
      <c r="X1531" s="13">
        <f t="shared" si="436"/>
        <v>120</v>
      </c>
      <c r="Y1531" s="8">
        <f t="shared" si="437"/>
        <v>54100</v>
      </c>
      <c r="Z1531" s="8">
        <v>54124</v>
      </c>
      <c r="AA1531" s="13">
        <f t="shared" ref="AA1531:AA1589" si="445">Z1531-Y1531</f>
        <v>24</v>
      </c>
      <c r="AB1531" s="8">
        <f t="shared" si="439"/>
        <v>284757</v>
      </c>
      <c r="AC1531" s="8">
        <v>284885</v>
      </c>
      <c r="AD1531" s="13">
        <f t="shared" si="440"/>
        <v>128</v>
      </c>
      <c r="AE1531" s="135">
        <f t="shared" si="423"/>
        <v>13470</v>
      </c>
      <c r="AF1531" s="135">
        <v>13470</v>
      </c>
      <c r="AG1531" s="135">
        <f t="shared" si="441"/>
        <v>0</v>
      </c>
      <c r="AH1531" s="136">
        <f t="shared" si="442"/>
        <v>128</v>
      </c>
      <c r="AI1531" s="50">
        <f t="shared" si="443"/>
        <v>1475</v>
      </c>
    </row>
    <row r="1532" spans="1:36">
      <c r="A1532" s="12">
        <v>45907</v>
      </c>
      <c r="B1532" s="8">
        <f t="shared" si="424"/>
        <v>2224833</v>
      </c>
      <c r="C1532" s="8">
        <v>2225515</v>
      </c>
      <c r="D1532" s="13">
        <f t="shared" si="425"/>
        <v>682</v>
      </c>
      <c r="E1532" s="77">
        <f t="shared" si="426"/>
        <v>296681</v>
      </c>
      <c r="F1532" s="69">
        <v>297449</v>
      </c>
      <c r="G1532" s="133">
        <f t="shared" si="427"/>
        <v>768</v>
      </c>
      <c r="H1532" s="8">
        <f t="shared" si="428"/>
        <v>403791</v>
      </c>
      <c r="I1532" s="8">
        <v>403791</v>
      </c>
      <c r="J1532" s="13">
        <f t="shared" si="429"/>
        <v>0</v>
      </c>
      <c r="K1532" s="138">
        <f t="shared" si="430"/>
        <v>1450</v>
      </c>
      <c r="L1532" s="8">
        <f t="shared" si="431"/>
        <v>1485864</v>
      </c>
      <c r="M1532" s="8">
        <v>1486627</v>
      </c>
      <c r="N1532" s="13">
        <f t="shared" si="432"/>
        <v>763</v>
      </c>
      <c r="O1532" s="136">
        <f t="shared" si="444"/>
        <v>1088</v>
      </c>
      <c r="P1532" s="8">
        <f t="shared" si="421"/>
        <v>39442</v>
      </c>
      <c r="Q1532" s="8">
        <v>39861</v>
      </c>
      <c r="R1532" s="134">
        <f t="shared" si="422"/>
        <v>419</v>
      </c>
      <c r="S1532" s="8">
        <f t="shared" si="433"/>
        <v>65055</v>
      </c>
      <c r="T1532" s="8">
        <v>65137</v>
      </c>
      <c r="U1532" s="133">
        <f t="shared" si="434"/>
        <v>82</v>
      </c>
      <c r="V1532" s="8">
        <f t="shared" si="435"/>
        <v>12283</v>
      </c>
      <c r="W1532" s="8">
        <v>12490</v>
      </c>
      <c r="X1532" s="13">
        <f t="shared" si="436"/>
        <v>207</v>
      </c>
      <c r="Y1532" s="8">
        <f t="shared" si="437"/>
        <v>54124</v>
      </c>
      <c r="Z1532" s="8">
        <v>54141</v>
      </c>
      <c r="AA1532" s="13">
        <f t="shared" si="445"/>
        <v>17</v>
      </c>
      <c r="AB1532" s="8">
        <f t="shared" si="439"/>
        <v>284885</v>
      </c>
      <c r="AC1532" s="8">
        <v>285024</v>
      </c>
      <c r="AD1532" s="13">
        <f t="shared" si="440"/>
        <v>139</v>
      </c>
      <c r="AE1532" s="135">
        <f t="shared" si="423"/>
        <v>13470</v>
      </c>
      <c r="AF1532" s="135">
        <v>13470</v>
      </c>
      <c r="AG1532" s="135">
        <f t="shared" si="441"/>
        <v>0</v>
      </c>
      <c r="AH1532" s="136">
        <f t="shared" si="442"/>
        <v>139</v>
      </c>
      <c r="AI1532" s="50">
        <f t="shared" si="443"/>
        <v>1813</v>
      </c>
    </row>
    <row r="1533" spans="1:36">
      <c r="A1533" s="12">
        <v>45908</v>
      </c>
      <c r="B1533" s="8">
        <f t="shared" si="424"/>
        <v>2225515</v>
      </c>
      <c r="C1533" s="8">
        <v>2225828</v>
      </c>
      <c r="D1533" s="13">
        <f t="shared" si="425"/>
        <v>313</v>
      </c>
      <c r="E1533" s="77">
        <f t="shared" si="426"/>
        <v>297449</v>
      </c>
      <c r="F1533" s="69">
        <v>297914</v>
      </c>
      <c r="G1533" s="133">
        <f t="shared" si="427"/>
        <v>465</v>
      </c>
      <c r="H1533" s="8">
        <f t="shared" si="428"/>
        <v>403791</v>
      </c>
      <c r="I1533" s="8">
        <v>403791</v>
      </c>
      <c r="J1533" s="13">
        <f t="shared" si="429"/>
        <v>0</v>
      </c>
      <c r="K1533" s="138">
        <f t="shared" si="430"/>
        <v>778</v>
      </c>
      <c r="L1533" s="8">
        <f t="shared" si="431"/>
        <v>1486627</v>
      </c>
      <c r="M1533" s="8">
        <v>1487369</v>
      </c>
      <c r="N1533" s="13">
        <f t="shared" si="432"/>
        <v>742</v>
      </c>
      <c r="O1533" s="136">
        <f t="shared" si="444"/>
        <v>285</v>
      </c>
      <c r="P1533" s="8">
        <f t="shared" si="421"/>
        <v>39861</v>
      </c>
      <c r="Q1533" s="8">
        <v>40341</v>
      </c>
      <c r="R1533" s="134">
        <f t="shared" si="422"/>
        <v>480</v>
      </c>
      <c r="S1533" s="8">
        <f t="shared" si="433"/>
        <v>65137</v>
      </c>
      <c r="T1533" s="8">
        <v>65221</v>
      </c>
      <c r="U1533" s="133">
        <f t="shared" si="434"/>
        <v>84</v>
      </c>
      <c r="V1533" s="8">
        <f t="shared" si="435"/>
        <v>12490</v>
      </c>
      <c r="W1533" s="8">
        <v>12683</v>
      </c>
      <c r="X1533" s="13">
        <f t="shared" si="436"/>
        <v>193</v>
      </c>
      <c r="Y1533" s="8">
        <f t="shared" si="437"/>
        <v>54141</v>
      </c>
      <c r="Z1533" s="8">
        <v>54164</v>
      </c>
      <c r="AA1533" s="13">
        <f t="shared" si="445"/>
        <v>23</v>
      </c>
      <c r="AB1533" s="8">
        <f t="shared" si="439"/>
        <v>285024</v>
      </c>
      <c r="AC1533" s="8">
        <v>285095</v>
      </c>
      <c r="AD1533" s="13">
        <f t="shared" si="440"/>
        <v>71</v>
      </c>
      <c r="AE1533" s="135">
        <f t="shared" si="423"/>
        <v>13470</v>
      </c>
      <c r="AF1533" s="135">
        <v>13470</v>
      </c>
      <c r="AG1533" s="135">
        <f t="shared" si="441"/>
        <v>0</v>
      </c>
      <c r="AH1533" s="136">
        <f t="shared" si="442"/>
        <v>71</v>
      </c>
      <c r="AI1533" s="50">
        <f t="shared" si="443"/>
        <v>1065</v>
      </c>
    </row>
    <row r="1534" spans="1:36">
      <c r="A1534" s="12">
        <v>45909</v>
      </c>
      <c r="B1534" s="8">
        <f t="shared" si="424"/>
        <v>2225828</v>
      </c>
      <c r="C1534" s="8">
        <v>2225855</v>
      </c>
      <c r="D1534" s="13">
        <f t="shared" si="425"/>
        <v>27</v>
      </c>
      <c r="E1534" s="77">
        <f t="shared" si="426"/>
        <v>297914</v>
      </c>
      <c r="F1534" s="69">
        <v>298511</v>
      </c>
      <c r="G1534" s="133">
        <f t="shared" si="427"/>
        <v>597</v>
      </c>
      <c r="H1534" s="8">
        <f t="shared" si="428"/>
        <v>403791</v>
      </c>
      <c r="I1534" s="8">
        <v>403791</v>
      </c>
      <c r="J1534" s="13">
        <f t="shared" si="429"/>
        <v>0</v>
      </c>
      <c r="K1534" s="138">
        <f t="shared" si="430"/>
        <v>624</v>
      </c>
      <c r="L1534" s="8">
        <f t="shared" si="431"/>
        <v>1487369</v>
      </c>
      <c r="M1534" s="8">
        <v>1487369</v>
      </c>
      <c r="N1534" s="13">
        <f t="shared" si="432"/>
        <v>0</v>
      </c>
      <c r="O1534" s="136">
        <f t="shared" si="444"/>
        <v>438</v>
      </c>
      <c r="P1534" s="8">
        <f t="shared" si="421"/>
        <v>40341</v>
      </c>
      <c r="Q1534" s="8">
        <v>40455</v>
      </c>
      <c r="R1534" s="134">
        <f t="shared" si="422"/>
        <v>114</v>
      </c>
      <c r="S1534" s="8">
        <f t="shared" si="433"/>
        <v>65221</v>
      </c>
      <c r="T1534" s="8">
        <v>65303</v>
      </c>
      <c r="U1534" s="133">
        <f t="shared" si="434"/>
        <v>82</v>
      </c>
      <c r="V1534" s="8">
        <f t="shared" si="435"/>
        <v>12683</v>
      </c>
      <c r="W1534" s="8">
        <v>12955</v>
      </c>
      <c r="X1534" s="13">
        <f t="shared" si="436"/>
        <v>272</v>
      </c>
      <c r="Y1534" s="8">
        <f t="shared" si="437"/>
        <v>54164</v>
      </c>
      <c r="Z1534" s="8">
        <v>54183</v>
      </c>
      <c r="AA1534" s="13">
        <f t="shared" si="445"/>
        <v>19</v>
      </c>
      <c r="AB1534" s="8">
        <f t="shared" si="439"/>
        <v>285095</v>
      </c>
      <c r="AC1534" s="8">
        <v>285105</v>
      </c>
      <c r="AD1534" s="13">
        <f t="shared" si="440"/>
        <v>10</v>
      </c>
      <c r="AE1534" s="135">
        <f t="shared" si="423"/>
        <v>13470</v>
      </c>
      <c r="AF1534" s="135">
        <v>13470</v>
      </c>
      <c r="AG1534" s="135">
        <f t="shared" si="441"/>
        <v>0</v>
      </c>
      <c r="AH1534" s="136">
        <f t="shared" si="442"/>
        <v>10</v>
      </c>
      <c r="AI1534" s="50">
        <f t="shared" si="443"/>
        <v>925</v>
      </c>
      <c r="AJ1534" s="8" t="s">
        <v>2003</v>
      </c>
    </row>
    <row r="1535" spans="1:36">
      <c r="A1535" s="12">
        <v>45910</v>
      </c>
      <c r="B1535" s="8">
        <f t="shared" si="424"/>
        <v>2225855</v>
      </c>
      <c r="C1535" s="8">
        <v>2225941</v>
      </c>
      <c r="D1535" s="13">
        <f t="shared" si="425"/>
        <v>86</v>
      </c>
      <c r="E1535" s="77">
        <f t="shared" si="426"/>
        <v>298511</v>
      </c>
      <c r="F1535" s="69">
        <v>299253</v>
      </c>
      <c r="G1535" s="133">
        <f t="shared" si="427"/>
        <v>742</v>
      </c>
      <c r="H1535" s="8">
        <f t="shared" si="428"/>
        <v>403791</v>
      </c>
      <c r="I1535" s="8">
        <v>404130</v>
      </c>
      <c r="J1535" s="13">
        <f t="shared" si="429"/>
        <v>339</v>
      </c>
      <c r="K1535" s="138">
        <f t="shared" si="430"/>
        <v>1167</v>
      </c>
      <c r="L1535" s="8">
        <f t="shared" si="431"/>
        <v>1487369</v>
      </c>
      <c r="M1535" s="8">
        <v>1488603</v>
      </c>
      <c r="N1535" s="13">
        <f t="shared" si="432"/>
        <v>1234</v>
      </c>
      <c r="O1535" s="136">
        <f t="shared" si="444"/>
        <v>1019</v>
      </c>
      <c r="P1535" s="8">
        <f t="shared" si="421"/>
        <v>40455</v>
      </c>
      <c r="Q1535" s="8">
        <v>40713</v>
      </c>
      <c r="R1535" s="134">
        <f t="shared" si="422"/>
        <v>258</v>
      </c>
      <c r="S1535" s="8">
        <f t="shared" si="433"/>
        <v>65303</v>
      </c>
      <c r="T1535" s="8">
        <v>65353</v>
      </c>
      <c r="U1535" s="133">
        <f t="shared" si="434"/>
        <v>50</v>
      </c>
      <c r="V1535" s="8">
        <f t="shared" si="435"/>
        <v>12955</v>
      </c>
      <c r="W1535" s="8">
        <v>13154</v>
      </c>
      <c r="X1535" s="13">
        <f t="shared" si="436"/>
        <v>199</v>
      </c>
      <c r="Y1535" s="8">
        <f t="shared" si="437"/>
        <v>54183</v>
      </c>
      <c r="Z1535" s="8">
        <v>54199</v>
      </c>
      <c r="AA1535" s="13">
        <f t="shared" si="445"/>
        <v>16</v>
      </c>
      <c r="AB1535" s="8">
        <f t="shared" si="439"/>
        <v>285105</v>
      </c>
      <c r="AC1535" s="8">
        <v>285265</v>
      </c>
      <c r="AD1535" s="13">
        <f t="shared" si="440"/>
        <v>160</v>
      </c>
      <c r="AE1535" s="135">
        <f t="shared" si="423"/>
        <v>13470</v>
      </c>
      <c r="AF1535" s="135">
        <v>13470</v>
      </c>
      <c r="AG1535" s="135">
        <f t="shared" si="441"/>
        <v>0</v>
      </c>
      <c r="AH1535" s="136">
        <f t="shared" si="442"/>
        <v>160</v>
      </c>
      <c r="AI1535" s="50">
        <f t="shared" si="443"/>
        <v>1542</v>
      </c>
    </row>
    <row r="1536" spans="1:36">
      <c r="A1536" s="12">
        <v>45911</v>
      </c>
      <c r="B1536" s="8">
        <f t="shared" si="424"/>
        <v>2225941</v>
      </c>
      <c r="C1536" s="8">
        <v>2226218</v>
      </c>
      <c r="D1536" s="13">
        <f t="shared" si="425"/>
        <v>277</v>
      </c>
      <c r="E1536" s="77">
        <f t="shared" si="426"/>
        <v>299253</v>
      </c>
      <c r="F1536" s="69">
        <v>299993</v>
      </c>
      <c r="G1536" s="133">
        <f t="shared" si="427"/>
        <v>740</v>
      </c>
      <c r="H1536" s="8">
        <f t="shared" si="428"/>
        <v>404130</v>
      </c>
      <c r="I1536" s="8">
        <v>405051</v>
      </c>
      <c r="J1536" s="13">
        <f t="shared" si="429"/>
        <v>921</v>
      </c>
      <c r="K1536" s="138">
        <f t="shared" si="430"/>
        <v>1938</v>
      </c>
      <c r="L1536" s="8">
        <f t="shared" si="431"/>
        <v>1488603</v>
      </c>
      <c r="M1536" s="8">
        <v>1488697</v>
      </c>
      <c r="N1536" s="13">
        <f t="shared" si="432"/>
        <v>94</v>
      </c>
      <c r="O1536" s="136">
        <f t="shared" si="444"/>
        <v>1641</v>
      </c>
      <c r="P1536" s="8">
        <f t="shared" si="421"/>
        <v>40713</v>
      </c>
      <c r="Q1536" s="8">
        <v>41097</v>
      </c>
      <c r="R1536" s="134">
        <f t="shared" si="422"/>
        <v>384</v>
      </c>
      <c r="S1536" s="8">
        <f t="shared" si="433"/>
        <v>65353</v>
      </c>
      <c r="T1536" s="8">
        <v>65403</v>
      </c>
      <c r="U1536" s="133">
        <f t="shared" si="434"/>
        <v>50</v>
      </c>
      <c r="V1536" s="8">
        <f t="shared" si="435"/>
        <v>13154</v>
      </c>
      <c r="W1536" s="8">
        <v>13363</v>
      </c>
      <c r="X1536" s="13">
        <f t="shared" si="436"/>
        <v>209</v>
      </c>
      <c r="Y1536" s="8">
        <f t="shared" si="437"/>
        <v>54199</v>
      </c>
      <c r="Z1536" s="8">
        <v>54221</v>
      </c>
      <c r="AA1536" s="13">
        <f t="shared" si="445"/>
        <v>22</v>
      </c>
      <c r="AB1536" s="8">
        <f t="shared" si="439"/>
        <v>285265</v>
      </c>
      <c r="AC1536" s="8">
        <v>285402</v>
      </c>
      <c r="AD1536" s="13">
        <f t="shared" si="440"/>
        <v>137</v>
      </c>
      <c r="AE1536" s="135">
        <f t="shared" si="423"/>
        <v>13470</v>
      </c>
      <c r="AF1536" s="135">
        <v>13470</v>
      </c>
      <c r="AG1536" s="135">
        <f t="shared" si="441"/>
        <v>0</v>
      </c>
      <c r="AH1536" s="136">
        <f t="shared" si="442"/>
        <v>137</v>
      </c>
      <c r="AI1536" s="50">
        <f t="shared" si="443"/>
        <v>2306</v>
      </c>
      <c r="AJ1536" s="8" t="s">
        <v>2002</v>
      </c>
    </row>
    <row r="1537" spans="1:36">
      <c r="A1537" s="12">
        <v>45912</v>
      </c>
      <c r="B1537" s="8">
        <f t="shared" si="424"/>
        <v>2226218</v>
      </c>
      <c r="C1537" s="8">
        <v>2226540</v>
      </c>
      <c r="D1537" s="13">
        <f t="shared" si="425"/>
        <v>322</v>
      </c>
      <c r="E1537" s="77">
        <f t="shared" si="426"/>
        <v>299993</v>
      </c>
      <c r="F1537" s="69">
        <v>300531</v>
      </c>
      <c r="G1537" s="133">
        <f t="shared" si="427"/>
        <v>538</v>
      </c>
      <c r="H1537" s="8">
        <f t="shared" si="428"/>
        <v>405051</v>
      </c>
      <c r="I1537" s="8">
        <v>405684</v>
      </c>
      <c r="J1537" s="13">
        <f t="shared" si="429"/>
        <v>633</v>
      </c>
      <c r="K1537" s="138">
        <f t="shared" si="430"/>
        <v>1493</v>
      </c>
      <c r="L1537" s="8">
        <f t="shared" si="431"/>
        <v>1488697</v>
      </c>
      <c r="M1537" s="8">
        <v>1489199</v>
      </c>
      <c r="N1537" s="13">
        <f t="shared" si="432"/>
        <v>502</v>
      </c>
      <c r="O1537" s="136">
        <f t="shared" si="444"/>
        <v>1204</v>
      </c>
      <c r="P1537" s="8">
        <f t="shared" si="421"/>
        <v>41097</v>
      </c>
      <c r="Q1537" s="8">
        <v>41478</v>
      </c>
      <c r="R1537" s="134">
        <f t="shared" si="422"/>
        <v>381</v>
      </c>
      <c r="S1537" s="8">
        <f t="shared" si="433"/>
        <v>65403</v>
      </c>
      <c r="T1537" s="8">
        <v>65451</v>
      </c>
      <c r="U1537" s="133">
        <f t="shared" si="434"/>
        <v>48</v>
      </c>
      <c r="V1537" s="8">
        <f t="shared" si="435"/>
        <v>13363</v>
      </c>
      <c r="W1537" s="8">
        <v>13564</v>
      </c>
      <c r="X1537" s="13">
        <f t="shared" si="436"/>
        <v>201</v>
      </c>
      <c r="Y1537" s="8">
        <f t="shared" si="437"/>
        <v>54221</v>
      </c>
      <c r="Z1537" s="8">
        <v>54240</v>
      </c>
      <c r="AA1537" s="13">
        <f t="shared" si="445"/>
        <v>19</v>
      </c>
      <c r="AB1537" s="8">
        <f t="shared" si="439"/>
        <v>285402</v>
      </c>
      <c r="AC1537" s="8">
        <v>285542</v>
      </c>
      <c r="AD1537" s="13">
        <f t="shared" si="440"/>
        <v>140</v>
      </c>
      <c r="AE1537" s="135">
        <f t="shared" si="423"/>
        <v>13470</v>
      </c>
      <c r="AF1537" s="135">
        <v>13470</v>
      </c>
      <c r="AG1537" s="135">
        <f t="shared" si="441"/>
        <v>0</v>
      </c>
      <c r="AH1537" s="136">
        <f t="shared" si="442"/>
        <v>140</v>
      </c>
      <c r="AI1537" s="50">
        <f t="shared" si="443"/>
        <v>1853</v>
      </c>
    </row>
    <row r="1538" spans="1:36">
      <c r="A1538" s="12">
        <v>45913</v>
      </c>
      <c r="B1538" s="8">
        <f t="shared" si="424"/>
        <v>2226540</v>
      </c>
      <c r="C1538" s="8">
        <v>2226674</v>
      </c>
      <c r="D1538" s="13">
        <f t="shared" si="425"/>
        <v>134</v>
      </c>
      <c r="E1538" s="77">
        <f t="shared" si="426"/>
        <v>300531</v>
      </c>
      <c r="F1538" s="69">
        <v>301272</v>
      </c>
      <c r="G1538" s="133">
        <f t="shared" si="427"/>
        <v>741</v>
      </c>
      <c r="H1538" s="8">
        <f t="shared" si="428"/>
        <v>405684</v>
      </c>
      <c r="I1538" s="8">
        <v>405684</v>
      </c>
      <c r="J1538" s="13">
        <f t="shared" si="429"/>
        <v>0</v>
      </c>
      <c r="K1538" s="138">
        <f t="shared" si="430"/>
        <v>875</v>
      </c>
      <c r="L1538" s="8">
        <f t="shared" si="431"/>
        <v>1489199</v>
      </c>
      <c r="M1538" s="8">
        <v>1490339</v>
      </c>
      <c r="N1538" s="13">
        <f t="shared" si="432"/>
        <v>1140</v>
      </c>
      <c r="O1538" s="136">
        <f t="shared" si="444"/>
        <v>478</v>
      </c>
      <c r="P1538" s="8">
        <f t="shared" si="421"/>
        <v>41478</v>
      </c>
      <c r="Q1538" s="8">
        <v>41928</v>
      </c>
      <c r="R1538" s="134">
        <f t="shared" si="422"/>
        <v>450</v>
      </c>
      <c r="S1538" s="8">
        <f t="shared" si="433"/>
        <v>65451</v>
      </c>
      <c r="T1538" s="8">
        <v>65496</v>
      </c>
      <c r="U1538" s="133">
        <f t="shared" si="434"/>
        <v>45</v>
      </c>
      <c r="V1538" s="8">
        <f t="shared" si="435"/>
        <v>13564</v>
      </c>
      <c r="W1538" s="8">
        <v>13566</v>
      </c>
      <c r="X1538" s="13">
        <f t="shared" si="436"/>
        <v>2</v>
      </c>
      <c r="Y1538" s="8">
        <f t="shared" si="437"/>
        <v>54240</v>
      </c>
      <c r="Z1538" s="8">
        <v>54263</v>
      </c>
      <c r="AA1538" s="13">
        <f t="shared" si="445"/>
        <v>23</v>
      </c>
      <c r="AB1538" s="8">
        <f t="shared" si="439"/>
        <v>285542</v>
      </c>
      <c r="AC1538" s="8">
        <v>285640</v>
      </c>
      <c r="AD1538" s="13">
        <f t="shared" si="440"/>
        <v>98</v>
      </c>
      <c r="AE1538" s="135">
        <f t="shared" si="423"/>
        <v>13470</v>
      </c>
      <c r="AF1538" s="135">
        <v>13470</v>
      </c>
      <c r="AG1538" s="135">
        <f t="shared" si="441"/>
        <v>0</v>
      </c>
      <c r="AH1538" s="136">
        <f t="shared" si="442"/>
        <v>98</v>
      </c>
      <c r="AI1538" s="50">
        <f t="shared" si="443"/>
        <v>998</v>
      </c>
      <c r="AJ1538" s="8" t="s">
        <v>2004</v>
      </c>
    </row>
    <row r="1539" spans="1:36">
      <c r="A1539" s="12">
        <v>45914</v>
      </c>
      <c r="B1539" s="8">
        <f t="shared" si="424"/>
        <v>2226674</v>
      </c>
      <c r="C1539" s="8">
        <v>2227368</v>
      </c>
      <c r="D1539" s="13">
        <f t="shared" si="425"/>
        <v>694</v>
      </c>
      <c r="E1539" s="77">
        <f t="shared" si="426"/>
        <v>301272</v>
      </c>
      <c r="F1539" s="69">
        <v>302051</v>
      </c>
      <c r="G1539" s="133">
        <f t="shared" si="427"/>
        <v>779</v>
      </c>
      <c r="H1539" s="8">
        <f t="shared" si="428"/>
        <v>405684</v>
      </c>
      <c r="I1539" s="8">
        <v>405684</v>
      </c>
      <c r="J1539" s="13">
        <f t="shared" si="429"/>
        <v>0</v>
      </c>
      <c r="K1539" s="138">
        <f t="shared" si="430"/>
        <v>1473</v>
      </c>
      <c r="L1539" s="8">
        <f t="shared" si="431"/>
        <v>1490339</v>
      </c>
      <c r="M1539" s="8">
        <v>1491456</v>
      </c>
      <c r="N1539" s="13">
        <f t="shared" si="432"/>
        <v>1117</v>
      </c>
      <c r="O1539" s="136">
        <f t="shared" si="444"/>
        <v>1070</v>
      </c>
      <c r="P1539" s="8">
        <f t="shared" si="421"/>
        <v>41928</v>
      </c>
      <c r="Q1539" s="8">
        <v>42385</v>
      </c>
      <c r="R1539" s="134">
        <f t="shared" si="422"/>
        <v>457</v>
      </c>
      <c r="S1539" s="8">
        <f t="shared" si="433"/>
        <v>65496</v>
      </c>
      <c r="T1539" s="8">
        <v>65543</v>
      </c>
      <c r="U1539" s="133">
        <f t="shared" si="434"/>
        <v>47</v>
      </c>
      <c r="V1539" s="8">
        <f t="shared" si="435"/>
        <v>13566</v>
      </c>
      <c r="W1539" s="8">
        <v>13566</v>
      </c>
      <c r="X1539" s="13">
        <f t="shared" si="436"/>
        <v>0</v>
      </c>
      <c r="Y1539" s="8">
        <f t="shared" si="437"/>
        <v>54263</v>
      </c>
      <c r="Z1539" s="8">
        <v>54294</v>
      </c>
      <c r="AA1539" s="13">
        <f t="shared" si="445"/>
        <v>31</v>
      </c>
      <c r="AB1539" s="8">
        <f t="shared" si="439"/>
        <v>285640</v>
      </c>
      <c r="AC1539" s="8">
        <v>285741</v>
      </c>
      <c r="AD1539" s="13">
        <f t="shared" si="440"/>
        <v>101</v>
      </c>
      <c r="AE1539" s="135">
        <f t="shared" si="423"/>
        <v>13470</v>
      </c>
      <c r="AF1539" s="135">
        <v>13470</v>
      </c>
      <c r="AG1539" s="135">
        <f t="shared" si="441"/>
        <v>0</v>
      </c>
      <c r="AH1539" s="136">
        <f t="shared" si="442"/>
        <v>101</v>
      </c>
      <c r="AI1539" s="50">
        <f t="shared" si="443"/>
        <v>1605</v>
      </c>
    </row>
    <row r="1540" spans="1:36">
      <c r="A1540" s="12">
        <v>45915</v>
      </c>
      <c r="B1540" s="8">
        <f t="shared" si="424"/>
        <v>2227368</v>
      </c>
      <c r="C1540" s="8">
        <v>2228137</v>
      </c>
      <c r="D1540" s="13">
        <f t="shared" si="425"/>
        <v>769</v>
      </c>
      <c r="E1540" s="77">
        <f t="shared" si="426"/>
        <v>302051</v>
      </c>
      <c r="F1540" s="69">
        <v>302794</v>
      </c>
      <c r="G1540" s="133">
        <f t="shared" si="427"/>
        <v>743</v>
      </c>
      <c r="H1540" s="8">
        <f t="shared" si="428"/>
        <v>405684</v>
      </c>
      <c r="I1540" s="8">
        <v>405684</v>
      </c>
      <c r="J1540" s="13">
        <f t="shared" si="429"/>
        <v>0</v>
      </c>
      <c r="K1540" s="138">
        <f t="shared" si="430"/>
        <v>1512</v>
      </c>
      <c r="L1540" s="8">
        <f t="shared" si="431"/>
        <v>1491456</v>
      </c>
      <c r="M1540" s="8">
        <v>1492617</v>
      </c>
      <c r="N1540" s="13">
        <f t="shared" si="432"/>
        <v>1161</v>
      </c>
      <c r="O1540" s="136">
        <f t="shared" si="444"/>
        <v>1394</v>
      </c>
      <c r="P1540" s="8">
        <f t="shared" si="421"/>
        <v>42385</v>
      </c>
      <c r="Q1540" s="8">
        <v>42608</v>
      </c>
      <c r="R1540" s="134">
        <f t="shared" si="422"/>
        <v>223</v>
      </c>
      <c r="S1540" s="8">
        <f t="shared" si="433"/>
        <v>65543</v>
      </c>
      <c r="T1540" s="8">
        <v>65583</v>
      </c>
      <c r="U1540" s="133">
        <f t="shared" si="434"/>
        <v>40</v>
      </c>
      <c r="V1540" s="8">
        <f t="shared" si="435"/>
        <v>13566</v>
      </c>
      <c r="W1540" s="8">
        <v>13662</v>
      </c>
      <c r="X1540" s="13">
        <f t="shared" si="436"/>
        <v>96</v>
      </c>
      <c r="Y1540" s="8">
        <f t="shared" si="437"/>
        <v>54294</v>
      </c>
      <c r="Z1540" s="8">
        <v>54330</v>
      </c>
      <c r="AA1540" s="13">
        <f t="shared" si="445"/>
        <v>36</v>
      </c>
      <c r="AB1540" s="8">
        <f t="shared" si="439"/>
        <v>285741</v>
      </c>
      <c r="AC1540" s="8">
        <v>285886</v>
      </c>
      <c r="AD1540" s="13">
        <f t="shared" si="440"/>
        <v>145</v>
      </c>
      <c r="AE1540" s="135">
        <f t="shared" si="423"/>
        <v>13470</v>
      </c>
      <c r="AF1540" s="135">
        <v>13470</v>
      </c>
      <c r="AG1540" s="135">
        <f t="shared" si="441"/>
        <v>0</v>
      </c>
      <c r="AH1540" s="136">
        <f t="shared" si="442"/>
        <v>145</v>
      </c>
      <c r="AI1540" s="50">
        <f t="shared" si="443"/>
        <v>1789</v>
      </c>
      <c r="AJ1540" s="8" t="s">
        <v>1999</v>
      </c>
    </row>
    <row r="1541" spans="1:36">
      <c r="A1541" s="12">
        <v>45916</v>
      </c>
      <c r="B1541" s="8">
        <f t="shared" si="424"/>
        <v>2228137</v>
      </c>
      <c r="C1541" s="8">
        <v>2228646</v>
      </c>
      <c r="D1541" s="13">
        <f t="shared" si="425"/>
        <v>509</v>
      </c>
      <c r="E1541" s="77">
        <f t="shared" si="426"/>
        <v>302794</v>
      </c>
      <c r="F1541" s="69">
        <v>303534</v>
      </c>
      <c r="G1541" s="133">
        <f t="shared" si="427"/>
        <v>740</v>
      </c>
      <c r="H1541" s="8">
        <f t="shared" si="428"/>
        <v>405684</v>
      </c>
      <c r="I1541" s="8">
        <v>405684</v>
      </c>
      <c r="J1541" s="13">
        <f t="shared" si="429"/>
        <v>0</v>
      </c>
      <c r="K1541" s="138">
        <f t="shared" si="430"/>
        <v>1249</v>
      </c>
      <c r="L1541" s="8">
        <f t="shared" si="431"/>
        <v>1492617</v>
      </c>
      <c r="M1541" s="8">
        <v>1493653</v>
      </c>
      <c r="N1541" s="13">
        <f t="shared" si="432"/>
        <v>1036</v>
      </c>
      <c r="O1541" s="136">
        <f t="shared" si="444"/>
        <v>883</v>
      </c>
      <c r="P1541" s="8">
        <f t="shared" si="421"/>
        <v>42608</v>
      </c>
      <c r="Q1541" s="8">
        <v>43020</v>
      </c>
      <c r="R1541" s="134">
        <f t="shared" si="422"/>
        <v>412</v>
      </c>
      <c r="S1541" s="8">
        <f t="shared" si="433"/>
        <v>65583</v>
      </c>
      <c r="T1541" s="8">
        <v>65637</v>
      </c>
      <c r="U1541" s="133">
        <f t="shared" si="434"/>
        <v>54</v>
      </c>
      <c r="V1541" s="8">
        <f t="shared" si="435"/>
        <v>13662</v>
      </c>
      <c r="W1541" s="8">
        <v>13880</v>
      </c>
      <c r="X1541" s="13">
        <f t="shared" si="436"/>
        <v>218</v>
      </c>
      <c r="Y1541" s="8">
        <f t="shared" si="437"/>
        <v>54330</v>
      </c>
      <c r="Z1541" s="8">
        <v>54365</v>
      </c>
      <c r="AA1541" s="13">
        <f t="shared" si="445"/>
        <v>35</v>
      </c>
      <c r="AB1541" s="8">
        <f t="shared" si="439"/>
        <v>285886</v>
      </c>
      <c r="AC1541" s="8">
        <v>285986</v>
      </c>
      <c r="AD1541" s="13">
        <f t="shared" si="440"/>
        <v>100</v>
      </c>
      <c r="AE1541" s="135">
        <f t="shared" si="423"/>
        <v>13470</v>
      </c>
      <c r="AF1541" s="135">
        <v>13470</v>
      </c>
      <c r="AG1541" s="135">
        <f t="shared" si="441"/>
        <v>0</v>
      </c>
      <c r="AH1541" s="136">
        <f t="shared" si="442"/>
        <v>100</v>
      </c>
      <c r="AI1541" s="50">
        <f t="shared" si="443"/>
        <v>1602</v>
      </c>
    </row>
    <row r="1542" spans="1:36">
      <c r="A1542" s="12">
        <v>45917</v>
      </c>
      <c r="B1542" s="8">
        <f t="shared" si="424"/>
        <v>2228646</v>
      </c>
      <c r="C1542" s="8">
        <v>2228666</v>
      </c>
      <c r="D1542" s="13">
        <f t="shared" si="425"/>
        <v>20</v>
      </c>
      <c r="E1542" s="77">
        <f t="shared" si="426"/>
        <v>303534</v>
      </c>
      <c r="F1542" s="69">
        <v>304215</v>
      </c>
      <c r="G1542" s="133">
        <f t="shared" si="427"/>
        <v>681</v>
      </c>
      <c r="H1542" s="8">
        <f t="shared" si="428"/>
        <v>405684</v>
      </c>
      <c r="I1542" s="8">
        <v>405684</v>
      </c>
      <c r="J1542" s="13">
        <f t="shared" si="429"/>
        <v>0</v>
      </c>
      <c r="K1542" s="138">
        <f t="shared" si="430"/>
        <v>701</v>
      </c>
      <c r="L1542" s="8">
        <f t="shared" si="431"/>
        <v>1493653</v>
      </c>
      <c r="M1542" s="8">
        <v>1494498</v>
      </c>
      <c r="N1542" s="13">
        <f t="shared" si="432"/>
        <v>845</v>
      </c>
      <c r="O1542" s="136">
        <f t="shared" si="444"/>
        <v>460</v>
      </c>
      <c r="P1542" s="8">
        <f t="shared" si="421"/>
        <v>43020</v>
      </c>
      <c r="Q1542" s="8">
        <v>43308</v>
      </c>
      <c r="R1542" s="134">
        <f t="shared" si="422"/>
        <v>288</v>
      </c>
      <c r="S1542" s="8">
        <f t="shared" si="433"/>
        <v>65637</v>
      </c>
      <c r="T1542" s="8">
        <v>65702</v>
      </c>
      <c r="U1542" s="133">
        <f t="shared" si="434"/>
        <v>65</v>
      </c>
      <c r="V1542" s="8">
        <f t="shared" si="435"/>
        <v>13880</v>
      </c>
      <c r="W1542" s="8">
        <v>14116</v>
      </c>
      <c r="X1542" s="13">
        <f t="shared" si="436"/>
        <v>236</v>
      </c>
      <c r="Y1542" s="8">
        <f t="shared" si="437"/>
        <v>54365</v>
      </c>
      <c r="Z1542" s="8">
        <v>54391</v>
      </c>
      <c r="AA1542" s="13">
        <f t="shared" si="445"/>
        <v>26</v>
      </c>
      <c r="AB1542" s="8">
        <f t="shared" si="439"/>
        <v>285986</v>
      </c>
      <c r="AC1542" s="8">
        <v>286098</v>
      </c>
      <c r="AD1542" s="13">
        <f t="shared" si="440"/>
        <v>112</v>
      </c>
      <c r="AE1542" s="135">
        <f t="shared" si="423"/>
        <v>13470</v>
      </c>
      <c r="AF1542" s="135">
        <v>13470</v>
      </c>
      <c r="AG1542" s="135">
        <f t="shared" si="441"/>
        <v>0</v>
      </c>
      <c r="AH1542" s="136">
        <f t="shared" si="442"/>
        <v>112</v>
      </c>
      <c r="AI1542" s="50">
        <f t="shared" si="443"/>
        <v>1075</v>
      </c>
    </row>
    <row r="1543" spans="1:36">
      <c r="A1543" s="12">
        <v>45918</v>
      </c>
      <c r="B1543" s="8">
        <f t="shared" si="424"/>
        <v>2228666</v>
      </c>
      <c r="C1543" s="8">
        <v>2228903</v>
      </c>
      <c r="D1543" s="13">
        <f t="shared" si="425"/>
        <v>237</v>
      </c>
      <c r="E1543" s="77">
        <f t="shared" si="426"/>
        <v>304215</v>
      </c>
      <c r="F1543" s="69">
        <v>304967</v>
      </c>
      <c r="G1543" s="133">
        <f t="shared" si="427"/>
        <v>752</v>
      </c>
      <c r="H1543" s="8">
        <f t="shared" si="428"/>
        <v>405684</v>
      </c>
      <c r="I1543" s="8">
        <v>406495</v>
      </c>
      <c r="J1543" s="13">
        <f t="shared" si="429"/>
        <v>811</v>
      </c>
      <c r="K1543" s="138">
        <f t="shared" si="430"/>
        <v>1800</v>
      </c>
      <c r="L1543" s="8">
        <f t="shared" si="431"/>
        <v>1494498</v>
      </c>
      <c r="M1543" s="8">
        <v>1494514</v>
      </c>
      <c r="N1543" s="13">
        <f t="shared" si="432"/>
        <v>16</v>
      </c>
      <c r="O1543" s="136">
        <f t="shared" si="444"/>
        <v>1516</v>
      </c>
      <c r="P1543" s="8">
        <f t="shared" si="421"/>
        <v>43308</v>
      </c>
      <c r="Q1543" s="8">
        <v>43658</v>
      </c>
      <c r="R1543" s="134">
        <f t="shared" si="422"/>
        <v>350</v>
      </c>
      <c r="S1543" s="8">
        <f t="shared" si="433"/>
        <v>65702</v>
      </c>
      <c r="T1543" s="8">
        <v>65762</v>
      </c>
      <c r="U1543" s="133">
        <f t="shared" si="434"/>
        <v>60</v>
      </c>
      <c r="V1543" s="8">
        <f t="shared" si="435"/>
        <v>14116</v>
      </c>
      <c r="W1543" s="8">
        <v>14382</v>
      </c>
      <c r="X1543" s="13">
        <f t="shared" si="436"/>
        <v>266</v>
      </c>
      <c r="Y1543" s="8">
        <f t="shared" si="437"/>
        <v>54391</v>
      </c>
      <c r="Z1543" s="8">
        <v>54439</v>
      </c>
      <c r="AA1543" s="13">
        <f t="shared" si="445"/>
        <v>48</v>
      </c>
      <c r="AB1543" s="8">
        <f t="shared" si="439"/>
        <v>286098</v>
      </c>
      <c r="AC1543" s="8">
        <v>286224</v>
      </c>
      <c r="AD1543" s="13">
        <f t="shared" si="440"/>
        <v>126</v>
      </c>
      <c r="AE1543" s="135">
        <f t="shared" si="423"/>
        <v>13470</v>
      </c>
      <c r="AF1543" s="135">
        <v>13470</v>
      </c>
      <c r="AG1543" s="135">
        <f t="shared" si="441"/>
        <v>0</v>
      </c>
      <c r="AH1543" s="136">
        <f t="shared" si="442"/>
        <v>126</v>
      </c>
      <c r="AI1543" s="50">
        <f t="shared" si="443"/>
        <v>2240</v>
      </c>
    </row>
    <row r="1544" spans="1:36">
      <c r="A1544" s="12">
        <v>45919</v>
      </c>
      <c r="B1544" s="8">
        <f t="shared" si="424"/>
        <v>2228903</v>
      </c>
      <c r="C1544" s="8">
        <v>2229541</v>
      </c>
      <c r="D1544" s="13">
        <f t="shared" si="425"/>
        <v>638</v>
      </c>
      <c r="E1544" s="77">
        <f t="shared" si="426"/>
        <v>304967</v>
      </c>
      <c r="F1544" s="69">
        <v>305564</v>
      </c>
      <c r="G1544" s="133">
        <f t="shared" si="427"/>
        <v>597</v>
      </c>
      <c r="H1544" s="8">
        <f t="shared" si="428"/>
        <v>406495</v>
      </c>
      <c r="I1544" s="8">
        <v>406495</v>
      </c>
      <c r="J1544" s="13">
        <f t="shared" si="429"/>
        <v>0</v>
      </c>
      <c r="K1544" s="138">
        <f t="shared" si="430"/>
        <v>1235</v>
      </c>
      <c r="L1544" s="8">
        <f t="shared" si="431"/>
        <v>1494514</v>
      </c>
      <c r="M1544" s="8">
        <v>1495629</v>
      </c>
      <c r="N1544" s="13">
        <f t="shared" si="432"/>
        <v>1115</v>
      </c>
      <c r="O1544" s="136">
        <f t="shared" si="444"/>
        <v>1136</v>
      </c>
      <c r="P1544" s="8">
        <f t="shared" si="421"/>
        <v>43658</v>
      </c>
      <c r="Q1544" s="8">
        <v>43943</v>
      </c>
      <c r="R1544" s="134">
        <f t="shared" si="422"/>
        <v>285</v>
      </c>
      <c r="S1544" s="8">
        <f t="shared" si="433"/>
        <v>65762</v>
      </c>
      <c r="T1544" s="8">
        <v>65775</v>
      </c>
      <c r="U1544" s="133">
        <f t="shared" si="434"/>
        <v>13</v>
      </c>
      <c r="V1544" s="8">
        <f t="shared" si="435"/>
        <v>14382</v>
      </c>
      <c r="W1544" s="8">
        <v>14572</v>
      </c>
      <c r="X1544" s="13">
        <f t="shared" si="436"/>
        <v>190</v>
      </c>
      <c r="Y1544" s="8">
        <f t="shared" si="437"/>
        <v>54439</v>
      </c>
      <c r="Z1544" s="8">
        <v>54479</v>
      </c>
      <c r="AA1544" s="13">
        <f t="shared" si="445"/>
        <v>40</v>
      </c>
      <c r="AB1544" s="8">
        <f t="shared" si="439"/>
        <v>286224</v>
      </c>
      <c r="AC1544" s="8">
        <v>286423</v>
      </c>
      <c r="AD1544" s="13">
        <f t="shared" si="440"/>
        <v>199</v>
      </c>
      <c r="AE1544" s="135">
        <f t="shared" si="423"/>
        <v>13470</v>
      </c>
      <c r="AF1544" s="135">
        <v>13470</v>
      </c>
      <c r="AG1544" s="135">
        <f t="shared" si="441"/>
        <v>0</v>
      </c>
      <c r="AH1544" s="136">
        <f t="shared" si="442"/>
        <v>199</v>
      </c>
      <c r="AI1544" s="50">
        <f t="shared" si="443"/>
        <v>1664</v>
      </c>
    </row>
    <row r="1545" spans="1:36">
      <c r="A1545" s="12">
        <v>45920</v>
      </c>
      <c r="B1545" s="8">
        <f t="shared" si="424"/>
        <v>2229541</v>
      </c>
      <c r="C1545" s="8">
        <v>2230260</v>
      </c>
      <c r="D1545" s="13">
        <f t="shared" si="425"/>
        <v>719</v>
      </c>
      <c r="E1545" s="77">
        <f t="shared" si="426"/>
        <v>305564</v>
      </c>
      <c r="F1545" s="69">
        <v>306304</v>
      </c>
      <c r="G1545" s="133">
        <f t="shared" si="427"/>
        <v>740</v>
      </c>
      <c r="H1545" s="8">
        <f t="shared" si="428"/>
        <v>406495</v>
      </c>
      <c r="I1545" s="8">
        <v>406495</v>
      </c>
      <c r="J1545" s="13">
        <f t="shared" si="429"/>
        <v>0</v>
      </c>
      <c r="K1545" s="138">
        <f t="shared" si="430"/>
        <v>1459</v>
      </c>
      <c r="L1545" s="8">
        <f t="shared" si="431"/>
        <v>1495629</v>
      </c>
      <c r="M1545" s="8">
        <v>1496741</v>
      </c>
      <c r="N1545" s="13">
        <f t="shared" si="432"/>
        <v>1112</v>
      </c>
      <c r="O1545" s="136">
        <f t="shared" si="444"/>
        <v>1268</v>
      </c>
      <c r="P1545" s="8">
        <f t="shared" si="421"/>
        <v>43943</v>
      </c>
      <c r="Q1545" s="8">
        <v>44295</v>
      </c>
      <c r="R1545" s="134">
        <f t="shared" si="422"/>
        <v>352</v>
      </c>
      <c r="S1545" s="8">
        <f t="shared" si="433"/>
        <v>65775</v>
      </c>
      <c r="T1545" s="8">
        <v>65797</v>
      </c>
      <c r="U1545" s="133">
        <f t="shared" si="434"/>
        <v>22</v>
      </c>
      <c r="V1545" s="8">
        <f t="shared" si="435"/>
        <v>14572</v>
      </c>
      <c r="W1545" s="8">
        <v>14809</v>
      </c>
      <c r="X1545" s="13">
        <f t="shared" si="436"/>
        <v>237</v>
      </c>
      <c r="Y1545" s="8">
        <f t="shared" si="437"/>
        <v>54479</v>
      </c>
      <c r="Z1545" s="8">
        <v>54532</v>
      </c>
      <c r="AA1545" s="13">
        <f t="shared" si="445"/>
        <v>53</v>
      </c>
      <c r="AB1545" s="8">
        <f t="shared" si="439"/>
        <v>286423</v>
      </c>
      <c r="AC1545" s="8">
        <v>286606</v>
      </c>
      <c r="AD1545" s="13">
        <f t="shared" si="440"/>
        <v>183</v>
      </c>
      <c r="AE1545" s="135">
        <f t="shared" si="423"/>
        <v>13470</v>
      </c>
      <c r="AF1545" s="135">
        <v>13470</v>
      </c>
      <c r="AG1545" s="135">
        <f t="shared" si="441"/>
        <v>0</v>
      </c>
      <c r="AH1545" s="136">
        <f t="shared" si="442"/>
        <v>183</v>
      </c>
      <c r="AI1545" s="50">
        <f t="shared" si="443"/>
        <v>1932</v>
      </c>
    </row>
    <row r="1546" spans="1:36">
      <c r="A1546" s="12">
        <v>45921</v>
      </c>
      <c r="B1546" s="8">
        <f t="shared" si="424"/>
        <v>2230260</v>
      </c>
      <c r="C1546" s="8">
        <v>2230797</v>
      </c>
      <c r="D1546" s="13">
        <f t="shared" si="425"/>
        <v>537</v>
      </c>
      <c r="E1546" s="77">
        <f t="shared" si="426"/>
        <v>306304</v>
      </c>
      <c r="F1546" s="69">
        <v>307064</v>
      </c>
      <c r="G1546" s="133">
        <f t="shared" si="427"/>
        <v>760</v>
      </c>
      <c r="H1546" s="8">
        <f t="shared" si="428"/>
        <v>406495</v>
      </c>
      <c r="I1546" s="8">
        <v>406495</v>
      </c>
      <c r="J1546" s="13">
        <f t="shared" si="429"/>
        <v>0</v>
      </c>
      <c r="K1546" s="138">
        <f t="shared" si="430"/>
        <v>1297</v>
      </c>
      <c r="L1546" s="8">
        <f t="shared" si="431"/>
        <v>1496741</v>
      </c>
      <c r="M1546" s="8">
        <v>1497710</v>
      </c>
      <c r="N1546" s="13">
        <f t="shared" si="432"/>
        <v>969</v>
      </c>
      <c r="O1546" s="136">
        <f t="shared" si="444"/>
        <v>1072</v>
      </c>
      <c r="P1546" s="8">
        <f t="shared" si="421"/>
        <v>44295</v>
      </c>
      <c r="Q1546" s="8">
        <v>44617</v>
      </c>
      <c r="R1546" s="134">
        <f t="shared" si="422"/>
        <v>322</v>
      </c>
      <c r="S1546" s="8">
        <f t="shared" si="433"/>
        <v>65797</v>
      </c>
      <c r="T1546" s="8">
        <v>65821</v>
      </c>
      <c r="U1546" s="133">
        <f t="shared" si="434"/>
        <v>24</v>
      </c>
      <c r="V1546" s="8">
        <f t="shared" si="435"/>
        <v>14809</v>
      </c>
      <c r="W1546" s="8">
        <v>15099</v>
      </c>
      <c r="X1546" s="13">
        <f t="shared" si="436"/>
        <v>290</v>
      </c>
      <c r="Y1546" s="8">
        <f t="shared" si="437"/>
        <v>54532</v>
      </c>
      <c r="Z1546" s="8">
        <v>54570</v>
      </c>
      <c r="AA1546" s="13">
        <f t="shared" si="445"/>
        <v>38</v>
      </c>
      <c r="AB1546" s="8">
        <f t="shared" si="439"/>
        <v>286606</v>
      </c>
      <c r="AC1546" s="8">
        <v>286727</v>
      </c>
      <c r="AD1546" s="13">
        <f t="shared" si="440"/>
        <v>121</v>
      </c>
      <c r="AE1546" s="135">
        <f t="shared" si="423"/>
        <v>13470</v>
      </c>
      <c r="AF1546" s="135">
        <v>13470</v>
      </c>
      <c r="AG1546" s="135">
        <f t="shared" si="441"/>
        <v>0</v>
      </c>
      <c r="AH1546" s="136">
        <f t="shared" si="442"/>
        <v>121</v>
      </c>
      <c r="AI1546" s="50">
        <f t="shared" si="443"/>
        <v>1746</v>
      </c>
    </row>
    <row r="1547" spans="1:36">
      <c r="A1547" s="12">
        <v>45922</v>
      </c>
      <c r="B1547" s="8">
        <f t="shared" si="424"/>
        <v>2230797</v>
      </c>
      <c r="C1547" s="8">
        <v>2231046</v>
      </c>
      <c r="D1547" s="13">
        <f t="shared" si="425"/>
        <v>249</v>
      </c>
      <c r="E1547" s="77">
        <f t="shared" si="426"/>
        <v>307064</v>
      </c>
      <c r="F1547" s="69">
        <v>307766</v>
      </c>
      <c r="G1547" s="133">
        <f t="shared" si="427"/>
        <v>702</v>
      </c>
      <c r="H1547" s="8">
        <f t="shared" si="428"/>
        <v>406495</v>
      </c>
      <c r="I1547" s="8">
        <v>406498</v>
      </c>
      <c r="J1547" s="13">
        <f t="shared" si="429"/>
        <v>3</v>
      </c>
      <c r="K1547" s="138">
        <f t="shared" si="430"/>
        <v>954</v>
      </c>
      <c r="L1547" s="8">
        <f t="shared" si="431"/>
        <v>1497710</v>
      </c>
      <c r="M1547" s="8">
        <v>1498252</v>
      </c>
      <c r="N1547" s="13">
        <f t="shared" si="432"/>
        <v>542</v>
      </c>
      <c r="O1547" s="136">
        <f t="shared" si="444"/>
        <v>752</v>
      </c>
      <c r="P1547" s="8">
        <f t="shared" si="421"/>
        <v>44617</v>
      </c>
      <c r="Q1547" s="8">
        <v>44950</v>
      </c>
      <c r="R1547" s="134">
        <f t="shared" si="422"/>
        <v>333</v>
      </c>
      <c r="S1547" s="8">
        <f t="shared" si="433"/>
        <v>65821</v>
      </c>
      <c r="T1547" s="8">
        <v>65847</v>
      </c>
      <c r="U1547" s="133">
        <f t="shared" si="434"/>
        <v>26</v>
      </c>
      <c r="V1547" s="8">
        <f t="shared" si="435"/>
        <v>15099</v>
      </c>
      <c r="W1547" s="8">
        <v>15263</v>
      </c>
      <c r="X1547" s="13">
        <f t="shared" si="436"/>
        <v>164</v>
      </c>
      <c r="Y1547" s="8">
        <f t="shared" si="437"/>
        <v>54570</v>
      </c>
      <c r="Z1547" s="8">
        <v>54600</v>
      </c>
      <c r="AA1547" s="13">
        <f t="shared" si="445"/>
        <v>30</v>
      </c>
      <c r="AB1547" s="8">
        <f t="shared" si="439"/>
        <v>286727</v>
      </c>
      <c r="AC1547" s="8">
        <v>286884</v>
      </c>
      <c r="AD1547" s="13">
        <f t="shared" si="440"/>
        <v>157</v>
      </c>
      <c r="AE1547" s="135">
        <f t="shared" si="423"/>
        <v>13470</v>
      </c>
      <c r="AF1547" s="135">
        <v>13470</v>
      </c>
      <c r="AG1547" s="135">
        <f t="shared" si="441"/>
        <v>0</v>
      </c>
      <c r="AH1547" s="136">
        <f t="shared" si="442"/>
        <v>157</v>
      </c>
      <c r="AI1547" s="50">
        <f t="shared" si="443"/>
        <v>1305</v>
      </c>
    </row>
    <row r="1548" spans="1:36">
      <c r="A1548" s="12">
        <v>45923</v>
      </c>
      <c r="B1548" s="8">
        <f t="shared" si="424"/>
        <v>2231046</v>
      </c>
      <c r="C1548" s="8">
        <v>2231388</v>
      </c>
      <c r="D1548" s="13">
        <f t="shared" si="425"/>
        <v>342</v>
      </c>
      <c r="E1548" s="77">
        <f t="shared" si="426"/>
        <v>307766</v>
      </c>
      <c r="F1548" s="69">
        <v>308531</v>
      </c>
      <c r="G1548" s="133">
        <f t="shared" si="427"/>
        <v>765</v>
      </c>
      <c r="H1548" s="8">
        <f t="shared" si="428"/>
        <v>406498</v>
      </c>
      <c r="I1548" s="8">
        <v>406498</v>
      </c>
      <c r="J1548" s="13">
        <f t="shared" si="429"/>
        <v>0</v>
      </c>
      <c r="K1548" s="138">
        <f t="shared" si="430"/>
        <v>1107</v>
      </c>
      <c r="L1548" s="8">
        <f t="shared" si="431"/>
        <v>1498252</v>
      </c>
      <c r="M1548" s="8">
        <v>1499704</v>
      </c>
      <c r="N1548" s="13">
        <f t="shared" si="432"/>
        <v>1452</v>
      </c>
      <c r="O1548" s="136">
        <f t="shared" si="444"/>
        <v>278</v>
      </c>
      <c r="P1548" s="8">
        <f t="shared" si="421"/>
        <v>44950</v>
      </c>
      <c r="Q1548" s="8">
        <v>45868</v>
      </c>
      <c r="R1548" s="134">
        <f t="shared" si="422"/>
        <v>918</v>
      </c>
      <c r="S1548" s="8">
        <f t="shared" si="433"/>
        <v>65847</v>
      </c>
      <c r="T1548" s="8">
        <v>65871</v>
      </c>
      <c r="U1548" s="133">
        <f t="shared" si="434"/>
        <v>24</v>
      </c>
      <c r="V1548" s="8">
        <f t="shared" si="435"/>
        <v>15263</v>
      </c>
      <c r="W1548" s="8">
        <v>15477</v>
      </c>
      <c r="X1548" s="13">
        <f t="shared" si="436"/>
        <v>214</v>
      </c>
      <c r="Y1548" s="8">
        <f>Z1547</f>
        <v>54600</v>
      </c>
      <c r="Z1548" s="8">
        <v>54629</v>
      </c>
      <c r="AA1548" s="13">
        <f t="shared" si="445"/>
        <v>29</v>
      </c>
      <c r="AB1548" s="8">
        <f t="shared" si="439"/>
        <v>286884</v>
      </c>
      <c r="AC1548" s="8">
        <v>286997</v>
      </c>
      <c r="AD1548" s="13">
        <f t="shared" si="440"/>
        <v>113</v>
      </c>
      <c r="AE1548" s="135">
        <f t="shared" si="423"/>
        <v>13470</v>
      </c>
      <c r="AF1548" s="135">
        <v>13470</v>
      </c>
      <c r="AG1548" s="135">
        <f t="shared" si="441"/>
        <v>0</v>
      </c>
      <c r="AH1548" s="136">
        <f t="shared" si="442"/>
        <v>113</v>
      </c>
      <c r="AI1548" s="50">
        <f t="shared" si="443"/>
        <v>1463</v>
      </c>
    </row>
    <row r="1549" spans="1:36">
      <c r="A1549" s="12">
        <v>45924</v>
      </c>
      <c r="B1549" s="8">
        <f t="shared" si="424"/>
        <v>2231388</v>
      </c>
      <c r="C1549" s="8">
        <v>2231849</v>
      </c>
      <c r="D1549" s="13">
        <f t="shared" si="425"/>
        <v>461</v>
      </c>
      <c r="E1549" s="77">
        <f t="shared" si="426"/>
        <v>308531</v>
      </c>
      <c r="F1549" s="69">
        <v>309247</v>
      </c>
      <c r="G1549" s="133">
        <f t="shared" si="427"/>
        <v>716</v>
      </c>
      <c r="H1549" s="8">
        <f t="shared" si="428"/>
        <v>406498</v>
      </c>
      <c r="I1549" s="8">
        <v>406726</v>
      </c>
      <c r="J1549" s="13">
        <f t="shared" si="429"/>
        <v>228</v>
      </c>
      <c r="K1549" s="138">
        <f t="shared" si="430"/>
        <v>1405</v>
      </c>
      <c r="L1549" s="8">
        <f t="shared" si="431"/>
        <v>1499704</v>
      </c>
      <c r="M1549" s="8">
        <v>1500440</v>
      </c>
      <c r="N1549" s="13">
        <f t="shared" si="432"/>
        <v>736</v>
      </c>
      <c r="O1549" s="136">
        <f t="shared" si="444"/>
        <v>1230</v>
      </c>
      <c r="P1549" s="8">
        <f t="shared" si="421"/>
        <v>45868</v>
      </c>
      <c r="Q1549" s="8">
        <v>46144</v>
      </c>
      <c r="R1549" s="134">
        <f t="shared" si="422"/>
        <v>276</v>
      </c>
      <c r="S1549" s="8">
        <f t="shared" si="433"/>
        <v>65871</v>
      </c>
      <c r="T1549" s="8">
        <v>65899</v>
      </c>
      <c r="U1549" s="133">
        <f t="shared" si="434"/>
        <v>28</v>
      </c>
      <c r="V1549" s="8">
        <f t="shared" si="435"/>
        <v>15477</v>
      </c>
      <c r="W1549" s="8">
        <v>15728</v>
      </c>
      <c r="X1549" s="13">
        <f t="shared" si="436"/>
        <v>251</v>
      </c>
      <c r="Y1549" s="8">
        <f t="shared" si="437"/>
        <v>54629</v>
      </c>
      <c r="Z1549" s="8">
        <v>54649</v>
      </c>
      <c r="AA1549" s="13">
        <f t="shared" si="445"/>
        <v>20</v>
      </c>
      <c r="AB1549" s="8">
        <f t="shared" si="439"/>
        <v>286997</v>
      </c>
      <c r="AC1549" s="8">
        <v>287126</v>
      </c>
      <c r="AD1549" s="13">
        <f t="shared" si="440"/>
        <v>129</v>
      </c>
      <c r="AE1549" s="135">
        <f t="shared" si="423"/>
        <v>13470</v>
      </c>
      <c r="AF1549" s="135">
        <v>13470</v>
      </c>
      <c r="AG1549" s="135">
        <f t="shared" si="441"/>
        <v>0</v>
      </c>
      <c r="AH1549" s="136">
        <f t="shared" si="442"/>
        <v>129</v>
      </c>
      <c r="AI1549" s="50">
        <f t="shared" si="443"/>
        <v>1805</v>
      </c>
    </row>
    <row r="1550" spans="1:36">
      <c r="A1550" s="12">
        <v>45925</v>
      </c>
      <c r="B1550" s="8">
        <f t="shared" si="424"/>
        <v>2231849</v>
      </c>
      <c r="C1550" s="8">
        <v>2232145</v>
      </c>
      <c r="D1550" s="13">
        <f t="shared" si="425"/>
        <v>296</v>
      </c>
      <c r="E1550" s="77">
        <f t="shared" si="426"/>
        <v>309247</v>
      </c>
      <c r="F1550" s="69">
        <v>309968</v>
      </c>
      <c r="G1550" s="133">
        <f t="shared" si="427"/>
        <v>721</v>
      </c>
      <c r="H1550" s="8">
        <f t="shared" si="428"/>
        <v>406726</v>
      </c>
      <c r="I1550" s="8">
        <v>407290</v>
      </c>
      <c r="J1550" s="13">
        <f t="shared" si="429"/>
        <v>564</v>
      </c>
      <c r="K1550" s="138">
        <f t="shared" si="430"/>
        <v>1581</v>
      </c>
      <c r="L1550" s="8">
        <f t="shared" si="431"/>
        <v>1500440</v>
      </c>
      <c r="M1550" s="8">
        <v>1500824</v>
      </c>
      <c r="N1550" s="13">
        <f t="shared" si="432"/>
        <v>384</v>
      </c>
      <c r="O1550" s="136">
        <f t="shared" si="444"/>
        <v>1107</v>
      </c>
      <c r="P1550" s="8">
        <f t="shared" si="421"/>
        <v>46144</v>
      </c>
      <c r="Q1550" s="8">
        <v>46632</v>
      </c>
      <c r="R1550" s="134">
        <f t="shared" si="422"/>
        <v>488</v>
      </c>
      <c r="S1550" s="8">
        <f t="shared" si="433"/>
        <v>65899</v>
      </c>
      <c r="T1550" s="8">
        <v>66002</v>
      </c>
      <c r="U1550" s="133">
        <f t="shared" si="434"/>
        <v>103</v>
      </c>
      <c r="V1550" s="8">
        <f t="shared" si="435"/>
        <v>15728</v>
      </c>
      <c r="W1550" s="8">
        <v>15957</v>
      </c>
      <c r="X1550" s="13">
        <f t="shared" si="436"/>
        <v>229</v>
      </c>
      <c r="Y1550" s="8">
        <f t="shared" si="437"/>
        <v>54649</v>
      </c>
      <c r="Z1550" s="8">
        <v>54668</v>
      </c>
      <c r="AA1550" s="13">
        <f t="shared" si="445"/>
        <v>19</v>
      </c>
      <c r="AB1550" s="8">
        <f t="shared" si="439"/>
        <v>287126</v>
      </c>
      <c r="AC1550" s="8">
        <v>287243</v>
      </c>
      <c r="AD1550" s="13">
        <f t="shared" si="440"/>
        <v>117</v>
      </c>
      <c r="AE1550" s="135">
        <f t="shared" si="423"/>
        <v>13470</v>
      </c>
      <c r="AF1550" s="135">
        <v>13470</v>
      </c>
      <c r="AG1550" s="135">
        <f t="shared" si="441"/>
        <v>0</v>
      </c>
      <c r="AH1550" s="136">
        <f t="shared" si="442"/>
        <v>117</v>
      </c>
      <c r="AI1550" s="50">
        <f t="shared" si="443"/>
        <v>1946</v>
      </c>
    </row>
    <row r="1551" spans="1:36">
      <c r="A1551" s="12">
        <v>45926</v>
      </c>
      <c r="B1551" s="8">
        <f t="shared" si="424"/>
        <v>2232145</v>
      </c>
      <c r="C1551" s="8">
        <v>2232544</v>
      </c>
      <c r="D1551" s="13">
        <f t="shared" si="425"/>
        <v>399</v>
      </c>
      <c r="E1551" s="77">
        <f t="shared" si="426"/>
        <v>309968</v>
      </c>
      <c r="F1551" s="69">
        <v>310714</v>
      </c>
      <c r="G1551" s="133">
        <f t="shared" si="427"/>
        <v>746</v>
      </c>
      <c r="H1551" s="8">
        <f t="shared" si="428"/>
        <v>407290</v>
      </c>
      <c r="I1551" s="8">
        <v>407290</v>
      </c>
      <c r="J1551" s="13">
        <f t="shared" si="429"/>
        <v>0</v>
      </c>
      <c r="K1551" s="138">
        <f t="shared" si="430"/>
        <v>1145</v>
      </c>
      <c r="L1551" s="8">
        <f t="shared" si="431"/>
        <v>1500824</v>
      </c>
      <c r="M1551" s="8">
        <v>1502031</v>
      </c>
      <c r="N1551" s="13">
        <f t="shared" si="432"/>
        <v>1207</v>
      </c>
      <c r="O1551" s="136">
        <f t="shared" si="444"/>
        <v>597</v>
      </c>
      <c r="P1551" s="8">
        <f t="shared" si="421"/>
        <v>46632</v>
      </c>
      <c r="Q1551" s="8">
        <v>47203</v>
      </c>
      <c r="R1551" s="134">
        <f t="shared" si="422"/>
        <v>571</v>
      </c>
      <c r="S1551" s="8">
        <f t="shared" si="433"/>
        <v>66002</v>
      </c>
      <c r="T1551" s="8">
        <v>66052</v>
      </c>
      <c r="U1551" s="133">
        <f t="shared" si="434"/>
        <v>50</v>
      </c>
      <c r="V1551" s="8">
        <f t="shared" si="435"/>
        <v>15957</v>
      </c>
      <c r="W1551" s="8">
        <v>16152</v>
      </c>
      <c r="X1551" s="13">
        <f t="shared" si="436"/>
        <v>195</v>
      </c>
      <c r="Y1551" s="8">
        <f t="shared" si="437"/>
        <v>54668</v>
      </c>
      <c r="Z1551" s="8">
        <v>54690</v>
      </c>
      <c r="AA1551" s="13">
        <f t="shared" si="445"/>
        <v>22</v>
      </c>
      <c r="AB1551" s="8">
        <f t="shared" si="439"/>
        <v>287243</v>
      </c>
      <c r="AC1551" s="8">
        <v>287316</v>
      </c>
      <c r="AD1551" s="13">
        <f t="shared" si="440"/>
        <v>73</v>
      </c>
      <c r="AE1551" s="135">
        <f t="shared" si="423"/>
        <v>13470</v>
      </c>
      <c r="AF1551" s="135">
        <v>13470</v>
      </c>
      <c r="AG1551" s="135">
        <f t="shared" si="441"/>
        <v>0</v>
      </c>
      <c r="AH1551" s="136">
        <f t="shared" si="442"/>
        <v>73</v>
      </c>
      <c r="AI1551" s="50">
        <f t="shared" si="443"/>
        <v>1435</v>
      </c>
    </row>
    <row r="1552" spans="1:36">
      <c r="A1552" s="12">
        <v>45927</v>
      </c>
      <c r="B1552" s="8">
        <f t="shared" si="424"/>
        <v>2232544</v>
      </c>
      <c r="C1552" s="8">
        <v>2233196</v>
      </c>
      <c r="D1552" s="13">
        <f t="shared" si="425"/>
        <v>652</v>
      </c>
      <c r="E1552" s="77">
        <f t="shared" si="426"/>
        <v>310714</v>
      </c>
      <c r="F1552" s="69">
        <v>311442</v>
      </c>
      <c r="G1552" s="133">
        <f t="shared" si="427"/>
        <v>728</v>
      </c>
      <c r="H1552" s="8">
        <f t="shared" si="428"/>
        <v>407290</v>
      </c>
      <c r="I1552" s="8">
        <v>407705</v>
      </c>
      <c r="J1552" s="13">
        <f t="shared" si="429"/>
        <v>415</v>
      </c>
      <c r="K1552" s="138">
        <f t="shared" si="430"/>
        <v>1795</v>
      </c>
      <c r="L1552" s="8">
        <f t="shared" si="431"/>
        <v>1502031</v>
      </c>
      <c r="M1552" s="8">
        <v>1502543</v>
      </c>
      <c r="N1552" s="13">
        <f t="shared" si="432"/>
        <v>512</v>
      </c>
      <c r="O1552" s="136">
        <f t="shared" si="444"/>
        <v>1421</v>
      </c>
      <c r="P1552" s="8">
        <f t="shared" si="421"/>
        <v>47203</v>
      </c>
      <c r="Q1552" s="8">
        <v>47705</v>
      </c>
      <c r="R1552" s="134">
        <f t="shared" si="422"/>
        <v>502</v>
      </c>
      <c r="S1552" s="8">
        <f t="shared" si="433"/>
        <v>66052</v>
      </c>
      <c r="T1552" s="8">
        <v>66087</v>
      </c>
      <c r="U1552" s="133">
        <f t="shared" si="434"/>
        <v>35</v>
      </c>
      <c r="V1552" s="8">
        <f t="shared" si="435"/>
        <v>16152</v>
      </c>
      <c r="W1552" s="8">
        <v>16293</v>
      </c>
      <c r="X1552" s="13">
        <f t="shared" si="436"/>
        <v>141</v>
      </c>
      <c r="Y1552" s="8">
        <f t="shared" si="437"/>
        <v>54690</v>
      </c>
      <c r="Z1552" s="8">
        <v>54712</v>
      </c>
      <c r="AA1552" s="13">
        <f t="shared" si="445"/>
        <v>22</v>
      </c>
      <c r="AB1552" s="8">
        <f t="shared" si="439"/>
        <v>287316</v>
      </c>
      <c r="AC1552" s="8">
        <v>287479</v>
      </c>
      <c r="AD1552" s="13">
        <f t="shared" si="440"/>
        <v>163</v>
      </c>
      <c r="AE1552" s="135">
        <f t="shared" si="423"/>
        <v>13470</v>
      </c>
      <c r="AF1552" s="135">
        <v>13470</v>
      </c>
      <c r="AG1552" s="135">
        <f t="shared" si="441"/>
        <v>0</v>
      </c>
      <c r="AH1552" s="136">
        <f t="shared" si="442"/>
        <v>163</v>
      </c>
      <c r="AI1552" s="50">
        <f t="shared" si="443"/>
        <v>2121</v>
      </c>
    </row>
    <row r="1553" spans="1:35">
      <c r="A1553" s="12">
        <v>45928</v>
      </c>
      <c r="B1553" s="8">
        <f t="shared" si="424"/>
        <v>2233196</v>
      </c>
      <c r="C1553" s="8">
        <v>2234009</v>
      </c>
      <c r="D1553" s="13">
        <f t="shared" si="425"/>
        <v>813</v>
      </c>
      <c r="E1553" s="77">
        <f t="shared" si="426"/>
        <v>311442</v>
      </c>
      <c r="F1553" s="69">
        <v>312238</v>
      </c>
      <c r="G1553" s="133">
        <f t="shared" si="427"/>
        <v>796</v>
      </c>
      <c r="H1553" s="8">
        <f>I1552</f>
        <v>407705</v>
      </c>
      <c r="I1553" s="8">
        <v>408032</v>
      </c>
      <c r="J1553" s="13">
        <f t="shared" si="429"/>
        <v>327</v>
      </c>
      <c r="K1553" s="138">
        <f t="shared" si="430"/>
        <v>1936</v>
      </c>
      <c r="L1553" s="8">
        <f t="shared" si="431"/>
        <v>1502543</v>
      </c>
      <c r="M1553" s="8">
        <v>1503868</v>
      </c>
      <c r="N1553" s="13">
        <f t="shared" si="432"/>
        <v>1325</v>
      </c>
      <c r="O1553" s="136">
        <f t="shared" si="444"/>
        <v>1257</v>
      </c>
      <c r="P1553" s="8">
        <f t="shared" si="421"/>
        <v>47705</v>
      </c>
      <c r="Q1553" s="8">
        <v>48458</v>
      </c>
      <c r="R1553" s="134">
        <f t="shared" si="422"/>
        <v>753</v>
      </c>
      <c r="S1553" s="8">
        <f t="shared" si="433"/>
        <v>66087</v>
      </c>
      <c r="T1553" s="8">
        <v>66137</v>
      </c>
      <c r="U1553" s="133">
        <f t="shared" si="434"/>
        <v>50</v>
      </c>
      <c r="V1553" s="8">
        <f t="shared" si="435"/>
        <v>16293</v>
      </c>
      <c r="W1553" s="8">
        <v>16414</v>
      </c>
      <c r="X1553" s="13">
        <f t="shared" si="436"/>
        <v>121</v>
      </c>
      <c r="Y1553" s="8">
        <f t="shared" si="437"/>
        <v>54712</v>
      </c>
      <c r="Z1553" s="8">
        <v>54729</v>
      </c>
      <c r="AA1553" s="13">
        <f t="shared" si="445"/>
        <v>17</v>
      </c>
      <c r="AB1553" s="8">
        <f t="shared" si="439"/>
        <v>287479</v>
      </c>
      <c r="AC1553" s="8">
        <v>287603</v>
      </c>
      <c r="AD1553" s="13">
        <f t="shared" si="440"/>
        <v>124</v>
      </c>
      <c r="AE1553" s="135">
        <f t="shared" si="423"/>
        <v>13470</v>
      </c>
      <c r="AF1553" s="135">
        <v>13470</v>
      </c>
      <c r="AG1553" s="135">
        <f t="shared" si="441"/>
        <v>0</v>
      </c>
      <c r="AH1553" s="136">
        <f t="shared" si="442"/>
        <v>124</v>
      </c>
      <c r="AI1553" s="50">
        <f t="shared" si="443"/>
        <v>2198</v>
      </c>
    </row>
    <row r="1554" spans="1:35">
      <c r="A1554" s="12">
        <v>45929</v>
      </c>
      <c r="B1554" s="8">
        <f t="shared" si="424"/>
        <v>2234009</v>
      </c>
      <c r="C1554" s="8">
        <v>2234467</v>
      </c>
      <c r="D1554" s="13">
        <f t="shared" si="425"/>
        <v>458</v>
      </c>
      <c r="E1554" s="77">
        <f t="shared" si="426"/>
        <v>312238</v>
      </c>
      <c r="F1554" s="69">
        <v>312916</v>
      </c>
      <c r="G1554" s="133">
        <f t="shared" si="427"/>
        <v>678</v>
      </c>
      <c r="H1554" s="8">
        <f t="shared" si="428"/>
        <v>408032</v>
      </c>
      <c r="I1554" s="8">
        <v>408032</v>
      </c>
      <c r="J1554" s="13">
        <f t="shared" si="429"/>
        <v>0</v>
      </c>
      <c r="K1554" s="138">
        <f t="shared" si="430"/>
        <v>1136</v>
      </c>
      <c r="L1554" s="8">
        <f t="shared" si="431"/>
        <v>1503868</v>
      </c>
      <c r="M1554" s="8">
        <v>1504568</v>
      </c>
      <c r="N1554" s="13">
        <f t="shared" si="432"/>
        <v>700</v>
      </c>
      <c r="O1554" s="136">
        <f t="shared" si="444"/>
        <v>837</v>
      </c>
      <c r="P1554" s="8">
        <f t="shared" si="421"/>
        <v>48458</v>
      </c>
      <c r="Q1554" s="8">
        <v>48775</v>
      </c>
      <c r="R1554" s="134">
        <f t="shared" si="422"/>
        <v>317</v>
      </c>
      <c r="S1554" s="8">
        <f t="shared" si="433"/>
        <v>66137</v>
      </c>
      <c r="T1554" s="8">
        <v>66222</v>
      </c>
      <c r="U1554" s="133">
        <f t="shared" si="434"/>
        <v>85</v>
      </c>
      <c r="V1554" s="8">
        <f t="shared" si="435"/>
        <v>16414</v>
      </c>
      <c r="W1554" s="8">
        <v>16613</v>
      </c>
      <c r="X1554" s="13">
        <f t="shared" si="436"/>
        <v>199</v>
      </c>
      <c r="Y1554" s="8">
        <f t="shared" si="437"/>
        <v>54729</v>
      </c>
      <c r="Z1554" s="8">
        <v>54749</v>
      </c>
      <c r="AA1554" s="13">
        <f t="shared" si="445"/>
        <v>20</v>
      </c>
      <c r="AB1554" s="8">
        <f t="shared" si="439"/>
        <v>287603</v>
      </c>
      <c r="AC1554" s="8">
        <v>287706</v>
      </c>
      <c r="AD1554" s="13">
        <f t="shared" si="440"/>
        <v>103</v>
      </c>
      <c r="AE1554" s="135">
        <f t="shared" si="423"/>
        <v>13470</v>
      </c>
      <c r="AF1554" s="135">
        <v>13470</v>
      </c>
      <c r="AG1554" s="135">
        <f t="shared" si="441"/>
        <v>0</v>
      </c>
      <c r="AH1554" s="136">
        <f t="shared" si="442"/>
        <v>103</v>
      </c>
      <c r="AI1554" s="50">
        <f t="shared" si="443"/>
        <v>1458</v>
      </c>
    </row>
    <row r="1555" spans="1:35">
      <c r="A1555" s="12">
        <v>45930</v>
      </c>
      <c r="B1555" s="8">
        <f t="shared" si="424"/>
        <v>2234467</v>
      </c>
      <c r="C1555" s="8">
        <v>2235030</v>
      </c>
      <c r="D1555" s="13">
        <f t="shared" si="425"/>
        <v>563</v>
      </c>
      <c r="E1555" s="77">
        <f t="shared" si="426"/>
        <v>312916</v>
      </c>
      <c r="F1555" s="69">
        <v>313611</v>
      </c>
      <c r="G1555" s="133">
        <f t="shared" si="427"/>
        <v>695</v>
      </c>
      <c r="H1555" s="8">
        <f t="shared" si="428"/>
        <v>408032</v>
      </c>
      <c r="I1555" s="8">
        <v>408032</v>
      </c>
      <c r="J1555" s="13">
        <f t="shared" si="429"/>
        <v>0</v>
      </c>
      <c r="K1555" s="138">
        <f t="shared" si="430"/>
        <v>1258</v>
      </c>
      <c r="L1555" s="8">
        <f t="shared" si="431"/>
        <v>1504568</v>
      </c>
      <c r="M1555" s="8">
        <v>1505874</v>
      </c>
      <c r="N1555" s="13">
        <f t="shared" si="432"/>
        <v>1306</v>
      </c>
      <c r="O1555" s="136">
        <f t="shared" si="444"/>
        <v>705</v>
      </c>
      <c r="P1555" s="8">
        <f t="shared" si="421"/>
        <v>48775</v>
      </c>
      <c r="Q1555" s="8">
        <v>49329</v>
      </c>
      <c r="R1555" s="134">
        <f t="shared" si="422"/>
        <v>554</v>
      </c>
      <c r="S1555" s="8">
        <f t="shared" si="433"/>
        <v>66222</v>
      </c>
      <c r="T1555" s="8">
        <v>66341</v>
      </c>
      <c r="U1555" s="133">
        <f t="shared" si="434"/>
        <v>119</v>
      </c>
      <c r="V1555" s="8">
        <f t="shared" si="435"/>
        <v>16613</v>
      </c>
      <c r="W1555" s="8">
        <v>16749</v>
      </c>
      <c r="X1555" s="13">
        <f t="shared" si="436"/>
        <v>136</v>
      </c>
      <c r="Y1555" s="8">
        <f t="shared" si="437"/>
        <v>54749</v>
      </c>
      <c r="Z1555" s="8">
        <v>54761</v>
      </c>
      <c r="AA1555" s="13">
        <f t="shared" si="445"/>
        <v>12</v>
      </c>
      <c r="AB1555" s="8">
        <f t="shared" si="439"/>
        <v>287706</v>
      </c>
      <c r="AC1555" s="8">
        <v>287826</v>
      </c>
      <c r="AD1555" s="13">
        <f t="shared" si="440"/>
        <v>120</v>
      </c>
      <c r="AE1555" s="135">
        <f t="shared" si="423"/>
        <v>13470</v>
      </c>
      <c r="AF1555" s="135">
        <v>13470</v>
      </c>
      <c r="AG1555" s="135">
        <f t="shared" si="441"/>
        <v>0</v>
      </c>
      <c r="AH1555" s="136">
        <f t="shared" si="442"/>
        <v>120</v>
      </c>
      <c r="AI1555" s="50">
        <f t="shared" si="443"/>
        <v>1526</v>
      </c>
    </row>
    <row r="1556" spans="1:35">
      <c r="A1556" s="12">
        <v>45931</v>
      </c>
      <c r="B1556" s="8">
        <f t="shared" si="424"/>
        <v>2235030</v>
      </c>
      <c r="C1556" s="8">
        <v>2235602</v>
      </c>
      <c r="D1556" s="13">
        <f t="shared" si="425"/>
        <v>572</v>
      </c>
      <c r="E1556" s="77">
        <f t="shared" si="426"/>
        <v>313611</v>
      </c>
      <c r="F1556" s="69">
        <v>314306</v>
      </c>
      <c r="G1556" s="133">
        <f t="shared" si="427"/>
        <v>695</v>
      </c>
      <c r="H1556" s="8">
        <f t="shared" si="428"/>
        <v>408032</v>
      </c>
      <c r="I1556" s="8">
        <v>408032</v>
      </c>
      <c r="J1556" s="13">
        <f t="shared" si="429"/>
        <v>0</v>
      </c>
      <c r="K1556" s="138">
        <f t="shared" si="430"/>
        <v>1267</v>
      </c>
      <c r="L1556" s="8">
        <f t="shared" si="431"/>
        <v>1505874</v>
      </c>
      <c r="M1556" s="8">
        <v>1507048</v>
      </c>
      <c r="N1556" s="13">
        <f t="shared" si="432"/>
        <v>1174</v>
      </c>
      <c r="O1556" s="136">
        <f t="shared" si="444"/>
        <v>815</v>
      </c>
      <c r="P1556" s="8">
        <f t="shared" si="421"/>
        <v>49329</v>
      </c>
      <c r="Q1556" s="8">
        <v>49841</v>
      </c>
      <c r="R1556" s="134">
        <f t="shared" si="422"/>
        <v>512</v>
      </c>
      <c r="S1556" s="8">
        <f t="shared" si="433"/>
        <v>66341</v>
      </c>
      <c r="T1556" s="8">
        <v>66391</v>
      </c>
      <c r="U1556" s="133">
        <f t="shared" si="434"/>
        <v>50</v>
      </c>
      <c r="V1556" s="8">
        <f t="shared" si="435"/>
        <v>16749</v>
      </c>
      <c r="W1556" s="8">
        <v>16939</v>
      </c>
      <c r="X1556" s="13">
        <f t="shared" si="436"/>
        <v>190</v>
      </c>
      <c r="Y1556" s="8">
        <f t="shared" si="437"/>
        <v>54761</v>
      </c>
      <c r="Z1556" s="8">
        <v>54772</v>
      </c>
      <c r="AA1556" s="13">
        <f t="shared" si="445"/>
        <v>11</v>
      </c>
      <c r="AB1556" s="8">
        <f t="shared" si="439"/>
        <v>287826</v>
      </c>
      <c r="AC1556" s="8">
        <v>287936</v>
      </c>
      <c r="AD1556" s="13">
        <f t="shared" si="440"/>
        <v>110</v>
      </c>
      <c r="AE1556" s="135">
        <f t="shared" si="423"/>
        <v>13470</v>
      </c>
      <c r="AF1556" s="135">
        <v>13470</v>
      </c>
      <c r="AG1556" s="135">
        <f t="shared" si="441"/>
        <v>0</v>
      </c>
      <c r="AH1556" s="136">
        <f t="shared" si="442"/>
        <v>110</v>
      </c>
      <c r="AI1556" s="50">
        <f t="shared" si="443"/>
        <v>1578</v>
      </c>
    </row>
    <row r="1557" spans="1:35">
      <c r="A1557" s="12">
        <v>45932</v>
      </c>
      <c r="B1557" s="8">
        <f t="shared" si="424"/>
        <v>2235602</v>
      </c>
      <c r="C1557" s="8">
        <v>2236129</v>
      </c>
      <c r="D1557" s="13">
        <f t="shared" si="425"/>
        <v>527</v>
      </c>
      <c r="E1557" s="77">
        <f t="shared" si="426"/>
        <v>314306</v>
      </c>
      <c r="F1557" s="69">
        <v>315026</v>
      </c>
      <c r="G1557" s="133">
        <f t="shared" si="427"/>
        <v>720</v>
      </c>
      <c r="H1557" s="8">
        <f t="shared" si="428"/>
        <v>408032</v>
      </c>
      <c r="I1557" s="8">
        <v>408032</v>
      </c>
      <c r="J1557" s="13">
        <f t="shared" si="429"/>
        <v>0</v>
      </c>
      <c r="K1557" s="138">
        <f t="shared" si="430"/>
        <v>1247</v>
      </c>
      <c r="L1557" s="8">
        <f t="shared" si="431"/>
        <v>1507048</v>
      </c>
      <c r="M1557" s="8">
        <v>1508077</v>
      </c>
      <c r="N1557" s="13">
        <f t="shared" si="432"/>
        <v>1029</v>
      </c>
      <c r="O1557" s="136">
        <f t="shared" si="444"/>
        <v>818</v>
      </c>
      <c r="P1557" s="8">
        <f t="shared" si="421"/>
        <v>49841</v>
      </c>
      <c r="Q1557" s="8">
        <v>50309</v>
      </c>
      <c r="R1557" s="134">
        <f t="shared" si="422"/>
        <v>468</v>
      </c>
      <c r="S1557" s="8">
        <f t="shared" si="433"/>
        <v>66391</v>
      </c>
      <c r="T1557" s="8">
        <v>66449</v>
      </c>
      <c r="U1557" s="133">
        <f t="shared" si="434"/>
        <v>58</v>
      </c>
      <c r="V1557" s="8">
        <f t="shared" si="435"/>
        <v>16939</v>
      </c>
      <c r="W1557" s="8">
        <v>17077</v>
      </c>
      <c r="X1557" s="13">
        <f t="shared" si="436"/>
        <v>138</v>
      </c>
      <c r="Y1557" s="8">
        <f t="shared" si="437"/>
        <v>54772</v>
      </c>
      <c r="Z1557" s="8">
        <v>54784</v>
      </c>
      <c r="AA1557" s="13">
        <f t="shared" si="445"/>
        <v>12</v>
      </c>
      <c r="AB1557" s="8">
        <f t="shared" si="439"/>
        <v>287936</v>
      </c>
      <c r="AC1557" s="8">
        <v>288033</v>
      </c>
      <c r="AD1557" s="13">
        <f t="shared" si="440"/>
        <v>97</v>
      </c>
      <c r="AE1557" s="135">
        <f t="shared" si="423"/>
        <v>13470</v>
      </c>
      <c r="AF1557" s="135">
        <v>13470</v>
      </c>
      <c r="AG1557" s="135">
        <f t="shared" si="441"/>
        <v>0</v>
      </c>
      <c r="AH1557" s="136">
        <f t="shared" si="442"/>
        <v>97</v>
      </c>
      <c r="AI1557" s="50">
        <f t="shared" si="443"/>
        <v>1494</v>
      </c>
    </row>
    <row r="1558" spans="1:35">
      <c r="A1558" s="12">
        <v>45933</v>
      </c>
      <c r="B1558" s="8">
        <f t="shared" si="424"/>
        <v>2236129</v>
      </c>
      <c r="C1558" s="8">
        <v>2236699</v>
      </c>
      <c r="D1558" s="13">
        <f t="shared" si="425"/>
        <v>570</v>
      </c>
      <c r="E1558" s="77">
        <f t="shared" si="426"/>
        <v>315026</v>
      </c>
      <c r="F1558" s="69">
        <v>315804</v>
      </c>
      <c r="G1558" s="133">
        <f t="shared" si="427"/>
        <v>778</v>
      </c>
      <c r="H1558" s="8">
        <f t="shared" si="428"/>
        <v>408032</v>
      </c>
      <c r="I1558" s="8">
        <v>408032</v>
      </c>
      <c r="J1558" s="13">
        <f t="shared" si="429"/>
        <v>0</v>
      </c>
      <c r="K1558" s="138">
        <f t="shared" si="430"/>
        <v>1348</v>
      </c>
      <c r="L1558" s="8">
        <f t="shared" si="431"/>
        <v>1508077</v>
      </c>
      <c r="M1558" s="8">
        <v>1509259</v>
      </c>
      <c r="N1558" s="13">
        <f t="shared" si="432"/>
        <v>1182</v>
      </c>
      <c r="O1558" s="136">
        <f t="shared" si="444"/>
        <v>962</v>
      </c>
      <c r="P1558" s="8">
        <f t="shared" si="421"/>
        <v>50309</v>
      </c>
      <c r="Q1558" s="8">
        <v>50776</v>
      </c>
      <c r="R1558" s="134">
        <f t="shared" si="422"/>
        <v>467</v>
      </c>
      <c r="S1558" s="8">
        <f t="shared" si="433"/>
        <v>66449</v>
      </c>
      <c r="T1558" s="8">
        <v>66528</v>
      </c>
      <c r="U1558" s="133">
        <f t="shared" si="434"/>
        <v>79</v>
      </c>
      <c r="V1558" s="8">
        <f t="shared" si="435"/>
        <v>17077</v>
      </c>
      <c r="W1558" s="8">
        <v>17205</v>
      </c>
      <c r="X1558" s="13">
        <f t="shared" si="436"/>
        <v>128</v>
      </c>
      <c r="Y1558" s="8">
        <f t="shared" si="437"/>
        <v>54784</v>
      </c>
      <c r="Z1558" s="8">
        <v>54803</v>
      </c>
      <c r="AA1558" s="13">
        <f t="shared" si="445"/>
        <v>19</v>
      </c>
      <c r="AB1558" s="8">
        <f t="shared" si="439"/>
        <v>288033</v>
      </c>
      <c r="AC1558" s="8">
        <v>288193</v>
      </c>
      <c r="AD1558" s="13">
        <f t="shared" si="440"/>
        <v>160</v>
      </c>
      <c r="AE1558" s="135">
        <f t="shared" si="423"/>
        <v>13470</v>
      </c>
      <c r="AF1558" s="135">
        <v>13470</v>
      </c>
      <c r="AG1558" s="135">
        <f t="shared" si="441"/>
        <v>0</v>
      </c>
      <c r="AH1558" s="136">
        <f t="shared" si="442"/>
        <v>160</v>
      </c>
      <c r="AI1558" s="50">
        <f t="shared" si="443"/>
        <v>1655</v>
      </c>
    </row>
    <row r="1559" spans="1:35">
      <c r="A1559" s="12">
        <v>45934</v>
      </c>
      <c r="B1559" s="8">
        <f t="shared" si="424"/>
        <v>2236699</v>
      </c>
      <c r="C1559" s="8">
        <v>2237283</v>
      </c>
      <c r="D1559" s="13">
        <f t="shared" si="425"/>
        <v>584</v>
      </c>
      <c r="E1559" s="77">
        <f t="shared" si="426"/>
        <v>315804</v>
      </c>
      <c r="F1559" s="69">
        <v>316526</v>
      </c>
      <c r="G1559" s="133">
        <f t="shared" si="427"/>
        <v>722</v>
      </c>
      <c r="H1559" s="8">
        <f t="shared" si="428"/>
        <v>408032</v>
      </c>
      <c r="I1559" s="8">
        <v>408271</v>
      </c>
      <c r="J1559" s="13">
        <f t="shared" si="429"/>
        <v>239</v>
      </c>
      <c r="K1559" s="138">
        <f t="shared" si="430"/>
        <v>1545</v>
      </c>
      <c r="L1559" s="8">
        <f t="shared" si="431"/>
        <v>1509259</v>
      </c>
      <c r="M1559" s="8">
        <v>1509821</v>
      </c>
      <c r="N1559" s="13">
        <f t="shared" si="432"/>
        <v>562</v>
      </c>
      <c r="O1559" s="136">
        <f t="shared" si="444"/>
        <v>1171</v>
      </c>
      <c r="P1559" s="8">
        <f t="shared" si="421"/>
        <v>50776</v>
      </c>
      <c r="Q1559" s="8">
        <v>51215</v>
      </c>
      <c r="R1559" s="134">
        <f t="shared" si="422"/>
        <v>439</v>
      </c>
      <c r="S1559" s="8">
        <f t="shared" si="433"/>
        <v>66528</v>
      </c>
      <c r="T1559" s="8">
        <v>66586</v>
      </c>
      <c r="U1559" s="133">
        <f t="shared" si="434"/>
        <v>58</v>
      </c>
      <c r="V1559" s="8">
        <f t="shared" si="435"/>
        <v>17205</v>
      </c>
      <c r="W1559" s="8">
        <v>17379</v>
      </c>
      <c r="X1559" s="13">
        <f t="shared" si="436"/>
        <v>174</v>
      </c>
      <c r="Y1559" s="8">
        <f t="shared" si="437"/>
        <v>54803</v>
      </c>
      <c r="Z1559" s="8">
        <v>54817</v>
      </c>
      <c r="AA1559" s="13">
        <f t="shared" si="445"/>
        <v>14</v>
      </c>
      <c r="AB1559" s="8">
        <f t="shared" si="439"/>
        <v>288193</v>
      </c>
      <c r="AC1559" s="8">
        <v>288316</v>
      </c>
      <c r="AD1559" s="13">
        <f t="shared" si="440"/>
        <v>123</v>
      </c>
      <c r="AE1559" s="135">
        <f t="shared" si="423"/>
        <v>13470</v>
      </c>
      <c r="AF1559" s="135">
        <v>13470</v>
      </c>
      <c r="AG1559" s="135">
        <f t="shared" si="441"/>
        <v>0</v>
      </c>
      <c r="AH1559" s="136">
        <f t="shared" si="442"/>
        <v>123</v>
      </c>
      <c r="AI1559" s="50">
        <f t="shared" si="443"/>
        <v>1856</v>
      </c>
    </row>
    <row r="1560" spans="1:35">
      <c r="A1560" s="12">
        <v>45935</v>
      </c>
      <c r="B1560" s="8">
        <f t="shared" si="424"/>
        <v>2237283</v>
      </c>
      <c r="C1560" s="8">
        <v>2237790</v>
      </c>
      <c r="D1560" s="13">
        <f t="shared" si="425"/>
        <v>507</v>
      </c>
      <c r="E1560" s="77">
        <f t="shared" si="426"/>
        <v>316526</v>
      </c>
      <c r="F1560" s="69">
        <v>317221</v>
      </c>
      <c r="G1560" s="133">
        <f t="shared" si="427"/>
        <v>695</v>
      </c>
      <c r="H1560" s="8">
        <f t="shared" si="428"/>
        <v>408271</v>
      </c>
      <c r="I1560" s="8">
        <v>408271</v>
      </c>
      <c r="J1560" s="13">
        <f t="shared" si="429"/>
        <v>0</v>
      </c>
      <c r="K1560" s="138">
        <f t="shared" si="430"/>
        <v>1202</v>
      </c>
      <c r="L1560" s="8">
        <f t="shared" si="431"/>
        <v>1509821</v>
      </c>
      <c r="M1560" s="8">
        <v>1511120</v>
      </c>
      <c r="N1560" s="13">
        <f t="shared" si="432"/>
        <v>1299</v>
      </c>
      <c r="O1560" s="136">
        <f t="shared" si="444"/>
        <v>751</v>
      </c>
      <c r="P1560" s="8">
        <f t="shared" si="421"/>
        <v>51215</v>
      </c>
      <c r="Q1560" s="8">
        <v>51716</v>
      </c>
      <c r="R1560" s="134">
        <f t="shared" si="422"/>
        <v>501</v>
      </c>
      <c r="S1560" s="8">
        <f t="shared" si="433"/>
        <v>66586</v>
      </c>
      <c r="T1560" s="8">
        <v>66641</v>
      </c>
      <c r="U1560" s="133">
        <f t="shared" si="434"/>
        <v>55</v>
      </c>
      <c r="V1560" s="8">
        <f t="shared" si="435"/>
        <v>17379</v>
      </c>
      <c r="W1560" s="8">
        <v>17479</v>
      </c>
      <c r="X1560" s="13">
        <f t="shared" si="436"/>
        <v>100</v>
      </c>
      <c r="Y1560" s="8">
        <f t="shared" si="437"/>
        <v>54817</v>
      </c>
      <c r="Z1560" s="8">
        <v>54829</v>
      </c>
      <c r="AA1560" s="13">
        <f t="shared" si="445"/>
        <v>12</v>
      </c>
      <c r="AB1560" s="8">
        <f t="shared" si="439"/>
        <v>288316</v>
      </c>
      <c r="AC1560" s="8">
        <v>288421</v>
      </c>
      <c r="AD1560" s="13">
        <f t="shared" si="440"/>
        <v>105</v>
      </c>
      <c r="AE1560" s="135">
        <f t="shared" si="423"/>
        <v>13470</v>
      </c>
      <c r="AF1560" s="135">
        <v>13470</v>
      </c>
      <c r="AG1560" s="135">
        <f t="shared" si="441"/>
        <v>0</v>
      </c>
      <c r="AH1560" s="136">
        <f t="shared" si="442"/>
        <v>105</v>
      </c>
      <c r="AI1560" s="50">
        <f t="shared" si="443"/>
        <v>1419</v>
      </c>
    </row>
    <row r="1561" spans="1:35">
      <c r="A1561" s="12">
        <v>45936</v>
      </c>
      <c r="B1561" s="8">
        <f t="shared" si="424"/>
        <v>2237790</v>
      </c>
      <c r="C1561" s="8">
        <v>2238381</v>
      </c>
      <c r="D1561" s="13">
        <f t="shared" si="425"/>
        <v>591</v>
      </c>
      <c r="E1561" s="77">
        <f t="shared" si="426"/>
        <v>317221</v>
      </c>
      <c r="F1561" s="69">
        <v>317949</v>
      </c>
      <c r="G1561" s="133">
        <f t="shared" si="427"/>
        <v>728</v>
      </c>
      <c r="H1561" s="8">
        <f t="shared" si="428"/>
        <v>408271</v>
      </c>
      <c r="I1561" s="8">
        <v>408271</v>
      </c>
      <c r="J1561" s="13">
        <f t="shared" si="429"/>
        <v>0</v>
      </c>
      <c r="K1561" s="138">
        <f t="shared" si="430"/>
        <v>1319</v>
      </c>
      <c r="L1561" s="8">
        <f t="shared" si="431"/>
        <v>1511120</v>
      </c>
      <c r="M1561" s="8">
        <v>1512122</v>
      </c>
      <c r="N1561" s="13">
        <f t="shared" si="432"/>
        <v>1002</v>
      </c>
      <c r="O1561" s="136">
        <f t="shared" si="444"/>
        <v>787</v>
      </c>
      <c r="P1561" s="8">
        <f t="shared" si="421"/>
        <v>51716</v>
      </c>
      <c r="Q1561" s="8">
        <v>52304</v>
      </c>
      <c r="R1561" s="134">
        <f t="shared" si="422"/>
        <v>588</v>
      </c>
      <c r="S1561" s="8">
        <f t="shared" si="433"/>
        <v>66641</v>
      </c>
      <c r="T1561" s="8">
        <v>66700</v>
      </c>
      <c r="U1561" s="133">
        <f t="shared" si="434"/>
        <v>59</v>
      </c>
      <c r="V1561" s="8">
        <f t="shared" si="435"/>
        <v>17479</v>
      </c>
      <c r="W1561" s="8">
        <v>17632</v>
      </c>
      <c r="X1561" s="13">
        <f t="shared" si="436"/>
        <v>153</v>
      </c>
      <c r="Y1561" s="8">
        <f t="shared" si="437"/>
        <v>54829</v>
      </c>
      <c r="Z1561" s="8">
        <v>54848</v>
      </c>
      <c r="AA1561" s="13">
        <f t="shared" si="445"/>
        <v>19</v>
      </c>
      <c r="AB1561" s="8">
        <f t="shared" si="439"/>
        <v>288421</v>
      </c>
      <c r="AC1561" s="8">
        <v>288536</v>
      </c>
      <c r="AD1561" s="13">
        <f t="shared" si="440"/>
        <v>115</v>
      </c>
      <c r="AE1561" s="135">
        <f t="shared" si="423"/>
        <v>13470</v>
      </c>
      <c r="AF1561" s="135">
        <v>13470</v>
      </c>
      <c r="AG1561" s="135">
        <f t="shared" si="441"/>
        <v>0</v>
      </c>
      <c r="AH1561" s="136">
        <f t="shared" si="442"/>
        <v>115</v>
      </c>
      <c r="AI1561" s="50">
        <f t="shared" si="443"/>
        <v>1606</v>
      </c>
    </row>
    <row r="1562" spans="1:35">
      <c r="A1562" s="12">
        <v>45937</v>
      </c>
      <c r="B1562" s="8">
        <f t="shared" si="424"/>
        <v>2238381</v>
      </c>
      <c r="C1562" s="8">
        <v>2239103</v>
      </c>
      <c r="D1562" s="13">
        <f t="shared" si="425"/>
        <v>722</v>
      </c>
      <c r="E1562" s="77">
        <f t="shared" si="426"/>
        <v>317949</v>
      </c>
      <c r="F1562" s="69">
        <v>318679</v>
      </c>
      <c r="G1562" s="133">
        <f t="shared" si="427"/>
        <v>730</v>
      </c>
      <c r="H1562" s="8">
        <f t="shared" si="428"/>
        <v>408271</v>
      </c>
      <c r="I1562" s="8">
        <v>408271</v>
      </c>
      <c r="J1562" s="13">
        <f t="shared" si="429"/>
        <v>0</v>
      </c>
      <c r="K1562" s="138">
        <f t="shared" si="430"/>
        <v>1452</v>
      </c>
      <c r="L1562" s="8">
        <f t="shared" si="431"/>
        <v>1512122</v>
      </c>
      <c r="M1562" s="8">
        <v>1513202</v>
      </c>
      <c r="N1562" s="13">
        <f t="shared" si="432"/>
        <v>1080</v>
      </c>
      <c r="O1562" s="136">
        <f t="shared" si="444"/>
        <v>1057</v>
      </c>
      <c r="P1562" s="8">
        <f t="shared" si="421"/>
        <v>52304</v>
      </c>
      <c r="Q1562" s="8">
        <v>52816</v>
      </c>
      <c r="R1562" s="134">
        <f t="shared" si="422"/>
        <v>512</v>
      </c>
      <c r="S1562" s="8">
        <f t="shared" si="433"/>
        <v>66700</v>
      </c>
      <c r="T1562" s="8">
        <v>66731</v>
      </c>
      <c r="U1562" s="133">
        <f t="shared" si="434"/>
        <v>31</v>
      </c>
      <c r="V1562" s="8">
        <f t="shared" si="435"/>
        <v>17632</v>
      </c>
      <c r="W1562" s="8">
        <v>17765</v>
      </c>
      <c r="X1562" s="13">
        <f t="shared" si="436"/>
        <v>133</v>
      </c>
      <c r="Y1562" s="8">
        <f t="shared" si="437"/>
        <v>54848</v>
      </c>
      <c r="Z1562" s="8">
        <v>54870</v>
      </c>
      <c r="AA1562" s="13">
        <f t="shared" si="445"/>
        <v>22</v>
      </c>
      <c r="AB1562" s="8">
        <f t="shared" si="439"/>
        <v>288536</v>
      </c>
      <c r="AC1562" s="8">
        <v>288684</v>
      </c>
      <c r="AD1562" s="13">
        <f t="shared" si="440"/>
        <v>148</v>
      </c>
      <c r="AE1562" s="135">
        <f t="shared" si="423"/>
        <v>13470</v>
      </c>
      <c r="AF1562" s="135">
        <v>13470</v>
      </c>
      <c r="AG1562" s="135">
        <f t="shared" si="441"/>
        <v>0</v>
      </c>
      <c r="AH1562" s="136">
        <f t="shared" si="442"/>
        <v>148</v>
      </c>
      <c r="AI1562" s="50">
        <f t="shared" si="443"/>
        <v>1755</v>
      </c>
    </row>
    <row r="1563" spans="1:35">
      <c r="A1563" s="12">
        <v>45938</v>
      </c>
      <c r="B1563" s="8">
        <f t="shared" si="424"/>
        <v>2239103</v>
      </c>
      <c r="C1563" s="8">
        <v>2239760</v>
      </c>
      <c r="D1563" s="13">
        <f t="shared" si="425"/>
        <v>657</v>
      </c>
      <c r="E1563" s="77">
        <f t="shared" si="426"/>
        <v>318679</v>
      </c>
      <c r="F1563" s="69">
        <v>319460</v>
      </c>
      <c r="G1563" s="133">
        <f t="shared" si="427"/>
        <v>781</v>
      </c>
      <c r="H1563" s="8">
        <f>I1562</f>
        <v>408271</v>
      </c>
      <c r="I1563" s="8">
        <v>408271</v>
      </c>
      <c r="J1563" s="13">
        <f t="shared" si="429"/>
        <v>0</v>
      </c>
      <c r="K1563" s="138">
        <f t="shared" si="430"/>
        <v>1438</v>
      </c>
      <c r="L1563" s="8">
        <f t="shared" si="431"/>
        <v>1513202</v>
      </c>
      <c r="M1563" s="8">
        <v>1514212</v>
      </c>
      <c r="N1563" s="13">
        <f t="shared" si="432"/>
        <v>1010</v>
      </c>
      <c r="O1563" s="136">
        <f t="shared" si="444"/>
        <v>1077</v>
      </c>
      <c r="P1563" s="8">
        <f t="shared" si="421"/>
        <v>52816</v>
      </c>
      <c r="Q1563" s="8">
        <v>53288</v>
      </c>
      <c r="R1563" s="134">
        <f t="shared" si="422"/>
        <v>472</v>
      </c>
      <c r="S1563" s="8">
        <f t="shared" si="433"/>
        <v>66731</v>
      </c>
      <c r="T1563" s="8">
        <v>66764</v>
      </c>
      <c r="U1563" s="133">
        <f t="shared" si="434"/>
        <v>33</v>
      </c>
      <c r="V1563" s="8">
        <f t="shared" si="435"/>
        <v>17765</v>
      </c>
      <c r="W1563" s="8">
        <v>17939</v>
      </c>
      <c r="X1563" s="13">
        <f t="shared" si="436"/>
        <v>174</v>
      </c>
      <c r="Y1563" s="8">
        <f t="shared" si="437"/>
        <v>54870</v>
      </c>
      <c r="Z1563" s="8">
        <v>54898</v>
      </c>
      <c r="AA1563" s="13">
        <f t="shared" si="445"/>
        <v>28</v>
      </c>
      <c r="AB1563" s="8">
        <f t="shared" si="439"/>
        <v>288684</v>
      </c>
      <c r="AC1563" s="8">
        <v>288828</v>
      </c>
      <c r="AD1563" s="13">
        <f t="shared" si="440"/>
        <v>144</v>
      </c>
      <c r="AE1563" s="135">
        <f t="shared" si="423"/>
        <v>13470</v>
      </c>
      <c r="AF1563" s="135">
        <v>13470</v>
      </c>
      <c r="AG1563" s="135">
        <f t="shared" si="441"/>
        <v>0</v>
      </c>
      <c r="AH1563" s="136">
        <f t="shared" si="442"/>
        <v>144</v>
      </c>
      <c r="AI1563" s="50">
        <f t="shared" si="443"/>
        <v>1784</v>
      </c>
    </row>
    <row r="1564" spans="1:35">
      <c r="A1564" s="12">
        <v>45939</v>
      </c>
      <c r="B1564" s="8">
        <f t="shared" si="424"/>
        <v>2239760</v>
      </c>
      <c r="C1564" s="8">
        <v>2240155</v>
      </c>
      <c r="D1564" s="13">
        <f t="shared" si="425"/>
        <v>395</v>
      </c>
      <c r="E1564" s="77">
        <f t="shared" si="426"/>
        <v>319460</v>
      </c>
      <c r="F1564" s="69">
        <v>320215</v>
      </c>
      <c r="G1564" s="133">
        <f>F1564-E1564</f>
        <v>755</v>
      </c>
      <c r="H1564" s="8">
        <f>I1563</f>
        <v>408271</v>
      </c>
      <c r="I1564" s="8">
        <v>408271</v>
      </c>
      <c r="J1564" s="13">
        <f t="shared" si="429"/>
        <v>0</v>
      </c>
      <c r="K1564" s="138">
        <f t="shared" si="430"/>
        <v>1150</v>
      </c>
      <c r="L1564" s="8">
        <f t="shared" si="431"/>
        <v>1514212</v>
      </c>
      <c r="M1564" s="8">
        <v>1515244</v>
      </c>
      <c r="N1564" s="13">
        <f t="shared" si="432"/>
        <v>1032</v>
      </c>
      <c r="O1564" s="136">
        <f t="shared" si="444"/>
        <v>685</v>
      </c>
      <c r="P1564" s="8">
        <f t="shared" ref="P1564:P1590" si="446">Q1563</f>
        <v>53288</v>
      </c>
      <c r="Q1564" s="8">
        <v>53830</v>
      </c>
      <c r="R1564" s="134">
        <f t="shared" si="422"/>
        <v>542</v>
      </c>
      <c r="S1564" s="8">
        <f t="shared" si="433"/>
        <v>66764</v>
      </c>
      <c r="T1564" s="8">
        <v>66808</v>
      </c>
      <c r="U1564" s="133">
        <f t="shared" si="434"/>
        <v>44</v>
      </c>
      <c r="V1564" s="8">
        <f t="shared" si="435"/>
        <v>17939</v>
      </c>
      <c r="W1564" s="8">
        <v>18104</v>
      </c>
      <c r="X1564" s="13">
        <f t="shared" si="436"/>
        <v>165</v>
      </c>
      <c r="Y1564" s="8">
        <f t="shared" si="437"/>
        <v>54898</v>
      </c>
      <c r="Z1564" s="8">
        <v>54925</v>
      </c>
      <c r="AA1564" s="13">
        <f t="shared" si="445"/>
        <v>27</v>
      </c>
      <c r="AB1564" s="8">
        <f t="shared" si="439"/>
        <v>288828</v>
      </c>
      <c r="AC1564" s="8">
        <v>288949</v>
      </c>
      <c r="AD1564" s="13">
        <f t="shared" si="440"/>
        <v>121</v>
      </c>
      <c r="AE1564" s="135">
        <f t="shared" si="423"/>
        <v>13470</v>
      </c>
      <c r="AF1564" s="135">
        <v>13470</v>
      </c>
      <c r="AG1564" s="135">
        <f t="shared" si="441"/>
        <v>0</v>
      </c>
      <c r="AH1564" s="136">
        <f t="shared" si="442"/>
        <v>121</v>
      </c>
      <c r="AI1564" s="50">
        <f t="shared" si="443"/>
        <v>1463</v>
      </c>
    </row>
    <row r="1565" spans="1:35">
      <c r="A1565" s="12">
        <v>45940</v>
      </c>
      <c r="B1565" s="8">
        <f t="shared" si="424"/>
        <v>2240155</v>
      </c>
      <c r="C1565" s="8">
        <v>2240783</v>
      </c>
      <c r="D1565" s="13">
        <f t="shared" si="425"/>
        <v>628</v>
      </c>
      <c r="E1565" s="77">
        <f t="shared" si="426"/>
        <v>320215</v>
      </c>
      <c r="F1565" s="69">
        <v>320918</v>
      </c>
      <c r="G1565" s="133">
        <f t="shared" si="427"/>
        <v>703</v>
      </c>
      <c r="H1565" s="8">
        <f t="shared" si="428"/>
        <v>408271</v>
      </c>
      <c r="I1565" s="8">
        <v>408271</v>
      </c>
      <c r="J1565" s="13">
        <f t="shared" si="429"/>
        <v>0</v>
      </c>
      <c r="K1565" s="138">
        <f t="shared" si="430"/>
        <v>1331</v>
      </c>
      <c r="L1565" s="8">
        <f t="shared" si="431"/>
        <v>1515244</v>
      </c>
      <c r="M1565" s="8">
        <v>1516274</v>
      </c>
      <c r="N1565" s="13">
        <f t="shared" si="432"/>
        <v>1030</v>
      </c>
      <c r="O1565" s="136">
        <f t="shared" si="444"/>
        <v>845</v>
      </c>
      <c r="P1565" s="8">
        <f t="shared" si="446"/>
        <v>53830</v>
      </c>
      <c r="Q1565" s="8">
        <v>54400</v>
      </c>
      <c r="R1565" s="134">
        <f t="shared" si="422"/>
        <v>570</v>
      </c>
      <c r="S1565" s="8">
        <f t="shared" si="433"/>
        <v>66808</v>
      </c>
      <c r="T1565" s="8">
        <v>66854</v>
      </c>
      <c r="U1565" s="133">
        <f t="shared" si="434"/>
        <v>46</v>
      </c>
      <c r="V1565" s="8">
        <f t="shared" si="435"/>
        <v>18104</v>
      </c>
      <c r="W1565" s="8">
        <v>18291</v>
      </c>
      <c r="X1565" s="13">
        <f t="shared" si="436"/>
        <v>187</v>
      </c>
      <c r="Y1565" s="8">
        <f t="shared" si="437"/>
        <v>54925</v>
      </c>
      <c r="Z1565" s="8">
        <v>54964</v>
      </c>
      <c r="AA1565" s="13">
        <f t="shared" si="445"/>
        <v>39</v>
      </c>
      <c r="AB1565" s="8">
        <f t="shared" si="439"/>
        <v>288949</v>
      </c>
      <c r="AC1565" s="8">
        <v>289079</v>
      </c>
      <c r="AD1565" s="13">
        <f t="shared" si="440"/>
        <v>130</v>
      </c>
      <c r="AE1565" s="135">
        <f t="shared" si="423"/>
        <v>13470</v>
      </c>
      <c r="AF1565" s="135">
        <v>13470</v>
      </c>
      <c r="AG1565" s="135">
        <f t="shared" si="441"/>
        <v>0</v>
      </c>
      <c r="AH1565" s="136">
        <f t="shared" si="442"/>
        <v>130</v>
      </c>
      <c r="AI1565" s="50">
        <f t="shared" si="443"/>
        <v>1687</v>
      </c>
    </row>
    <row r="1566" spans="1:35">
      <c r="A1566" s="12">
        <v>45941</v>
      </c>
      <c r="B1566" s="8">
        <f t="shared" si="424"/>
        <v>2240783</v>
      </c>
      <c r="C1566" s="8">
        <v>2241361</v>
      </c>
      <c r="D1566" s="13">
        <f t="shared" si="425"/>
        <v>578</v>
      </c>
      <c r="E1566" s="77">
        <f t="shared" si="426"/>
        <v>320918</v>
      </c>
      <c r="F1566" s="69">
        <v>321647</v>
      </c>
      <c r="G1566" s="133">
        <f t="shared" si="427"/>
        <v>729</v>
      </c>
      <c r="H1566" s="8">
        <f t="shared" si="428"/>
        <v>408271</v>
      </c>
      <c r="I1566" s="8">
        <v>408271</v>
      </c>
      <c r="J1566" s="13">
        <f t="shared" si="429"/>
        <v>0</v>
      </c>
      <c r="K1566" s="138">
        <f t="shared" si="430"/>
        <v>1307</v>
      </c>
      <c r="L1566" s="8">
        <f t="shared" si="431"/>
        <v>1516274</v>
      </c>
      <c r="M1566" s="8">
        <v>1517322</v>
      </c>
      <c r="N1566" s="13">
        <f t="shared" si="432"/>
        <v>1048</v>
      </c>
      <c r="O1566" s="136">
        <f t="shared" si="444"/>
        <v>823</v>
      </c>
      <c r="P1566" s="8">
        <f t="shared" si="446"/>
        <v>54400</v>
      </c>
      <c r="Q1566" s="8">
        <v>54991</v>
      </c>
      <c r="R1566" s="134">
        <f t="shared" si="422"/>
        <v>591</v>
      </c>
      <c r="S1566" s="8">
        <f t="shared" si="433"/>
        <v>66854</v>
      </c>
      <c r="T1566" s="8">
        <v>66906</v>
      </c>
      <c r="U1566" s="133">
        <f t="shared" si="434"/>
        <v>52</v>
      </c>
      <c r="V1566" s="8">
        <f t="shared" si="435"/>
        <v>18291</v>
      </c>
      <c r="W1566" s="8">
        <v>18472</v>
      </c>
      <c r="X1566" s="13">
        <f t="shared" si="436"/>
        <v>181</v>
      </c>
      <c r="Y1566" s="8">
        <f t="shared" si="437"/>
        <v>54964</v>
      </c>
      <c r="Z1566" s="8">
        <v>54991</v>
      </c>
      <c r="AA1566" s="13">
        <f t="shared" si="445"/>
        <v>27</v>
      </c>
      <c r="AB1566" s="8">
        <f t="shared" si="439"/>
        <v>289079</v>
      </c>
      <c r="AC1566" s="8">
        <v>289238</v>
      </c>
      <c r="AD1566" s="13">
        <f t="shared" si="440"/>
        <v>159</v>
      </c>
      <c r="AE1566" s="135">
        <f t="shared" si="423"/>
        <v>13470</v>
      </c>
      <c r="AF1566" s="135">
        <v>13470</v>
      </c>
      <c r="AG1566" s="135">
        <f t="shared" si="441"/>
        <v>0</v>
      </c>
      <c r="AH1566" s="136">
        <f t="shared" si="442"/>
        <v>159</v>
      </c>
      <c r="AI1566" s="50">
        <f t="shared" si="443"/>
        <v>1674</v>
      </c>
    </row>
    <row r="1567" spans="1:35">
      <c r="A1567" s="12">
        <v>45942</v>
      </c>
      <c r="B1567" s="8">
        <f t="shared" si="424"/>
        <v>2241361</v>
      </c>
      <c r="C1567" s="8">
        <v>2242201</v>
      </c>
      <c r="D1567" s="13">
        <f t="shared" si="425"/>
        <v>840</v>
      </c>
      <c r="E1567" s="77">
        <f t="shared" si="426"/>
        <v>321647</v>
      </c>
      <c r="F1567" s="69">
        <v>322428</v>
      </c>
      <c r="G1567" s="133">
        <f t="shared" si="427"/>
        <v>781</v>
      </c>
      <c r="H1567" s="8">
        <f t="shared" si="428"/>
        <v>408271</v>
      </c>
      <c r="I1567" s="8">
        <v>408271</v>
      </c>
      <c r="J1567" s="13">
        <f t="shared" si="429"/>
        <v>0</v>
      </c>
      <c r="K1567" s="138">
        <f t="shared" si="430"/>
        <v>1621</v>
      </c>
      <c r="L1567" s="8">
        <f t="shared" si="431"/>
        <v>1517322</v>
      </c>
      <c r="M1567" s="8">
        <v>1518346</v>
      </c>
      <c r="N1567" s="13">
        <f t="shared" si="432"/>
        <v>1024</v>
      </c>
      <c r="O1567" s="136">
        <f t="shared" si="444"/>
        <v>1175</v>
      </c>
      <c r="P1567" s="8">
        <f t="shared" si="446"/>
        <v>54991</v>
      </c>
      <c r="Q1567" s="8">
        <v>55594</v>
      </c>
      <c r="R1567" s="134">
        <f t="shared" si="422"/>
        <v>603</v>
      </c>
      <c r="S1567" s="8">
        <f t="shared" si="433"/>
        <v>66906</v>
      </c>
      <c r="T1567" s="8">
        <v>66937</v>
      </c>
      <c r="U1567" s="133">
        <f t="shared" si="434"/>
        <v>31</v>
      </c>
      <c r="V1567" s="8">
        <f t="shared" si="435"/>
        <v>18472</v>
      </c>
      <c r="W1567" s="8">
        <v>18638</v>
      </c>
      <c r="X1567" s="13">
        <f t="shared" si="436"/>
        <v>166</v>
      </c>
      <c r="Y1567" s="8">
        <f t="shared" si="437"/>
        <v>54991</v>
      </c>
      <c r="Z1567" s="8">
        <v>55012</v>
      </c>
      <c r="AA1567" s="13">
        <f t="shared" si="445"/>
        <v>21</v>
      </c>
      <c r="AB1567" s="8">
        <f t="shared" si="439"/>
        <v>289238</v>
      </c>
      <c r="AC1567" s="8">
        <v>289426</v>
      </c>
      <c r="AD1567" s="13">
        <f t="shared" si="440"/>
        <v>188</v>
      </c>
      <c r="AE1567" s="135">
        <f t="shared" si="423"/>
        <v>13470</v>
      </c>
      <c r="AF1567" s="135">
        <v>13470</v>
      </c>
      <c r="AG1567" s="135">
        <f t="shared" si="441"/>
        <v>0</v>
      </c>
      <c r="AH1567" s="136">
        <f t="shared" si="442"/>
        <v>188</v>
      </c>
      <c r="AI1567" s="50">
        <f t="shared" si="443"/>
        <v>1996</v>
      </c>
    </row>
    <row r="1568" spans="1:35">
      <c r="A1568" s="12">
        <v>45943</v>
      </c>
      <c r="B1568" s="8">
        <f t="shared" si="424"/>
        <v>2242201</v>
      </c>
      <c r="C1568" s="8">
        <v>2242759</v>
      </c>
      <c r="D1568" s="13">
        <f t="shared" si="425"/>
        <v>558</v>
      </c>
      <c r="E1568" s="77">
        <f t="shared" si="426"/>
        <v>322428</v>
      </c>
      <c r="F1568" s="69">
        <v>323185</v>
      </c>
      <c r="G1568" s="133">
        <f t="shared" si="427"/>
        <v>757</v>
      </c>
      <c r="H1568" s="8">
        <f t="shared" si="428"/>
        <v>408271</v>
      </c>
      <c r="I1568" s="8">
        <v>408271</v>
      </c>
      <c r="J1568" s="13">
        <f t="shared" si="429"/>
        <v>0</v>
      </c>
      <c r="K1568" s="138">
        <f t="shared" si="430"/>
        <v>1315</v>
      </c>
      <c r="L1568" s="8">
        <f t="shared" si="431"/>
        <v>1518346</v>
      </c>
      <c r="M1568" s="8">
        <v>1519595</v>
      </c>
      <c r="N1568" s="13">
        <f t="shared" si="432"/>
        <v>1249</v>
      </c>
      <c r="O1568" s="136">
        <f t="shared" si="444"/>
        <v>796</v>
      </c>
      <c r="P1568" s="8">
        <f t="shared" si="446"/>
        <v>55594</v>
      </c>
      <c r="Q1568" s="8">
        <v>56172</v>
      </c>
      <c r="R1568" s="134">
        <f t="shared" si="422"/>
        <v>578</v>
      </c>
      <c r="S1568" s="8">
        <f t="shared" si="433"/>
        <v>66937</v>
      </c>
      <c r="T1568" s="8">
        <v>66993</v>
      </c>
      <c r="U1568" s="133">
        <f t="shared" si="434"/>
        <v>56</v>
      </c>
      <c r="V1568" s="8">
        <f t="shared" si="435"/>
        <v>18638</v>
      </c>
      <c r="W1568" s="8">
        <v>18779</v>
      </c>
      <c r="X1568" s="13">
        <f t="shared" si="436"/>
        <v>141</v>
      </c>
      <c r="Y1568" s="8">
        <f t="shared" si="437"/>
        <v>55012</v>
      </c>
      <c r="Z1568" s="8">
        <v>55035</v>
      </c>
      <c r="AA1568" s="13">
        <f t="shared" si="445"/>
        <v>23</v>
      </c>
      <c r="AB1568" s="8">
        <f t="shared" si="439"/>
        <v>289426</v>
      </c>
      <c r="AC1568" s="8">
        <v>289541</v>
      </c>
      <c r="AD1568" s="13">
        <f t="shared" si="440"/>
        <v>115</v>
      </c>
      <c r="AE1568" s="135">
        <f t="shared" si="423"/>
        <v>13470</v>
      </c>
      <c r="AF1568" s="135">
        <v>13470</v>
      </c>
      <c r="AG1568" s="135">
        <f t="shared" si="441"/>
        <v>0</v>
      </c>
      <c r="AH1568" s="136">
        <f t="shared" si="442"/>
        <v>115</v>
      </c>
      <c r="AI1568" s="50">
        <f t="shared" si="443"/>
        <v>1594</v>
      </c>
    </row>
    <row r="1569" spans="1:35">
      <c r="A1569" s="12">
        <v>45944</v>
      </c>
      <c r="B1569" s="8">
        <f t="shared" si="424"/>
        <v>2242759</v>
      </c>
      <c r="C1569" s="8">
        <v>2243076</v>
      </c>
      <c r="D1569" s="13">
        <f t="shared" si="425"/>
        <v>317</v>
      </c>
      <c r="E1569" s="77">
        <f t="shared" si="426"/>
        <v>323185</v>
      </c>
      <c r="F1569" s="69">
        <v>323831</v>
      </c>
      <c r="G1569" s="133">
        <f t="shared" si="427"/>
        <v>646</v>
      </c>
      <c r="H1569" s="8">
        <f t="shared" si="428"/>
        <v>408271</v>
      </c>
      <c r="I1569" s="8">
        <v>408271</v>
      </c>
      <c r="J1569" s="13">
        <f t="shared" si="429"/>
        <v>0</v>
      </c>
      <c r="K1569" s="138">
        <f t="shared" si="430"/>
        <v>963</v>
      </c>
      <c r="L1569" s="8">
        <f t="shared" si="431"/>
        <v>1519595</v>
      </c>
      <c r="M1569" s="8">
        <v>1520416</v>
      </c>
      <c r="N1569" s="13">
        <f t="shared" si="432"/>
        <v>821</v>
      </c>
      <c r="O1569" s="136">
        <f t="shared" si="444"/>
        <v>517</v>
      </c>
      <c r="P1569" s="8">
        <f t="shared" si="446"/>
        <v>56172</v>
      </c>
      <c r="Q1569" s="8">
        <v>56801</v>
      </c>
      <c r="R1569" s="134">
        <f t="shared" si="422"/>
        <v>629</v>
      </c>
      <c r="S1569" s="8">
        <f t="shared" si="433"/>
        <v>66993</v>
      </c>
      <c r="T1569" s="8">
        <v>67023</v>
      </c>
      <c r="U1569" s="133">
        <f t="shared" si="434"/>
        <v>30</v>
      </c>
      <c r="V1569" s="8">
        <f t="shared" si="435"/>
        <v>18779</v>
      </c>
      <c r="W1569" s="8">
        <v>18937</v>
      </c>
      <c r="X1569" s="13">
        <f t="shared" si="436"/>
        <v>158</v>
      </c>
      <c r="Y1569" s="8">
        <f t="shared" si="437"/>
        <v>55035</v>
      </c>
      <c r="Z1569" s="8">
        <v>55051</v>
      </c>
      <c r="AA1569" s="13">
        <f t="shared" si="445"/>
        <v>16</v>
      </c>
      <c r="AB1569" s="8">
        <f t="shared" si="439"/>
        <v>289541</v>
      </c>
      <c r="AC1569" s="8">
        <v>289754</v>
      </c>
      <c r="AD1569" s="13">
        <f t="shared" si="440"/>
        <v>213</v>
      </c>
      <c r="AE1569" s="135">
        <f t="shared" si="423"/>
        <v>13470</v>
      </c>
      <c r="AF1569" s="135">
        <v>13470</v>
      </c>
      <c r="AG1569" s="135">
        <f t="shared" si="441"/>
        <v>0</v>
      </c>
      <c r="AH1569" s="136">
        <f t="shared" si="442"/>
        <v>213</v>
      </c>
      <c r="AI1569" s="50">
        <f t="shared" si="443"/>
        <v>1350</v>
      </c>
    </row>
    <row r="1570" spans="1:35">
      <c r="A1570" s="12">
        <v>45945</v>
      </c>
      <c r="B1570" s="8">
        <f t="shared" si="424"/>
        <v>2243076</v>
      </c>
      <c r="C1570" s="8">
        <v>2243744</v>
      </c>
      <c r="D1570" s="13">
        <f t="shared" si="425"/>
        <v>668</v>
      </c>
      <c r="E1570" s="77">
        <f t="shared" si="426"/>
        <v>323831</v>
      </c>
      <c r="F1570" s="69">
        <v>324605</v>
      </c>
      <c r="G1570" s="133">
        <f t="shared" si="427"/>
        <v>774</v>
      </c>
      <c r="H1570" s="8">
        <f t="shared" si="428"/>
        <v>408271</v>
      </c>
      <c r="I1570" s="8">
        <v>408271</v>
      </c>
      <c r="J1570" s="13">
        <f t="shared" si="429"/>
        <v>0</v>
      </c>
      <c r="K1570" s="138">
        <f t="shared" si="430"/>
        <v>1442</v>
      </c>
      <c r="L1570" s="8">
        <f t="shared" si="431"/>
        <v>1520416</v>
      </c>
      <c r="M1570" s="8">
        <v>1521518</v>
      </c>
      <c r="N1570" s="13">
        <f t="shared" si="432"/>
        <v>1102</v>
      </c>
      <c r="O1570" s="136">
        <f t="shared" si="444"/>
        <v>988</v>
      </c>
      <c r="P1570" s="8">
        <f t="shared" si="446"/>
        <v>56801</v>
      </c>
      <c r="Q1570" s="8">
        <v>57428</v>
      </c>
      <c r="R1570" s="134">
        <f t="shared" si="422"/>
        <v>627</v>
      </c>
      <c r="S1570" s="8">
        <f t="shared" si="433"/>
        <v>67023</v>
      </c>
      <c r="T1570" s="8">
        <v>67064</v>
      </c>
      <c r="U1570" s="133">
        <f t="shared" si="434"/>
        <v>41</v>
      </c>
      <c r="V1570" s="8">
        <f t="shared" si="435"/>
        <v>18937</v>
      </c>
      <c r="W1570" s="8">
        <v>19149</v>
      </c>
      <c r="X1570" s="13">
        <f t="shared" si="436"/>
        <v>212</v>
      </c>
      <c r="Y1570" s="8">
        <f t="shared" si="437"/>
        <v>55051</v>
      </c>
      <c r="Z1570" s="8">
        <v>55075</v>
      </c>
      <c r="AA1570" s="13">
        <f t="shared" si="445"/>
        <v>24</v>
      </c>
      <c r="AB1570" s="8">
        <f t="shared" si="439"/>
        <v>289754</v>
      </c>
      <c r="AC1570" s="8">
        <v>289968</v>
      </c>
      <c r="AD1570" s="13">
        <f t="shared" si="440"/>
        <v>214</v>
      </c>
      <c r="AE1570" s="135">
        <f t="shared" si="423"/>
        <v>13470</v>
      </c>
      <c r="AF1570" s="135">
        <v>13470</v>
      </c>
      <c r="AG1570" s="135">
        <f t="shared" si="441"/>
        <v>0</v>
      </c>
      <c r="AH1570" s="136">
        <f t="shared" si="442"/>
        <v>214</v>
      </c>
      <c r="AI1570" s="50">
        <f t="shared" si="443"/>
        <v>1892</v>
      </c>
    </row>
    <row r="1571" spans="1:35">
      <c r="A1571" s="12">
        <v>45946</v>
      </c>
      <c r="B1571" s="8">
        <f t="shared" si="424"/>
        <v>2243744</v>
      </c>
      <c r="C1571" s="8">
        <v>2244151</v>
      </c>
      <c r="D1571" s="13">
        <f t="shared" si="425"/>
        <v>407</v>
      </c>
      <c r="E1571" s="77">
        <f t="shared" si="426"/>
        <v>324605</v>
      </c>
      <c r="F1571" s="69">
        <v>325340</v>
      </c>
      <c r="G1571" s="133">
        <f t="shared" si="427"/>
        <v>735</v>
      </c>
      <c r="H1571" s="8">
        <f t="shared" si="428"/>
        <v>408271</v>
      </c>
      <c r="I1571" s="8">
        <v>408271</v>
      </c>
      <c r="J1571" s="13">
        <f t="shared" si="429"/>
        <v>0</v>
      </c>
      <c r="K1571" s="138">
        <f t="shared" si="430"/>
        <v>1142</v>
      </c>
      <c r="L1571" s="8">
        <f t="shared" si="431"/>
        <v>1521518</v>
      </c>
      <c r="M1571" s="8">
        <v>1522556</v>
      </c>
      <c r="N1571" s="13">
        <f t="shared" si="432"/>
        <v>1038</v>
      </c>
      <c r="O1571" s="136">
        <f t="shared" si="444"/>
        <v>823</v>
      </c>
      <c r="P1571" s="8">
        <f t="shared" si="446"/>
        <v>57428</v>
      </c>
      <c r="Q1571" s="8">
        <v>57870</v>
      </c>
      <c r="R1571" s="134">
        <f t="shared" si="422"/>
        <v>442</v>
      </c>
      <c r="S1571" s="8">
        <f t="shared" si="433"/>
        <v>67064</v>
      </c>
      <c r="T1571" s="8">
        <v>67099</v>
      </c>
      <c r="U1571" s="133">
        <f t="shared" si="434"/>
        <v>35</v>
      </c>
      <c r="V1571" s="8">
        <f t="shared" si="435"/>
        <v>19149</v>
      </c>
      <c r="W1571" s="8">
        <v>19341</v>
      </c>
      <c r="X1571" s="13">
        <f t="shared" si="436"/>
        <v>192</v>
      </c>
      <c r="Y1571" s="8">
        <f t="shared" si="437"/>
        <v>55075</v>
      </c>
      <c r="Z1571" s="8">
        <v>55099</v>
      </c>
      <c r="AA1571" s="13">
        <f t="shared" si="445"/>
        <v>24</v>
      </c>
      <c r="AB1571" s="8">
        <f t="shared" si="439"/>
        <v>289968</v>
      </c>
      <c r="AC1571" s="8">
        <v>290126</v>
      </c>
      <c r="AD1571" s="13">
        <f t="shared" si="440"/>
        <v>158</v>
      </c>
      <c r="AE1571" s="135">
        <f t="shared" si="423"/>
        <v>13470</v>
      </c>
      <c r="AF1571" s="135">
        <v>13470</v>
      </c>
      <c r="AG1571" s="135">
        <f t="shared" si="441"/>
        <v>0</v>
      </c>
      <c r="AH1571" s="136">
        <f t="shared" si="442"/>
        <v>158</v>
      </c>
      <c r="AI1571" s="50">
        <f t="shared" si="443"/>
        <v>1516</v>
      </c>
    </row>
    <row r="1572" spans="1:35">
      <c r="A1572" s="12">
        <v>45947</v>
      </c>
      <c r="B1572" s="8">
        <f t="shared" si="424"/>
        <v>2244151</v>
      </c>
      <c r="C1572" s="8">
        <v>2244895</v>
      </c>
      <c r="D1572" s="13">
        <f t="shared" si="425"/>
        <v>744</v>
      </c>
      <c r="E1572" s="77">
        <f t="shared" si="426"/>
        <v>325340</v>
      </c>
      <c r="F1572" s="69">
        <v>326086</v>
      </c>
      <c r="G1572" s="133">
        <f t="shared" si="427"/>
        <v>746</v>
      </c>
      <c r="H1572" s="8">
        <f t="shared" si="428"/>
        <v>408271</v>
      </c>
      <c r="I1572" s="8">
        <v>408271</v>
      </c>
      <c r="J1572" s="13">
        <f t="shared" si="429"/>
        <v>0</v>
      </c>
      <c r="K1572" s="138">
        <f t="shared" si="430"/>
        <v>1490</v>
      </c>
      <c r="L1572" s="8">
        <f t="shared" si="431"/>
        <v>1522556</v>
      </c>
      <c r="M1572" s="8">
        <v>1523529</v>
      </c>
      <c r="N1572" s="13">
        <f t="shared" si="432"/>
        <v>973</v>
      </c>
      <c r="O1572" s="136">
        <f t="shared" si="444"/>
        <v>1067</v>
      </c>
      <c r="P1572" s="8">
        <f t="shared" si="446"/>
        <v>57870</v>
      </c>
      <c r="Q1572" s="8">
        <v>58368</v>
      </c>
      <c r="R1572" s="134">
        <f t="shared" si="422"/>
        <v>498</v>
      </c>
      <c r="S1572" s="8">
        <f t="shared" si="433"/>
        <v>67099</v>
      </c>
      <c r="T1572" s="8">
        <v>67184</v>
      </c>
      <c r="U1572" s="133">
        <f t="shared" si="434"/>
        <v>85</v>
      </c>
      <c r="V1572" s="8">
        <f>W1571</f>
        <v>19341</v>
      </c>
      <c r="W1572" s="8">
        <v>19490</v>
      </c>
      <c r="X1572" s="13">
        <f t="shared" si="436"/>
        <v>149</v>
      </c>
      <c r="Y1572" s="8">
        <f t="shared" si="437"/>
        <v>55099</v>
      </c>
      <c r="Z1572" s="8">
        <v>55125</v>
      </c>
      <c r="AA1572" s="13">
        <f t="shared" si="445"/>
        <v>26</v>
      </c>
      <c r="AB1572" s="8">
        <f t="shared" si="439"/>
        <v>290126</v>
      </c>
      <c r="AC1572" s="8">
        <v>290286</v>
      </c>
      <c r="AD1572" s="13">
        <f t="shared" si="440"/>
        <v>160</v>
      </c>
      <c r="AE1572" s="135">
        <f t="shared" si="423"/>
        <v>13470</v>
      </c>
      <c r="AF1572" s="135">
        <v>13470</v>
      </c>
      <c r="AG1572" s="135">
        <f t="shared" si="441"/>
        <v>0</v>
      </c>
      <c r="AH1572" s="136">
        <f t="shared" si="442"/>
        <v>160</v>
      </c>
      <c r="AI1572" s="50">
        <f t="shared" si="443"/>
        <v>1825</v>
      </c>
    </row>
    <row r="1573" spans="1:35">
      <c r="A1573" s="12">
        <v>45948</v>
      </c>
      <c r="B1573" s="8">
        <f t="shared" si="424"/>
        <v>2244895</v>
      </c>
      <c r="C1573" s="8">
        <v>2245635</v>
      </c>
      <c r="D1573" s="13">
        <f t="shared" si="425"/>
        <v>740</v>
      </c>
      <c r="E1573" s="77">
        <f t="shared" si="426"/>
        <v>326086</v>
      </c>
      <c r="F1573" s="69">
        <v>326864</v>
      </c>
      <c r="G1573" s="133">
        <f t="shared" si="427"/>
        <v>778</v>
      </c>
      <c r="H1573" s="8">
        <f t="shared" si="428"/>
        <v>408271</v>
      </c>
      <c r="I1573" s="8">
        <v>408271</v>
      </c>
      <c r="J1573" s="13">
        <f t="shared" si="429"/>
        <v>0</v>
      </c>
      <c r="K1573" s="138">
        <f t="shared" si="430"/>
        <v>1518</v>
      </c>
      <c r="L1573" s="8">
        <f t="shared" si="431"/>
        <v>1523529</v>
      </c>
      <c r="M1573" s="8">
        <v>1524541</v>
      </c>
      <c r="N1573" s="13">
        <f t="shared" si="432"/>
        <v>1012</v>
      </c>
      <c r="O1573" s="136">
        <f t="shared" si="444"/>
        <v>1333</v>
      </c>
      <c r="P1573" s="8">
        <f t="shared" si="446"/>
        <v>58368</v>
      </c>
      <c r="Q1573" s="8">
        <v>58600</v>
      </c>
      <c r="R1573" s="134">
        <f t="shared" si="422"/>
        <v>232</v>
      </c>
      <c r="S1573" s="8">
        <f t="shared" si="433"/>
        <v>67184</v>
      </c>
      <c r="T1573" s="8">
        <v>67259</v>
      </c>
      <c r="U1573" s="133">
        <f t="shared" si="434"/>
        <v>75</v>
      </c>
      <c r="V1573" s="8">
        <f t="shared" si="435"/>
        <v>19490</v>
      </c>
      <c r="W1573" s="8">
        <v>19688</v>
      </c>
      <c r="X1573" s="13">
        <f t="shared" si="436"/>
        <v>198</v>
      </c>
      <c r="Y1573" s="8">
        <f t="shared" si="437"/>
        <v>55125</v>
      </c>
      <c r="Z1573" s="8">
        <v>55147</v>
      </c>
      <c r="AA1573" s="13">
        <f t="shared" si="445"/>
        <v>22</v>
      </c>
      <c r="AB1573" s="8">
        <f t="shared" si="439"/>
        <v>290286</v>
      </c>
      <c r="AC1573" s="8">
        <v>290408</v>
      </c>
      <c r="AD1573" s="13">
        <f t="shared" si="440"/>
        <v>122</v>
      </c>
      <c r="AE1573" s="135">
        <f t="shared" si="423"/>
        <v>13470</v>
      </c>
      <c r="AF1573" s="135">
        <v>13470</v>
      </c>
      <c r="AG1573" s="135">
        <f t="shared" si="441"/>
        <v>0</v>
      </c>
      <c r="AH1573" s="136">
        <f t="shared" si="442"/>
        <v>122</v>
      </c>
      <c r="AI1573" s="50">
        <f t="shared" si="443"/>
        <v>1860</v>
      </c>
    </row>
    <row r="1574" spans="1:35">
      <c r="A1574" s="12">
        <v>45949</v>
      </c>
      <c r="B1574" s="8">
        <f t="shared" si="424"/>
        <v>2245635</v>
      </c>
      <c r="C1574" s="8">
        <v>2246301</v>
      </c>
      <c r="D1574" s="13">
        <f t="shared" si="425"/>
        <v>666</v>
      </c>
      <c r="E1574" s="77">
        <f t="shared" si="426"/>
        <v>326864</v>
      </c>
      <c r="F1574" s="69">
        <v>327543</v>
      </c>
      <c r="G1574" s="133">
        <f t="shared" si="427"/>
        <v>679</v>
      </c>
      <c r="H1574" s="8">
        <f t="shared" si="428"/>
        <v>408271</v>
      </c>
      <c r="I1574" s="8">
        <v>408271</v>
      </c>
      <c r="J1574" s="13">
        <f t="shared" si="429"/>
        <v>0</v>
      </c>
      <c r="K1574" s="138">
        <f t="shared" si="430"/>
        <v>1345</v>
      </c>
      <c r="L1574" s="8">
        <f t="shared" si="431"/>
        <v>1524541</v>
      </c>
      <c r="M1574" s="8">
        <v>1525386</v>
      </c>
      <c r="N1574" s="13">
        <f t="shared" si="432"/>
        <v>845</v>
      </c>
      <c r="O1574" s="136">
        <f t="shared" si="444"/>
        <v>588</v>
      </c>
      <c r="P1574" s="8">
        <f t="shared" si="446"/>
        <v>58600</v>
      </c>
      <c r="Q1574" s="8">
        <v>59448</v>
      </c>
      <c r="R1574" s="134">
        <f t="shared" si="422"/>
        <v>848</v>
      </c>
      <c r="S1574" s="8">
        <f t="shared" si="433"/>
        <v>67259</v>
      </c>
      <c r="T1574" s="8">
        <v>67298</v>
      </c>
      <c r="U1574" s="133">
        <f t="shared" si="434"/>
        <v>39</v>
      </c>
      <c r="V1574" s="8">
        <f t="shared" si="435"/>
        <v>19688</v>
      </c>
      <c r="W1574" s="8">
        <v>19899</v>
      </c>
      <c r="X1574" s="13">
        <f t="shared" si="436"/>
        <v>211</v>
      </c>
      <c r="Y1574" s="8">
        <f t="shared" si="437"/>
        <v>55147</v>
      </c>
      <c r="Z1574" s="8">
        <v>55165</v>
      </c>
      <c r="AA1574" s="13">
        <f t="shared" si="445"/>
        <v>18</v>
      </c>
      <c r="AB1574" s="8">
        <f t="shared" si="439"/>
        <v>290408</v>
      </c>
      <c r="AC1574" s="8">
        <v>290538</v>
      </c>
      <c r="AD1574" s="13">
        <f t="shared" si="440"/>
        <v>130</v>
      </c>
      <c r="AE1574" s="135">
        <f t="shared" si="423"/>
        <v>13470</v>
      </c>
      <c r="AF1574" s="135">
        <v>13470</v>
      </c>
      <c r="AG1574" s="135">
        <f t="shared" si="441"/>
        <v>0</v>
      </c>
      <c r="AH1574" s="136">
        <f t="shared" si="442"/>
        <v>130</v>
      </c>
      <c r="AI1574" s="50">
        <f t="shared" si="443"/>
        <v>1704</v>
      </c>
    </row>
    <row r="1575" spans="1:35">
      <c r="A1575" s="12">
        <v>45950</v>
      </c>
      <c r="B1575" s="8">
        <f t="shared" si="424"/>
        <v>2246301</v>
      </c>
      <c r="C1575" s="8">
        <v>2247138</v>
      </c>
      <c r="D1575" s="13">
        <f t="shared" si="425"/>
        <v>837</v>
      </c>
      <c r="E1575" s="77">
        <f t="shared" si="426"/>
        <v>327543</v>
      </c>
      <c r="F1575" s="69">
        <v>328314</v>
      </c>
      <c r="G1575" s="133">
        <f t="shared" si="427"/>
        <v>771</v>
      </c>
      <c r="H1575" s="8">
        <f t="shared" si="428"/>
        <v>408271</v>
      </c>
      <c r="I1575" s="8">
        <v>408271</v>
      </c>
      <c r="J1575" s="13">
        <f t="shared" si="429"/>
        <v>0</v>
      </c>
      <c r="K1575" s="138">
        <f t="shared" si="430"/>
        <v>1608</v>
      </c>
      <c r="L1575" s="8">
        <f t="shared" si="431"/>
        <v>1525386</v>
      </c>
      <c r="M1575" s="8">
        <v>1526555</v>
      </c>
      <c r="N1575" s="13">
        <f t="shared" si="432"/>
        <v>1169</v>
      </c>
      <c r="O1575" s="136">
        <f t="shared" si="444"/>
        <v>1119</v>
      </c>
      <c r="P1575" s="8">
        <f t="shared" si="446"/>
        <v>59448</v>
      </c>
      <c r="Q1575" s="8">
        <v>59998</v>
      </c>
      <c r="R1575" s="134">
        <f t="shared" si="422"/>
        <v>550</v>
      </c>
      <c r="S1575" s="8">
        <f t="shared" si="433"/>
        <v>67298</v>
      </c>
      <c r="T1575" s="8">
        <v>67365</v>
      </c>
      <c r="U1575" s="133">
        <f t="shared" si="434"/>
        <v>67</v>
      </c>
      <c r="V1575" s="8">
        <f t="shared" si="435"/>
        <v>19899</v>
      </c>
      <c r="W1575" s="8">
        <v>20151</v>
      </c>
      <c r="X1575" s="13">
        <f t="shared" si="436"/>
        <v>252</v>
      </c>
      <c r="Y1575" s="8">
        <f t="shared" si="437"/>
        <v>55165</v>
      </c>
      <c r="Z1575" s="8">
        <v>55185</v>
      </c>
      <c r="AA1575" s="13">
        <f t="shared" si="445"/>
        <v>20</v>
      </c>
      <c r="AB1575" s="8">
        <f t="shared" si="439"/>
        <v>290538</v>
      </c>
      <c r="AC1575" s="8">
        <v>290666</v>
      </c>
      <c r="AD1575" s="13">
        <f t="shared" si="440"/>
        <v>128</v>
      </c>
      <c r="AE1575" s="135">
        <f t="shared" si="423"/>
        <v>13470</v>
      </c>
      <c r="AF1575" s="135">
        <v>13470</v>
      </c>
      <c r="AG1575" s="135">
        <f t="shared" si="441"/>
        <v>0</v>
      </c>
      <c r="AH1575" s="136">
        <f t="shared" si="442"/>
        <v>128</v>
      </c>
      <c r="AI1575" s="50">
        <f t="shared" si="443"/>
        <v>2008</v>
      </c>
    </row>
    <row r="1576" spans="1:35">
      <c r="A1576" s="12">
        <v>45951</v>
      </c>
      <c r="B1576" s="8">
        <f t="shared" si="424"/>
        <v>2247138</v>
      </c>
      <c r="C1576" s="8">
        <v>2247589</v>
      </c>
      <c r="D1576" s="13">
        <f t="shared" si="425"/>
        <v>451</v>
      </c>
      <c r="E1576" s="77">
        <f t="shared" si="426"/>
        <v>328314</v>
      </c>
      <c r="F1576" s="69">
        <v>329067</v>
      </c>
      <c r="G1576" s="133">
        <f t="shared" si="427"/>
        <v>753</v>
      </c>
      <c r="H1576" s="8">
        <f t="shared" si="428"/>
        <v>408271</v>
      </c>
      <c r="I1576" s="8">
        <v>408271</v>
      </c>
      <c r="J1576" s="13">
        <f t="shared" si="429"/>
        <v>0</v>
      </c>
      <c r="K1576" s="138">
        <f t="shared" si="430"/>
        <v>1204</v>
      </c>
      <c r="L1576" s="8">
        <f t="shared" si="431"/>
        <v>1526555</v>
      </c>
      <c r="M1576" s="8">
        <v>1527608</v>
      </c>
      <c r="N1576" s="13">
        <f t="shared" si="432"/>
        <v>1053</v>
      </c>
      <c r="O1576" s="136">
        <f t="shared" si="444"/>
        <v>707</v>
      </c>
      <c r="P1576" s="8">
        <f t="shared" si="446"/>
        <v>59998</v>
      </c>
      <c r="Q1576" s="8">
        <v>60567</v>
      </c>
      <c r="R1576" s="134">
        <f t="shared" si="422"/>
        <v>569</v>
      </c>
      <c r="S1576" s="8">
        <f t="shared" si="433"/>
        <v>67365</v>
      </c>
      <c r="T1576" s="8">
        <v>67398</v>
      </c>
      <c r="U1576" s="133">
        <f t="shared" si="434"/>
        <v>33</v>
      </c>
      <c r="V1576" s="8">
        <f t="shared" si="435"/>
        <v>20151</v>
      </c>
      <c r="W1576" s="8">
        <v>20304</v>
      </c>
      <c r="X1576" s="13">
        <f t="shared" si="436"/>
        <v>153</v>
      </c>
      <c r="Y1576" s="8">
        <f t="shared" si="437"/>
        <v>55185</v>
      </c>
      <c r="Z1576" s="8">
        <v>55206</v>
      </c>
      <c r="AA1576" s="13">
        <f t="shared" si="445"/>
        <v>21</v>
      </c>
      <c r="AB1576" s="8">
        <f t="shared" si="439"/>
        <v>290666</v>
      </c>
      <c r="AC1576" s="8">
        <v>290771</v>
      </c>
      <c r="AD1576" s="13">
        <f t="shared" si="440"/>
        <v>105</v>
      </c>
      <c r="AE1576" s="135">
        <f t="shared" si="423"/>
        <v>13470</v>
      </c>
      <c r="AF1576" s="135">
        <v>13470</v>
      </c>
      <c r="AG1576" s="135">
        <f t="shared" si="441"/>
        <v>0</v>
      </c>
      <c r="AH1576" s="136">
        <f t="shared" si="442"/>
        <v>105</v>
      </c>
      <c r="AI1576" s="50">
        <f t="shared" si="443"/>
        <v>1483</v>
      </c>
    </row>
    <row r="1577" spans="1:35">
      <c r="A1577" s="12">
        <v>45952</v>
      </c>
      <c r="B1577" s="8">
        <f t="shared" si="424"/>
        <v>2247589</v>
      </c>
      <c r="C1577" s="8">
        <v>2248100</v>
      </c>
      <c r="D1577" s="13">
        <f t="shared" si="425"/>
        <v>511</v>
      </c>
      <c r="E1577" s="77">
        <f t="shared" si="426"/>
        <v>329067</v>
      </c>
      <c r="F1577" s="69">
        <v>329798</v>
      </c>
      <c r="G1577" s="133">
        <f t="shared" si="427"/>
        <v>731</v>
      </c>
      <c r="H1577" s="8">
        <f t="shared" si="428"/>
        <v>408271</v>
      </c>
      <c r="I1577" s="8">
        <v>408271</v>
      </c>
      <c r="J1577" s="13">
        <f t="shared" si="429"/>
        <v>0</v>
      </c>
      <c r="K1577" s="138">
        <f t="shared" si="430"/>
        <v>1242</v>
      </c>
      <c r="L1577" s="8">
        <f t="shared" si="431"/>
        <v>1527608</v>
      </c>
      <c r="M1577" s="8">
        <v>1528618</v>
      </c>
      <c r="N1577" s="13">
        <f t="shared" si="432"/>
        <v>1010</v>
      </c>
      <c r="O1577" s="136">
        <f t="shared" si="444"/>
        <v>746</v>
      </c>
      <c r="P1577" s="8">
        <f t="shared" si="446"/>
        <v>60567</v>
      </c>
      <c r="Q1577" s="8">
        <v>61120</v>
      </c>
      <c r="R1577" s="134">
        <f t="shared" si="422"/>
        <v>553</v>
      </c>
      <c r="S1577" s="8">
        <f t="shared" si="433"/>
        <v>67398</v>
      </c>
      <c r="T1577" s="8">
        <v>67445</v>
      </c>
      <c r="U1577" s="133">
        <f t="shared" si="434"/>
        <v>47</v>
      </c>
      <c r="V1577" s="8">
        <f t="shared" si="435"/>
        <v>20304</v>
      </c>
      <c r="W1577" s="8">
        <v>20461</v>
      </c>
      <c r="X1577" s="13">
        <f t="shared" si="436"/>
        <v>157</v>
      </c>
      <c r="Y1577" s="8">
        <f t="shared" si="437"/>
        <v>55206</v>
      </c>
      <c r="Z1577" s="8">
        <v>55224</v>
      </c>
      <c r="AA1577" s="13">
        <f t="shared" si="445"/>
        <v>18</v>
      </c>
      <c r="AB1577" s="8">
        <f t="shared" si="439"/>
        <v>290771</v>
      </c>
      <c r="AC1577" s="8">
        <v>290875</v>
      </c>
      <c r="AD1577" s="13">
        <f t="shared" si="440"/>
        <v>104</v>
      </c>
      <c r="AE1577" s="135">
        <f t="shared" si="423"/>
        <v>13470</v>
      </c>
      <c r="AF1577" s="135">
        <v>13470</v>
      </c>
      <c r="AG1577" s="135">
        <f t="shared" si="441"/>
        <v>0</v>
      </c>
      <c r="AH1577" s="136">
        <f t="shared" si="442"/>
        <v>104</v>
      </c>
      <c r="AI1577" s="50">
        <f t="shared" si="443"/>
        <v>1521</v>
      </c>
    </row>
    <row r="1578" spans="1:35">
      <c r="A1578" s="12">
        <v>45953</v>
      </c>
      <c r="B1578" s="8">
        <f t="shared" si="424"/>
        <v>2248100</v>
      </c>
      <c r="C1578" s="8">
        <v>2248492</v>
      </c>
      <c r="D1578" s="13">
        <f>C1578-B1578</f>
        <v>392</v>
      </c>
      <c r="E1578" s="77">
        <f t="shared" si="426"/>
        <v>329798</v>
      </c>
      <c r="F1578" s="69">
        <v>330533</v>
      </c>
      <c r="G1578" s="133">
        <f t="shared" si="427"/>
        <v>735</v>
      </c>
      <c r="H1578" s="8">
        <f t="shared" si="428"/>
        <v>408271</v>
      </c>
      <c r="I1578" s="8">
        <v>408271</v>
      </c>
      <c r="J1578" s="13">
        <f t="shared" si="429"/>
        <v>0</v>
      </c>
      <c r="K1578" s="138">
        <f t="shared" si="430"/>
        <v>1127</v>
      </c>
      <c r="L1578" s="8">
        <f t="shared" si="431"/>
        <v>1528618</v>
      </c>
      <c r="M1578" s="8">
        <v>1529658</v>
      </c>
      <c r="N1578" s="13">
        <f t="shared" si="432"/>
        <v>1040</v>
      </c>
      <c r="O1578" s="136">
        <f t="shared" si="444"/>
        <v>604</v>
      </c>
      <c r="P1578" s="8">
        <f t="shared" si="446"/>
        <v>61120</v>
      </c>
      <c r="Q1578" s="8">
        <v>61694</v>
      </c>
      <c r="R1578" s="134">
        <f t="shared" si="422"/>
        <v>574</v>
      </c>
      <c r="S1578" s="8">
        <f t="shared" si="433"/>
        <v>67445</v>
      </c>
      <c r="T1578" s="8">
        <v>67499</v>
      </c>
      <c r="U1578" s="133">
        <f t="shared" si="434"/>
        <v>54</v>
      </c>
      <c r="V1578" s="8">
        <f t="shared" si="435"/>
        <v>20461</v>
      </c>
      <c r="W1578" s="8">
        <v>20639</v>
      </c>
      <c r="X1578" s="13">
        <f t="shared" si="436"/>
        <v>178</v>
      </c>
      <c r="Y1578" s="8">
        <f t="shared" si="437"/>
        <v>55224</v>
      </c>
      <c r="Z1578" s="8">
        <v>55240</v>
      </c>
      <c r="AA1578" s="13">
        <f t="shared" si="445"/>
        <v>16</v>
      </c>
      <c r="AB1578" s="8">
        <f t="shared" si="439"/>
        <v>290875</v>
      </c>
      <c r="AC1578" s="8">
        <v>290980</v>
      </c>
      <c r="AD1578" s="13">
        <f t="shared" si="440"/>
        <v>105</v>
      </c>
      <c r="AE1578" s="135">
        <f t="shared" si="423"/>
        <v>13470</v>
      </c>
      <c r="AF1578" s="135">
        <v>13470</v>
      </c>
      <c r="AG1578" s="135">
        <f t="shared" si="441"/>
        <v>0</v>
      </c>
      <c r="AH1578" s="136">
        <f t="shared" si="442"/>
        <v>105</v>
      </c>
      <c r="AI1578" s="50">
        <f t="shared" si="443"/>
        <v>1426</v>
      </c>
    </row>
    <row r="1579" spans="1:35">
      <c r="A1579" s="12">
        <v>45954</v>
      </c>
      <c r="B1579" s="8">
        <f t="shared" si="424"/>
        <v>2248492</v>
      </c>
      <c r="C1579" s="8">
        <v>2249084</v>
      </c>
      <c r="D1579" s="13">
        <f t="shared" si="425"/>
        <v>592</v>
      </c>
      <c r="E1579" s="77">
        <f t="shared" si="426"/>
        <v>330533</v>
      </c>
      <c r="F1579" s="69">
        <v>331238</v>
      </c>
      <c r="G1579" s="133">
        <f t="shared" si="427"/>
        <v>705</v>
      </c>
      <c r="H1579" s="8">
        <f t="shared" si="428"/>
        <v>408271</v>
      </c>
      <c r="I1579" s="8">
        <v>408271</v>
      </c>
      <c r="J1579" s="13">
        <f t="shared" si="429"/>
        <v>0</v>
      </c>
      <c r="K1579" s="138">
        <f t="shared" si="430"/>
        <v>1297</v>
      </c>
      <c r="L1579" s="8">
        <f t="shared" si="431"/>
        <v>1529658</v>
      </c>
      <c r="M1579" s="8">
        <v>1530673</v>
      </c>
      <c r="N1579" s="13">
        <f t="shared" si="432"/>
        <v>1015</v>
      </c>
      <c r="O1579" s="136">
        <f t="shared" si="444"/>
        <v>896</v>
      </c>
      <c r="P1579" s="8">
        <f t="shared" si="446"/>
        <v>61694</v>
      </c>
      <c r="Q1579" s="8">
        <v>62252</v>
      </c>
      <c r="R1579" s="134">
        <f t="shared" si="422"/>
        <v>558</v>
      </c>
      <c r="S1579" s="8">
        <f t="shared" si="433"/>
        <v>67499</v>
      </c>
      <c r="T1579" s="8">
        <v>67519</v>
      </c>
      <c r="U1579" s="133">
        <f t="shared" si="434"/>
        <v>20</v>
      </c>
      <c r="V1579" s="8">
        <f t="shared" si="435"/>
        <v>20639</v>
      </c>
      <c r="W1579" s="8">
        <v>20798</v>
      </c>
      <c r="X1579" s="13">
        <f t="shared" si="436"/>
        <v>159</v>
      </c>
      <c r="Y1579" s="8">
        <f t="shared" si="437"/>
        <v>55240</v>
      </c>
      <c r="Z1579" s="8">
        <v>55259</v>
      </c>
      <c r="AA1579" s="13">
        <f t="shared" si="445"/>
        <v>19</v>
      </c>
      <c r="AB1579" s="8">
        <f t="shared" si="439"/>
        <v>290980</v>
      </c>
      <c r="AC1579" s="8">
        <v>291157</v>
      </c>
      <c r="AD1579" s="13">
        <f t="shared" si="440"/>
        <v>177</v>
      </c>
      <c r="AE1579" s="135">
        <f t="shared" si="423"/>
        <v>13470</v>
      </c>
      <c r="AF1579" s="135">
        <v>13470</v>
      </c>
      <c r="AG1579" s="135">
        <f t="shared" si="441"/>
        <v>0</v>
      </c>
      <c r="AH1579" s="136">
        <f t="shared" si="442"/>
        <v>177</v>
      </c>
      <c r="AI1579" s="50">
        <f t="shared" si="443"/>
        <v>1652</v>
      </c>
    </row>
    <row r="1580" spans="1:35">
      <c r="A1580" s="12">
        <v>45955</v>
      </c>
      <c r="B1580" s="8">
        <f t="shared" si="424"/>
        <v>2249084</v>
      </c>
      <c r="C1580" s="8">
        <v>2249817</v>
      </c>
      <c r="D1580" s="13">
        <f t="shared" si="425"/>
        <v>733</v>
      </c>
      <c r="E1580" s="77">
        <f t="shared" si="426"/>
        <v>331238</v>
      </c>
      <c r="F1580" s="69">
        <v>331974</v>
      </c>
      <c r="G1580" s="133">
        <f t="shared" si="427"/>
        <v>736</v>
      </c>
      <c r="H1580" s="8">
        <f t="shared" si="428"/>
        <v>408271</v>
      </c>
      <c r="I1580" s="8">
        <v>408271</v>
      </c>
      <c r="J1580" s="13">
        <f t="shared" si="429"/>
        <v>0</v>
      </c>
      <c r="K1580" s="138">
        <f t="shared" si="430"/>
        <v>1469</v>
      </c>
      <c r="L1580" s="8">
        <f t="shared" si="431"/>
        <v>1530673</v>
      </c>
      <c r="M1580" s="8">
        <v>1531694</v>
      </c>
      <c r="N1580" s="13">
        <f t="shared" si="432"/>
        <v>1021</v>
      </c>
      <c r="O1580" s="136">
        <f t="shared" si="444"/>
        <v>982</v>
      </c>
      <c r="P1580" s="8">
        <f t="shared" si="446"/>
        <v>62252</v>
      </c>
      <c r="Q1580" s="8">
        <v>62778</v>
      </c>
      <c r="R1580" s="134">
        <f t="shared" si="422"/>
        <v>526</v>
      </c>
      <c r="S1580" s="8">
        <f t="shared" si="433"/>
        <v>67519</v>
      </c>
      <c r="T1580" s="8">
        <v>67553</v>
      </c>
      <c r="U1580" s="133">
        <f t="shared" si="434"/>
        <v>34</v>
      </c>
      <c r="V1580" s="8">
        <f t="shared" si="435"/>
        <v>20798</v>
      </c>
      <c r="W1580" s="8">
        <v>20982</v>
      </c>
      <c r="X1580" s="13">
        <f t="shared" si="436"/>
        <v>184</v>
      </c>
      <c r="Y1580" s="8">
        <f t="shared" si="437"/>
        <v>55259</v>
      </c>
      <c r="Z1580" s="8">
        <v>55271</v>
      </c>
      <c r="AA1580" s="13">
        <f t="shared" si="445"/>
        <v>12</v>
      </c>
      <c r="AB1580" s="8">
        <f t="shared" si="439"/>
        <v>291157</v>
      </c>
      <c r="AC1580" s="8">
        <v>291230</v>
      </c>
      <c r="AD1580" s="13">
        <f t="shared" si="440"/>
        <v>73</v>
      </c>
      <c r="AE1580" s="135">
        <f t="shared" si="423"/>
        <v>13470</v>
      </c>
      <c r="AF1580" s="135">
        <v>13470</v>
      </c>
      <c r="AG1580" s="135">
        <f t="shared" si="441"/>
        <v>0</v>
      </c>
      <c r="AH1580" s="136">
        <f t="shared" si="442"/>
        <v>73</v>
      </c>
      <c r="AI1580" s="50">
        <f t="shared" si="443"/>
        <v>1738</v>
      </c>
    </row>
    <row r="1581" spans="1:35">
      <c r="A1581" s="12">
        <v>45956</v>
      </c>
      <c r="B1581" s="8">
        <f t="shared" si="424"/>
        <v>2249817</v>
      </c>
      <c r="C1581" s="8">
        <v>2250565</v>
      </c>
      <c r="D1581" s="13">
        <f t="shared" si="425"/>
        <v>748</v>
      </c>
      <c r="E1581" s="77">
        <f t="shared" si="426"/>
        <v>331974</v>
      </c>
      <c r="F1581" s="69">
        <v>332749</v>
      </c>
      <c r="G1581" s="133">
        <f t="shared" si="427"/>
        <v>775</v>
      </c>
      <c r="H1581" s="8">
        <f t="shared" si="428"/>
        <v>408271</v>
      </c>
      <c r="I1581" s="8">
        <v>408271</v>
      </c>
      <c r="J1581" s="13">
        <f t="shared" si="429"/>
        <v>0</v>
      </c>
      <c r="K1581" s="138">
        <f t="shared" si="430"/>
        <v>1523</v>
      </c>
      <c r="L1581" s="8">
        <f t="shared" si="431"/>
        <v>1531694</v>
      </c>
      <c r="M1581" s="8">
        <v>1532695</v>
      </c>
      <c r="N1581" s="13">
        <f t="shared" si="432"/>
        <v>1001</v>
      </c>
      <c r="O1581" s="136">
        <f t="shared" si="444"/>
        <v>960</v>
      </c>
      <c r="P1581" s="8">
        <f t="shared" si="446"/>
        <v>62778</v>
      </c>
      <c r="Q1581" s="8">
        <v>63401</v>
      </c>
      <c r="R1581" s="134">
        <f t="shared" si="422"/>
        <v>623</v>
      </c>
      <c r="S1581" s="8">
        <f t="shared" si="433"/>
        <v>67553</v>
      </c>
      <c r="T1581" s="8">
        <v>67587</v>
      </c>
      <c r="U1581" s="133">
        <f t="shared" si="434"/>
        <v>34</v>
      </c>
      <c r="V1581" s="8">
        <f t="shared" si="435"/>
        <v>20982</v>
      </c>
      <c r="W1581" s="8">
        <v>21123</v>
      </c>
      <c r="X1581" s="13">
        <f t="shared" si="436"/>
        <v>141</v>
      </c>
      <c r="Y1581" s="8">
        <f t="shared" si="437"/>
        <v>55271</v>
      </c>
      <c r="Z1581" s="8">
        <v>55279</v>
      </c>
      <c r="AA1581" s="13">
        <f t="shared" si="445"/>
        <v>8</v>
      </c>
      <c r="AB1581" s="8">
        <f t="shared" si="439"/>
        <v>291230</v>
      </c>
      <c r="AC1581" s="8">
        <v>291324</v>
      </c>
      <c r="AD1581" s="13">
        <f t="shared" si="440"/>
        <v>94</v>
      </c>
      <c r="AE1581" s="135">
        <f t="shared" si="423"/>
        <v>13470</v>
      </c>
      <c r="AF1581" s="135">
        <v>13470</v>
      </c>
      <c r="AG1581" s="135">
        <f t="shared" si="441"/>
        <v>0</v>
      </c>
      <c r="AH1581" s="136">
        <f t="shared" si="442"/>
        <v>94</v>
      </c>
      <c r="AI1581" s="50">
        <f t="shared" si="443"/>
        <v>1766</v>
      </c>
    </row>
    <row r="1582" spans="1:35">
      <c r="A1582" s="12">
        <v>45957</v>
      </c>
      <c r="B1582" s="8">
        <f t="shared" si="424"/>
        <v>2250565</v>
      </c>
      <c r="C1582" s="8">
        <v>2251090</v>
      </c>
      <c r="D1582" s="13">
        <f t="shared" si="425"/>
        <v>525</v>
      </c>
      <c r="E1582" s="77">
        <f t="shared" si="426"/>
        <v>332749</v>
      </c>
      <c r="F1582" s="69">
        <v>333489</v>
      </c>
      <c r="G1582" s="133">
        <f t="shared" si="427"/>
        <v>740</v>
      </c>
      <c r="H1582" s="8">
        <f t="shared" si="428"/>
        <v>408271</v>
      </c>
      <c r="I1582" s="8">
        <v>408271</v>
      </c>
      <c r="J1582" s="13">
        <f t="shared" si="429"/>
        <v>0</v>
      </c>
      <c r="K1582" s="138">
        <f t="shared" si="430"/>
        <v>1265</v>
      </c>
      <c r="L1582" s="8">
        <f t="shared" si="431"/>
        <v>1532695</v>
      </c>
      <c r="M1582" s="8">
        <v>1533733</v>
      </c>
      <c r="N1582" s="13">
        <f t="shared" si="432"/>
        <v>1038</v>
      </c>
      <c r="O1582" s="136">
        <f t="shared" si="444"/>
        <v>735</v>
      </c>
      <c r="P1582" s="8">
        <f t="shared" si="446"/>
        <v>63401</v>
      </c>
      <c r="Q1582" s="8">
        <v>63973</v>
      </c>
      <c r="R1582" s="134">
        <f t="shared" si="422"/>
        <v>572</v>
      </c>
      <c r="S1582" s="8">
        <f t="shared" si="433"/>
        <v>67587</v>
      </c>
      <c r="T1582" s="8">
        <v>67621</v>
      </c>
      <c r="U1582" s="133">
        <f t="shared" si="434"/>
        <v>34</v>
      </c>
      <c r="V1582" s="8">
        <f t="shared" si="435"/>
        <v>21123</v>
      </c>
      <c r="W1582" s="8">
        <v>21250</v>
      </c>
      <c r="X1582" s="13">
        <f t="shared" si="436"/>
        <v>127</v>
      </c>
      <c r="Y1582" s="8">
        <f t="shared" si="437"/>
        <v>55279</v>
      </c>
      <c r="Z1582" s="8">
        <v>55289</v>
      </c>
      <c r="AA1582" s="13">
        <f t="shared" si="445"/>
        <v>10</v>
      </c>
      <c r="AB1582" s="8">
        <f t="shared" si="439"/>
        <v>291324</v>
      </c>
      <c r="AC1582" s="8">
        <v>291400</v>
      </c>
      <c r="AD1582" s="13">
        <f t="shared" si="440"/>
        <v>76</v>
      </c>
      <c r="AE1582" s="135">
        <f t="shared" si="423"/>
        <v>13470</v>
      </c>
      <c r="AF1582" s="135">
        <v>13470</v>
      </c>
      <c r="AG1582" s="135">
        <f t="shared" si="441"/>
        <v>0</v>
      </c>
      <c r="AH1582" s="136">
        <f t="shared" si="442"/>
        <v>76</v>
      </c>
      <c r="AI1582" s="50">
        <f t="shared" si="443"/>
        <v>1478</v>
      </c>
    </row>
    <row r="1583" spans="1:35">
      <c r="A1583" s="12">
        <v>45958</v>
      </c>
      <c r="B1583" s="8">
        <f t="shared" si="424"/>
        <v>2251090</v>
      </c>
      <c r="C1583" s="8">
        <v>2251647</v>
      </c>
      <c r="D1583" s="13">
        <f t="shared" si="425"/>
        <v>557</v>
      </c>
      <c r="E1583" s="77">
        <f t="shared" si="426"/>
        <v>333489</v>
      </c>
      <c r="F1583" s="69">
        <v>334182</v>
      </c>
      <c r="G1583" s="133">
        <f t="shared" si="427"/>
        <v>693</v>
      </c>
      <c r="H1583" s="8">
        <f t="shared" si="428"/>
        <v>408271</v>
      </c>
      <c r="I1583" s="8">
        <v>408271</v>
      </c>
      <c r="J1583" s="13">
        <f t="shared" si="429"/>
        <v>0</v>
      </c>
      <c r="K1583" s="138">
        <f t="shared" si="430"/>
        <v>1250</v>
      </c>
      <c r="L1583" s="8">
        <f t="shared" si="431"/>
        <v>1533733</v>
      </c>
      <c r="M1583" s="8">
        <v>1534750</v>
      </c>
      <c r="N1583" s="13">
        <f t="shared" si="432"/>
        <v>1017</v>
      </c>
      <c r="O1583" s="136">
        <f t="shared" si="444"/>
        <v>822</v>
      </c>
      <c r="P1583" s="8">
        <f t="shared" si="446"/>
        <v>63973</v>
      </c>
      <c r="Q1583" s="8">
        <v>64539</v>
      </c>
      <c r="R1583" s="134">
        <f t="shared" si="422"/>
        <v>566</v>
      </c>
      <c r="S1583" s="8">
        <f t="shared" si="433"/>
        <v>67621</v>
      </c>
      <c r="T1583" s="8">
        <v>67647</v>
      </c>
      <c r="U1583" s="133">
        <f t="shared" si="434"/>
        <v>26</v>
      </c>
      <c r="V1583" s="8">
        <f t="shared" si="435"/>
        <v>21250</v>
      </c>
      <c r="W1583" s="8">
        <v>21397</v>
      </c>
      <c r="X1583" s="13">
        <f t="shared" si="436"/>
        <v>147</v>
      </c>
      <c r="Y1583" s="8">
        <f t="shared" si="437"/>
        <v>55289</v>
      </c>
      <c r="Z1583" s="8">
        <v>55300</v>
      </c>
      <c r="AA1583" s="13">
        <f t="shared" si="445"/>
        <v>11</v>
      </c>
      <c r="AB1583" s="8">
        <f t="shared" si="439"/>
        <v>291400</v>
      </c>
      <c r="AC1583" s="8">
        <v>291564</v>
      </c>
      <c r="AD1583" s="13">
        <f t="shared" si="440"/>
        <v>164</v>
      </c>
      <c r="AE1583" s="135">
        <f t="shared" si="423"/>
        <v>13470</v>
      </c>
      <c r="AF1583" s="135">
        <v>13470</v>
      </c>
      <c r="AG1583" s="135">
        <f t="shared" si="441"/>
        <v>0</v>
      </c>
      <c r="AH1583" s="136">
        <f t="shared" si="442"/>
        <v>164</v>
      </c>
      <c r="AI1583" s="50">
        <f t="shared" si="443"/>
        <v>1572</v>
      </c>
    </row>
    <row r="1584" spans="1:35">
      <c r="A1584" s="12">
        <v>45959</v>
      </c>
      <c r="B1584" s="8">
        <f t="shared" si="424"/>
        <v>2251647</v>
      </c>
      <c r="C1584" s="8">
        <v>2251940</v>
      </c>
      <c r="D1584" s="13">
        <f t="shared" si="425"/>
        <v>293</v>
      </c>
      <c r="E1584" s="77">
        <f t="shared" si="426"/>
        <v>334182</v>
      </c>
      <c r="F1584" s="69">
        <v>334847</v>
      </c>
      <c r="G1584" s="133">
        <f t="shared" si="427"/>
        <v>665</v>
      </c>
      <c r="H1584" s="8">
        <f t="shared" si="428"/>
        <v>408271</v>
      </c>
      <c r="I1584" s="8">
        <v>408271</v>
      </c>
      <c r="J1584" s="13">
        <f t="shared" si="429"/>
        <v>0</v>
      </c>
      <c r="K1584" s="138">
        <f t="shared" si="430"/>
        <v>958</v>
      </c>
      <c r="L1584" s="8">
        <f t="shared" si="431"/>
        <v>1534750</v>
      </c>
      <c r="M1584" s="8">
        <v>1535724</v>
      </c>
      <c r="N1584" s="13">
        <f t="shared" si="432"/>
        <v>974</v>
      </c>
      <c r="O1584" s="136">
        <f t="shared" si="444"/>
        <v>455</v>
      </c>
      <c r="P1584" s="8">
        <f t="shared" si="446"/>
        <v>64539</v>
      </c>
      <c r="Q1584" s="8">
        <v>65106</v>
      </c>
      <c r="R1584" s="134">
        <f t="shared" ref="R1584:R1589" si="447">Q1584-P1584</f>
        <v>567</v>
      </c>
      <c r="S1584" s="8">
        <f t="shared" si="433"/>
        <v>67647</v>
      </c>
      <c r="T1584" s="8">
        <v>67685</v>
      </c>
      <c r="U1584" s="133">
        <f t="shared" si="434"/>
        <v>38</v>
      </c>
      <c r="V1584" s="8">
        <f t="shared" si="435"/>
        <v>21397</v>
      </c>
      <c r="W1584" s="8">
        <v>21557</v>
      </c>
      <c r="X1584" s="13">
        <f t="shared" si="436"/>
        <v>160</v>
      </c>
      <c r="Y1584" s="8">
        <f t="shared" si="437"/>
        <v>55300</v>
      </c>
      <c r="Z1584" s="8">
        <v>55312</v>
      </c>
      <c r="AA1584" s="13">
        <f t="shared" si="445"/>
        <v>12</v>
      </c>
      <c r="AB1584" s="8">
        <f t="shared" si="439"/>
        <v>291564</v>
      </c>
      <c r="AC1584" s="8">
        <v>291666</v>
      </c>
      <c r="AD1584" s="13">
        <f t="shared" si="440"/>
        <v>102</v>
      </c>
      <c r="AE1584" s="135">
        <f t="shared" si="423"/>
        <v>13470</v>
      </c>
      <c r="AF1584" s="135">
        <v>13470</v>
      </c>
      <c r="AG1584" s="135">
        <f t="shared" si="441"/>
        <v>0</v>
      </c>
      <c r="AH1584" s="136">
        <f t="shared" si="442"/>
        <v>102</v>
      </c>
      <c r="AI1584" s="50">
        <f t="shared" si="443"/>
        <v>1232</v>
      </c>
    </row>
    <row r="1585" spans="1:35">
      <c r="A1585" s="12">
        <v>45960</v>
      </c>
      <c r="B1585" s="8">
        <f t="shared" si="424"/>
        <v>2251940</v>
      </c>
      <c r="C1585" s="8">
        <v>2252107</v>
      </c>
      <c r="D1585" s="13">
        <f t="shared" si="425"/>
        <v>167</v>
      </c>
      <c r="E1585" s="77">
        <f t="shared" si="426"/>
        <v>334847</v>
      </c>
      <c r="F1585" s="69">
        <v>335562</v>
      </c>
      <c r="G1585" s="133">
        <f t="shared" si="427"/>
        <v>715</v>
      </c>
      <c r="H1585" s="8">
        <f t="shared" si="428"/>
        <v>408271</v>
      </c>
      <c r="I1585" s="8">
        <v>408271</v>
      </c>
      <c r="J1585" s="13">
        <f t="shared" si="429"/>
        <v>0</v>
      </c>
      <c r="K1585" s="138">
        <f t="shared" si="430"/>
        <v>882</v>
      </c>
      <c r="L1585" s="8">
        <f t="shared" si="431"/>
        <v>1535724</v>
      </c>
      <c r="M1585" s="8">
        <v>1536669</v>
      </c>
      <c r="N1585" s="13">
        <f t="shared" si="432"/>
        <v>945</v>
      </c>
      <c r="O1585" s="136">
        <f t="shared" si="444"/>
        <v>344</v>
      </c>
      <c r="P1585" s="8">
        <f t="shared" si="446"/>
        <v>65106</v>
      </c>
      <c r="Q1585" s="8">
        <v>65643</v>
      </c>
      <c r="R1585" s="134">
        <f t="shared" si="447"/>
        <v>537</v>
      </c>
      <c r="S1585" s="8">
        <f t="shared" si="433"/>
        <v>67685</v>
      </c>
      <c r="T1585" s="8">
        <v>67774</v>
      </c>
      <c r="U1585" s="133">
        <f t="shared" si="434"/>
        <v>89</v>
      </c>
      <c r="V1585" s="8">
        <f t="shared" si="435"/>
        <v>21557</v>
      </c>
      <c r="W1585" s="8">
        <v>21692</v>
      </c>
      <c r="X1585" s="13">
        <f t="shared" si="436"/>
        <v>135</v>
      </c>
      <c r="Y1585" s="8">
        <f t="shared" si="437"/>
        <v>55312</v>
      </c>
      <c r="Z1585" s="8">
        <v>55322</v>
      </c>
      <c r="AA1585" s="13">
        <f t="shared" si="445"/>
        <v>10</v>
      </c>
      <c r="AB1585" s="8">
        <f t="shared" si="439"/>
        <v>291666</v>
      </c>
      <c r="AC1585" s="8">
        <v>291754</v>
      </c>
      <c r="AD1585" s="13">
        <f t="shared" si="440"/>
        <v>88</v>
      </c>
      <c r="AE1585" s="135">
        <f t="shared" si="423"/>
        <v>13470</v>
      </c>
      <c r="AF1585" s="135">
        <v>13470</v>
      </c>
      <c r="AG1585" s="135">
        <f t="shared" si="441"/>
        <v>0</v>
      </c>
      <c r="AH1585" s="136">
        <f t="shared" si="442"/>
        <v>88</v>
      </c>
      <c r="AI1585" s="50">
        <f t="shared" si="443"/>
        <v>1115</v>
      </c>
    </row>
    <row r="1586" spans="1:35">
      <c r="A1586" s="12">
        <v>45961</v>
      </c>
      <c r="B1586" s="8">
        <f t="shared" si="424"/>
        <v>2252107</v>
      </c>
      <c r="C1586" s="8">
        <v>2252195</v>
      </c>
      <c r="D1586" s="13">
        <f t="shared" si="425"/>
        <v>88</v>
      </c>
      <c r="E1586" s="77">
        <f t="shared" si="426"/>
        <v>335562</v>
      </c>
      <c r="F1586" s="69">
        <v>336316</v>
      </c>
      <c r="G1586" s="133">
        <f t="shared" si="427"/>
        <v>754</v>
      </c>
      <c r="H1586" s="8">
        <f t="shared" si="428"/>
        <v>408271</v>
      </c>
      <c r="I1586" s="8">
        <v>408271</v>
      </c>
      <c r="J1586" s="13">
        <f t="shared" si="429"/>
        <v>0</v>
      </c>
      <c r="K1586" s="138">
        <f t="shared" si="430"/>
        <v>842</v>
      </c>
      <c r="L1586" s="8">
        <f t="shared" si="431"/>
        <v>1536669</v>
      </c>
      <c r="M1586" s="8">
        <v>1537627</v>
      </c>
      <c r="N1586" s="13">
        <f t="shared" si="432"/>
        <v>958</v>
      </c>
      <c r="O1586" s="136">
        <f t="shared" si="444"/>
        <v>419</v>
      </c>
      <c r="P1586" s="8">
        <f t="shared" si="446"/>
        <v>65643</v>
      </c>
      <c r="Q1586" s="8">
        <v>66106</v>
      </c>
      <c r="R1586" s="134">
        <f t="shared" si="447"/>
        <v>463</v>
      </c>
      <c r="S1586" s="8">
        <f t="shared" si="433"/>
        <v>67774</v>
      </c>
      <c r="T1586" s="8">
        <v>67799</v>
      </c>
      <c r="U1586" s="133">
        <f t="shared" si="434"/>
        <v>25</v>
      </c>
      <c r="V1586" s="8">
        <f t="shared" si="435"/>
        <v>21692</v>
      </c>
      <c r="W1586" s="8">
        <v>21894</v>
      </c>
      <c r="X1586" s="13">
        <f t="shared" si="436"/>
        <v>202</v>
      </c>
      <c r="Y1586" s="8">
        <f t="shared" si="437"/>
        <v>55322</v>
      </c>
      <c r="Z1586" s="8">
        <v>55329</v>
      </c>
      <c r="AA1586" s="13">
        <f t="shared" si="445"/>
        <v>7</v>
      </c>
      <c r="AB1586" s="8">
        <f t="shared" si="439"/>
        <v>291754</v>
      </c>
      <c r="AC1586" s="8">
        <v>291819</v>
      </c>
      <c r="AD1586" s="13">
        <f t="shared" si="440"/>
        <v>65</v>
      </c>
      <c r="AE1586" s="135">
        <f t="shared" si="423"/>
        <v>13470</v>
      </c>
      <c r="AF1586" s="135">
        <v>13470</v>
      </c>
      <c r="AG1586" s="135">
        <f t="shared" si="441"/>
        <v>0</v>
      </c>
      <c r="AH1586" s="136">
        <f t="shared" si="442"/>
        <v>65</v>
      </c>
      <c r="AI1586" s="50">
        <f t="shared" si="443"/>
        <v>1116</v>
      </c>
    </row>
    <row r="1587" spans="1:35">
      <c r="A1587" s="12">
        <v>45962</v>
      </c>
      <c r="B1587" s="8">
        <f t="shared" si="424"/>
        <v>2252195</v>
      </c>
      <c r="C1587" s="8">
        <v>2252775</v>
      </c>
      <c r="D1587" s="13">
        <f t="shared" si="425"/>
        <v>580</v>
      </c>
      <c r="E1587" s="77">
        <f t="shared" si="426"/>
        <v>336316</v>
      </c>
      <c r="F1587" s="69">
        <v>337052</v>
      </c>
      <c r="G1587" s="133">
        <f t="shared" si="427"/>
        <v>736</v>
      </c>
      <c r="H1587" s="8">
        <f t="shared" si="428"/>
        <v>408271</v>
      </c>
      <c r="I1587" s="8">
        <v>408271</v>
      </c>
      <c r="J1587" s="13">
        <f t="shared" si="429"/>
        <v>0</v>
      </c>
      <c r="K1587" s="138">
        <f t="shared" si="430"/>
        <v>1316</v>
      </c>
      <c r="L1587" s="8">
        <f t="shared" si="431"/>
        <v>1537627</v>
      </c>
      <c r="M1587" s="8">
        <v>1538295</v>
      </c>
      <c r="N1587" s="13">
        <f t="shared" si="432"/>
        <v>668</v>
      </c>
      <c r="O1587" s="136">
        <f t="shared" si="444"/>
        <v>1039</v>
      </c>
      <c r="P1587" s="8">
        <f t="shared" si="446"/>
        <v>66106</v>
      </c>
      <c r="Q1587" s="8">
        <v>66452</v>
      </c>
      <c r="R1587" s="134">
        <f t="shared" si="447"/>
        <v>346</v>
      </c>
      <c r="S1587" s="8">
        <f t="shared" si="433"/>
        <v>67799</v>
      </c>
      <c r="T1587" s="8">
        <v>67834</v>
      </c>
      <c r="U1587" s="133">
        <f t="shared" si="434"/>
        <v>35</v>
      </c>
      <c r="V1587" s="8">
        <f t="shared" si="435"/>
        <v>21894</v>
      </c>
      <c r="W1587" s="8">
        <v>22074</v>
      </c>
      <c r="X1587" s="13">
        <f t="shared" si="436"/>
        <v>180</v>
      </c>
      <c r="Y1587" s="8">
        <f t="shared" si="437"/>
        <v>55329</v>
      </c>
      <c r="Z1587" s="8">
        <v>55345</v>
      </c>
      <c r="AA1587" s="13">
        <f t="shared" si="445"/>
        <v>16</v>
      </c>
      <c r="AB1587" s="8">
        <f t="shared" si="439"/>
        <v>291819</v>
      </c>
      <c r="AC1587" s="8">
        <v>291923</v>
      </c>
      <c r="AD1587" s="13">
        <f t="shared" si="440"/>
        <v>104</v>
      </c>
      <c r="AE1587" s="135">
        <f t="shared" si="423"/>
        <v>13470</v>
      </c>
      <c r="AF1587" s="135">
        <v>13470</v>
      </c>
      <c r="AG1587" s="135">
        <f t="shared" si="441"/>
        <v>0</v>
      </c>
      <c r="AH1587" s="136">
        <f t="shared" si="442"/>
        <v>104</v>
      </c>
      <c r="AI1587" s="50">
        <f t="shared" si="443"/>
        <v>1616</v>
      </c>
    </row>
    <row r="1588" spans="1:35">
      <c r="A1588" s="12">
        <v>45963</v>
      </c>
      <c r="B1588" s="8">
        <f t="shared" si="424"/>
        <v>2252775</v>
      </c>
      <c r="C1588" s="8">
        <v>2253587</v>
      </c>
      <c r="D1588" s="13">
        <f t="shared" si="425"/>
        <v>812</v>
      </c>
      <c r="E1588" s="77">
        <f t="shared" si="426"/>
        <v>337052</v>
      </c>
      <c r="F1588" s="69">
        <v>337815</v>
      </c>
      <c r="G1588" s="133">
        <f t="shared" si="427"/>
        <v>763</v>
      </c>
      <c r="H1588" s="8">
        <f t="shared" si="428"/>
        <v>408271</v>
      </c>
      <c r="I1588" s="8">
        <v>408271</v>
      </c>
      <c r="J1588" s="13">
        <f t="shared" si="429"/>
        <v>0</v>
      </c>
      <c r="K1588" s="138">
        <f t="shared" si="430"/>
        <v>1575</v>
      </c>
      <c r="L1588" s="8">
        <f t="shared" si="431"/>
        <v>1538295</v>
      </c>
      <c r="M1588" s="8">
        <v>1539208</v>
      </c>
      <c r="N1588" s="13">
        <f t="shared" si="432"/>
        <v>913</v>
      </c>
      <c r="O1588" s="136">
        <f t="shared" si="444"/>
        <v>1146</v>
      </c>
      <c r="P1588" s="8">
        <f t="shared" si="446"/>
        <v>66452</v>
      </c>
      <c r="Q1588" s="8">
        <v>66997</v>
      </c>
      <c r="R1588" s="134">
        <f t="shared" si="447"/>
        <v>545</v>
      </c>
      <c r="S1588" s="8">
        <f t="shared" si="433"/>
        <v>67834</v>
      </c>
      <c r="T1588" s="8">
        <v>67854</v>
      </c>
      <c r="U1588" s="133">
        <f t="shared" si="434"/>
        <v>20</v>
      </c>
      <c r="V1588" s="8">
        <f t="shared" si="435"/>
        <v>22074</v>
      </c>
      <c r="W1588" s="8">
        <v>22230</v>
      </c>
      <c r="X1588" s="13">
        <f t="shared" si="436"/>
        <v>156</v>
      </c>
      <c r="Y1588" s="8">
        <f t="shared" si="437"/>
        <v>55345</v>
      </c>
      <c r="Z1588" s="8">
        <v>55359</v>
      </c>
      <c r="AA1588" s="13">
        <f t="shared" si="445"/>
        <v>14</v>
      </c>
      <c r="AB1588" s="8">
        <f t="shared" si="439"/>
        <v>291923</v>
      </c>
      <c r="AC1588" s="8">
        <v>292059</v>
      </c>
      <c r="AD1588" s="13">
        <f t="shared" si="440"/>
        <v>136</v>
      </c>
      <c r="AE1588" s="135">
        <f t="shared" ref="AE1588:AE1594" si="448">AF1587</f>
        <v>13470</v>
      </c>
      <c r="AF1588" s="135">
        <v>13470</v>
      </c>
      <c r="AG1588" s="135">
        <f t="shared" si="441"/>
        <v>0</v>
      </c>
      <c r="AH1588" s="136">
        <f t="shared" si="442"/>
        <v>136</v>
      </c>
      <c r="AI1588" s="50">
        <f t="shared" si="443"/>
        <v>1881</v>
      </c>
    </row>
    <row r="1589" spans="1:35">
      <c r="A1589" s="12">
        <v>45964</v>
      </c>
      <c r="B1589" s="8">
        <f t="shared" si="424"/>
        <v>2253587</v>
      </c>
      <c r="C1589" s="8">
        <v>2254536</v>
      </c>
      <c r="D1589" s="13">
        <f t="shared" si="425"/>
        <v>949</v>
      </c>
      <c r="E1589" s="77">
        <f t="shared" si="426"/>
        <v>337815</v>
      </c>
      <c r="F1589" s="69">
        <v>338550</v>
      </c>
      <c r="G1589" s="133">
        <f t="shared" si="427"/>
        <v>735</v>
      </c>
      <c r="H1589" s="8">
        <f t="shared" si="428"/>
        <v>408271</v>
      </c>
      <c r="I1589" s="8">
        <v>408271</v>
      </c>
      <c r="J1589" s="13">
        <f t="shared" si="429"/>
        <v>0</v>
      </c>
      <c r="K1589" s="138">
        <f t="shared" si="430"/>
        <v>1684</v>
      </c>
      <c r="L1589" s="8">
        <f t="shared" si="431"/>
        <v>1539208</v>
      </c>
      <c r="M1589" s="8">
        <v>1540191</v>
      </c>
      <c r="N1589" s="13">
        <f t="shared" si="432"/>
        <v>983</v>
      </c>
      <c r="O1589" s="136">
        <f t="shared" si="444"/>
        <v>1235</v>
      </c>
      <c r="P1589" s="8">
        <f t="shared" si="446"/>
        <v>66997</v>
      </c>
      <c r="Q1589" s="8">
        <v>67578</v>
      </c>
      <c r="R1589" s="134">
        <f t="shared" si="447"/>
        <v>581</v>
      </c>
      <c r="S1589" s="8">
        <f t="shared" si="433"/>
        <v>67854</v>
      </c>
      <c r="T1589" s="8">
        <v>67854</v>
      </c>
      <c r="U1589" s="133">
        <f t="shared" si="434"/>
        <v>0</v>
      </c>
      <c r="V1589" s="8">
        <f t="shared" si="435"/>
        <v>22230</v>
      </c>
      <c r="W1589" s="8">
        <v>22380</v>
      </c>
      <c r="X1589" s="13">
        <f t="shared" si="436"/>
        <v>150</v>
      </c>
      <c r="Y1589" s="8">
        <f t="shared" si="437"/>
        <v>55359</v>
      </c>
      <c r="Z1589" s="8">
        <v>55385</v>
      </c>
      <c r="AA1589" s="13">
        <f t="shared" si="445"/>
        <v>26</v>
      </c>
      <c r="AB1589" s="8">
        <f t="shared" si="439"/>
        <v>292059</v>
      </c>
      <c r="AC1589" s="8">
        <v>292191</v>
      </c>
      <c r="AD1589" s="13">
        <f t="shared" si="440"/>
        <v>132</v>
      </c>
      <c r="AE1589" s="135">
        <f t="shared" si="448"/>
        <v>13470</v>
      </c>
      <c r="AF1589" s="135">
        <v>13470</v>
      </c>
      <c r="AG1589" s="135">
        <f t="shared" si="441"/>
        <v>0</v>
      </c>
      <c r="AH1589" s="136">
        <f t="shared" si="442"/>
        <v>132</v>
      </c>
      <c r="AI1589" s="50">
        <f t="shared" si="443"/>
        <v>1992</v>
      </c>
    </row>
    <row r="1590" spans="1:35">
      <c r="A1590" s="12">
        <v>45965</v>
      </c>
      <c r="B1590" s="8">
        <f>C1589</f>
        <v>2254536</v>
      </c>
      <c r="D1590" s="13">
        <f>C1590-B1590</f>
        <v>-2254536</v>
      </c>
      <c r="E1590" s="77">
        <f>F1589</f>
        <v>338550</v>
      </c>
      <c r="G1590" s="133">
        <f>F1590-E1590</f>
        <v>-338550</v>
      </c>
      <c r="H1590" s="8">
        <f>I1589</f>
        <v>408271</v>
      </c>
      <c r="J1590" s="13">
        <f>I1590-H1590</f>
        <v>-408271</v>
      </c>
      <c r="K1590" s="138">
        <f>J1590+G1590+D1590</f>
        <v>-3001357</v>
      </c>
      <c r="L1590" s="8">
        <f>M1589</f>
        <v>1540191</v>
      </c>
      <c r="N1590" s="13">
        <f>M1590-L1590</f>
        <v>-1540191</v>
      </c>
      <c r="O1590" s="136" t="e">
        <f t="shared" si="444"/>
        <v>#VALUE!</v>
      </c>
      <c r="P1590" s="8">
        <f t="shared" si="446"/>
        <v>67578</v>
      </c>
      <c r="S1590" s="8">
        <f>T1589</f>
        <v>67854</v>
      </c>
      <c r="T1590" s="8" t="s">
        <v>2012</v>
      </c>
      <c r="U1590" s="133" t="e">
        <f>T1590-S1590</f>
        <v>#VALUE!</v>
      </c>
      <c r="V1590" s="8">
        <f>W1589</f>
        <v>22380</v>
      </c>
      <c r="X1590" s="13">
        <f>W1590-V1590</f>
        <v>-22380</v>
      </c>
      <c r="Y1590" s="8">
        <f>Z1589</f>
        <v>55385</v>
      </c>
      <c r="AA1590" s="13">
        <f>Z1590-Y1590</f>
        <v>-55385</v>
      </c>
      <c r="AB1590" s="8">
        <f>AC1589</f>
        <v>292191</v>
      </c>
      <c r="AD1590" s="13">
        <f>AC1590-AB1590</f>
        <v>-292191</v>
      </c>
      <c r="AE1590" s="135">
        <f t="shared" si="448"/>
        <v>13470</v>
      </c>
      <c r="AF1590" s="135"/>
      <c r="AG1590" s="135">
        <f>AF1590-AE1590</f>
        <v>-13470</v>
      </c>
      <c r="AH1590" s="136">
        <f>AG1590+AD1590</f>
        <v>-305661</v>
      </c>
      <c r="AI1590" s="50" t="e">
        <f>AA1590+U1590+R1590+O1590+X1590</f>
        <v>#VALUE!</v>
      </c>
    </row>
    <row r="1591" spans="1:35">
      <c r="A1591" s="12">
        <v>45966</v>
      </c>
      <c r="B1591" s="8">
        <f>C1590</f>
        <v>0</v>
      </c>
      <c r="D1591" s="13">
        <f>C1591-B1591</f>
        <v>0</v>
      </c>
      <c r="E1591" s="77">
        <f>F1590</f>
        <v>0</v>
      </c>
      <c r="G1591" s="133">
        <f>F1591-E1591</f>
        <v>0</v>
      </c>
      <c r="H1591" s="8">
        <f>I1590</f>
        <v>0</v>
      </c>
      <c r="J1591" s="13">
        <f>I1591-H1591</f>
        <v>0</v>
      </c>
      <c r="K1591" s="138">
        <f>J1591+G1591+D1591</f>
        <v>0</v>
      </c>
      <c r="L1591" s="8">
        <f>M1590</f>
        <v>0</v>
      </c>
      <c r="N1591" s="13">
        <f>M1591-L1591</f>
        <v>0</v>
      </c>
      <c r="O1591" s="136" t="e">
        <f t="shared" si="444"/>
        <v>#VALUE!</v>
      </c>
      <c r="S1591" s="8" t="str">
        <f>T1590</f>
        <v xml:space="preserve"> </v>
      </c>
      <c r="U1591" s="133" t="e">
        <f>T1591-S1591</f>
        <v>#VALUE!</v>
      </c>
      <c r="V1591" s="8">
        <f>W1590</f>
        <v>0</v>
      </c>
      <c r="X1591" s="13">
        <f>W1591-V1591</f>
        <v>0</v>
      </c>
      <c r="Y1591" s="8">
        <f>Z1590</f>
        <v>0</v>
      </c>
      <c r="AA1591" s="13">
        <f>Z1591-Y1591</f>
        <v>0</v>
      </c>
      <c r="AB1591" s="8">
        <f>AC1590</f>
        <v>0</v>
      </c>
      <c r="AD1591" s="13">
        <f>AC1591-AB1591</f>
        <v>0</v>
      </c>
      <c r="AE1591" s="135">
        <f t="shared" si="448"/>
        <v>0</v>
      </c>
      <c r="AF1591" s="135"/>
      <c r="AG1591" s="135">
        <f>AF1591-AE1591</f>
        <v>0</v>
      </c>
      <c r="AH1591" s="136">
        <f>AG1591+AD1591</f>
        <v>0</v>
      </c>
      <c r="AI1591" s="50" t="e">
        <f>AA1591+U1591+R1591+O1591+X1591</f>
        <v>#VALUE!</v>
      </c>
    </row>
    <row r="1592" spans="1:35">
      <c r="A1592" s="12">
        <v>45967</v>
      </c>
      <c r="B1592" s="8">
        <f>C1591</f>
        <v>0</v>
      </c>
      <c r="D1592" s="13">
        <f>C1592-B1592</f>
        <v>0</v>
      </c>
      <c r="E1592" s="77">
        <f>F1591</f>
        <v>0</v>
      </c>
      <c r="G1592" s="133">
        <f>F1592-E1592</f>
        <v>0</v>
      </c>
      <c r="H1592" s="8">
        <f>I1591</f>
        <v>0</v>
      </c>
      <c r="J1592" s="13">
        <f>I1592-H1592</f>
        <v>0</v>
      </c>
      <c r="K1592" s="138">
        <f>J1592+G1592+D1592</f>
        <v>0</v>
      </c>
      <c r="L1592" s="8">
        <f>M1591</f>
        <v>0</v>
      </c>
      <c r="N1592" s="13">
        <f>M1592-L1592</f>
        <v>0</v>
      </c>
      <c r="O1592" s="136">
        <f t="shared" si="444"/>
        <v>0</v>
      </c>
      <c r="S1592" s="8">
        <f>T1591</f>
        <v>0</v>
      </c>
      <c r="U1592" s="133">
        <f>T1592-S1592</f>
        <v>0</v>
      </c>
      <c r="V1592" s="8">
        <f>W1591</f>
        <v>0</v>
      </c>
      <c r="X1592" s="13">
        <f>W1592-V1592</f>
        <v>0</v>
      </c>
      <c r="Y1592" s="8">
        <f>Z1591</f>
        <v>0</v>
      </c>
      <c r="AA1592" s="13">
        <f>Z1592-Y1592</f>
        <v>0</v>
      </c>
      <c r="AB1592" s="8">
        <f>AC1591</f>
        <v>0</v>
      </c>
      <c r="AD1592" s="13">
        <f>AC1592-AB1592</f>
        <v>0</v>
      </c>
      <c r="AE1592" s="135">
        <f t="shared" si="448"/>
        <v>0</v>
      </c>
      <c r="AF1592" s="135"/>
      <c r="AG1592" s="135">
        <f>AF1592-AE1592</f>
        <v>0</v>
      </c>
      <c r="AH1592" s="136">
        <f>AG1592+AD1592</f>
        <v>0</v>
      </c>
      <c r="AI1592" s="50">
        <f>AA1592+U1592+R1592+O1592+X1592</f>
        <v>0</v>
      </c>
    </row>
    <row r="1593" spans="1:35">
      <c r="A1593" s="12">
        <v>45968</v>
      </c>
      <c r="B1593" s="8">
        <f>C1592</f>
        <v>0</v>
      </c>
      <c r="D1593" s="13">
        <f>C1593-B1593</f>
        <v>0</v>
      </c>
      <c r="E1593" s="77">
        <f>F1592</f>
        <v>0</v>
      </c>
      <c r="G1593" s="133">
        <f>F1593-E1593</f>
        <v>0</v>
      </c>
      <c r="H1593" s="8">
        <f>I1592</f>
        <v>0</v>
      </c>
      <c r="J1593" s="13">
        <f>I1593-H1593</f>
        <v>0</v>
      </c>
      <c r="K1593" s="138">
        <f>J1593+G1593+D1593</f>
        <v>0</v>
      </c>
      <c r="L1593" s="8">
        <f>M1592</f>
        <v>0</v>
      </c>
      <c r="N1593" s="13">
        <f>M1593-L1593</f>
        <v>0</v>
      </c>
      <c r="O1593" s="136">
        <f t="shared" si="444"/>
        <v>0</v>
      </c>
      <c r="S1593" s="8">
        <f>T1592</f>
        <v>0</v>
      </c>
      <c r="U1593" s="133">
        <f>T1593-S1593</f>
        <v>0</v>
      </c>
      <c r="V1593" s="8">
        <f>W1592</f>
        <v>0</v>
      </c>
      <c r="X1593" s="13">
        <f>W1593-V1593</f>
        <v>0</v>
      </c>
      <c r="Y1593" s="8">
        <f>Z1592</f>
        <v>0</v>
      </c>
      <c r="AA1593" s="13">
        <f>Z1593-Y1593</f>
        <v>0</v>
      </c>
      <c r="AB1593" s="8">
        <f>AC1592</f>
        <v>0</v>
      </c>
      <c r="AD1593" s="13">
        <f>AC1593-AB1593</f>
        <v>0</v>
      </c>
      <c r="AE1593" s="135">
        <f t="shared" si="448"/>
        <v>0</v>
      </c>
      <c r="AF1593" s="135"/>
      <c r="AG1593" s="135">
        <f>AF1593-AE1593</f>
        <v>0</v>
      </c>
      <c r="AH1593" s="136">
        <f>AG1593+AD1593</f>
        <v>0</v>
      </c>
      <c r="AI1593" s="50">
        <f>AA1593+U1593+R1593+O1593+X1593</f>
        <v>0</v>
      </c>
    </row>
    <row r="1594" spans="1:35">
      <c r="A1594" s="12">
        <v>45969</v>
      </c>
      <c r="B1594" s="8">
        <f>C1593</f>
        <v>0</v>
      </c>
      <c r="D1594" s="13">
        <f>C1594-B1594</f>
        <v>0</v>
      </c>
      <c r="E1594" s="77">
        <f>F1593</f>
        <v>0</v>
      </c>
      <c r="G1594" s="133">
        <f>F1594-E1594</f>
        <v>0</v>
      </c>
      <c r="H1594" s="8">
        <f>I1593</f>
        <v>0</v>
      </c>
      <c r="J1594" s="13">
        <f>I1594-H1594</f>
        <v>0</v>
      </c>
      <c r="K1594" s="138">
        <f>J1594+G1594+D1594</f>
        <v>0</v>
      </c>
      <c r="L1594" s="8">
        <f>M1593</f>
        <v>0</v>
      </c>
      <c r="N1594" s="13">
        <f>M1594-L1594</f>
        <v>0</v>
      </c>
      <c r="O1594" s="136">
        <f t="shared" si="444"/>
        <v>0</v>
      </c>
      <c r="S1594" s="8">
        <f>T1593</f>
        <v>0</v>
      </c>
      <c r="U1594" s="133">
        <f>T1594-S1594</f>
        <v>0</v>
      </c>
      <c r="V1594" s="8">
        <f>W1593</f>
        <v>0</v>
      </c>
      <c r="X1594" s="13">
        <f>W1594-V1594</f>
        <v>0</v>
      </c>
      <c r="Y1594" s="8">
        <f>Z1593</f>
        <v>0</v>
      </c>
      <c r="AA1594" s="13">
        <f>Z1594-Y1594</f>
        <v>0</v>
      </c>
      <c r="AB1594" s="8">
        <f>AC1593</f>
        <v>0</v>
      </c>
      <c r="AD1594" s="13">
        <f>AC1594-AB1594</f>
        <v>0</v>
      </c>
      <c r="AE1594" s="135">
        <f t="shared" si="448"/>
        <v>0</v>
      </c>
      <c r="AF1594" s="135"/>
      <c r="AG1594" s="135">
        <f>AF1594-AE1594</f>
        <v>0</v>
      </c>
      <c r="AH1594" s="136">
        <f>AG1594+AD1594</f>
        <v>0</v>
      </c>
      <c r="AI1594" s="50">
        <f>AA1594+U1594+R1594+O1594+X1594</f>
        <v>0</v>
      </c>
    </row>
  </sheetData>
  <mergeCells count="9">
    <mergeCell ref="AE1:AG1"/>
    <mergeCell ref="V1:X1"/>
    <mergeCell ref="Y1:AA1"/>
    <mergeCell ref="S1:U1"/>
    <mergeCell ref="B1:D1"/>
    <mergeCell ref="L1:N1"/>
    <mergeCell ref="AB1:AD1"/>
    <mergeCell ref="P1:R1"/>
    <mergeCell ref="H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84"/>
  <sheetViews>
    <sheetView zoomScale="89" zoomScaleNormal="89" workbookViewId="0">
      <pane ySplit="2" topLeftCell="A942" activePane="bottomLeft" state="frozen"/>
      <selection pane="bottomLeft" activeCell="J948" sqref="J948:J966"/>
    </sheetView>
  </sheetViews>
  <sheetFormatPr defaultColWidth="8.7265625" defaultRowHeight="14.5"/>
  <cols>
    <col min="1" max="1" width="11.7265625" style="143" customWidth="1"/>
    <col min="2" max="2" width="8.26953125" style="141" customWidth="1"/>
    <col min="3" max="3" width="9.54296875" style="141" customWidth="1"/>
    <col min="4" max="4" width="8.26953125" style="142" customWidth="1"/>
    <col min="5" max="5" width="8.453125" style="141" customWidth="1"/>
    <col min="6" max="6" width="7.54296875" style="141" customWidth="1"/>
    <col min="7" max="7" width="8" style="142" customWidth="1"/>
    <col min="8" max="9" width="8.7265625" style="141"/>
    <col min="10" max="10" width="8.7265625" style="142"/>
    <col min="11" max="11" width="8.7265625" style="141"/>
    <col min="12" max="12" width="10.1796875" style="141" bestFit="1" customWidth="1"/>
    <col min="13" max="16" width="8.7265625" style="142"/>
    <col min="17" max="17" width="26.453125" style="141" customWidth="1"/>
    <col min="18" max="18" width="8.7265625" style="141"/>
    <col min="19" max="19" width="8.7265625" style="142"/>
    <col min="20" max="21" width="8.7265625" style="141"/>
    <col min="22" max="22" width="8.7265625" style="142"/>
    <col min="23" max="24" width="8.7265625" style="141"/>
    <col min="25" max="25" width="8.7265625" style="142"/>
    <col min="26" max="27" width="8.7265625" style="141"/>
    <col min="28" max="28" width="8.7265625" style="142"/>
    <col min="29" max="30" width="8.7265625" style="141"/>
    <col min="31" max="31" width="8.7265625" style="142"/>
    <col min="32" max="33" width="8.7265625" style="141"/>
    <col min="34" max="34" width="8.7265625" style="142"/>
    <col min="35" max="16384" width="8.7265625" style="141"/>
  </cols>
  <sheetData>
    <row r="1" spans="1:34" s="147" customFormat="1" ht="18.5">
      <c r="A1" s="159" t="s">
        <v>1993</v>
      </c>
      <c r="B1" s="159"/>
      <c r="C1" s="159"/>
      <c r="D1" s="159"/>
      <c r="E1" s="159" t="s">
        <v>451</v>
      </c>
      <c r="F1" s="159"/>
      <c r="G1" s="159"/>
      <c r="H1" s="159" t="s">
        <v>2009</v>
      </c>
      <c r="I1" s="159"/>
      <c r="J1" s="159"/>
      <c r="K1" s="159" t="s">
        <v>1987</v>
      </c>
      <c r="L1" s="159"/>
      <c r="M1" s="159"/>
      <c r="N1" s="160" t="s">
        <v>2010</v>
      </c>
      <c r="O1" s="161"/>
      <c r="P1" s="162"/>
      <c r="Q1" s="159" t="s">
        <v>1992</v>
      </c>
      <c r="R1" s="159"/>
      <c r="S1" s="159"/>
      <c r="T1" s="159" t="s">
        <v>1990</v>
      </c>
      <c r="U1" s="159"/>
      <c r="V1" s="159"/>
      <c r="W1" s="159" t="s">
        <v>1989</v>
      </c>
      <c r="X1" s="159"/>
      <c r="Y1" s="159"/>
      <c r="Z1" s="159" t="s">
        <v>1988</v>
      </c>
      <c r="AA1" s="159"/>
      <c r="AB1" s="159"/>
      <c r="AC1" s="159" t="s">
        <v>1991</v>
      </c>
      <c r="AD1" s="159"/>
      <c r="AE1" s="159"/>
      <c r="AF1" s="159" t="s">
        <v>1986</v>
      </c>
      <c r="AG1" s="159"/>
      <c r="AH1" s="159"/>
    </row>
    <row r="2" spans="1:34">
      <c r="A2" s="145" t="s">
        <v>135</v>
      </c>
      <c r="B2" s="145" t="s">
        <v>136</v>
      </c>
      <c r="C2" s="145" t="s">
        <v>1985</v>
      </c>
      <c r="D2" s="146" t="s">
        <v>138</v>
      </c>
      <c r="E2" s="145" t="s">
        <v>136</v>
      </c>
      <c r="F2" s="145" t="s">
        <v>1985</v>
      </c>
      <c r="G2" s="145" t="s">
        <v>138</v>
      </c>
      <c r="H2" s="145" t="s">
        <v>136</v>
      </c>
      <c r="I2" s="145" t="s">
        <v>1985</v>
      </c>
      <c r="J2" s="145" t="s">
        <v>138</v>
      </c>
      <c r="K2" s="145" t="s">
        <v>136</v>
      </c>
      <c r="L2" s="145" t="s">
        <v>1985</v>
      </c>
      <c r="M2" s="145" t="s">
        <v>138</v>
      </c>
      <c r="N2" s="145" t="s">
        <v>136</v>
      </c>
      <c r="O2" s="145" t="s">
        <v>1985</v>
      </c>
      <c r="P2" s="145" t="s">
        <v>138</v>
      </c>
      <c r="Q2" s="145" t="s">
        <v>136</v>
      </c>
      <c r="R2" s="145" t="s">
        <v>1985</v>
      </c>
      <c r="S2" s="145" t="s">
        <v>138</v>
      </c>
      <c r="T2" s="145" t="s">
        <v>136</v>
      </c>
      <c r="U2" s="145" t="s">
        <v>1985</v>
      </c>
      <c r="V2" s="145" t="s">
        <v>138</v>
      </c>
      <c r="W2" s="145" t="s">
        <v>136</v>
      </c>
      <c r="X2" s="145" t="s">
        <v>1985</v>
      </c>
      <c r="Y2" s="145" t="s">
        <v>138</v>
      </c>
      <c r="Z2" s="145" t="s">
        <v>136</v>
      </c>
      <c r="AA2" s="145" t="s">
        <v>1985</v>
      </c>
      <c r="AB2" s="145" t="s">
        <v>138</v>
      </c>
      <c r="AC2" s="145" t="s">
        <v>136</v>
      </c>
      <c r="AD2" s="145" t="s">
        <v>1985</v>
      </c>
      <c r="AE2" s="145" t="s">
        <v>138</v>
      </c>
      <c r="AF2" s="145" t="s">
        <v>136</v>
      </c>
      <c r="AG2" s="145" t="s">
        <v>1985</v>
      </c>
      <c r="AH2" s="145" t="s">
        <v>138</v>
      </c>
    </row>
    <row r="3" spans="1:34">
      <c r="A3" s="144">
        <v>44985</v>
      </c>
      <c r="B3" s="141">
        <v>19603</v>
      </c>
      <c r="C3" s="141">
        <v>19768</v>
      </c>
      <c r="D3" s="142">
        <f t="shared" ref="D3:D66" si="0">C3-B3</f>
        <v>165</v>
      </c>
      <c r="E3" s="141">
        <v>8564</v>
      </c>
      <c r="F3" s="141">
        <v>8612</v>
      </c>
      <c r="G3" s="142">
        <v>48</v>
      </c>
      <c r="H3" s="141">
        <v>454476</v>
      </c>
      <c r="I3" s="141">
        <v>454568</v>
      </c>
      <c r="J3" s="142">
        <v>92</v>
      </c>
      <c r="K3" s="141">
        <v>39255</v>
      </c>
      <c r="L3" s="141">
        <v>39303</v>
      </c>
      <c r="M3" s="142">
        <v>48</v>
      </c>
      <c r="Q3" s="141">
        <v>3959</v>
      </c>
      <c r="R3" s="141">
        <v>3995</v>
      </c>
      <c r="S3" s="142">
        <v>36</v>
      </c>
      <c r="T3" s="141">
        <v>3019</v>
      </c>
      <c r="U3" s="141">
        <v>3022</v>
      </c>
      <c r="V3" s="142">
        <v>3</v>
      </c>
      <c r="W3" s="141">
        <v>2553</v>
      </c>
      <c r="X3" s="141">
        <v>2558</v>
      </c>
      <c r="Y3" s="142">
        <v>5</v>
      </c>
      <c r="Z3" s="141">
        <v>28683</v>
      </c>
      <c r="AA3" s="141">
        <v>28738</v>
      </c>
      <c r="AB3" s="142">
        <v>55</v>
      </c>
      <c r="AC3" s="141">
        <v>198769</v>
      </c>
      <c r="AD3" s="141">
        <v>198829</v>
      </c>
      <c r="AE3" s="142">
        <v>60</v>
      </c>
      <c r="AF3" s="141">
        <v>16095</v>
      </c>
      <c r="AG3" s="141">
        <v>16120</v>
      </c>
      <c r="AH3" s="142">
        <v>25</v>
      </c>
    </row>
    <row r="4" spans="1:34">
      <c r="A4" s="144">
        <v>44986</v>
      </c>
      <c r="B4" s="141">
        <v>19768</v>
      </c>
      <c r="C4" s="141">
        <v>19907</v>
      </c>
      <c r="D4" s="142">
        <f t="shared" si="0"/>
        <v>139</v>
      </c>
      <c r="E4" s="141">
        <v>8612</v>
      </c>
      <c r="F4" s="141">
        <v>8648</v>
      </c>
      <c r="G4" s="142">
        <v>36</v>
      </c>
      <c r="H4" s="141">
        <v>454568</v>
      </c>
      <c r="I4" s="141">
        <v>454661</v>
      </c>
      <c r="J4" s="142">
        <v>93</v>
      </c>
      <c r="K4" s="141">
        <v>39303</v>
      </c>
      <c r="L4" s="141">
        <v>39345</v>
      </c>
      <c r="M4" s="142">
        <v>42</v>
      </c>
      <c r="Q4" s="141">
        <v>3995</v>
      </c>
      <c r="R4" s="141">
        <v>4054</v>
      </c>
      <c r="S4" s="142">
        <v>59</v>
      </c>
      <c r="T4" s="141">
        <v>3022</v>
      </c>
      <c r="U4" s="141">
        <v>3025</v>
      </c>
      <c r="V4" s="142">
        <v>3</v>
      </c>
      <c r="W4" s="141">
        <v>2558</v>
      </c>
      <c r="X4" s="141">
        <v>2560</v>
      </c>
      <c r="Y4" s="142">
        <v>2</v>
      </c>
      <c r="Z4" s="141">
        <v>28738</v>
      </c>
      <c r="AA4" s="141">
        <v>28787</v>
      </c>
      <c r="AB4" s="142">
        <v>49</v>
      </c>
      <c r="AC4" s="141">
        <v>198829</v>
      </c>
      <c r="AD4" s="141">
        <v>198931</v>
      </c>
      <c r="AE4" s="142">
        <v>102</v>
      </c>
      <c r="AF4" s="141">
        <v>16120</v>
      </c>
      <c r="AG4" s="141">
        <v>16143</v>
      </c>
      <c r="AH4" s="142">
        <v>23</v>
      </c>
    </row>
    <row r="5" spans="1:34">
      <c r="A5" s="144">
        <v>44987</v>
      </c>
      <c r="B5" s="141">
        <v>19907</v>
      </c>
      <c r="C5" s="141">
        <v>20023</v>
      </c>
      <c r="D5" s="142">
        <f t="shared" si="0"/>
        <v>116</v>
      </c>
      <c r="E5" s="141">
        <v>8648</v>
      </c>
      <c r="F5" s="141">
        <v>8696</v>
      </c>
      <c r="G5" s="142">
        <v>48</v>
      </c>
      <c r="H5" s="141">
        <v>454661</v>
      </c>
      <c r="I5" s="141">
        <v>454761</v>
      </c>
      <c r="J5" s="142">
        <v>100</v>
      </c>
      <c r="K5" s="141">
        <v>39345</v>
      </c>
      <c r="L5" s="141">
        <v>39391</v>
      </c>
      <c r="M5" s="142">
        <v>46</v>
      </c>
      <c r="Q5" s="141">
        <v>4054</v>
      </c>
      <c r="R5" s="141">
        <v>4091</v>
      </c>
      <c r="S5" s="142">
        <v>37</v>
      </c>
      <c r="T5" s="141">
        <v>3025</v>
      </c>
      <c r="U5" s="141">
        <v>3028</v>
      </c>
      <c r="V5" s="142">
        <v>3</v>
      </c>
      <c r="W5" s="141">
        <v>2560</v>
      </c>
      <c r="X5" s="141">
        <v>2569</v>
      </c>
      <c r="Y5" s="142">
        <v>9</v>
      </c>
      <c r="Z5" s="141">
        <v>28787</v>
      </c>
      <c r="AA5" s="141">
        <v>28848</v>
      </c>
      <c r="AB5" s="142">
        <v>61</v>
      </c>
      <c r="AC5" s="141">
        <v>198931</v>
      </c>
      <c r="AD5" s="141">
        <v>198994</v>
      </c>
      <c r="AE5" s="142">
        <v>63</v>
      </c>
      <c r="AF5" s="141">
        <v>16143</v>
      </c>
      <c r="AG5" s="141">
        <v>16168</v>
      </c>
      <c r="AH5" s="142">
        <v>25</v>
      </c>
    </row>
    <row r="6" spans="1:34">
      <c r="A6" s="144">
        <v>44988</v>
      </c>
      <c r="B6" s="141">
        <v>20023</v>
      </c>
      <c r="C6" s="141">
        <v>20338</v>
      </c>
      <c r="D6" s="142">
        <f t="shared" si="0"/>
        <v>315</v>
      </c>
      <c r="E6" s="141">
        <v>8696</v>
      </c>
      <c r="F6" s="141">
        <v>8748</v>
      </c>
      <c r="G6" s="142">
        <v>52</v>
      </c>
      <c r="H6" s="141">
        <v>454761</v>
      </c>
      <c r="I6" s="141">
        <v>454865</v>
      </c>
      <c r="J6" s="142">
        <v>104</v>
      </c>
      <c r="K6" s="141">
        <v>39391</v>
      </c>
      <c r="L6" s="141">
        <v>39435</v>
      </c>
      <c r="M6" s="142">
        <v>44</v>
      </c>
      <c r="Q6" s="141">
        <v>4091</v>
      </c>
      <c r="R6" s="141">
        <v>4141</v>
      </c>
      <c r="S6" s="142">
        <v>50</v>
      </c>
      <c r="T6" s="141">
        <v>3028</v>
      </c>
      <c r="U6" s="141">
        <v>3032</v>
      </c>
      <c r="V6" s="142">
        <v>4</v>
      </c>
      <c r="W6" s="141">
        <v>2569</v>
      </c>
      <c r="X6" s="141">
        <v>2571</v>
      </c>
      <c r="Y6" s="142">
        <v>2</v>
      </c>
      <c r="Z6" s="141">
        <v>28248</v>
      </c>
      <c r="AA6" s="141">
        <v>28304</v>
      </c>
      <c r="AB6" s="142">
        <v>56</v>
      </c>
      <c r="AC6" s="141">
        <v>198994</v>
      </c>
      <c r="AD6" s="141">
        <v>199088</v>
      </c>
      <c r="AE6" s="142">
        <v>94</v>
      </c>
      <c r="AF6" s="141">
        <v>16168</v>
      </c>
      <c r="AG6" s="141">
        <v>16191</v>
      </c>
      <c r="AH6" s="142">
        <v>23</v>
      </c>
    </row>
    <row r="7" spans="1:34">
      <c r="A7" s="144">
        <v>44989</v>
      </c>
      <c r="B7" s="141">
        <v>20338</v>
      </c>
      <c r="C7" s="141">
        <v>20574</v>
      </c>
      <c r="D7" s="142">
        <f t="shared" si="0"/>
        <v>236</v>
      </c>
      <c r="E7" s="141">
        <v>8748</v>
      </c>
      <c r="F7" s="141">
        <v>8803</v>
      </c>
      <c r="G7" s="142">
        <v>55</v>
      </c>
      <c r="H7" s="141">
        <v>454865</v>
      </c>
      <c r="I7" s="141">
        <v>454968</v>
      </c>
      <c r="J7" s="142">
        <v>103</v>
      </c>
      <c r="K7" s="141">
        <v>39435</v>
      </c>
      <c r="L7" s="141">
        <v>39480</v>
      </c>
      <c r="M7" s="142">
        <v>45</v>
      </c>
      <c r="Q7" s="141">
        <v>4141</v>
      </c>
      <c r="R7" s="141">
        <v>4156</v>
      </c>
      <c r="S7" s="142">
        <v>15</v>
      </c>
      <c r="T7" s="141">
        <v>3032</v>
      </c>
      <c r="U7" s="141">
        <v>3035</v>
      </c>
      <c r="V7" s="142">
        <v>3</v>
      </c>
      <c r="W7" s="141">
        <v>2571</v>
      </c>
      <c r="X7" s="141">
        <v>2573</v>
      </c>
      <c r="Y7" s="142">
        <v>2</v>
      </c>
      <c r="Z7" s="141">
        <v>28304</v>
      </c>
      <c r="AA7" s="141">
        <v>28367</v>
      </c>
      <c r="AB7" s="142">
        <v>63</v>
      </c>
      <c r="AC7" s="141">
        <v>199088</v>
      </c>
      <c r="AD7" s="141">
        <v>199175</v>
      </c>
      <c r="AE7" s="142">
        <v>87</v>
      </c>
      <c r="AF7" s="141">
        <v>16191</v>
      </c>
      <c r="AG7" s="141">
        <v>16215</v>
      </c>
      <c r="AH7" s="142">
        <v>24</v>
      </c>
    </row>
    <row r="8" spans="1:34">
      <c r="A8" s="144">
        <v>44990</v>
      </c>
      <c r="B8" s="141">
        <v>20574</v>
      </c>
      <c r="C8" s="141">
        <v>20968</v>
      </c>
      <c r="D8" s="142">
        <f t="shared" si="0"/>
        <v>394</v>
      </c>
      <c r="E8" s="141">
        <v>8803</v>
      </c>
      <c r="F8" s="141">
        <v>8834</v>
      </c>
      <c r="G8" s="142">
        <v>31</v>
      </c>
      <c r="H8" s="141">
        <v>454968</v>
      </c>
      <c r="I8" s="141">
        <v>455075</v>
      </c>
      <c r="J8" s="142">
        <v>107</v>
      </c>
      <c r="K8" s="141">
        <v>39480</v>
      </c>
      <c r="L8" s="141">
        <v>39522</v>
      </c>
      <c r="M8" s="142">
        <v>42</v>
      </c>
      <c r="Q8" s="141">
        <v>4156</v>
      </c>
      <c r="R8" s="141">
        <v>4222</v>
      </c>
      <c r="S8" s="142">
        <v>66</v>
      </c>
      <c r="T8" s="141">
        <v>3035</v>
      </c>
      <c r="U8" s="141">
        <v>3040</v>
      </c>
      <c r="V8" s="142">
        <v>5</v>
      </c>
      <c r="W8" s="141">
        <v>2573</v>
      </c>
      <c r="X8" s="141">
        <v>2574</v>
      </c>
      <c r="Y8" s="142">
        <v>1</v>
      </c>
      <c r="Z8" s="141">
        <v>28367</v>
      </c>
      <c r="AA8" s="141">
        <v>28418</v>
      </c>
      <c r="AB8" s="142">
        <v>51</v>
      </c>
      <c r="AC8" s="141">
        <v>199175</v>
      </c>
      <c r="AD8" s="141">
        <v>199218</v>
      </c>
      <c r="AE8" s="142">
        <v>43</v>
      </c>
      <c r="AF8" s="141">
        <v>16215</v>
      </c>
      <c r="AG8" s="141">
        <v>16243</v>
      </c>
      <c r="AH8" s="142">
        <v>28</v>
      </c>
    </row>
    <row r="9" spans="1:34">
      <c r="A9" s="144">
        <v>44991</v>
      </c>
      <c r="B9" s="141">
        <v>20968</v>
      </c>
      <c r="C9" s="141">
        <v>21191</v>
      </c>
      <c r="D9" s="142">
        <f t="shared" si="0"/>
        <v>223</v>
      </c>
      <c r="E9" s="141">
        <v>8834</v>
      </c>
      <c r="F9" s="141">
        <v>8886</v>
      </c>
      <c r="G9" s="142">
        <v>52</v>
      </c>
      <c r="H9" s="141">
        <v>455075</v>
      </c>
      <c r="I9" s="141">
        <v>455219</v>
      </c>
      <c r="J9" s="142">
        <v>144</v>
      </c>
      <c r="K9" s="141">
        <v>39522</v>
      </c>
      <c r="L9" s="141">
        <v>39552</v>
      </c>
      <c r="M9" s="142">
        <v>30</v>
      </c>
      <c r="Q9" s="141">
        <v>4222</v>
      </c>
      <c r="R9" s="141">
        <v>4267</v>
      </c>
      <c r="S9" s="142">
        <v>45</v>
      </c>
      <c r="T9" s="141">
        <v>3040</v>
      </c>
      <c r="U9" s="141">
        <v>3043</v>
      </c>
      <c r="V9" s="142">
        <v>3</v>
      </c>
      <c r="W9" s="141">
        <v>2574</v>
      </c>
      <c r="X9" s="141">
        <v>2576</v>
      </c>
      <c r="Y9" s="142">
        <v>2</v>
      </c>
      <c r="Z9" s="141">
        <v>28418</v>
      </c>
      <c r="AA9" s="141">
        <v>28484</v>
      </c>
      <c r="AB9" s="142">
        <v>66</v>
      </c>
      <c r="AC9" s="141">
        <v>199218</v>
      </c>
      <c r="AD9" s="141">
        <v>199305</v>
      </c>
      <c r="AE9" s="142">
        <v>87</v>
      </c>
      <c r="AF9" s="141">
        <v>16243</v>
      </c>
      <c r="AG9" s="141">
        <v>16277</v>
      </c>
      <c r="AH9" s="142">
        <v>34</v>
      </c>
    </row>
    <row r="10" spans="1:34">
      <c r="A10" s="144">
        <v>44992</v>
      </c>
      <c r="B10" s="141">
        <v>21191</v>
      </c>
      <c r="C10" s="141">
        <v>21483</v>
      </c>
      <c r="D10" s="142">
        <f t="shared" si="0"/>
        <v>292</v>
      </c>
      <c r="E10" s="141">
        <v>8886</v>
      </c>
      <c r="F10" s="141">
        <v>8939</v>
      </c>
      <c r="G10" s="142">
        <v>53</v>
      </c>
      <c r="H10" s="141">
        <v>455219</v>
      </c>
      <c r="I10" s="141">
        <v>455351</v>
      </c>
      <c r="J10" s="142">
        <v>132</v>
      </c>
      <c r="K10" s="141">
        <v>39552</v>
      </c>
      <c r="L10" s="141">
        <v>39618</v>
      </c>
      <c r="M10" s="142">
        <v>66</v>
      </c>
      <c r="Q10" s="141">
        <v>4267</v>
      </c>
      <c r="R10" s="141">
        <v>4314</v>
      </c>
      <c r="S10" s="142">
        <v>47</v>
      </c>
      <c r="T10" s="141">
        <v>3043</v>
      </c>
      <c r="U10" s="141">
        <v>3045</v>
      </c>
      <c r="V10" s="142">
        <v>2</v>
      </c>
      <c r="W10" s="141">
        <v>2576</v>
      </c>
      <c r="X10" s="141">
        <v>2578</v>
      </c>
      <c r="Y10" s="142">
        <v>2</v>
      </c>
      <c r="Z10" s="141">
        <v>28484</v>
      </c>
      <c r="AA10" s="141">
        <v>28523</v>
      </c>
      <c r="AB10" s="142">
        <v>39</v>
      </c>
      <c r="AC10" s="141">
        <v>199305</v>
      </c>
      <c r="AD10" s="141">
        <v>199416</v>
      </c>
      <c r="AE10" s="142">
        <v>111</v>
      </c>
      <c r="AF10" s="141">
        <v>16277</v>
      </c>
      <c r="AG10" s="141">
        <v>16302</v>
      </c>
      <c r="AH10" s="142">
        <v>25</v>
      </c>
    </row>
    <row r="11" spans="1:34">
      <c r="A11" s="144">
        <v>44993</v>
      </c>
      <c r="B11" s="141">
        <v>21483</v>
      </c>
      <c r="C11" s="141">
        <v>21662</v>
      </c>
      <c r="D11" s="142">
        <f t="shared" si="0"/>
        <v>179</v>
      </c>
      <c r="E11" s="141">
        <v>8939</v>
      </c>
      <c r="F11" s="141">
        <v>8999</v>
      </c>
      <c r="G11" s="142">
        <v>60</v>
      </c>
      <c r="H11" s="141">
        <v>455351</v>
      </c>
      <c r="I11" s="141">
        <v>455483</v>
      </c>
      <c r="J11" s="142">
        <v>132</v>
      </c>
      <c r="K11" s="141">
        <v>39618</v>
      </c>
      <c r="L11" s="141">
        <v>39661</v>
      </c>
      <c r="M11" s="142">
        <v>43</v>
      </c>
      <c r="Q11" s="141">
        <v>4314</v>
      </c>
      <c r="R11" s="141">
        <v>4385</v>
      </c>
      <c r="S11" s="142">
        <v>71</v>
      </c>
      <c r="T11" s="141">
        <v>3045</v>
      </c>
      <c r="U11" s="141">
        <v>3049</v>
      </c>
      <c r="V11" s="142">
        <v>4</v>
      </c>
      <c r="W11" s="141">
        <v>2578</v>
      </c>
      <c r="X11" s="141">
        <v>2580</v>
      </c>
      <c r="Y11" s="142">
        <v>2</v>
      </c>
      <c r="Z11" s="141">
        <v>28523</v>
      </c>
      <c r="AA11" s="141">
        <v>28589</v>
      </c>
      <c r="AB11" s="142">
        <v>66</v>
      </c>
      <c r="AC11" s="141">
        <v>199416</v>
      </c>
      <c r="AD11" s="141">
        <v>199526</v>
      </c>
      <c r="AE11" s="142">
        <v>110</v>
      </c>
      <c r="AF11" s="141">
        <v>16302</v>
      </c>
      <c r="AG11" s="141">
        <v>16325</v>
      </c>
      <c r="AH11" s="142">
        <v>23</v>
      </c>
    </row>
    <row r="12" spans="1:34">
      <c r="A12" s="144">
        <v>44994</v>
      </c>
      <c r="B12" s="141">
        <v>21662</v>
      </c>
      <c r="C12" s="141">
        <v>21929</v>
      </c>
      <c r="D12" s="142">
        <f t="shared" si="0"/>
        <v>267</v>
      </c>
      <c r="E12" s="141">
        <v>8999</v>
      </c>
      <c r="F12" s="141">
        <v>9034</v>
      </c>
      <c r="G12" s="142">
        <v>35</v>
      </c>
      <c r="H12" s="141">
        <v>455483</v>
      </c>
      <c r="I12" s="141">
        <v>455644</v>
      </c>
      <c r="J12" s="142">
        <v>161</v>
      </c>
      <c r="K12" s="141">
        <v>39661</v>
      </c>
      <c r="L12" s="141">
        <v>39701</v>
      </c>
      <c r="M12" s="142">
        <v>40</v>
      </c>
      <c r="Q12" s="141">
        <v>4385</v>
      </c>
      <c r="R12" s="141">
        <v>4439</v>
      </c>
      <c r="S12" s="142">
        <v>54</v>
      </c>
      <c r="T12" s="141">
        <v>3049</v>
      </c>
      <c r="U12" s="141">
        <v>3052</v>
      </c>
      <c r="V12" s="142">
        <v>3</v>
      </c>
      <c r="W12" s="141">
        <v>2580</v>
      </c>
      <c r="X12" s="141">
        <v>2581</v>
      </c>
      <c r="Y12" s="142">
        <v>1</v>
      </c>
      <c r="Z12" s="141">
        <v>28589</v>
      </c>
      <c r="AA12" s="141">
        <v>28663</v>
      </c>
      <c r="AB12" s="142">
        <v>74</v>
      </c>
      <c r="AC12" s="141">
        <v>199526</v>
      </c>
      <c r="AD12" s="141">
        <v>199615</v>
      </c>
      <c r="AE12" s="142">
        <v>89</v>
      </c>
      <c r="AF12" s="141">
        <v>16325</v>
      </c>
      <c r="AG12" s="141">
        <v>16346</v>
      </c>
      <c r="AH12" s="142">
        <v>21</v>
      </c>
    </row>
    <row r="13" spans="1:34">
      <c r="A13" s="144">
        <v>44995</v>
      </c>
      <c r="B13" s="141">
        <v>21929</v>
      </c>
      <c r="C13" s="141">
        <v>22147</v>
      </c>
      <c r="D13" s="142">
        <f t="shared" si="0"/>
        <v>218</v>
      </c>
      <c r="E13" s="141">
        <v>9034</v>
      </c>
      <c r="F13" s="141">
        <v>9110</v>
      </c>
      <c r="G13" s="142">
        <v>76</v>
      </c>
      <c r="H13" s="141">
        <v>455644</v>
      </c>
      <c r="I13" s="141">
        <v>455769</v>
      </c>
      <c r="J13" s="142">
        <v>125</v>
      </c>
      <c r="K13" s="141">
        <v>39701</v>
      </c>
      <c r="L13" s="141">
        <v>39743</v>
      </c>
      <c r="M13" s="142">
        <v>42</v>
      </c>
      <c r="Q13" s="141">
        <v>4439</v>
      </c>
      <c r="R13" s="141">
        <v>4559</v>
      </c>
      <c r="S13" s="142">
        <v>120</v>
      </c>
      <c r="T13" s="141">
        <v>3052</v>
      </c>
      <c r="U13" s="141">
        <v>3054</v>
      </c>
      <c r="V13" s="142">
        <v>2</v>
      </c>
      <c r="W13" s="141">
        <v>2581</v>
      </c>
      <c r="X13" s="141">
        <v>2587</v>
      </c>
      <c r="Y13" s="142">
        <v>6</v>
      </c>
      <c r="Z13" s="141">
        <v>28663</v>
      </c>
      <c r="AA13" s="141">
        <v>28701</v>
      </c>
      <c r="AB13" s="142">
        <v>38</v>
      </c>
      <c r="AC13" s="141">
        <v>199615</v>
      </c>
      <c r="AD13" s="141">
        <v>199687</v>
      </c>
      <c r="AE13" s="142">
        <v>72</v>
      </c>
      <c r="AF13" s="141">
        <v>16346</v>
      </c>
      <c r="AG13" s="141">
        <v>16368</v>
      </c>
      <c r="AH13" s="142">
        <v>22</v>
      </c>
    </row>
    <row r="14" spans="1:34">
      <c r="A14" s="144">
        <v>44996</v>
      </c>
      <c r="B14" s="141">
        <v>22147</v>
      </c>
      <c r="C14" s="141">
        <v>22315</v>
      </c>
      <c r="D14" s="142">
        <f t="shared" si="0"/>
        <v>168</v>
      </c>
      <c r="E14" s="141">
        <v>9110</v>
      </c>
      <c r="F14" s="141">
        <v>9187</v>
      </c>
      <c r="G14" s="142">
        <v>77</v>
      </c>
      <c r="H14" s="141">
        <v>455769</v>
      </c>
      <c r="I14" s="141">
        <v>455958</v>
      </c>
      <c r="J14" s="142">
        <v>189</v>
      </c>
      <c r="K14" s="141">
        <v>39743</v>
      </c>
      <c r="L14" s="141">
        <v>39781</v>
      </c>
      <c r="M14" s="142">
        <v>38</v>
      </c>
      <c r="Q14" s="141">
        <v>4559</v>
      </c>
      <c r="R14" s="141">
        <v>4566</v>
      </c>
      <c r="S14" s="142">
        <v>7</v>
      </c>
      <c r="T14" s="141">
        <v>3054</v>
      </c>
      <c r="U14" s="141">
        <v>3059</v>
      </c>
      <c r="V14" s="142">
        <v>5</v>
      </c>
      <c r="W14" s="141">
        <v>2587</v>
      </c>
      <c r="X14" s="141">
        <v>2589</v>
      </c>
      <c r="Y14" s="142">
        <v>2</v>
      </c>
      <c r="Z14" s="141">
        <v>28701</v>
      </c>
      <c r="AA14" s="141">
        <v>28783</v>
      </c>
      <c r="AB14" s="142">
        <v>82</v>
      </c>
      <c r="AC14" s="141">
        <v>199687</v>
      </c>
      <c r="AD14" s="141">
        <v>199749</v>
      </c>
      <c r="AE14" s="142">
        <v>62</v>
      </c>
      <c r="AF14" s="141">
        <v>16368</v>
      </c>
      <c r="AG14" s="141">
        <v>16388</v>
      </c>
      <c r="AH14" s="142">
        <v>20</v>
      </c>
    </row>
    <row r="15" spans="1:34">
      <c r="A15" s="144">
        <v>44997</v>
      </c>
      <c r="B15" s="141">
        <v>22315</v>
      </c>
      <c r="C15" s="141">
        <v>22571</v>
      </c>
      <c r="D15" s="142">
        <f t="shared" si="0"/>
        <v>256</v>
      </c>
      <c r="E15" s="141">
        <v>9187</v>
      </c>
      <c r="F15" s="141">
        <v>9241</v>
      </c>
      <c r="G15" s="142">
        <v>54</v>
      </c>
      <c r="H15" s="141">
        <v>455958</v>
      </c>
      <c r="I15" s="141">
        <v>456098</v>
      </c>
      <c r="J15" s="142">
        <v>140</v>
      </c>
      <c r="K15" s="141">
        <v>39781</v>
      </c>
      <c r="L15" s="141">
        <v>39826</v>
      </c>
      <c r="M15" s="142">
        <v>45</v>
      </c>
      <c r="Q15" s="141">
        <v>4566</v>
      </c>
      <c r="R15" s="141">
        <v>4583</v>
      </c>
      <c r="S15" s="142">
        <v>17</v>
      </c>
      <c r="T15" s="141">
        <v>3059</v>
      </c>
      <c r="U15" s="141">
        <v>3062</v>
      </c>
      <c r="V15" s="142">
        <v>3</v>
      </c>
      <c r="W15" s="141">
        <v>2589</v>
      </c>
      <c r="X15" s="141">
        <v>2592</v>
      </c>
      <c r="Y15" s="142">
        <v>3</v>
      </c>
      <c r="Z15" s="141">
        <v>28783</v>
      </c>
      <c r="AA15" s="141">
        <v>28812</v>
      </c>
      <c r="AB15" s="142">
        <v>29</v>
      </c>
      <c r="AC15" s="141">
        <v>199749</v>
      </c>
      <c r="AD15" s="141">
        <v>199815</v>
      </c>
      <c r="AE15" s="142">
        <v>66</v>
      </c>
      <c r="AF15" s="141">
        <v>16388</v>
      </c>
      <c r="AG15" s="141">
        <v>16411</v>
      </c>
      <c r="AH15" s="142">
        <v>23</v>
      </c>
    </row>
    <row r="16" spans="1:34">
      <c r="A16" s="144">
        <v>44998</v>
      </c>
      <c r="B16" s="141">
        <v>22571</v>
      </c>
      <c r="C16" s="141">
        <v>22842</v>
      </c>
      <c r="D16" s="142">
        <f t="shared" si="0"/>
        <v>271</v>
      </c>
      <c r="E16" s="141">
        <v>9241</v>
      </c>
      <c r="F16" s="141">
        <v>9269</v>
      </c>
      <c r="G16" s="142">
        <v>28</v>
      </c>
      <c r="H16" s="141">
        <v>456098</v>
      </c>
      <c r="I16" s="141">
        <v>456232</v>
      </c>
      <c r="J16" s="142">
        <v>134</v>
      </c>
      <c r="K16" s="141">
        <v>39826</v>
      </c>
      <c r="L16" s="141">
        <v>39857</v>
      </c>
      <c r="M16" s="142">
        <v>31</v>
      </c>
      <c r="Q16" s="141">
        <v>4583</v>
      </c>
      <c r="R16" s="141">
        <v>4592</v>
      </c>
      <c r="S16" s="142">
        <v>9</v>
      </c>
      <c r="T16" s="141">
        <v>3062</v>
      </c>
      <c r="U16" s="141">
        <v>3065</v>
      </c>
      <c r="V16" s="142">
        <v>3</v>
      </c>
      <c r="W16" s="141">
        <v>2592</v>
      </c>
      <c r="X16" s="141">
        <v>2593</v>
      </c>
      <c r="Y16" s="142">
        <v>1</v>
      </c>
      <c r="Z16" s="141">
        <v>28812</v>
      </c>
      <c r="AA16" s="141">
        <v>28896</v>
      </c>
      <c r="AB16" s="142">
        <v>84</v>
      </c>
      <c r="AC16" s="141">
        <v>199815</v>
      </c>
      <c r="AD16" s="141">
        <v>199923</v>
      </c>
      <c r="AE16" s="142">
        <v>108</v>
      </c>
      <c r="AF16" s="141">
        <v>16411</v>
      </c>
      <c r="AG16" s="141">
        <v>16435</v>
      </c>
      <c r="AH16" s="142">
        <v>24</v>
      </c>
    </row>
    <row r="17" spans="1:34">
      <c r="A17" s="144">
        <v>44999</v>
      </c>
      <c r="B17" s="141">
        <v>22842</v>
      </c>
      <c r="C17" s="141">
        <v>23144</v>
      </c>
      <c r="D17" s="142">
        <f t="shared" si="0"/>
        <v>302</v>
      </c>
      <c r="E17" s="141">
        <v>9269</v>
      </c>
      <c r="F17" s="141">
        <v>9309</v>
      </c>
      <c r="G17" s="142">
        <v>40</v>
      </c>
      <c r="H17" s="141">
        <v>456232</v>
      </c>
      <c r="I17" s="141">
        <v>456354</v>
      </c>
      <c r="J17" s="142">
        <v>122</v>
      </c>
      <c r="K17" s="141">
        <v>39857</v>
      </c>
      <c r="L17" s="141">
        <v>39909</v>
      </c>
      <c r="M17" s="142">
        <v>52</v>
      </c>
      <c r="Q17" s="141">
        <v>4592</v>
      </c>
      <c r="R17" s="141">
        <v>4624</v>
      </c>
      <c r="S17" s="142">
        <v>32</v>
      </c>
      <c r="T17" s="141">
        <v>3065</v>
      </c>
      <c r="U17" s="141">
        <v>3067</v>
      </c>
      <c r="V17" s="142">
        <v>2</v>
      </c>
      <c r="W17" s="141">
        <v>2593</v>
      </c>
      <c r="X17" s="141">
        <v>2600</v>
      </c>
      <c r="Y17" s="142">
        <v>7</v>
      </c>
      <c r="Z17" s="141">
        <v>28896</v>
      </c>
      <c r="AA17" s="141">
        <v>28946</v>
      </c>
      <c r="AB17" s="142">
        <v>50</v>
      </c>
      <c r="AC17" s="141">
        <v>199923</v>
      </c>
      <c r="AD17" s="141">
        <v>199961</v>
      </c>
      <c r="AE17" s="142">
        <v>38</v>
      </c>
      <c r="AF17" s="141">
        <v>16435</v>
      </c>
      <c r="AG17" s="141">
        <v>16452</v>
      </c>
      <c r="AH17" s="142">
        <v>17</v>
      </c>
    </row>
    <row r="18" spans="1:34">
      <c r="A18" s="144">
        <v>45000</v>
      </c>
      <c r="B18" s="141">
        <v>23144</v>
      </c>
      <c r="C18" s="141">
        <v>23445</v>
      </c>
      <c r="D18" s="142">
        <f t="shared" si="0"/>
        <v>301</v>
      </c>
      <c r="E18" s="141">
        <v>9309</v>
      </c>
      <c r="F18" s="141">
        <v>9357</v>
      </c>
      <c r="G18" s="142">
        <v>48</v>
      </c>
      <c r="H18" s="141">
        <v>456354</v>
      </c>
      <c r="I18" s="141">
        <v>456518</v>
      </c>
      <c r="J18" s="142">
        <v>164</v>
      </c>
      <c r="K18" s="141">
        <v>39909</v>
      </c>
      <c r="L18" s="141">
        <v>39950</v>
      </c>
      <c r="M18" s="142">
        <v>41</v>
      </c>
      <c r="Q18" s="141">
        <v>4624</v>
      </c>
      <c r="R18" s="141">
        <v>4680</v>
      </c>
      <c r="S18" s="142">
        <v>56</v>
      </c>
      <c r="T18" s="141">
        <v>3067</v>
      </c>
      <c r="U18" s="141">
        <v>3071</v>
      </c>
      <c r="V18" s="142">
        <v>4</v>
      </c>
      <c r="W18" s="141">
        <v>2600</v>
      </c>
      <c r="X18" s="141">
        <v>2601</v>
      </c>
      <c r="Y18" s="142">
        <v>1</v>
      </c>
      <c r="Z18" s="141">
        <v>28946</v>
      </c>
      <c r="AA18" s="141">
        <v>29006</v>
      </c>
      <c r="AB18" s="142">
        <v>60</v>
      </c>
      <c r="AC18" s="141">
        <v>199961</v>
      </c>
      <c r="AD18" s="141">
        <v>200045</v>
      </c>
      <c r="AE18" s="142">
        <v>84</v>
      </c>
      <c r="AF18" s="141">
        <v>16452</v>
      </c>
      <c r="AG18" s="141">
        <v>16473</v>
      </c>
      <c r="AH18" s="142">
        <v>21</v>
      </c>
    </row>
    <row r="19" spans="1:34">
      <c r="A19" s="144">
        <v>45001</v>
      </c>
      <c r="B19" s="141">
        <v>23445</v>
      </c>
      <c r="C19" s="141">
        <v>23739</v>
      </c>
      <c r="D19" s="142">
        <f t="shared" si="0"/>
        <v>294</v>
      </c>
      <c r="E19" s="141">
        <v>9357</v>
      </c>
      <c r="F19" s="141">
        <v>9383</v>
      </c>
      <c r="G19" s="142">
        <v>26</v>
      </c>
      <c r="H19" s="141">
        <v>456518</v>
      </c>
      <c r="I19" s="141">
        <v>456684</v>
      </c>
      <c r="J19" s="142">
        <v>166</v>
      </c>
      <c r="K19" s="141">
        <v>39950</v>
      </c>
      <c r="L19" s="141">
        <v>39992</v>
      </c>
      <c r="M19" s="142">
        <v>42</v>
      </c>
      <c r="Q19" s="141">
        <v>4680</v>
      </c>
      <c r="R19" s="141">
        <v>4719</v>
      </c>
      <c r="S19" s="142">
        <v>39</v>
      </c>
      <c r="T19" s="141">
        <v>3071</v>
      </c>
      <c r="U19" s="141">
        <v>3073</v>
      </c>
      <c r="V19" s="142">
        <v>2</v>
      </c>
      <c r="W19" s="141">
        <v>2601</v>
      </c>
      <c r="X19" s="141">
        <v>2603</v>
      </c>
      <c r="Y19" s="142">
        <v>2</v>
      </c>
      <c r="Z19" s="141">
        <v>29006</v>
      </c>
      <c r="AA19" s="141">
        <v>29069</v>
      </c>
      <c r="AB19" s="142">
        <v>63</v>
      </c>
      <c r="AC19" s="141">
        <v>200045</v>
      </c>
      <c r="AD19" s="141">
        <v>200098</v>
      </c>
      <c r="AE19" s="142">
        <v>53</v>
      </c>
      <c r="AF19" s="141">
        <v>16473</v>
      </c>
      <c r="AG19" s="141">
        <v>16495</v>
      </c>
      <c r="AH19" s="142">
        <v>22</v>
      </c>
    </row>
    <row r="20" spans="1:34">
      <c r="A20" s="144">
        <v>45002</v>
      </c>
      <c r="B20" s="141">
        <v>23739</v>
      </c>
      <c r="C20" s="141">
        <v>23739</v>
      </c>
      <c r="D20" s="142">
        <f t="shared" si="0"/>
        <v>0</v>
      </c>
      <c r="E20" s="141">
        <v>9383</v>
      </c>
      <c r="F20" s="141">
        <v>9427</v>
      </c>
      <c r="G20" s="142">
        <v>44</v>
      </c>
      <c r="H20" s="141">
        <v>456684</v>
      </c>
      <c r="I20" s="141">
        <v>456822</v>
      </c>
      <c r="J20" s="142">
        <v>138</v>
      </c>
      <c r="K20" s="141">
        <v>39992</v>
      </c>
      <c r="L20" s="141">
        <v>40053</v>
      </c>
      <c r="M20" s="142">
        <v>61</v>
      </c>
      <c r="Q20" s="141">
        <v>4719</v>
      </c>
      <c r="R20" s="141">
        <v>4760</v>
      </c>
      <c r="S20" s="142">
        <v>41</v>
      </c>
      <c r="T20" s="141">
        <v>3073</v>
      </c>
      <c r="U20" s="141">
        <v>3076</v>
      </c>
      <c r="V20" s="142">
        <v>3</v>
      </c>
      <c r="W20" s="141">
        <v>2603</v>
      </c>
      <c r="X20" s="141">
        <v>2609</v>
      </c>
      <c r="Y20" s="142">
        <v>6</v>
      </c>
      <c r="Z20" s="141">
        <v>29069</v>
      </c>
      <c r="AA20" s="141">
        <v>29166</v>
      </c>
      <c r="AB20" s="142">
        <v>97</v>
      </c>
      <c r="AC20" s="141">
        <v>200098</v>
      </c>
      <c r="AD20" s="141">
        <v>200168</v>
      </c>
      <c r="AE20" s="142">
        <v>70</v>
      </c>
      <c r="AF20" s="141">
        <v>16495</v>
      </c>
      <c r="AG20" s="141">
        <v>16523</v>
      </c>
      <c r="AH20" s="142">
        <v>28</v>
      </c>
    </row>
    <row r="21" spans="1:34">
      <c r="A21" s="144">
        <v>45003</v>
      </c>
      <c r="B21" s="141">
        <v>23739</v>
      </c>
      <c r="C21" s="141">
        <v>23739</v>
      </c>
      <c r="D21" s="142">
        <f t="shared" si="0"/>
        <v>0</v>
      </c>
      <c r="E21" s="141">
        <v>9427</v>
      </c>
      <c r="F21" s="141">
        <v>9462</v>
      </c>
      <c r="G21" s="142">
        <v>35</v>
      </c>
      <c r="H21" s="141">
        <v>456822</v>
      </c>
      <c r="I21" s="141">
        <v>456972</v>
      </c>
      <c r="J21" s="142">
        <v>150</v>
      </c>
      <c r="K21" s="141">
        <v>40053</v>
      </c>
      <c r="L21" s="141">
        <v>40090</v>
      </c>
      <c r="M21" s="142">
        <v>37</v>
      </c>
      <c r="Q21" s="141">
        <v>4760</v>
      </c>
      <c r="R21" s="141">
        <v>4791</v>
      </c>
      <c r="S21" s="142">
        <v>31</v>
      </c>
      <c r="T21" s="141">
        <v>3076</v>
      </c>
      <c r="U21" s="141">
        <v>3079</v>
      </c>
      <c r="V21" s="142">
        <v>3</v>
      </c>
      <c r="W21" s="141">
        <v>2609</v>
      </c>
      <c r="X21" s="141">
        <v>2612</v>
      </c>
      <c r="Y21" s="142">
        <v>3</v>
      </c>
      <c r="Z21" s="141">
        <v>29166</v>
      </c>
      <c r="AA21" s="141">
        <v>29243</v>
      </c>
      <c r="AB21" s="142">
        <v>77</v>
      </c>
      <c r="AC21" s="141">
        <v>200168</v>
      </c>
      <c r="AD21" s="141">
        <v>200228</v>
      </c>
      <c r="AE21" s="142">
        <v>60</v>
      </c>
      <c r="AF21" s="141">
        <v>16523</v>
      </c>
      <c r="AG21" s="141">
        <v>16545</v>
      </c>
      <c r="AH21" s="142">
        <v>22</v>
      </c>
    </row>
    <row r="22" spans="1:34">
      <c r="A22" s="144">
        <v>45004</v>
      </c>
      <c r="B22" s="141">
        <v>23739</v>
      </c>
      <c r="C22" s="141">
        <v>23739</v>
      </c>
      <c r="D22" s="142">
        <f t="shared" si="0"/>
        <v>0</v>
      </c>
      <c r="E22" s="141">
        <v>9462</v>
      </c>
      <c r="F22" s="141">
        <v>9491</v>
      </c>
      <c r="G22" s="142">
        <v>29</v>
      </c>
      <c r="H22" s="141">
        <v>456972</v>
      </c>
      <c r="I22" s="141">
        <v>457115</v>
      </c>
      <c r="J22" s="142">
        <v>143</v>
      </c>
      <c r="K22" s="141">
        <v>40090</v>
      </c>
      <c r="L22" s="141">
        <v>40130</v>
      </c>
      <c r="M22" s="142">
        <v>40</v>
      </c>
      <c r="Q22" s="141">
        <v>4760</v>
      </c>
      <c r="R22" s="141">
        <v>4827</v>
      </c>
      <c r="S22" s="142">
        <v>67</v>
      </c>
      <c r="T22" s="141">
        <v>3079</v>
      </c>
      <c r="U22" s="141">
        <v>3082</v>
      </c>
      <c r="V22" s="142">
        <v>3</v>
      </c>
      <c r="W22" s="141">
        <v>2612</v>
      </c>
      <c r="X22" s="141">
        <v>2613</v>
      </c>
      <c r="Y22" s="142">
        <v>1</v>
      </c>
      <c r="Z22" s="141">
        <v>29243</v>
      </c>
      <c r="AA22" s="141">
        <v>29301</v>
      </c>
      <c r="AB22" s="142">
        <v>58</v>
      </c>
      <c r="AC22" s="141">
        <v>200228</v>
      </c>
      <c r="AD22" s="141">
        <v>200299</v>
      </c>
      <c r="AE22" s="142">
        <v>71</v>
      </c>
      <c r="AF22" s="141">
        <v>16545</v>
      </c>
      <c r="AG22" s="141">
        <v>16569</v>
      </c>
      <c r="AH22" s="142">
        <v>24</v>
      </c>
    </row>
    <row r="23" spans="1:34">
      <c r="A23" s="144">
        <v>45005</v>
      </c>
      <c r="B23" s="141">
        <v>23739</v>
      </c>
      <c r="C23" s="141">
        <v>23957</v>
      </c>
      <c r="D23" s="142">
        <f t="shared" si="0"/>
        <v>218</v>
      </c>
      <c r="E23" s="141">
        <v>9491</v>
      </c>
      <c r="F23" s="141">
        <v>9514</v>
      </c>
      <c r="G23" s="142">
        <v>23</v>
      </c>
      <c r="H23" s="141">
        <v>457115</v>
      </c>
      <c r="I23" s="141">
        <v>457255</v>
      </c>
      <c r="J23" s="142">
        <v>140</v>
      </c>
      <c r="K23" s="141">
        <v>40130</v>
      </c>
      <c r="L23" s="141">
        <v>40165</v>
      </c>
      <c r="M23" s="142">
        <v>35</v>
      </c>
      <c r="Q23" s="141">
        <v>4827</v>
      </c>
      <c r="R23" s="141">
        <v>4866</v>
      </c>
      <c r="S23" s="142">
        <v>39</v>
      </c>
      <c r="T23" s="141">
        <v>3082</v>
      </c>
      <c r="U23" s="141">
        <v>3084</v>
      </c>
      <c r="V23" s="142">
        <v>2</v>
      </c>
      <c r="W23" s="141">
        <v>2613</v>
      </c>
      <c r="X23" s="141">
        <v>2616</v>
      </c>
      <c r="Y23" s="142">
        <v>3</v>
      </c>
      <c r="Z23" s="141">
        <v>29301</v>
      </c>
      <c r="AA23" s="141">
        <v>29459</v>
      </c>
      <c r="AB23" s="142">
        <v>158</v>
      </c>
      <c r="AC23" s="141">
        <v>200299</v>
      </c>
      <c r="AD23" s="141">
        <v>200358</v>
      </c>
      <c r="AE23" s="142">
        <v>59</v>
      </c>
      <c r="AF23" s="141">
        <v>16569</v>
      </c>
      <c r="AG23" s="141">
        <v>16589</v>
      </c>
      <c r="AH23" s="142">
        <v>20</v>
      </c>
    </row>
    <row r="24" spans="1:34">
      <c r="A24" s="144">
        <v>45006</v>
      </c>
      <c r="B24" s="141">
        <v>23957</v>
      </c>
      <c r="C24" s="141">
        <v>24165</v>
      </c>
      <c r="D24" s="142">
        <f t="shared" si="0"/>
        <v>208</v>
      </c>
      <c r="E24" s="141">
        <v>9514</v>
      </c>
      <c r="F24" s="141">
        <v>9533</v>
      </c>
      <c r="G24" s="142">
        <v>19</v>
      </c>
      <c r="H24" s="141">
        <v>457255</v>
      </c>
      <c r="I24" s="141">
        <v>457385</v>
      </c>
      <c r="J24" s="142">
        <v>130</v>
      </c>
      <c r="K24" s="141">
        <v>40165</v>
      </c>
      <c r="L24" s="141">
        <v>40196</v>
      </c>
      <c r="M24" s="142">
        <v>31</v>
      </c>
      <c r="Q24" s="141">
        <v>4866</v>
      </c>
      <c r="R24" s="141">
        <v>4915</v>
      </c>
      <c r="S24" s="142">
        <v>49</v>
      </c>
      <c r="T24" s="141">
        <v>3084</v>
      </c>
      <c r="U24" s="141">
        <v>3085</v>
      </c>
      <c r="V24" s="142">
        <v>1</v>
      </c>
      <c r="W24" s="141">
        <v>2616</v>
      </c>
      <c r="X24" s="141">
        <v>2618</v>
      </c>
      <c r="Y24" s="142">
        <v>2</v>
      </c>
      <c r="Z24" s="141">
        <v>29459</v>
      </c>
      <c r="AA24" s="141">
        <v>29520</v>
      </c>
      <c r="AB24" s="142">
        <v>61</v>
      </c>
      <c r="AC24" s="141">
        <v>200358</v>
      </c>
      <c r="AD24" s="141">
        <v>200431</v>
      </c>
      <c r="AE24" s="142">
        <v>73</v>
      </c>
      <c r="AF24" s="141">
        <v>16589</v>
      </c>
      <c r="AG24" s="141">
        <v>16614</v>
      </c>
      <c r="AH24" s="142">
        <v>25</v>
      </c>
    </row>
    <row r="25" spans="1:34">
      <c r="A25" s="144">
        <v>45007</v>
      </c>
      <c r="B25" s="141">
        <v>24165</v>
      </c>
      <c r="C25" s="141">
        <v>24276</v>
      </c>
      <c r="D25" s="142">
        <f t="shared" si="0"/>
        <v>111</v>
      </c>
      <c r="E25" s="141">
        <v>9533</v>
      </c>
      <c r="F25" s="141">
        <v>9583</v>
      </c>
      <c r="G25" s="142">
        <v>50</v>
      </c>
      <c r="H25" s="141">
        <v>457385</v>
      </c>
      <c r="I25" s="141">
        <v>457458</v>
      </c>
      <c r="J25" s="142">
        <v>73</v>
      </c>
      <c r="K25" s="141">
        <v>40196</v>
      </c>
      <c r="L25" s="141">
        <v>40237</v>
      </c>
      <c r="M25" s="142">
        <v>41</v>
      </c>
      <c r="Q25" s="141">
        <v>4915</v>
      </c>
      <c r="R25" s="141">
        <v>4927</v>
      </c>
      <c r="S25" s="142">
        <v>12</v>
      </c>
      <c r="T25" s="141">
        <v>3085</v>
      </c>
      <c r="U25" s="141">
        <v>3089</v>
      </c>
      <c r="V25" s="142">
        <v>4</v>
      </c>
      <c r="W25" s="141">
        <v>2618</v>
      </c>
      <c r="X25" s="141">
        <v>2620</v>
      </c>
      <c r="Y25" s="142">
        <v>2</v>
      </c>
      <c r="Z25" s="141">
        <v>29520</v>
      </c>
      <c r="AA25" s="141">
        <v>29584</v>
      </c>
      <c r="AB25" s="142">
        <v>64</v>
      </c>
      <c r="AC25" s="141">
        <v>200431</v>
      </c>
      <c r="AD25" s="141">
        <v>200447</v>
      </c>
      <c r="AE25" s="142">
        <v>16</v>
      </c>
      <c r="AF25" s="141">
        <v>16614</v>
      </c>
      <c r="AG25" s="141">
        <v>16645</v>
      </c>
      <c r="AH25" s="142">
        <v>31</v>
      </c>
    </row>
    <row r="26" spans="1:34">
      <c r="A26" s="144">
        <v>45008</v>
      </c>
      <c r="B26" s="141">
        <v>24276</v>
      </c>
      <c r="C26" s="141">
        <v>24276</v>
      </c>
      <c r="D26" s="142">
        <f t="shared" si="0"/>
        <v>0</v>
      </c>
      <c r="E26" s="141">
        <v>9583</v>
      </c>
      <c r="F26" s="141">
        <v>9616</v>
      </c>
      <c r="G26" s="142">
        <v>33</v>
      </c>
      <c r="H26" s="141">
        <v>457458</v>
      </c>
      <c r="I26" s="141">
        <v>457559</v>
      </c>
      <c r="J26" s="142">
        <v>101</v>
      </c>
      <c r="K26" s="141">
        <v>40237</v>
      </c>
      <c r="L26" s="141">
        <v>40280</v>
      </c>
      <c r="M26" s="142">
        <v>43</v>
      </c>
      <c r="Q26" s="141">
        <v>4927</v>
      </c>
      <c r="R26" s="141">
        <v>4971</v>
      </c>
      <c r="S26" s="142">
        <v>44</v>
      </c>
      <c r="T26" s="141">
        <v>3089</v>
      </c>
      <c r="U26" s="141">
        <v>3089</v>
      </c>
      <c r="V26" s="142">
        <v>0</v>
      </c>
      <c r="W26" s="141">
        <v>2620</v>
      </c>
      <c r="X26" s="141">
        <v>2620</v>
      </c>
      <c r="Y26" s="142">
        <v>0</v>
      </c>
      <c r="Z26" s="141">
        <v>29584</v>
      </c>
      <c r="AA26" s="141">
        <v>29584</v>
      </c>
      <c r="AB26" s="142">
        <v>0</v>
      </c>
      <c r="AC26" s="141">
        <v>200447</v>
      </c>
      <c r="AD26" s="141">
        <v>200522</v>
      </c>
      <c r="AE26" s="142">
        <v>75</v>
      </c>
      <c r="AF26" s="141">
        <v>16645</v>
      </c>
      <c r="AG26" s="141">
        <v>16680</v>
      </c>
      <c r="AH26" s="142">
        <v>35</v>
      </c>
    </row>
    <row r="27" spans="1:34">
      <c r="A27" s="144">
        <v>45009</v>
      </c>
      <c r="B27" s="141">
        <v>24276</v>
      </c>
      <c r="C27" s="141">
        <v>24276</v>
      </c>
      <c r="D27" s="142">
        <f t="shared" si="0"/>
        <v>0</v>
      </c>
      <c r="E27" s="141">
        <v>9616</v>
      </c>
      <c r="F27" s="141">
        <v>9640</v>
      </c>
      <c r="G27" s="142">
        <v>24</v>
      </c>
      <c r="H27" s="141">
        <v>457559</v>
      </c>
      <c r="I27" s="141">
        <v>457693</v>
      </c>
      <c r="J27" s="142">
        <v>134</v>
      </c>
      <c r="K27" s="141">
        <v>40280</v>
      </c>
      <c r="L27" s="141">
        <v>40343</v>
      </c>
      <c r="M27" s="142">
        <v>63</v>
      </c>
      <c r="Q27" s="141">
        <v>4971</v>
      </c>
      <c r="R27" s="141">
        <v>5022</v>
      </c>
      <c r="S27" s="142">
        <v>51</v>
      </c>
      <c r="T27" s="141">
        <v>3089</v>
      </c>
      <c r="U27" s="141">
        <v>3089</v>
      </c>
      <c r="V27" s="142">
        <v>0</v>
      </c>
      <c r="W27" s="141">
        <v>2620</v>
      </c>
      <c r="X27" s="141">
        <v>2620</v>
      </c>
      <c r="Y27" s="142">
        <v>0</v>
      </c>
      <c r="Z27" s="141">
        <v>29584</v>
      </c>
      <c r="AA27" s="141">
        <v>29584</v>
      </c>
      <c r="AB27" s="142">
        <v>0</v>
      </c>
      <c r="AC27" s="141">
        <v>200522</v>
      </c>
      <c r="AD27" s="141">
        <v>200599</v>
      </c>
      <c r="AE27" s="142">
        <v>77</v>
      </c>
      <c r="AF27" s="141">
        <v>16680</v>
      </c>
      <c r="AG27" s="141">
        <v>16711</v>
      </c>
      <c r="AH27" s="142">
        <v>31</v>
      </c>
    </row>
    <row r="28" spans="1:34">
      <c r="A28" s="144">
        <v>45010</v>
      </c>
      <c r="B28" s="141">
        <v>24276</v>
      </c>
      <c r="C28" s="141">
        <v>24276</v>
      </c>
      <c r="D28" s="142">
        <f t="shared" si="0"/>
        <v>0</v>
      </c>
      <c r="E28" s="141">
        <v>9640</v>
      </c>
      <c r="F28" s="141">
        <v>9683</v>
      </c>
      <c r="G28" s="142">
        <v>43</v>
      </c>
      <c r="H28" s="141">
        <v>457693</v>
      </c>
      <c r="I28" s="141">
        <v>457781</v>
      </c>
      <c r="J28" s="142">
        <v>88</v>
      </c>
      <c r="K28" s="141">
        <v>40343</v>
      </c>
      <c r="L28" s="141">
        <v>40383</v>
      </c>
      <c r="M28" s="142">
        <v>40</v>
      </c>
      <c r="Q28" s="141">
        <v>5022</v>
      </c>
      <c r="R28" s="141">
        <v>5066</v>
      </c>
      <c r="S28" s="142">
        <v>44</v>
      </c>
      <c r="T28" s="141">
        <v>3089</v>
      </c>
      <c r="U28" s="141">
        <v>3089</v>
      </c>
      <c r="V28" s="142">
        <v>0</v>
      </c>
      <c r="W28" s="141">
        <v>2620</v>
      </c>
      <c r="X28" s="141">
        <v>2620</v>
      </c>
      <c r="Y28" s="142">
        <v>0</v>
      </c>
      <c r="Z28" s="141">
        <v>29584</v>
      </c>
      <c r="AA28" s="141">
        <v>29584</v>
      </c>
      <c r="AB28" s="142">
        <v>0</v>
      </c>
      <c r="AC28" s="141">
        <v>200599</v>
      </c>
      <c r="AD28" s="141">
        <v>200659</v>
      </c>
      <c r="AE28" s="142">
        <v>60</v>
      </c>
      <c r="AF28" s="141">
        <v>16711</v>
      </c>
      <c r="AG28" s="141">
        <v>16738</v>
      </c>
      <c r="AH28" s="142">
        <v>27</v>
      </c>
    </row>
    <row r="29" spans="1:34">
      <c r="A29" s="144">
        <v>45011</v>
      </c>
      <c r="B29" s="141">
        <v>24276</v>
      </c>
      <c r="C29" s="141">
        <v>24731</v>
      </c>
      <c r="D29" s="142">
        <f t="shared" si="0"/>
        <v>455</v>
      </c>
      <c r="E29" s="141">
        <v>9683</v>
      </c>
      <c r="F29" s="141">
        <v>9722</v>
      </c>
      <c r="G29" s="142">
        <v>39</v>
      </c>
      <c r="H29" s="141">
        <v>457781</v>
      </c>
      <c r="I29" s="141">
        <v>457822</v>
      </c>
      <c r="J29" s="142">
        <v>41</v>
      </c>
      <c r="K29" s="141">
        <v>40383</v>
      </c>
      <c r="L29" s="141">
        <v>40413</v>
      </c>
      <c r="M29" s="142">
        <v>30</v>
      </c>
      <c r="Q29" s="141">
        <v>5066</v>
      </c>
      <c r="R29" s="141">
        <v>5114</v>
      </c>
      <c r="S29" s="142">
        <v>48</v>
      </c>
      <c r="T29" s="141">
        <v>3089</v>
      </c>
      <c r="U29" s="141">
        <v>3089</v>
      </c>
      <c r="V29" s="142">
        <v>0</v>
      </c>
      <c r="W29" s="141">
        <v>2620</v>
      </c>
      <c r="X29" s="141">
        <v>2620</v>
      </c>
      <c r="Y29" s="142">
        <v>0</v>
      </c>
      <c r="Z29" s="141">
        <v>29584</v>
      </c>
      <c r="AA29" s="141">
        <v>29584</v>
      </c>
      <c r="AB29" s="142">
        <v>0</v>
      </c>
      <c r="AC29" s="141">
        <v>200659</v>
      </c>
      <c r="AD29" s="141">
        <v>200734</v>
      </c>
      <c r="AE29" s="142">
        <v>75</v>
      </c>
      <c r="AF29" s="141">
        <v>16738</v>
      </c>
      <c r="AG29" s="141">
        <v>16763</v>
      </c>
      <c r="AH29" s="142">
        <v>25</v>
      </c>
    </row>
    <row r="30" spans="1:34">
      <c r="A30" s="144">
        <v>45012</v>
      </c>
      <c r="B30" s="141">
        <v>24731</v>
      </c>
      <c r="C30" s="141">
        <v>24849</v>
      </c>
      <c r="D30" s="142">
        <f t="shared" si="0"/>
        <v>118</v>
      </c>
      <c r="E30" s="141">
        <v>9722</v>
      </c>
      <c r="F30" s="141">
        <v>9764</v>
      </c>
      <c r="G30" s="142">
        <v>42</v>
      </c>
      <c r="H30" s="141">
        <v>457822</v>
      </c>
      <c r="I30" s="141">
        <v>457922</v>
      </c>
      <c r="J30" s="142">
        <v>100</v>
      </c>
      <c r="K30" s="141">
        <v>40413</v>
      </c>
      <c r="L30" s="141">
        <v>40456</v>
      </c>
      <c r="M30" s="142">
        <v>43</v>
      </c>
      <c r="Q30" s="141">
        <v>5114</v>
      </c>
      <c r="R30" s="141">
        <v>5159</v>
      </c>
      <c r="S30" s="142">
        <v>45</v>
      </c>
      <c r="T30" s="141">
        <v>3089</v>
      </c>
      <c r="U30" s="141">
        <v>3101</v>
      </c>
      <c r="V30" s="142">
        <v>12</v>
      </c>
      <c r="W30" s="141">
        <v>2620</v>
      </c>
      <c r="X30" s="141">
        <v>2637</v>
      </c>
      <c r="Y30" s="142">
        <v>17</v>
      </c>
      <c r="Z30" s="141">
        <v>29584</v>
      </c>
      <c r="AA30" s="141">
        <v>29912</v>
      </c>
      <c r="AB30" s="142">
        <v>328</v>
      </c>
      <c r="AC30" s="141">
        <v>200734</v>
      </c>
      <c r="AD30" s="141">
        <v>200801</v>
      </c>
      <c r="AE30" s="142">
        <v>67</v>
      </c>
      <c r="AF30" s="141">
        <v>16763</v>
      </c>
      <c r="AG30" s="141">
        <v>16790</v>
      </c>
      <c r="AH30" s="142">
        <v>27</v>
      </c>
    </row>
    <row r="31" spans="1:34">
      <c r="A31" s="144">
        <v>45013</v>
      </c>
      <c r="B31" s="141">
        <v>24849</v>
      </c>
      <c r="C31" s="141">
        <v>24954</v>
      </c>
      <c r="D31" s="142">
        <f t="shared" si="0"/>
        <v>105</v>
      </c>
      <c r="E31" s="141">
        <v>9764</v>
      </c>
      <c r="F31" s="141">
        <v>9784</v>
      </c>
      <c r="G31" s="142">
        <v>20</v>
      </c>
      <c r="H31" s="141">
        <v>457922</v>
      </c>
      <c r="I31" s="141">
        <v>458021</v>
      </c>
      <c r="J31" s="142">
        <v>99</v>
      </c>
      <c r="K31" s="141">
        <v>40456</v>
      </c>
      <c r="L31" s="141">
        <v>40490</v>
      </c>
      <c r="M31" s="142">
        <v>34</v>
      </c>
      <c r="Q31" s="141">
        <v>5159</v>
      </c>
      <c r="R31" s="141">
        <v>5190</v>
      </c>
      <c r="S31" s="142">
        <v>31</v>
      </c>
      <c r="T31" s="141">
        <v>3101</v>
      </c>
      <c r="U31" s="141">
        <v>3103</v>
      </c>
      <c r="V31" s="142">
        <v>2</v>
      </c>
      <c r="W31" s="141">
        <v>2637</v>
      </c>
      <c r="X31" s="141">
        <v>2638</v>
      </c>
      <c r="Y31" s="142">
        <v>1</v>
      </c>
      <c r="Z31" s="141">
        <v>29912</v>
      </c>
      <c r="AA31" s="141">
        <v>29963</v>
      </c>
      <c r="AB31" s="142">
        <v>51</v>
      </c>
      <c r="AC31" s="141">
        <v>200801</v>
      </c>
      <c r="AD31" s="141">
        <v>200877</v>
      </c>
      <c r="AE31" s="142">
        <v>76</v>
      </c>
      <c r="AF31" s="141">
        <v>16790</v>
      </c>
      <c r="AG31" s="141">
        <v>16811</v>
      </c>
      <c r="AH31" s="142">
        <v>21</v>
      </c>
    </row>
    <row r="32" spans="1:34">
      <c r="A32" s="144">
        <v>45014</v>
      </c>
      <c r="B32" s="141">
        <v>24954</v>
      </c>
      <c r="C32" s="141">
        <v>25038</v>
      </c>
      <c r="D32" s="142">
        <f t="shared" si="0"/>
        <v>84</v>
      </c>
      <c r="E32" s="141">
        <v>9784</v>
      </c>
      <c r="F32" s="141">
        <v>9812</v>
      </c>
      <c r="G32" s="142">
        <v>28</v>
      </c>
      <c r="H32" s="141">
        <v>458021</v>
      </c>
      <c r="I32" s="141">
        <v>458092</v>
      </c>
      <c r="J32" s="142">
        <v>71</v>
      </c>
      <c r="K32" s="141">
        <v>40490</v>
      </c>
      <c r="L32" s="141">
        <v>40520</v>
      </c>
      <c r="M32" s="142">
        <v>30</v>
      </c>
      <c r="Q32" s="141">
        <v>5190</v>
      </c>
      <c r="R32" s="141">
        <v>5262</v>
      </c>
      <c r="S32" s="142">
        <v>72</v>
      </c>
      <c r="T32" s="141">
        <v>3103</v>
      </c>
      <c r="U32" s="141">
        <v>3107</v>
      </c>
      <c r="V32" s="142">
        <v>4</v>
      </c>
      <c r="W32" s="141">
        <v>2638</v>
      </c>
      <c r="X32" s="141">
        <v>2638</v>
      </c>
      <c r="Y32" s="142">
        <v>0</v>
      </c>
      <c r="Z32" s="141">
        <v>29963</v>
      </c>
      <c r="AA32" s="141">
        <v>30014</v>
      </c>
      <c r="AB32" s="142">
        <v>51</v>
      </c>
      <c r="AC32" s="141">
        <v>200877</v>
      </c>
      <c r="AD32" s="141">
        <v>200944</v>
      </c>
      <c r="AE32" s="142">
        <v>67</v>
      </c>
      <c r="AF32" s="141">
        <v>16811</v>
      </c>
      <c r="AG32" s="141">
        <v>16831</v>
      </c>
      <c r="AH32" s="142">
        <v>20</v>
      </c>
    </row>
    <row r="33" spans="1:34">
      <c r="A33" s="144">
        <v>45015</v>
      </c>
      <c r="B33" s="141">
        <v>25038</v>
      </c>
      <c r="C33" s="141">
        <v>25143</v>
      </c>
      <c r="D33" s="142">
        <f t="shared" si="0"/>
        <v>105</v>
      </c>
      <c r="E33" s="141">
        <v>9812</v>
      </c>
      <c r="F33" s="141">
        <v>9876</v>
      </c>
      <c r="G33" s="142">
        <v>64</v>
      </c>
      <c r="H33" s="141">
        <v>458092</v>
      </c>
      <c r="I33" s="141">
        <v>458196</v>
      </c>
      <c r="J33" s="142">
        <v>104</v>
      </c>
      <c r="K33" s="141">
        <v>40520</v>
      </c>
      <c r="L33" s="141">
        <v>40560</v>
      </c>
      <c r="M33" s="142">
        <v>40</v>
      </c>
      <c r="Q33" s="141">
        <v>5262</v>
      </c>
      <c r="R33" s="141">
        <v>5297</v>
      </c>
      <c r="S33" s="142">
        <v>35</v>
      </c>
      <c r="T33" s="141">
        <v>3107</v>
      </c>
      <c r="U33" s="141">
        <v>3110</v>
      </c>
      <c r="V33" s="142">
        <v>3</v>
      </c>
      <c r="W33" s="141">
        <v>2638</v>
      </c>
      <c r="X33" s="141">
        <v>2654</v>
      </c>
      <c r="Y33" s="142">
        <v>16</v>
      </c>
      <c r="Z33" s="141">
        <v>30014</v>
      </c>
      <c r="AA33" s="141">
        <v>30037</v>
      </c>
      <c r="AB33" s="142">
        <v>23</v>
      </c>
      <c r="AC33" s="141">
        <v>200944</v>
      </c>
      <c r="AD33" s="141">
        <v>201009</v>
      </c>
      <c r="AE33" s="142">
        <v>65</v>
      </c>
      <c r="AF33" s="141">
        <v>16831</v>
      </c>
      <c r="AG33" s="141">
        <v>16854</v>
      </c>
      <c r="AH33" s="142">
        <v>23</v>
      </c>
    </row>
    <row r="34" spans="1:34">
      <c r="A34" s="144">
        <v>45016</v>
      </c>
      <c r="B34" s="141">
        <v>25143</v>
      </c>
      <c r="C34" s="141">
        <v>25306</v>
      </c>
      <c r="D34" s="142">
        <f t="shared" si="0"/>
        <v>163</v>
      </c>
      <c r="E34" s="141">
        <v>9876</v>
      </c>
      <c r="F34" s="141">
        <v>9921</v>
      </c>
      <c r="G34" s="142">
        <v>45</v>
      </c>
      <c r="H34" s="141">
        <v>458196</v>
      </c>
      <c r="I34" s="141">
        <v>458304</v>
      </c>
      <c r="J34" s="142">
        <v>108</v>
      </c>
      <c r="K34" s="141">
        <v>40560</v>
      </c>
      <c r="L34" s="141">
        <v>40603</v>
      </c>
      <c r="M34" s="142">
        <v>43</v>
      </c>
      <c r="Q34" s="141">
        <v>5297</v>
      </c>
      <c r="R34" s="141">
        <v>5329</v>
      </c>
      <c r="S34" s="142">
        <v>32</v>
      </c>
      <c r="T34" s="141">
        <v>3110</v>
      </c>
      <c r="U34" s="141">
        <v>3113</v>
      </c>
      <c r="V34" s="142">
        <v>3</v>
      </c>
      <c r="W34" s="141">
        <v>2638</v>
      </c>
      <c r="X34" s="141">
        <v>2654</v>
      </c>
      <c r="Y34" s="142">
        <v>16</v>
      </c>
      <c r="Z34" s="141">
        <v>30037</v>
      </c>
      <c r="AA34" s="141">
        <v>30082</v>
      </c>
      <c r="AB34" s="142">
        <v>45</v>
      </c>
      <c r="AC34" s="141">
        <v>201009</v>
      </c>
      <c r="AD34" s="141">
        <v>201009</v>
      </c>
      <c r="AE34" s="142">
        <v>0</v>
      </c>
      <c r="AF34" s="141">
        <v>16854</v>
      </c>
      <c r="AG34" s="141">
        <v>16886</v>
      </c>
      <c r="AH34" s="142">
        <v>32</v>
      </c>
    </row>
    <row r="35" spans="1:34">
      <c r="A35" s="144">
        <v>45017</v>
      </c>
      <c r="B35" s="141">
        <v>25306</v>
      </c>
      <c r="C35" s="141">
        <v>25398</v>
      </c>
      <c r="D35" s="142">
        <f t="shared" si="0"/>
        <v>92</v>
      </c>
      <c r="E35" s="141">
        <v>9921</v>
      </c>
      <c r="F35" s="141">
        <v>9972</v>
      </c>
      <c r="G35" s="142">
        <v>51</v>
      </c>
      <c r="H35" s="141">
        <v>458304</v>
      </c>
      <c r="I35" s="141">
        <v>458378</v>
      </c>
      <c r="J35" s="142">
        <v>74</v>
      </c>
      <c r="K35" s="141">
        <v>40603</v>
      </c>
      <c r="L35" s="141">
        <v>40659</v>
      </c>
      <c r="M35" s="142">
        <v>56</v>
      </c>
      <c r="Q35" s="141">
        <v>5329</v>
      </c>
      <c r="R35" s="141">
        <v>5361</v>
      </c>
      <c r="S35" s="142">
        <v>32</v>
      </c>
      <c r="T35" s="141">
        <v>3113</v>
      </c>
      <c r="U35" s="141">
        <v>3117</v>
      </c>
      <c r="V35" s="142">
        <v>4</v>
      </c>
      <c r="W35" s="141">
        <v>2638</v>
      </c>
      <c r="X35" s="141">
        <v>2654</v>
      </c>
      <c r="Y35" s="142">
        <v>16</v>
      </c>
      <c r="Z35" s="141">
        <v>30082</v>
      </c>
      <c r="AA35" s="141">
        <v>30094</v>
      </c>
      <c r="AB35" s="142">
        <v>12</v>
      </c>
      <c r="AC35" s="141">
        <v>201009</v>
      </c>
      <c r="AD35" s="141">
        <v>201114</v>
      </c>
      <c r="AE35" s="142">
        <v>105</v>
      </c>
      <c r="AF35" s="141">
        <v>16886</v>
      </c>
      <c r="AG35" s="141">
        <v>16923</v>
      </c>
      <c r="AH35" s="142">
        <v>37</v>
      </c>
    </row>
    <row r="36" spans="1:34">
      <c r="A36" s="144">
        <v>45018</v>
      </c>
      <c r="B36" s="141">
        <v>25398</v>
      </c>
      <c r="C36" s="141">
        <v>25478</v>
      </c>
      <c r="D36" s="142">
        <f t="shared" si="0"/>
        <v>80</v>
      </c>
      <c r="E36" s="141">
        <v>9972</v>
      </c>
      <c r="F36" s="141">
        <v>10009</v>
      </c>
      <c r="G36" s="142">
        <v>37</v>
      </c>
      <c r="H36" s="141">
        <v>458378</v>
      </c>
      <c r="I36" s="141">
        <v>458465</v>
      </c>
      <c r="J36" s="142">
        <v>87</v>
      </c>
      <c r="K36" s="141">
        <v>40659</v>
      </c>
      <c r="L36" s="141">
        <v>40699</v>
      </c>
      <c r="M36" s="142">
        <v>40</v>
      </c>
      <c r="Q36" s="141">
        <v>5361</v>
      </c>
      <c r="R36" s="141">
        <v>5404</v>
      </c>
      <c r="S36" s="142">
        <v>43</v>
      </c>
      <c r="T36" s="141">
        <v>3117</v>
      </c>
      <c r="U36" s="141">
        <v>3120</v>
      </c>
      <c r="V36" s="142">
        <v>3</v>
      </c>
      <c r="W36" s="141">
        <v>2638</v>
      </c>
      <c r="X36" s="141">
        <v>2654</v>
      </c>
      <c r="Y36" s="142">
        <v>16</v>
      </c>
      <c r="Z36" s="141">
        <v>30094</v>
      </c>
      <c r="AA36" s="141">
        <v>30123</v>
      </c>
      <c r="AB36" s="142">
        <v>29</v>
      </c>
      <c r="AC36" s="141">
        <v>201114</v>
      </c>
      <c r="AD36" s="141">
        <v>201187</v>
      </c>
      <c r="AE36" s="142">
        <v>73</v>
      </c>
      <c r="AF36" s="141">
        <v>16923</v>
      </c>
      <c r="AG36" s="141">
        <v>16956</v>
      </c>
      <c r="AH36" s="142">
        <v>33</v>
      </c>
    </row>
    <row r="37" spans="1:34">
      <c r="A37" s="144">
        <v>45019</v>
      </c>
      <c r="B37" s="141">
        <v>25478</v>
      </c>
      <c r="C37" s="141">
        <v>25562</v>
      </c>
      <c r="D37" s="142">
        <f t="shared" si="0"/>
        <v>84</v>
      </c>
      <c r="E37" s="141">
        <v>10009</v>
      </c>
      <c r="F37" s="141">
        <v>10036</v>
      </c>
      <c r="G37" s="142">
        <v>27</v>
      </c>
      <c r="H37" s="141">
        <v>458465</v>
      </c>
      <c r="I37" s="141">
        <v>458577</v>
      </c>
      <c r="J37" s="142">
        <v>112</v>
      </c>
      <c r="K37" s="141">
        <v>40699</v>
      </c>
      <c r="L37" s="141">
        <v>40739</v>
      </c>
      <c r="M37" s="142">
        <v>40</v>
      </c>
      <c r="Q37" s="141">
        <v>5404</v>
      </c>
      <c r="R37" s="141">
        <v>5442</v>
      </c>
      <c r="S37" s="142">
        <v>38</v>
      </c>
      <c r="T37" s="141">
        <v>3120</v>
      </c>
      <c r="U37" s="141">
        <v>3122</v>
      </c>
      <c r="V37" s="142">
        <v>2</v>
      </c>
      <c r="W37" s="141">
        <v>2654</v>
      </c>
      <c r="X37" s="141">
        <v>2654</v>
      </c>
      <c r="Y37" s="142">
        <v>0</v>
      </c>
      <c r="Z37" s="141">
        <v>30123</v>
      </c>
      <c r="AA37" s="141">
        <v>30194</v>
      </c>
      <c r="AB37" s="142">
        <v>71</v>
      </c>
      <c r="AC37" s="141">
        <v>201187</v>
      </c>
      <c r="AD37" s="141">
        <v>201263</v>
      </c>
      <c r="AE37" s="142">
        <v>76</v>
      </c>
      <c r="AF37" s="141">
        <v>16956</v>
      </c>
      <c r="AG37" s="141">
        <v>16985</v>
      </c>
      <c r="AH37" s="142">
        <v>29</v>
      </c>
    </row>
    <row r="38" spans="1:34">
      <c r="A38" s="144">
        <v>45020</v>
      </c>
      <c r="B38" s="141">
        <v>25562</v>
      </c>
      <c r="C38" s="141">
        <v>25643</v>
      </c>
      <c r="D38" s="142">
        <f t="shared" si="0"/>
        <v>81</v>
      </c>
      <c r="E38" s="141">
        <v>10036</v>
      </c>
      <c r="F38" s="141">
        <v>10077</v>
      </c>
      <c r="G38" s="142">
        <v>41</v>
      </c>
      <c r="H38" s="141">
        <v>458577</v>
      </c>
      <c r="I38" s="141">
        <v>458655</v>
      </c>
      <c r="J38" s="142">
        <v>78</v>
      </c>
      <c r="K38" s="141">
        <v>40739</v>
      </c>
      <c r="L38" s="141">
        <v>40764</v>
      </c>
      <c r="M38" s="142">
        <v>25</v>
      </c>
      <c r="Q38" s="141">
        <v>5442</v>
      </c>
      <c r="R38" s="141">
        <v>5477</v>
      </c>
      <c r="S38" s="142">
        <v>35</v>
      </c>
      <c r="T38" s="141">
        <v>3122</v>
      </c>
      <c r="U38" s="141">
        <v>3126</v>
      </c>
      <c r="V38" s="142">
        <v>4</v>
      </c>
      <c r="W38" s="141">
        <v>2654</v>
      </c>
      <c r="X38" s="141">
        <v>2654</v>
      </c>
      <c r="Y38" s="142">
        <v>0</v>
      </c>
      <c r="Z38" s="141">
        <v>30194</v>
      </c>
      <c r="AA38" s="141">
        <v>30213</v>
      </c>
      <c r="AB38" s="142">
        <v>19</v>
      </c>
      <c r="AC38" s="141">
        <v>201263</v>
      </c>
      <c r="AD38" s="141">
        <v>201311</v>
      </c>
      <c r="AE38" s="142">
        <v>48</v>
      </c>
      <c r="AF38" s="141">
        <v>16985</v>
      </c>
      <c r="AG38" s="141">
        <v>16996</v>
      </c>
      <c r="AH38" s="142">
        <v>11</v>
      </c>
    </row>
    <row r="39" spans="1:34">
      <c r="A39" s="144">
        <v>45021</v>
      </c>
      <c r="B39" s="141">
        <v>25643</v>
      </c>
      <c r="C39" s="141">
        <v>25733</v>
      </c>
      <c r="D39" s="142">
        <f t="shared" si="0"/>
        <v>90</v>
      </c>
      <c r="E39" s="141">
        <v>10077</v>
      </c>
      <c r="F39" s="141">
        <v>10077</v>
      </c>
      <c r="G39" s="142">
        <v>0</v>
      </c>
      <c r="H39" s="141">
        <v>458655</v>
      </c>
      <c r="I39" s="141">
        <v>458655</v>
      </c>
      <c r="J39" s="142">
        <v>0</v>
      </c>
      <c r="K39" s="141">
        <v>40764</v>
      </c>
      <c r="L39" s="141">
        <v>40808</v>
      </c>
      <c r="M39" s="142">
        <v>44</v>
      </c>
      <c r="Q39" s="141">
        <v>5477</v>
      </c>
      <c r="R39" s="141">
        <v>5477</v>
      </c>
      <c r="S39" s="142">
        <v>0</v>
      </c>
      <c r="T39" s="141">
        <v>3126</v>
      </c>
      <c r="U39" s="141">
        <v>3126</v>
      </c>
      <c r="V39" s="142">
        <v>0</v>
      </c>
      <c r="W39" s="141">
        <v>2654</v>
      </c>
      <c r="X39" s="141">
        <v>2654</v>
      </c>
      <c r="Y39" s="142">
        <v>0</v>
      </c>
      <c r="Z39" s="141">
        <v>30213</v>
      </c>
      <c r="AA39" s="141">
        <v>30213</v>
      </c>
      <c r="AB39" s="142">
        <v>0</v>
      </c>
      <c r="AC39" s="141">
        <v>201311</v>
      </c>
      <c r="AD39" s="141">
        <v>201311</v>
      </c>
      <c r="AE39" s="142">
        <v>0</v>
      </c>
      <c r="AF39" s="141">
        <v>16996</v>
      </c>
      <c r="AG39" s="141">
        <v>17011</v>
      </c>
      <c r="AH39" s="142">
        <v>15</v>
      </c>
    </row>
    <row r="40" spans="1:34">
      <c r="A40" s="144">
        <v>45022</v>
      </c>
      <c r="B40" s="141">
        <v>25733</v>
      </c>
      <c r="C40" s="141">
        <v>25759</v>
      </c>
      <c r="D40" s="142">
        <f t="shared" si="0"/>
        <v>26</v>
      </c>
      <c r="E40" s="141">
        <v>10077</v>
      </c>
      <c r="F40" s="141">
        <v>10077</v>
      </c>
      <c r="G40" s="142">
        <v>0</v>
      </c>
      <c r="H40" s="141">
        <v>458655</v>
      </c>
      <c r="I40" s="141">
        <v>458655</v>
      </c>
      <c r="J40" s="142">
        <v>0</v>
      </c>
      <c r="K40" s="141">
        <v>40808</v>
      </c>
      <c r="L40" s="141">
        <v>40847</v>
      </c>
      <c r="M40" s="142">
        <v>39</v>
      </c>
      <c r="Q40" s="141">
        <v>5477</v>
      </c>
      <c r="R40" s="141">
        <v>5477</v>
      </c>
      <c r="S40" s="142">
        <v>0</v>
      </c>
      <c r="T40" s="141">
        <v>3126</v>
      </c>
      <c r="U40" s="141">
        <v>3126</v>
      </c>
      <c r="V40" s="142">
        <v>0</v>
      </c>
      <c r="W40" s="141">
        <v>2654</v>
      </c>
      <c r="X40" s="141">
        <v>2654</v>
      </c>
      <c r="Y40" s="142">
        <v>0</v>
      </c>
      <c r="Z40" s="141">
        <v>30213</v>
      </c>
      <c r="AA40" s="141">
        <v>30213</v>
      </c>
      <c r="AB40" s="142">
        <v>0</v>
      </c>
      <c r="AC40" s="141">
        <v>201311</v>
      </c>
      <c r="AD40" s="141">
        <v>201311</v>
      </c>
      <c r="AE40" s="142">
        <v>0</v>
      </c>
      <c r="AF40" s="141">
        <v>17011</v>
      </c>
      <c r="AG40" s="141">
        <v>17041</v>
      </c>
      <c r="AH40" s="142">
        <v>30</v>
      </c>
    </row>
    <row r="41" spans="1:34">
      <c r="A41" s="144">
        <v>45023</v>
      </c>
      <c r="B41" s="141">
        <v>25759</v>
      </c>
      <c r="C41" s="141">
        <v>25848</v>
      </c>
      <c r="D41" s="142">
        <f t="shared" si="0"/>
        <v>89</v>
      </c>
      <c r="E41" s="141">
        <v>10077</v>
      </c>
      <c r="F41" s="141">
        <v>10077</v>
      </c>
      <c r="G41" s="142">
        <v>0</v>
      </c>
      <c r="H41" s="141">
        <v>458655</v>
      </c>
      <c r="I41" s="141">
        <v>458655</v>
      </c>
      <c r="J41" s="142">
        <v>0</v>
      </c>
      <c r="K41" s="141">
        <v>40847</v>
      </c>
      <c r="L41" s="141">
        <v>40901</v>
      </c>
      <c r="M41" s="142">
        <v>54</v>
      </c>
      <c r="Q41" s="141">
        <v>5477</v>
      </c>
      <c r="R41" s="141">
        <v>5477</v>
      </c>
      <c r="S41" s="142">
        <v>0</v>
      </c>
      <c r="T41" s="141">
        <v>3126</v>
      </c>
      <c r="U41" s="141">
        <v>3126</v>
      </c>
      <c r="V41" s="142">
        <v>0</v>
      </c>
      <c r="W41" s="141">
        <v>2654</v>
      </c>
      <c r="X41" s="141">
        <v>2654</v>
      </c>
      <c r="Y41" s="142">
        <v>0</v>
      </c>
      <c r="Z41" s="141">
        <v>30213</v>
      </c>
      <c r="AA41" s="141">
        <v>30213</v>
      </c>
      <c r="AB41" s="142">
        <v>0</v>
      </c>
      <c r="AC41" s="141">
        <v>201311</v>
      </c>
      <c r="AD41" s="141">
        <v>201311</v>
      </c>
      <c r="AE41" s="142">
        <v>0</v>
      </c>
      <c r="AF41" s="141">
        <v>17041</v>
      </c>
      <c r="AG41" s="141">
        <v>17071</v>
      </c>
      <c r="AH41" s="142">
        <v>30</v>
      </c>
    </row>
    <row r="42" spans="1:34">
      <c r="A42" s="144">
        <v>45024</v>
      </c>
      <c r="B42" s="141">
        <v>25848</v>
      </c>
      <c r="C42" s="141">
        <v>25932</v>
      </c>
      <c r="D42" s="142">
        <f t="shared" si="0"/>
        <v>84</v>
      </c>
      <c r="E42" s="141">
        <v>10077</v>
      </c>
      <c r="F42" s="141">
        <v>10077</v>
      </c>
      <c r="G42" s="142">
        <v>0</v>
      </c>
      <c r="H42" s="141">
        <v>458655</v>
      </c>
      <c r="I42" s="141">
        <v>458655</v>
      </c>
      <c r="J42" s="142">
        <v>0</v>
      </c>
      <c r="K42" s="141">
        <v>40901</v>
      </c>
      <c r="L42" s="141">
        <v>40933</v>
      </c>
      <c r="M42" s="142">
        <v>32</v>
      </c>
      <c r="Q42" s="141">
        <v>5477</v>
      </c>
      <c r="R42" s="141">
        <v>5477</v>
      </c>
      <c r="S42" s="142">
        <v>0</v>
      </c>
      <c r="T42" s="141">
        <v>3126</v>
      </c>
      <c r="U42" s="141">
        <v>3126</v>
      </c>
      <c r="V42" s="142">
        <v>0</v>
      </c>
      <c r="W42" s="141">
        <v>2654</v>
      </c>
      <c r="X42" s="141">
        <v>2654</v>
      </c>
      <c r="Y42" s="142">
        <v>0</v>
      </c>
      <c r="Z42" s="141">
        <v>30213</v>
      </c>
      <c r="AA42" s="141">
        <v>30213</v>
      </c>
      <c r="AB42" s="142">
        <v>0</v>
      </c>
      <c r="AC42" s="141">
        <v>201311</v>
      </c>
      <c r="AD42" s="141">
        <v>201311</v>
      </c>
      <c r="AE42" s="142">
        <v>0</v>
      </c>
      <c r="AF42" s="141">
        <v>17071</v>
      </c>
      <c r="AG42" s="141">
        <v>17100</v>
      </c>
      <c r="AH42" s="142">
        <v>29</v>
      </c>
    </row>
    <row r="43" spans="1:34">
      <c r="A43" s="144">
        <v>45025</v>
      </c>
      <c r="B43" s="141">
        <v>25932</v>
      </c>
      <c r="C43" s="141">
        <v>26020</v>
      </c>
      <c r="D43" s="142">
        <f t="shared" si="0"/>
        <v>88</v>
      </c>
      <c r="E43" s="141">
        <v>10077</v>
      </c>
      <c r="F43" s="141">
        <v>10077</v>
      </c>
      <c r="G43" s="142">
        <v>0</v>
      </c>
      <c r="H43" s="141">
        <v>458655</v>
      </c>
      <c r="I43" s="141">
        <v>458655</v>
      </c>
      <c r="J43" s="142">
        <v>0</v>
      </c>
      <c r="K43" s="141">
        <v>40933</v>
      </c>
      <c r="L43" s="141">
        <v>40971</v>
      </c>
      <c r="M43" s="142">
        <v>38</v>
      </c>
      <c r="Q43" s="141">
        <v>5477</v>
      </c>
      <c r="R43" s="141">
        <v>5622</v>
      </c>
      <c r="S43" s="142">
        <v>145</v>
      </c>
      <c r="T43" s="141">
        <v>3126</v>
      </c>
      <c r="U43" s="141">
        <v>3126</v>
      </c>
      <c r="V43" s="142">
        <v>0</v>
      </c>
      <c r="W43" s="141">
        <v>2654</v>
      </c>
      <c r="X43" s="141">
        <v>2654</v>
      </c>
      <c r="Y43" s="142">
        <v>0</v>
      </c>
      <c r="Z43" s="141">
        <v>30213</v>
      </c>
      <c r="AA43" s="141">
        <v>30213</v>
      </c>
      <c r="AB43" s="142">
        <v>0</v>
      </c>
      <c r="AC43" s="141">
        <v>201311</v>
      </c>
      <c r="AD43" s="141">
        <v>201311</v>
      </c>
      <c r="AE43" s="142">
        <v>0</v>
      </c>
      <c r="AF43" s="141">
        <v>17100</v>
      </c>
      <c r="AG43" s="141">
        <v>17129</v>
      </c>
      <c r="AH43" s="142">
        <v>29</v>
      </c>
    </row>
    <row r="44" spans="1:34">
      <c r="A44" s="144">
        <v>45026</v>
      </c>
      <c r="B44" s="141">
        <v>26020</v>
      </c>
      <c r="C44" s="141">
        <v>26102</v>
      </c>
      <c r="D44" s="142">
        <f t="shared" si="0"/>
        <v>82</v>
      </c>
      <c r="E44" s="141">
        <v>10077</v>
      </c>
      <c r="F44" s="141">
        <v>10344</v>
      </c>
      <c r="G44" s="142">
        <v>267</v>
      </c>
      <c r="H44" s="141">
        <v>458655</v>
      </c>
      <c r="I44" s="141">
        <v>459122</v>
      </c>
      <c r="J44" s="142">
        <v>467</v>
      </c>
      <c r="K44" s="141">
        <v>40971</v>
      </c>
      <c r="L44" s="141">
        <v>40999</v>
      </c>
      <c r="M44" s="142">
        <v>28</v>
      </c>
      <c r="Q44" s="141">
        <v>5622</v>
      </c>
      <c r="R44" s="141">
        <v>5704</v>
      </c>
      <c r="S44" s="142">
        <v>82</v>
      </c>
      <c r="T44" s="141">
        <v>3126</v>
      </c>
      <c r="U44" s="141">
        <v>3126</v>
      </c>
      <c r="V44" s="142">
        <v>0</v>
      </c>
      <c r="W44" s="141">
        <v>2654</v>
      </c>
      <c r="X44" s="141">
        <v>2654</v>
      </c>
      <c r="Y44" s="142">
        <v>0</v>
      </c>
      <c r="Z44" s="141">
        <v>30213</v>
      </c>
      <c r="AA44" s="141">
        <v>30213</v>
      </c>
      <c r="AB44" s="142">
        <v>0</v>
      </c>
      <c r="AC44" s="141">
        <v>201311</v>
      </c>
      <c r="AD44" s="141">
        <v>201640</v>
      </c>
      <c r="AE44" s="142">
        <v>329</v>
      </c>
      <c r="AF44" s="141">
        <v>17129</v>
      </c>
      <c r="AG44" s="141">
        <v>17156</v>
      </c>
      <c r="AH44" s="142">
        <v>27</v>
      </c>
    </row>
    <row r="45" spans="1:34">
      <c r="A45" s="144">
        <v>45027</v>
      </c>
      <c r="B45" s="141">
        <v>26102</v>
      </c>
      <c r="C45" s="141">
        <v>26189</v>
      </c>
      <c r="D45" s="142">
        <f t="shared" si="0"/>
        <v>87</v>
      </c>
      <c r="E45" s="141">
        <v>10344</v>
      </c>
      <c r="F45" s="141">
        <v>10394</v>
      </c>
      <c r="G45" s="142">
        <v>50</v>
      </c>
      <c r="H45" s="141">
        <v>459122</v>
      </c>
      <c r="I45" s="141">
        <v>459217</v>
      </c>
      <c r="J45" s="142">
        <v>95</v>
      </c>
      <c r="K45" s="141">
        <v>40999</v>
      </c>
      <c r="L45" s="141">
        <v>41040</v>
      </c>
      <c r="M45" s="142">
        <v>41</v>
      </c>
      <c r="Q45" s="141">
        <v>5704</v>
      </c>
      <c r="R45" s="141">
        <v>5748</v>
      </c>
      <c r="S45" s="142">
        <v>44</v>
      </c>
      <c r="T45" s="141">
        <v>3126</v>
      </c>
      <c r="U45" s="141">
        <v>3151</v>
      </c>
      <c r="V45" s="142">
        <v>25</v>
      </c>
      <c r="W45" s="141">
        <v>2654</v>
      </c>
      <c r="X45" s="141">
        <v>2681</v>
      </c>
      <c r="Y45" s="142">
        <v>27</v>
      </c>
      <c r="Z45" s="141">
        <v>30213</v>
      </c>
      <c r="AA45" s="141">
        <v>30306</v>
      </c>
      <c r="AB45" s="142">
        <v>93</v>
      </c>
      <c r="AC45" s="141">
        <v>201640</v>
      </c>
      <c r="AD45" s="141">
        <v>201741</v>
      </c>
      <c r="AE45" s="142">
        <v>101</v>
      </c>
      <c r="AF45" s="141">
        <v>17156</v>
      </c>
      <c r="AG45" s="141">
        <v>17185</v>
      </c>
      <c r="AH45" s="142">
        <v>29</v>
      </c>
    </row>
    <row r="46" spans="1:34">
      <c r="A46" s="144">
        <v>45028</v>
      </c>
      <c r="B46" s="141">
        <v>26189</v>
      </c>
      <c r="C46" s="141">
        <v>26318</v>
      </c>
      <c r="D46" s="142">
        <f t="shared" si="0"/>
        <v>129</v>
      </c>
      <c r="E46" s="141">
        <v>10394</v>
      </c>
      <c r="F46" s="141">
        <v>10437</v>
      </c>
      <c r="G46" s="142">
        <v>43</v>
      </c>
      <c r="H46" s="141">
        <v>459217</v>
      </c>
      <c r="I46" s="141">
        <v>459272</v>
      </c>
      <c r="J46" s="142">
        <v>55</v>
      </c>
      <c r="K46" s="141">
        <v>41040</v>
      </c>
      <c r="L46" s="141">
        <v>41086</v>
      </c>
      <c r="M46" s="142">
        <v>46</v>
      </c>
      <c r="Q46" s="141">
        <v>5748</v>
      </c>
      <c r="R46" s="141">
        <v>5789</v>
      </c>
      <c r="S46" s="142">
        <v>41</v>
      </c>
      <c r="T46" s="141">
        <v>3151</v>
      </c>
      <c r="U46" s="141">
        <v>3155</v>
      </c>
      <c r="V46" s="142">
        <v>4</v>
      </c>
      <c r="W46" s="141">
        <v>2681</v>
      </c>
      <c r="X46" s="141">
        <v>2688</v>
      </c>
      <c r="Y46" s="142">
        <v>7</v>
      </c>
      <c r="Z46" s="141">
        <v>30306</v>
      </c>
      <c r="AA46" s="141">
        <v>30325</v>
      </c>
      <c r="AB46" s="142">
        <v>19</v>
      </c>
      <c r="AC46" s="141">
        <v>201741</v>
      </c>
      <c r="AD46" s="141">
        <v>201812</v>
      </c>
      <c r="AE46" s="142">
        <v>71</v>
      </c>
      <c r="AF46" s="141">
        <v>17185</v>
      </c>
      <c r="AG46" s="141">
        <v>17213</v>
      </c>
      <c r="AH46" s="142">
        <v>28</v>
      </c>
    </row>
    <row r="47" spans="1:34">
      <c r="A47" s="144">
        <v>45029</v>
      </c>
      <c r="B47" s="141">
        <v>26318</v>
      </c>
      <c r="C47" s="141">
        <v>26409</v>
      </c>
      <c r="D47" s="142">
        <f t="shared" si="0"/>
        <v>91</v>
      </c>
      <c r="E47" s="141">
        <v>10437</v>
      </c>
      <c r="F47" s="141">
        <v>10484</v>
      </c>
      <c r="G47" s="142">
        <v>47</v>
      </c>
      <c r="H47" s="141">
        <v>459272</v>
      </c>
      <c r="I47" s="141">
        <v>459359</v>
      </c>
      <c r="J47" s="142">
        <v>87</v>
      </c>
      <c r="K47" s="141">
        <v>41086</v>
      </c>
      <c r="L47" s="141">
        <v>41128</v>
      </c>
      <c r="M47" s="142">
        <v>42</v>
      </c>
      <c r="Q47" s="141">
        <v>5789</v>
      </c>
      <c r="R47" s="141">
        <v>5823</v>
      </c>
      <c r="S47" s="142">
        <v>34</v>
      </c>
      <c r="T47" s="141">
        <v>3155</v>
      </c>
      <c r="U47" s="141">
        <v>3157</v>
      </c>
      <c r="V47" s="142">
        <v>2</v>
      </c>
      <c r="W47" s="141">
        <v>2688</v>
      </c>
      <c r="X47" s="141">
        <v>2689</v>
      </c>
      <c r="Y47" s="142">
        <v>1</v>
      </c>
      <c r="Z47" s="141">
        <v>30325</v>
      </c>
      <c r="AA47" s="141">
        <v>30351</v>
      </c>
      <c r="AB47" s="142">
        <v>26</v>
      </c>
      <c r="AC47" s="141">
        <v>201812</v>
      </c>
      <c r="AD47" s="141">
        <v>201875</v>
      </c>
      <c r="AE47" s="142">
        <v>63</v>
      </c>
      <c r="AF47" s="141">
        <v>17213</v>
      </c>
      <c r="AG47" s="141">
        <v>17246</v>
      </c>
      <c r="AH47" s="142">
        <v>33</v>
      </c>
    </row>
    <row r="48" spans="1:34">
      <c r="A48" s="144">
        <v>45030</v>
      </c>
      <c r="B48" s="141">
        <v>26409</v>
      </c>
      <c r="C48" s="141">
        <v>26501</v>
      </c>
      <c r="D48" s="142">
        <f t="shared" si="0"/>
        <v>92</v>
      </c>
      <c r="E48" s="141">
        <v>10484</v>
      </c>
      <c r="F48" s="141">
        <v>10524</v>
      </c>
      <c r="G48" s="142">
        <v>40</v>
      </c>
      <c r="H48" s="141">
        <v>459359</v>
      </c>
      <c r="I48" s="141">
        <v>459461</v>
      </c>
      <c r="J48" s="142">
        <v>102</v>
      </c>
      <c r="K48" s="141">
        <v>41128</v>
      </c>
      <c r="L48" s="141">
        <v>41172</v>
      </c>
      <c r="M48" s="142">
        <v>44</v>
      </c>
      <c r="Q48" s="141">
        <v>5823</v>
      </c>
      <c r="R48" s="141">
        <v>5852</v>
      </c>
      <c r="S48" s="142">
        <v>29</v>
      </c>
      <c r="T48" s="141">
        <v>3157</v>
      </c>
      <c r="U48" s="141">
        <v>3160</v>
      </c>
      <c r="V48" s="142">
        <v>3</v>
      </c>
      <c r="W48" s="141">
        <v>2689</v>
      </c>
      <c r="X48" s="141">
        <v>2690</v>
      </c>
      <c r="Y48" s="142">
        <v>1</v>
      </c>
      <c r="Z48" s="141">
        <v>30351</v>
      </c>
      <c r="AA48" s="141">
        <v>30386</v>
      </c>
      <c r="AB48" s="142">
        <v>35</v>
      </c>
      <c r="AC48" s="141">
        <v>201875</v>
      </c>
      <c r="AD48" s="141">
        <v>201987</v>
      </c>
      <c r="AE48" s="142">
        <v>112</v>
      </c>
      <c r="AF48" s="141">
        <v>17246</v>
      </c>
      <c r="AG48" s="141">
        <v>17282</v>
      </c>
      <c r="AH48" s="142">
        <v>36</v>
      </c>
    </row>
    <row r="49" spans="1:34">
      <c r="A49" s="144">
        <v>45031</v>
      </c>
      <c r="B49" s="141">
        <v>26501</v>
      </c>
      <c r="C49" s="141">
        <v>26614</v>
      </c>
      <c r="D49" s="142">
        <f t="shared" si="0"/>
        <v>113</v>
      </c>
      <c r="E49" s="141">
        <v>10524</v>
      </c>
      <c r="F49" s="141">
        <v>10591</v>
      </c>
      <c r="G49" s="142">
        <v>67</v>
      </c>
      <c r="H49" s="141">
        <v>459461</v>
      </c>
      <c r="I49" s="141">
        <v>459574</v>
      </c>
      <c r="J49" s="142">
        <v>113</v>
      </c>
      <c r="K49" s="141">
        <v>41172</v>
      </c>
      <c r="L49" s="141">
        <v>41225</v>
      </c>
      <c r="M49" s="142">
        <v>53</v>
      </c>
      <c r="Q49" s="141">
        <v>5852</v>
      </c>
      <c r="R49" s="141">
        <v>5894</v>
      </c>
      <c r="S49" s="142">
        <v>42</v>
      </c>
      <c r="T49" s="141">
        <v>3160</v>
      </c>
      <c r="U49" s="141">
        <v>3165</v>
      </c>
      <c r="V49" s="142">
        <v>5</v>
      </c>
      <c r="W49" s="141">
        <v>2690</v>
      </c>
      <c r="X49" s="141">
        <v>2690</v>
      </c>
      <c r="Y49" s="142">
        <v>0</v>
      </c>
      <c r="Z49" s="141">
        <v>30386</v>
      </c>
      <c r="AA49" s="141">
        <v>30444</v>
      </c>
      <c r="AB49" s="142">
        <v>58</v>
      </c>
      <c r="AC49" s="141">
        <v>201987</v>
      </c>
      <c r="AD49" s="141">
        <v>202075</v>
      </c>
      <c r="AE49" s="142">
        <v>88</v>
      </c>
      <c r="AF49" s="141">
        <v>17282</v>
      </c>
      <c r="AG49" s="141">
        <v>17309</v>
      </c>
      <c r="AH49" s="142">
        <v>27</v>
      </c>
    </row>
    <row r="50" spans="1:34">
      <c r="A50" s="144">
        <v>45032</v>
      </c>
      <c r="B50" s="141">
        <v>26614</v>
      </c>
      <c r="C50" s="141">
        <v>26697</v>
      </c>
      <c r="D50" s="142">
        <f t="shared" si="0"/>
        <v>83</v>
      </c>
      <c r="E50" s="141">
        <v>10591</v>
      </c>
      <c r="F50" s="141">
        <v>10612</v>
      </c>
      <c r="G50" s="142">
        <v>21</v>
      </c>
      <c r="H50" s="141">
        <v>459574</v>
      </c>
      <c r="I50" s="141">
        <v>459688</v>
      </c>
      <c r="J50" s="142">
        <v>114</v>
      </c>
      <c r="K50" s="141">
        <v>41225</v>
      </c>
      <c r="L50" s="141">
        <v>41265</v>
      </c>
      <c r="M50" s="142">
        <v>40</v>
      </c>
      <c r="Q50" s="141">
        <v>5894</v>
      </c>
      <c r="R50" s="141">
        <v>5925</v>
      </c>
      <c r="S50" s="142">
        <v>31</v>
      </c>
      <c r="T50" s="141">
        <v>3165</v>
      </c>
      <c r="U50" s="141">
        <v>3168</v>
      </c>
      <c r="V50" s="142">
        <v>3</v>
      </c>
      <c r="W50" s="141">
        <v>2690</v>
      </c>
      <c r="X50" s="141">
        <v>2690</v>
      </c>
      <c r="Y50" s="142">
        <v>0</v>
      </c>
      <c r="Z50" s="141">
        <v>30444</v>
      </c>
      <c r="AA50" s="141">
        <v>30474</v>
      </c>
      <c r="AB50" s="142">
        <v>30</v>
      </c>
      <c r="AC50" s="141">
        <v>202075</v>
      </c>
      <c r="AD50" s="141">
        <v>202134</v>
      </c>
      <c r="AE50" s="142">
        <v>59</v>
      </c>
      <c r="AF50" s="141">
        <v>17309</v>
      </c>
      <c r="AG50" s="141">
        <v>17339</v>
      </c>
      <c r="AH50" s="142">
        <v>30</v>
      </c>
    </row>
    <row r="51" spans="1:34">
      <c r="A51" s="144">
        <v>45033</v>
      </c>
      <c r="B51" s="141">
        <v>26697</v>
      </c>
      <c r="C51" s="141">
        <v>26786</v>
      </c>
      <c r="D51" s="142">
        <f t="shared" si="0"/>
        <v>89</v>
      </c>
      <c r="E51" s="141">
        <v>10612</v>
      </c>
      <c r="F51" s="141">
        <v>10639</v>
      </c>
      <c r="G51" s="142">
        <v>27</v>
      </c>
      <c r="H51" s="141">
        <v>459688</v>
      </c>
      <c r="I51" s="141">
        <v>459754</v>
      </c>
      <c r="J51" s="142">
        <v>66</v>
      </c>
      <c r="K51" s="141">
        <v>41265</v>
      </c>
      <c r="L51" s="141">
        <v>41316</v>
      </c>
      <c r="M51" s="142">
        <v>51</v>
      </c>
      <c r="Q51" s="141">
        <v>5925</v>
      </c>
      <c r="R51" s="141">
        <v>5981</v>
      </c>
      <c r="S51" s="142">
        <v>56</v>
      </c>
      <c r="T51" s="141">
        <v>3168</v>
      </c>
      <c r="U51" s="141">
        <v>3171</v>
      </c>
      <c r="V51" s="142">
        <v>3</v>
      </c>
      <c r="Y51" s="142">
        <v>0</v>
      </c>
      <c r="Z51" s="141">
        <v>30474</v>
      </c>
      <c r="AA51" s="141">
        <v>30510</v>
      </c>
      <c r="AB51" s="142">
        <v>36</v>
      </c>
      <c r="AC51" s="141">
        <v>202134</v>
      </c>
      <c r="AD51" s="141">
        <v>202205</v>
      </c>
      <c r="AE51" s="142">
        <v>71</v>
      </c>
      <c r="AF51" s="141">
        <v>17339</v>
      </c>
      <c r="AG51" s="141">
        <v>17365</v>
      </c>
      <c r="AH51" s="142">
        <v>26</v>
      </c>
    </row>
    <row r="52" spans="1:34">
      <c r="A52" s="144">
        <v>45034</v>
      </c>
      <c r="B52" s="141">
        <v>26786</v>
      </c>
      <c r="C52" s="141">
        <v>26889</v>
      </c>
      <c r="D52" s="142">
        <f t="shared" si="0"/>
        <v>103</v>
      </c>
      <c r="E52" s="141">
        <v>10639</v>
      </c>
      <c r="F52" s="141">
        <v>10681</v>
      </c>
      <c r="G52" s="142">
        <v>42</v>
      </c>
      <c r="H52" s="141">
        <v>459754</v>
      </c>
      <c r="I52" s="141">
        <v>459754</v>
      </c>
      <c r="J52" s="142">
        <v>0</v>
      </c>
      <c r="K52" s="141">
        <v>41316</v>
      </c>
      <c r="L52" s="141">
        <v>41359</v>
      </c>
      <c r="M52" s="142">
        <v>43</v>
      </c>
      <c r="Q52" s="141">
        <v>5981</v>
      </c>
      <c r="R52" s="141">
        <v>6027</v>
      </c>
      <c r="S52" s="142">
        <v>46</v>
      </c>
      <c r="V52" s="142">
        <v>0</v>
      </c>
      <c r="Y52" s="142">
        <v>0</v>
      </c>
      <c r="Z52" s="141">
        <v>30510</v>
      </c>
      <c r="AA52" s="141">
        <v>30510</v>
      </c>
      <c r="AB52" s="142">
        <v>0</v>
      </c>
      <c r="AC52" s="141">
        <v>202205</v>
      </c>
      <c r="AD52" s="141">
        <v>202289</v>
      </c>
      <c r="AE52" s="142">
        <v>84</v>
      </c>
      <c r="AF52" s="141">
        <v>17365</v>
      </c>
      <c r="AG52" s="141">
        <v>17394</v>
      </c>
      <c r="AH52" s="142">
        <v>29</v>
      </c>
    </row>
    <row r="53" spans="1:34">
      <c r="A53" s="144">
        <v>45035</v>
      </c>
      <c r="B53" s="141">
        <v>26889</v>
      </c>
      <c r="C53" s="141">
        <v>26947</v>
      </c>
      <c r="D53" s="142">
        <f t="shared" si="0"/>
        <v>58</v>
      </c>
      <c r="E53" s="141">
        <v>10681</v>
      </c>
      <c r="F53" s="141">
        <v>10731</v>
      </c>
      <c r="G53" s="142">
        <v>50</v>
      </c>
      <c r="H53" s="141">
        <v>459754</v>
      </c>
      <c r="I53" s="141">
        <v>459912</v>
      </c>
      <c r="J53" s="142">
        <v>158</v>
      </c>
      <c r="K53" s="141">
        <v>41359</v>
      </c>
      <c r="L53" s="141">
        <v>41404</v>
      </c>
      <c r="M53" s="142">
        <v>45</v>
      </c>
      <c r="Q53" s="141">
        <v>6027</v>
      </c>
      <c r="R53" s="141">
        <v>6069</v>
      </c>
      <c r="S53" s="142">
        <v>42</v>
      </c>
      <c r="V53" s="142">
        <v>0</v>
      </c>
      <c r="Y53" s="142">
        <v>0</v>
      </c>
      <c r="Z53" s="141">
        <v>30510</v>
      </c>
      <c r="AA53" s="141">
        <v>30510</v>
      </c>
      <c r="AB53" s="142">
        <v>0</v>
      </c>
      <c r="AC53" s="141">
        <v>202289</v>
      </c>
      <c r="AD53" s="141">
        <v>202359</v>
      </c>
      <c r="AE53" s="142">
        <v>70</v>
      </c>
      <c r="AF53" s="141">
        <v>17394</v>
      </c>
      <c r="AG53" s="141">
        <v>17421</v>
      </c>
      <c r="AH53" s="142">
        <v>27</v>
      </c>
    </row>
    <row r="54" spans="1:34">
      <c r="A54" s="144">
        <v>45036</v>
      </c>
      <c r="B54" s="141">
        <v>26947</v>
      </c>
      <c r="C54" s="141">
        <v>27040</v>
      </c>
      <c r="D54" s="142">
        <f t="shared" si="0"/>
        <v>93</v>
      </c>
      <c r="E54" s="141">
        <v>10731</v>
      </c>
      <c r="F54" s="141">
        <v>10731</v>
      </c>
      <c r="G54" s="142">
        <v>0</v>
      </c>
      <c r="H54" s="141">
        <v>459912</v>
      </c>
      <c r="I54" s="141">
        <v>460012</v>
      </c>
      <c r="J54" s="142">
        <v>100</v>
      </c>
      <c r="K54" s="141">
        <v>41404</v>
      </c>
      <c r="L54" s="141">
        <v>41469</v>
      </c>
      <c r="M54" s="142">
        <v>65</v>
      </c>
      <c r="Q54" s="141">
        <v>6069</v>
      </c>
      <c r="R54" s="141">
        <v>6069</v>
      </c>
      <c r="S54" s="142">
        <v>0</v>
      </c>
      <c r="V54" s="142">
        <v>0</v>
      </c>
      <c r="Y54" s="142">
        <v>0</v>
      </c>
      <c r="Z54" s="141">
        <v>30510</v>
      </c>
      <c r="AA54" s="141">
        <v>30510</v>
      </c>
      <c r="AB54" s="142">
        <v>0</v>
      </c>
      <c r="AC54" s="141">
        <v>202359</v>
      </c>
      <c r="AD54" s="141">
        <v>202359</v>
      </c>
      <c r="AE54" s="142">
        <v>0</v>
      </c>
      <c r="AF54" s="141">
        <v>17421</v>
      </c>
      <c r="AG54" s="141">
        <v>17439</v>
      </c>
      <c r="AH54" s="142">
        <v>18</v>
      </c>
    </row>
    <row r="55" spans="1:34">
      <c r="A55" s="144">
        <v>45037</v>
      </c>
      <c r="B55" s="141">
        <v>27040</v>
      </c>
      <c r="C55" s="141">
        <v>27130</v>
      </c>
      <c r="D55" s="142">
        <f t="shared" si="0"/>
        <v>90</v>
      </c>
      <c r="E55" s="141">
        <v>10731</v>
      </c>
      <c r="F55" s="141">
        <v>10731</v>
      </c>
      <c r="G55" s="142">
        <v>0</v>
      </c>
      <c r="H55" s="141">
        <v>460012</v>
      </c>
      <c r="I55" s="141">
        <v>460188</v>
      </c>
      <c r="J55" s="142">
        <v>176</v>
      </c>
      <c r="K55" s="141">
        <v>41469</v>
      </c>
      <c r="L55" s="141">
        <v>41550</v>
      </c>
      <c r="M55" s="142">
        <v>81</v>
      </c>
      <c r="Q55" s="141">
        <v>6069</v>
      </c>
      <c r="R55" s="141">
        <v>6069</v>
      </c>
      <c r="S55" s="142">
        <v>0</v>
      </c>
      <c r="V55" s="142">
        <v>0</v>
      </c>
      <c r="Y55" s="142">
        <v>0</v>
      </c>
      <c r="Z55" s="141">
        <v>30510</v>
      </c>
      <c r="AA55" s="141">
        <v>30510</v>
      </c>
      <c r="AB55" s="142">
        <v>0</v>
      </c>
      <c r="AC55" s="141">
        <v>202359</v>
      </c>
      <c r="AD55" s="141">
        <v>202359</v>
      </c>
      <c r="AE55" s="142">
        <v>0</v>
      </c>
      <c r="AF55" s="141">
        <v>17439</v>
      </c>
      <c r="AG55" s="141">
        <v>17446</v>
      </c>
      <c r="AH55" s="142">
        <v>7</v>
      </c>
    </row>
    <row r="56" spans="1:34">
      <c r="A56" s="144">
        <v>45038</v>
      </c>
      <c r="B56" s="141">
        <v>27130</v>
      </c>
      <c r="C56" s="141">
        <v>27247</v>
      </c>
      <c r="D56" s="142">
        <f t="shared" si="0"/>
        <v>117</v>
      </c>
      <c r="E56" s="141">
        <v>10731</v>
      </c>
      <c r="F56" s="141">
        <v>10731</v>
      </c>
      <c r="G56" s="142">
        <v>0</v>
      </c>
      <c r="H56" s="141">
        <v>460188</v>
      </c>
      <c r="I56" s="141">
        <v>460302</v>
      </c>
      <c r="J56" s="142">
        <v>114</v>
      </c>
      <c r="K56" s="141">
        <v>41550</v>
      </c>
      <c r="L56" s="141">
        <v>41601</v>
      </c>
      <c r="M56" s="142">
        <v>51</v>
      </c>
      <c r="Q56" s="141">
        <v>6069</v>
      </c>
      <c r="R56" s="141">
        <v>6069</v>
      </c>
      <c r="S56" s="142">
        <v>0</v>
      </c>
      <c r="V56" s="142">
        <v>0</v>
      </c>
      <c r="Y56" s="142">
        <v>0</v>
      </c>
      <c r="Z56" s="141">
        <v>30510</v>
      </c>
      <c r="AA56" s="141">
        <v>30510</v>
      </c>
      <c r="AB56" s="142">
        <v>0</v>
      </c>
      <c r="AC56" s="141">
        <v>202359</v>
      </c>
      <c r="AD56" s="141">
        <v>202359</v>
      </c>
      <c r="AE56" s="142">
        <v>0</v>
      </c>
      <c r="AF56" s="141">
        <v>17446</v>
      </c>
      <c r="AG56" s="141">
        <v>17454</v>
      </c>
      <c r="AH56" s="142">
        <v>8</v>
      </c>
    </row>
    <row r="57" spans="1:34">
      <c r="A57" s="144">
        <v>45039</v>
      </c>
      <c r="B57" s="141">
        <v>27247</v>
      </c>
      <c r="C57" s="141">
        <v>27311</v>
      </c>
      <c r="D57" s="142">
        <f t="shared" si="0"/>
        <v>64</v>
      </c>
      <c r="E57" s="141">
        <v>10731</v>
      </c>
      <c r="F57" s="141">
        <v>10876</v>
      </c>
      <c r="G57" s="142">
        <v>145</v>
      </c>
      <c r="H57" s="141">
        <v>460302</v>
      </c>
      <c r="I57" s="141">
        <v>460415</v>
      </c>
      <c r="J57" s="142">
        <v>113</v>
      </c>
      <c r="K57" s="141">
        <v>41601</v>
      </c>
      <c r="L57" s="141">
        <v>41649</v>
      </c>
      <c r="M57" s="142">
        <v>48</v>
      </c>
      <c r="Q57" s="141">
        <v>6069</v>
      </c>
      <c r="R57" s="141">
        <v>6202</v>
      </c>
      <c r="S57" s="142">
        <v>133</v>
      </c>
      <c r="V57" s="142">
        <v>0</v>
      </c>
      <c r="Y57" s="142">
        <v>0</v>
      </c>
      <c r="Z57" s="141">
        <v>30510</v>
      </c>
      <c r="AA57" s="141">
        <v>30510</v>
      </c>
      <c r="AB57" s="142">
        <v>0</v>
      </c>
      <c r="AC57" s="141">
        <v>202359</v>
      </c>
      <c r="AD57" s="141">
        <v>202573</v>
      </c>
      <c r="AE57" s="142">
        <v>214</v>
      </c>
      <c r="AF57" s="141">
        <v>17454</v>
      </c>
      <c r="AG57" s="141">
        <v>17463</v>
      </c>
      <c r="AH57" s="142">
        <v>9</v>
      </c>
    </row>
    <row r="58" spans="1:34">
      <c r="A58" s="144">
        <v>45040</v>
      </c>
      <c r="B58" s="141">
        <v>27311</v>
      </c>
      <c r="C58" s="141">
        <v>27350</v>
      </c>
      <c r="D58" s="142">
        <f t="shared" si="0"/>
        <v>39</v>
      </c>
      <c r="E58" s="141">
        <v>10876</v>
      </c>
      <c r="F58" s="141">
        <v>10908</v>
      </c>
      <c r="G58" s="142">
        <v>32</v>
      </c>
      <c r="H58" s="141">
        <v>460415</v>
      </c>
      <c r="I58" s="141">
        <v>460421</v>
      </c>
      <c r="J58" s="142">
        <v>6</v>
      </c>
      <c r="K58" s="141">
        <v>41649</v>
      </c>
      <c r="L58" s="141">
        <v>41700</v>
      </c>
      <c r="M58" s="142">
        <v>51</v>
      </c>
      <c r="Q58" s="141">
        <v>6202</v>
      </c>
      <c r="R58" s="141">
        <v>6226</v>
      </c>
      <c r="S58" s="142">
        <v>24</v>
      </c>
      <c r="V58" s="142">
        <v>0</v>
      </c>
      <c r="Y58" s="142">
        <v>0</v>
      </c>
      <c r="Z58" s="141">
        <v>30510</v>
      </c>
      <c r="AA58" s="141">
        <v>30510</v>
      </c>
      <c r="AB58" s="142">
        <v>0</v>
      </c>
      <c r="AC58" s="141">
        <v>202573</v>
      </c>
      <c r="AD58" s="141">
        <v>202612</v>
      </c>
      <c r="AE58" s="142">
        <v>39</v>
      </c>
      <c r="AF58" s="141">
        <v>17463</v>
      </c>
      <c r="AG58" s="141">
        <v>17470</v>
      </c>
      <c r="AH58" s="142">
        <v>7</v>
      </c>
    </row>
    <row r="59" spans="1:34">
      <c r="A59" s="144">
        <v>45041</v>
      </c>
      <c r="B59" s="141">
        <v>27350</v>
      </c>
      <c r="C59" s="141">
        <v>27466</v>
      </c>
      <c r="D59" s="142">
        <f t="shared" si="0"/>
        <v>116</v>
      </c>
      <c r="E59" s="141">
        <v>10908</v>
      </c>
      <c r="F59" s="141">
        <v>10972</v>
      </c>
      <c r="G59" s="142">
        <v>64</v>
      </c>
      <c r="H59" s="141">
        <v>460421</v>
      </c>
      <c r="I59" s="141">
        <v>460601</v>
      </c>
      <c r="J59" s="142">
        <v>180</v>
      </c>
      <c r="K59" s="141">
        <v>41700</v>
      </c>
      <c r="L59" s="141">
        <v>41744</v>
      </c>
      <c r="M59" s="142">
        <v>44</v>
      </c>
      <c r="Q59" s="141">
        <v>6226</v>
      </c>
      <c r="R59" s="141">
        <v>6294</v>
      </c>
      <c r="S59" s="142">
        <v>68</v>
      </c>
      <c r="V59" s="142">
        <v>0</v>
      </c>
      <c r="Y59" s="142">
        <v>0</v>
      </c>
      <c r="Z59" s="141">
        <v>30510</v>
      </c>
      <c r="AA59" s="141">
        <v>30510</v>
      </c>
      <c r="AB59" s="142">
        <v>0</v>
      </c>
      <c r="AC59" s="141">
        <v>202612</v>
      </c>
      <c r="AD59" s="141">
        <v>202717</v>
      </c>
      <c r="AE59" s="142">
        <v>105</v>
      </c>
      <c r="AF59" s="141">
        <v>17470</v>
      </c>
      <c r="AG59" s="141">
        <v>17485</v>
      </c>
      <c r="AH59" s="142">
        <v>15</v>
      </c>
    </row>
    <row r="60" spans="1:34">
      <c r="A60" s="144">
        <v>45042</v>
      </c>
      <c r="B60" s="141">
        <v>27466</v>
      </c>
      <c r="C60" s="141">
        <v>27555</v>
      </c>
      <c r="D60" s="142">
        <f t="shared" si="0"/>
        <v>89</v>
      </c>
      <c r="E60" s="141">
        <v>10972</v>
      </c>
      <c r="F60" s="141">
        <v>10997</v>
      </c>
      <c r="G60" s="142">
        <v>25</v>
      </c>
      <c r="H60" s="141">
        <v>460601</v>
      </c>
      <c r="I60" s="141">
        <v>460722</v>
      </c>
      <c r="J60" s="142">
        <v>121</v>
      </c>
      <c r="K60" s="141">
        <v>41744</v>
      </c>
      <c r="L60" s="141">
        <v>41794</v>
      </c>
      <c r="M60" s="142">
        <v>50</v>
      </c>
      <c r="Q60" s="141">
        <v>6294</v>
      </c>
      <c r="R60" s="141">
        <v>6332</v>
      </c>
      <c r="S60" s="142">
        <v>38</v>
      </c>
      <c r="V60" s="142">
        <v>0</v>
      </c>
      <c r="Y60" s="142">
        <v>0</v>
      </c>
      <c r="Z60" s="141">
        <v>30510</v>
      </c>
      <c r="AA60" s="141">
        <v>30510</v>
      </c>
      <c r="AB60" s="142">
        <v>0</v>
      </c>
      <c r="AC60" s="141">
        <v>202717</v>
      </c>
      <c r="AD60" s="141">
        <v>202783</v>
      </c>
      <c r="AE60" s="142">
        <v>66</v>
      </c>
      <c r="AF60" s="141">
        <v>17485</v>
      </c>
      <c r="AG60" s="141">
        <v>17492</v>
      </c>
      <c r="AH60" s="142">
        <v>7</v>
      </c>
    </row>
    <row r="61" spans="1:34">
      <c r="A61" s="144">
        <v>45043</v>
      </c>
      <c r="B61" s="141">
        <v>27555</v>
      </c>
      <c r="C61" s="141">
        <v>27686</v>
      </c>
      <c r="D61" s="142">
        <f t="shared" si="0"/>
        <v>131</v>
      </c>
      <c r="E61" s="141">
        <v>10997</v>
      </c>
      <c r="F61" s="141">
        <v>11019</v>
      </c>
      <c r="G61" s="142">
        <v>22</v>
      </c>
      <c r="H61" s="141">
        <v>460722</v>
      </c>
      <c r="I61" s="141">
        <v>460725</v>
      </c>
      <c r="J61" s="142">
        <v>3</v>
      </c>
      <c r="K61" s="141">
        <v>41794</v>
      </c>
      <c r="L61" s="141">
        <v>41850</v>
      </c>
      <c r="M61" s="142">
        <v>56</v>
      </c>
      <c r="Q61" s="141">
        <v>6332</v>
      </c>
      <c r="R61" s="141">
        <v>6372</v>
      </c>
      <c r="S61" s="142">
        <v>40</v>
      </c>
      <c r="V61" s="142">
        <v>0</v>
      </c>
      <c r="Y61" s="142">
        <v>0</v>
      </c>
      <c r="Z61" s="141">
        <v>30510</v>
      </c>
      <c r="AA61" s="141">
        <v>30510</v>
      </c>
      <c r="AB61" s="142">
        <v>0</v>
      </c>
      <c r="AC61" s="141">
        <v>202783</v>
      </c>
      <c r="AD61" s="141">
        <v>202783</v>
      </c>
      <c r="AE61" s="142">
        <v>0</v>
      </c>
      <c r="AF61" s="141">
        <v>17492</v>
      </c>
      <c r="AG61" s="141">
        <v>17504</v>
      </c>
      <c r="AH61" s="142">
        <v>12</v>
      </c>
    </row>
    <row r="62" spans="1:34">
      <c r="A62" s="144">
        <v>45044</v>
      </c>
      <c r="B62" s="141">
        <v>27686</v>
      </c>
      <c r="C62" s="141">
        <v>27774</v>
      </c>
      <c r="D62" s="142">
        <f t="shared" si="0"/>
        <v>88</v>
      </c>
      <c r="E62" s="141">
        <v>11019</v>
      </c>
      <c r="F62" s="141">
        <v>11061</v>
      </c>
      <c r="G62" s="142">
        <v>42</v>
      </c>
      <c r="H62" s="141">
        <v>460725</v>
      </c>
      <c r="I62" s="141">
        <v>460891</v>
      </c>
      <c r="J62" s="142">
        <v>166</v>
      </c>
      <c r="K62" s="141">
        <v>41850</v>
      </c>
      <c r="L62" s="141">
        <v>41914</v>
      </c>
      <c r="M62" s="142">
        <v>64</v>
      </c>
      <c r="Q62" s="141">
        <v>6372</v>
      </c>
      <c r="R62" s="141">
        <v>6408</v>
      </c>
      <c r="S62" s="142">
        <v>36</v>
      </c>
      <c r="V62" s="142">
        <v>0</v>
      </c>
      <c r="Y62" s="142">
        <v>0</v>
      </c>
      <c r="Z62" s="141">
        <v>30510</v>
      </c>
      <c r="AA62" s="141">
        <v>30510</v>
      </c>
      <c r="AB62" s="142">
        <v>0</v>
      </c>
      <c r="AC62" s="141">
        <v>202783</v>
      </c>
      <c r="AD62" s="141">
        <v>202783</v>
      </c>
      <c r="AE62" s="142">
        <v>0</v>
      </c>
      <c r="AF62" s="141">
        <v>17504</v>
      </c>
      <c r="AG62" s="141">
        <v>17506</v>
      </c>
      <c r="AH62" s="142">
        <v>2</v>
      </c>
    </row>
    <row r="63" spans="1:34">
      <c r="A63" s="144">
        <v>45045</v>
      </c>
      <c r="B63" s="141">
        <v>27774</v>
      </c>
      <c r="C63" s="141">
        <v>27841</v>
      </c>
      <c r="D63" s="142">
        <f t="shared" si="0"/>
        <v>67</v>
      </c>
      <c r="E63" s="141">
        <v>11061</v>
      </c>
      <c r="F63" s="141">
        <v>11061</v>
      </c>
      <c r="G63" s="142">
        <v>0</v>
      </c>
      <c r="H63" s="141">
        <v>460891</v>
      </c>
      <c r="I63" s="141">
        <v>461032</v>
      </c>
      <c r="J63" s="142">
        <v>141</v>
      </c>
      <c r="K63" s="141">
        <v>41914</v>
      </c>
      <c r="L63" s="141">
        <v>42011</v>
      </c>
      <c r="M63" s="142">
        <v>97</v>
      </c>
      <c r="Q63" s="141">
        <v>6408</v>
      </c>
      <c r="R63" s="141">
        <v>6408</v>
      </c>
      <c r="S63" s="142">
        <v>0</v>
      </c>
      <c r="V63" s="142">
        <v>0</v>
      </c>
      <c r="Y63" s="142">
        <v>0</v>
      </c>
      <c r="Z63" s="141">
        <v>30510</v>
      </c>
      <c r="AA63" s="141">
        <v>30510</v>
      </c>
      <c r="AB63" s="142">
        <v>0</v>
      </c>
      <c r="AC63" s="141">
        <v>202783</v>
      </c>
      <c r="AD63" s="141">
        <v>202783</v>
      </c>
      <c r="AE63" s="142">
        <v>0</v>
      </c>
      <c r="AF63" s="141">
        <v>17506</v>
      </c>
      <c r="AG63" s="141">
        <v>17509</v>
      </c>
      <c r="AH63" s="142">
        <v>3</v>
      </c>
    </row>
    <row r="64" spans="1:34">
      <c r="A64" s="144">
        <v>45046</v>
      </c>
      <c r="B64" s="141">
        <v>27841</v>
      </c>
      <c r="C64" s="141">
        <v>27947</v>
      </c>
      <c r="D64" s="142">
        <f t="shared" si="0"/>
        <v>106</v>
      </c>
      <c r="E64" s="141">
        <v>11061</v>
      </c>
      <c r="F64" s="141">
        <v>11112</v>
      </c>
      <c r="G64" s="142">
        <v>51</v>
      </c>
      <c r="H64" s="141">
        <v>461032</v>
      </c>
      <c r="I64" s="141">
        <v>461172</v>
      </c>
      <c r="J64" s="142">
        <v>140</v>
      </c>
      <c r="K64" s="141">
        <v>42011</v>
      </c>
      <c r="L64" s="141">
        <v>42088</v>
      </c>
      <c r="M64" s="142">
        <v>77</v>
      </c>
      <c r="Q64" s="141">
        <v>6408</v>
      </c>
      <c r="R64" s="141">
        <v>6493</v>
      </c>
      <c r="S64" s="142">
        <v>85</v>
      </c>
      <c r="V64" s="142">
        <v>0</v>
      </c>
      <c r="Y64" s="142">
        <v>0</v>
      </c>
      <c r="Z64" s="141">
        <v>30510</v>
      </c>
      <c r="AA64" s="141">
        <v>30839</v>
      </c>
      <c r="AB64" s="142">
        <v>329</v>
      </c>
      <c r="AC64" s="141">
        <v>202783</v>
      </c>
      <c r="AD64" s="141">
        <v>202783</v>
      </c>
      <c r="AE64" s="142">
        <v>0</v>
      </c>
      <c r="AF64" s="141">
        <v>17509</v>
      </c>
      <c r="AG64" s="141">
        <v>17514</v>
      </c>
      <c r="AH64" s="142">
        <v>5</v>
      </c>
    </row>
    <row r="65" spans="1:34">
      <c r="A65" s="144">
        <v>45047</v>
      </c>
      <c r="B65" s="141">
        <v>27947</v>
      </c>
      <c r="C65" s="141">
        <v>28036</v>
      </c>
      <c r="D65" s="142">
        <f t="shared" si="0"/>
        <v>89</v>
      </c>
      <c r="E65" s="141">
        <v>11112</v>
      </c>
      <c r="F65" s="141">
        <v>11129</v>
      </c>
      <c r="G65" s="142">
        <v>17</v>
      </c>
      <c r="H65" s="141">
        <v>461172</v>
      </c>
      <c r="I65" s="141">
        <v>461178</v>
      </c>
      <c r="J65" s="142">
        <v>6</v>
      </c>
      <c r="K65" s="141">
        <v>42088</v>
      </c>
      <c r="L65" s="141">
        <v>42122</v>
      </c>
      <c r="M65" s="142">
        <v>34</v>
      </c>
      <c r="Q65" s="141">
        <v>6408</v>
      </c>
      <c r="R65" s="141">
        <v>6537</v>
      </c>
      <c r="S65" s="142">
        <v>129</v>
      </c>
      <c r="V65" s="142">
        <v>0</v>
      </c>
      <c r="Y65" s="142">
        <v>0</v>
      </c>
      <c r="Z65" s="141">
        <v>30839</v>
      </c>
      <c r="AA65" s="141">
        <v>30865</v>
      </c>
      <c r="AB65" s="142">
        <v>26</v>
      </c>
      <c r="AC65" s="141">
        <v>202783</v>
      </c>
      <c r="AD65" s="141">
        <v>203112</v>
      </c>
      <c r="AE65" s="142">
        <v>329</v>
      </c>
      <c r="AF65" s="141">
        <v>17514</v>
      </c>
      <c r="AG65" s="141">
        <v>17520</v>
      </c>
      <c r="AH65" s="142">
        <v>6</v>
      </c>
    </row>
    <row r="66" spans="1:34">
      <c r="A66" s="144">
        <v>45048</v>
      </c>
      <c r="B66" s="141">
        <v>28036</v>
      </c>
      <c r="C66" s="141">
        <v>28147</v>
      </c>
      <c r="D66" s="142">
        <f t="shared" si="0"/>
        <v>111</v>
      </c>
      <c r="E66" s="141">
        <v>11129</v>
      </c>
      <c r="F66" s="141">
        <v>11156</v>
      </c>
      <c r="G66" s="142">
        <v>27</v>
      </c>
      <c r="H66" s="141">
        <v>461178</v>
      </c>
      <c r="I66" s="141">
        <v>461178</v>
      </c>
      <c r="J66" s="142">
        <v>0</v>
      </c>
      <c r="K66" s="141">
        <v>42122</v>
      </c>
      <c r="L66" s="141">
        <v>42177</v>
      </c>
      <c r="M66" s="142">
        <v>55</v>
      </c>
      <c r="Q66" s="141">
        <v>6537</v>
      </c>
      <c r="R66" s="141">
        <v>6567</v>
      </c>
      <c r="S66" s="142">
        <v>30</v>
      </c>
      <c r="U66" s="141">
        <v>3242</v>
      </c>
      <c r="V66" s="142">
        <v>3242</v>
      </c>
      <c r="X66" s="141">
        <v>2692</v>
      </c>
      <c r="Y66" s="142">
        <v>2692</v>
      </c>
      <c r="Z66" s="141">
        <v>30865</v>
      </c>
      <c r="AA66" s="141">
        <v>30865</v>
      </c>
      <c r="AB66" s="142">
        <v>0</v>
      </c>
      <c r="AC66" s="141">
        <v>203112</v>
      </c>
      <c r="AD66" s="141">
        <v>203156</v>
      </c>
      <c r="AE66" s="142">
        <v>44</v>
      </c>
      <c r="AF66" s="141">
        <v>17520</v>
      </c>
      <c r="AG66" s="141">
        <v>17530</v>
      </c>
      <c r="AH66" s="142">
        <v>10</v>
      </c>
    </row>
    <row r="67" spans="1:34">
      <c r="A67" s="144">
        <v>45049</v>
      </c>
      <c r="B67" s="141">
        <v>28147</v>
      </c>
      <c r="C67" s="141">
        <v>28237</v>
      </c>
      <c r="D67" s="142">
        <f t="shared" ref="D67:D130" si="1">C67-B67</f>
        <v>90</v>
      </c>
      <c r="E67" s="141">
        <v>11156</v>
      </c>
      <c r="F67" s="141">
        <v>11156</v>
      </c>
      <c r="G67" s="142">
        <v>0</v>
      </c>
      <c r="H67" s="141">
        <v>461178</v>
      </c>
      <c r="I67" s="141">
        <v>461427</v>
      </c>
      <c r="J67" s="142">
        <v>249</v>
      </c>
      <c r="K67" s="141">
        <v>42177</v>
      </c>
      <c r="L67" s="141">
        <v>42229</v>
      </c>
      <c r="M67" s="142">
        <v>52</v>
      </c>
      <c r="Q67" s="141">
        <v>6567</v>
      </c>
      <c r="R67" s="141">
        <v>6637</v>
      </c>
      <c r="S67" s="142">
        <v>70</v>
      </c>
      <c r="T67" s="141">
        <v>3242</v>
      </c>
      <c r="U67" s="141">
        <v>3243</v>
      </c>
      <c r="V67" s="142">
        <v>1</v>
      </c>
      <c r="W67" s="141">
        <v>2692</v>
      </c>
      <c r="X67" s="141">
        <v>2692</v>
      </c>
      <c r="Y67" s="142">
        <v>0</v>
      </c>
      <c r="Z67" s="141">
        <v>30865</v>
      </c>
      <c r="AA67" s="141">
        <v>30866</v>
      </c>
      <c r="AB67" s="142">
        <v>1</v>
      </c>
      <c r="AC67" s="141">
        <v>203156</v>
      </c>
      <c r="AD67" s="141">
        <v>203234</v>
      </c>
      <c r="AE67" s="142">
        <v>78</v>
      </c>
      <c r="AF67" s="141">
        <v>17530</v>
      </c>
      <c r="AG67" s="141">
        <v>17545</v>
      </c>
      <c r="AH67" s="142">
        <v>15</v>
      </c>
    </row>
    <row r="68" spans="1:34">
      <c r="A68" s="144">
        <v>45050</v>
      </c>
      <c r="B68" s="141">
        <v>28237</v>
      </c>
      <c r="C68" s="141">
        <v>28335</v>
      </c>
      <c r="D68" s="142">
        <f t="shared" si="1"/>
        <v>98</v>
      </c>
      <c r="E68" s="141">
        <v>11156</v>
      </c>
      <c r="F68" s="141">
        <v>11175</v>
      </c>
      <c r="G68" s="142">
        <v>19</v>
      </c>
      <c r="H68" s="141">
        <v>461427</v>
      </c>
      <c r="I68" s="141">
        <v>461579</v>
      </c>
      <c r="J68" s="142">
        <v>152</v>
      </c>
      <c r="K68" s="141">
        <v>42229</v>
      </c>
      <c r="L68" s="141">
        <v>42239</v>
      </c>
      <c r="M68" s="142">
        <v>10</v>
      </c>
      <c r="Q68" s="141">
        <v>6637</v>
      </c>
      <c r="R68" s="141">
        <v>6640</v>
      </c>
      <c r="S68" s="142">
        <v>3</v>
      </c>
      <c r="T68" s="141">
        <v>3243</v>
      </c>
      <c r="U68" s="141">
        <v>3243</v>
      </c>
      <c r="V68" s="142">
        <v>0</v>
      </c>
      <c r="W68" s="141">
        <v>2692</v>
      </c>
      <c r="X68" s="141">
        <v>2695</v>
      </c>
      <c r="Y68" s="142">
        <v>3</v>
      </c>
      <c r="Z68" s="141">
        <v>30864</v>
      </c>
      <c r="AA68" s="141">
        <v>30885</v>
      </c>
      <c r="AB68" s="142">
        <v>21</v>
      </c>
      <c r="AC68" s="141">
        <v>203234</v>
      </c>
      <c r="AD68" s="141">
        <v>203325</v>
      </c>
      <c r="AE68" s="142">
        <v>91</v>
      </c>
      <c r="AF68" s="141">
        <v>17545</v>
      </c>
      <c r="AG68" s="141">
        <v>17565</v>
      </c>
      <c r="AH68" s="142">
        <v>20</v>
      </c>
    </row>
    <row r="69" spans="1:34">
      <c r="A69" s="144">
        <v>45051</v>
      </c>
      <c r="B69" s="141">
        <v>28335</v>
      </c>
      <c r="C69" s="141">
        <v>28387</v>
      </c>
      <c r="D69" s="142">
        <f t="shared" si="1"/>
        <v>52</v>
      </c>
      <c r="E69" s="141">
        <v>11175</v>
      </c>
      <c r="F69" s="141">
        <v>11194</v>
      </c>
      <c r="G69" s="142">
        <v>19</v>
      </c>
      <c r="H69" s="141">
        <v>461579</v>
      </c>
      <c r="I69" s="141">
        <v>461681</v>
      </c>
      <c r="J69" s="142">
        <v>102</v>
      </c>
      <c r="K69" s="141">
        <v>42239</v>
      </c>
      <c r="L69" s="141">
        <v>42279</v>
      </c>
      <c r="M69" s="142">
        <v>40</v>
      </c>
      <c r="Q69" s="141">
        <v>6640</v>
      </c>
      <c r="R69" s="141">
        <v>6658</v>
      </c>
      <c r="S69" s="142">
        <v>18</v>
      </c>
      <c r="T69" s="141">
        <v>3217</v>
      </c>
      <c r="U69" s="141">
        <v>3220</v>
      </c>
      <c r="V69" s="142">
        <v>3</v>
      </c>
      <c r="W69" s="141">
        <v>2695</v>
      </c>
      <c r="X69" s="141">
        <v>2696</v>
      </c>
      <c r="Y69" s="142">
        <v>1</v>
      </c>
      <c r="Z69" s="141">
        <v>30885</v>
      </c>
      <c r="AA69" s="141">
        <v>30893</v>
      </c>
      <c r="AB69" s="142">
        <v>8</v>
      </c>
      <c r="AC69" s="141">
        <v>203325</v>
      </c>
      <c r="AD69" s="141">
        <v>203378</v>
      </c>
      <c r="AE69" s="142">
        <v>53</v>
      </c>
      <c r="AF69" s="141">
        <v>17565</v>
      </c>
      <c r="AG69" s="141">
        <v>17575</v>
      </c>
      <c r="AH69" s="142">
        <v>10</v>
      </c>
    </row>
    <row r="70" spans="1:34">
      <c r="A70" s="144">
        <v>45052</v>
      </c>
      <c r="B70" s="141">
        <v>28387</v>
      </c>
      <c r="C70" s="141">
        <v>28470</v>
      </c>
      <c r="D70" s="142">
        <f t="shared" si="1"/>
        <v>83</v>
      </c>
      <c r="E70" s="141">
        <v>11194</v>
      </c>
      <c r="F70" s="141">
        <v>11226</v>
      </c>
      <c r="G70" s="142">
        <v>32</v>
      </c>
      <c r="H70" s="141">
        <v>461681</v>
      </c>
      <c r="I70" s="141">
        <v>461851</v>
      </c>
      <c r="J70" s="142">
        <v>170</v>
      </c>
      <c r="K70" s="141">
        <v>42279</v>
      </c>
      <c r="L70" s="141">
        <v>42299</v>
      </c>
      <c r="M70" s="142">
        <v>20</v>
      </c>
      <c r="Q70" s="141">
        <v>6658</v>
      </c>
      <c r="R70" s="141">
        <v>6691</v>
      </c>
      <c r="S70" s="142">
        <v>33</v>
      </c>
      <c r="T70" s="141">
        <v>3220</v>
      </c>
      <c r="U70" s="141">
        <v>3224</v>
      </c>
      <c r="V70" s="142">
        <v>4</v>
      </c>
      <c r="W70" s="141">
        <v>2696</v>
      </c>
      <c r="X70" s="141">
        <v>2701</v>
      </c>
      <c r="Y70" s="142">
        <v>5</v>
      </c>
      <c r="Z70" s="141">
        <v>30893</v>
      </c>
      <c r="AA70" s="141">
        <v>30916</v>
      </c>
      <c r="AB70" s="142">
        <v>23</v>
      </c>
      <c r="AC70" s="141">
        <v>203378</v>
      </c>
      <c r="AD70" s="141">
        <v>203456</v>
      </c>
      <c r="AE70" s="142">
        <v>78</v>
      </c>
      <c r="AF70" s="141">
        <v>17575</v>
      </c>
      <c r="AG70" s="141">
        <v>17580</v>
      </c>
      <c r="AH70" s="142">
        <v>5</v>
      </c>
    </row>
    <row r="71" spans="1:34">
      <c r="A71" s="144">
        <v>45053</v>
      </c>
      <c r="B71" s="141">
        <v>28470</v>
      </c>
      <c r="C71" s="141">
        <v>28551</v>
      </c>
      <c r="D71" s="142">
        <f t="shared" si="1"/>
        <v>81</v>
      </c>
      <c r="E71" s="141">
        <v>11226</v>
      </c>
      <c r="F71" s="141">
        <v>11259</v>
      </c>
      <c r="G71" s="142">
        <v>33</v>
      </c>
      <c r="H71" s="141">
        <v>461851</v>
      </c>
      <c r="I71" s="141">
        <v>461941</v>
      </c>
      <c r="J71" s="142">
        <v>90</v>
      </c>
      <c r="K71" s="141">
        <v>42299</v>
      </c>
      <c r="L71" s="141">
        <v>42334</v>
      </c>
      <c r="M71" s="142">
        <v>35</v>
      </c>
      <c r="Q71" s="141">
        <v>6691</v>
      </c>
      <c r="R71" s="141">
        <v>6731</v>
      </c>
      <c r="S71" s="142">
        <v>40</v>
      </c>
      <c r="T71" s="141">
        <v>3224</v>
      </c>
      <c r="U71" s="141">
        <v>3227</v>
      </c>
      <c r="V71" s="142">
        <v>3</v>
      </c>
      <c r="W71" s="141">
        <v>2701</v>
      </c>
      <c r="X71" s="141">
        <v>2702</v>
      </c>
      <c r="Y71" s="142">
        <v>1</v>
      </c>
      <c r="Z71" s="141">
        <v>30916</v>
      </c>
      <c r="AA71" s="141">
        <v>30932</v>
      </c>
      <c r="AB71" s="142">
        <v>16</v>
      </c>
      <c r="AC71" s="141">
        <v>203456</v>
      </c>
      <c r="AD71" s="141">
        <v>203456</v>
      </c>
      <c r="AE71" s="142">
        <v>0</v>
      </c>
      <c r="AF71" s="141">
        <v>17580</v>
      </c>
      <c r="AG71" s="141">
        <v>17586</v>
      </c>
      <c r="AH71" s="142">
        <v>6</v>
      </c>
    </row>
    <row r="72" spans="1:34">
      <c r="A72" s="144">
        <v>45054</v>
      </c>
      <c r="B72" s="141">
        <v>28551</v>
      </c>
      <c r="C72" s="141">
        <v>28620</v>
      </c>
      <c r="D72" s="142">
        <f t="shared" si="1"/>
        <v>69</v>
      </c>
      <c r="E72" s="141">
        <v>11259</v>
      </c>
      <c r="F72" s="141">
        <v>11336</v>
      </c>
      <c r="G72" s="142">
        <v>77</v>
      </c>
      <c r="H72" s="141">
        <v>461941</v>
      </c>
      <c r="I72" s="141">
        <v>462206</v>
      </c>
      <c r="J72" s="142">
        <v>265</v>
      </c>
      <c r="K72" s="141">
        <v>42334</v>
      </c>
      <c r="L72" s="141">
        <v>42377</v>
      </c>
      <c r="M72" s="142">
        <v>43</v>
      </c>
      <c r="Q72" s="141">
        <v>6731</v>
      </c>
      <c r="R72" s="141">
        <v>6820</v>
      </c>
      <c r="S72" s="142">
        <v>89</v>
      </c>
      <c r="T72" s="141">
        <v>3227</v>
      </c>
      <c r="U72" s="141">
        <v>3233</v>
      </c>
      <c r="V72" s="142">
        <v>6</v>
      </c>
      <c r="W72" s="141">
        <v>2702</v>
      </c>
      <c r="X72" s="141">
        <v>2705</v>
      </c>
      <c r="Y72" s="142">
        <v>3</v>
      </c>
      <c r="Z72" s="141">
        <v>30932</v>
      </c>
      <c r="AA72" s="141">
        <v>31013</v>
      </c>
      <c r="AB72" s="142">
        <v>81</v>
      </c>
      <c r="AC72" s="141">
        <v>203456</v>
      </c>
      <c r="AD72" s="141">
        <v>203623</v>
      </c>
      <c r="AE72" s="142">
        <v>167</v>
      </c>
      <c r="AF72" s="141">
        <v>17586</v>
      </c>
      <c r="AG72" s="141">
        <v>17590</v>
      </c>
      <c r="AH72" s="142">
        <v>4</v>
      </c>
    </row>
    <row r="73" spans="1:34">
      <c r="A73" s="144">
        <v>45055</v>
      </c>
      <c r="B73" s="141">
        <v>28620</v>
      </c>
      <c r="C73" s="141">
        <v>28710</v>
      </c>
      <c r="D73" s="142">
        <f t="shared" si="1"/>
        <v>90</v>
      </c>
      <c r="E73" s="141">
        <v>11336</v>
      </c>
      <c r="F73" s="141">
        <v>11368</v>
      </c>
      <c r="G73" s="142">
        <v>32</v>
      </c>
      <c r="H73" s="141">
        <v>462206</v>
      </c>
      <c r="I73" s="141">
        <v>462541</v>
      </c>
      <c r="J73" s="142">
        <v>335</v>
      </c>
      <c r="K73" s="141">
        <v>42377</v>
      </c>
      <c r="L73" s="141">
        <v>42399</v>
      </c>
      <c r="M73" s="142">
        <v>22</v>
      </c>
      <c r="Q73" s="141">
        <v>6776</v>
      </c>
      <c r="R73" s="141">
        <v>6820</v>
      </c>
      <c r="S73" s="142">
        <v>44</v>
      </c>
      <c r="T73" s="141">
        <v>3233</v>
      </c>
      <c r="U73" s="141">
        <v>3233</v>
      </c>
      <c r="V73" s="142">
        <v>0</v>
      </c>
      <c r="W73" s="141">
        <v>2705</v>
      </c>
      <c r="X73" s="141">
        <v>2706</v>
      </c>
      <c r="Y73" s="142">
        <v>1</v>
      </c>
      <c r="Z73" s="141">
        <v>31013</v>
      </c>
      <c r="AA73" s="141">
        <v>31038</v>
      </c>
      <c r="AB73" s="142">
        <v>25</v>
      </c>
      <c r="AC73" s="141">
        <v>203623</v>
      </c>
      <c r="AD73" s="141">
        <v>203714</v>
      </c>
      <c r="AE73" s="142">
        <v>91</v>
      </c>
      <c r="AF73" s="141">
        <v>17590</v>
      </c>
      <c r="AG73" s="141">
        <v>17595</v>
      </c>
      <c r="AH73" s="142">
        <v>5</v>
      </c>
    </row>
    <row r="74" spans="1:34">
      <c r="A74" s="144">
        <v>45056</v>
      </c>
      <c r="B74" s="141">
        <v>28710</v>
      </c>
      <c r="C74" s="141">
        <v>28825</v>
      </c>
      <c r="D74" s="142">
        <f t="shared" si="1"/>
        <v>115</v>
      </c>
      <c r="E74" s="141">
        <v>11368</v>
      </c>
      <c r="F74" s="141">
        <v>11386</v>
      </c>
      <c r="G74" s="142">
        <v>18</v>
      </c>
      <c r="H74" s="141">
        <v>462541</v>
      </c>
      <c r="I74" s="141">
        <v>462723</v>
      </c>
      <c r="J74" s="142">
        <v>182</v>
      </c>
      <c r="K74" s="141">
        <v>42399</v>
      </c>
      <c r="L74" s="141">
        <v>42420</v>
      </c>
      <c r="M74" s="142">
        <v>21</v>
      </c>
      <c r="Q74" s="141">
        <v>6820</v>
      </c>
      <c r="R74" s="141">
        <v>6929</v>
      </c>
      <c r="S74" s="142">
        <v>109</v>
      </c>
      <c r="T74" s="141">
        <v>3233</v>
      </c>
      <c r="U74" s="141">
        <v>3233</v>
      </c>
      <c r="V74" s="142">
        <v>0</v>
      </c>
      <c r="W74" s="141">
        <v>2706</v>
      </c>
      <c r="X74" s="141">
        <v>2707</v>
      </c>
      <c r="Y74" s="142">
        <v>1</v>
      </c>
      <c r="Z74" s="141">
        <v>31038</v>
      </c>
      <c r="AA74" s="141">
        <v>31052</v>
      </c>
      <c r="AB74" s="142">
        <v>14</v>
      </c>
      <c r="AC74" s="141">
        <v>203714</v>
      </c>
      <c r="AD74" s="141">
        <v>203843</v>
      </c>
      <c r="AE74" s="142">
        <v>129</v>
      </c>
      <c r="AF74" s="141">
        <v>17595</v>
      </c>
      <c r="AG74" s="141">
        <v>17601</v>
      </c>
      <c r="AH74" s="142">
        <v>6</v>
      </c>
    </row>
    <row r="75" spans="1:34">
      <c r="A75" s="144">
        <v>45057</v>
      </c>
      <c r="B75" s="141">
        <v>28825</v>
      </c>
      <c r="C75" s="141">
        <v>28907</v>
      </c>
      <c r="D75" s="142">
        <f t="shared" si="1"/>
        <v>82</v>
      </c>
      <c r="E75" s="141">
        <v>11386</v>
      </c>
      <c r="F75" s="141">
        <v>11456</v>
      </c>
      <c r="G75" s="142">
        <v>70</v>
      </c>
      <c r="H75" s="141">
        <v>462723</v>
      </c>
      <c r="I75" s="141">
        <v>462883</v>
      </c>
      <c r="J75" s="142">
        <v>160</v>
      </c>
      <c r="K75" s="141">
        <v>42420</v>
      </c>
      <c r="L75" s="141">
        <v>42460</v>
      </c>
      <c r="M75" s="142">
        <v>40</v>
      </c>
      <c r="Q75" s="141">
        <v>6929</v>
      </c>
      <c r="R75" s="141">
        <v>6966</v>
      </c>
      <c r="S75" s="142">
        <v>37</v>
      </c>
      <c r="T75" s="141">
        <v>3233</v>
      </c>
      <c r="U75" s="141">
        <v>3233</v>
      </c>
      <c r="V75" s="142">
        <v>0</v>
      </c>
      <c r="W75" s="141">
        <v>2707</v>
      </c>
      <c r="X75" s="141">
        <v>2708</v>
      </c>
      <c r="Y75" s="142">
        <v>1</v>
      </c>
      <c r="Z75" s="141">
        <v>31052</v>
      </c>
      <c r="AA75" s="141">
        <v>31068</v>
      </c>
      <c r="AB75" s="142">
        <v>16</v>
      </c>
      <c r="AC75" s="141">
        <v>203843</v>
      </c>
      <c r="AD75" s="141">
        <v>203982</v>
      </c>
      <c r="AE75" s="142">
        <v>139</v>
      </c>
      <c r="AF75" s="141">
        <v>17601</v>
      </c>
      <c r="AG75" s="141">
        <v>17608</v>
      </c>
      <c r="AH75" s="142">
        <v>7</v>
      </c>
    </row>
    <row r="76" spans="1:34">
      <c r="A76" s="144">
        <v>45058</v>
      </c>
      <c r="B76" s="141">
        <v>28907</v>
      </c>
      <c r="C76" s="141">
        <v>28986</v>
      </c>
      <c r="D76" s="142">
        <f t="shared" si="1"/>
        <v>79</v>
      </c>
      <c r="E76" s="141">
        <v>11456</v>
      </c>
      <c r="F76" s="141">
        <v>11488</v>
      </c>
      <c r="G76" s="142">
        <v>32</v>
      </c>
      <c r="H76" s="141">
        <v>462883</v>
      </c>
      <c r="I76" s="141">
        <v>463009</v>
      </c>
      <c r="J76" s="142">
        <v>126</v>
      </c>
      <c r="K76" s="141">
        <v>42460</v>
      </c>
      <c r="L76" s="141">
        <v>42480</v>
      </c>
      <c r="M76" s="142">
        <v>20</v>
      </c>
      <c r="Q76" s="141">
        <v>6966</v>
      </c>
      <c r="R76" s="141">
        <v>7011</v>
      </c>
      <c r="S76" s="142">
        <v>45</v>
      </c>
      <c r="T76" s="141">
        <v>3233</v>
      </c>
      <c r="U76" s="141">
        <v>3233</v>
      </c>
      <c r="V76" s="142">
        <v>0</v>
      </c>
      <c r="W76" s="141">
        <v>2708</v>
      </c>
      <c r="X76" s="141">
        <v>2708</v>
      </c>
      <c r="Y76" s="142">
        <v>0</v>
      </c>
      <c r="Z76" s="141">
        <v>31068</v>
      </c>
      <c r="AA76" s="141">
        <v>31072</v>
      </c>
      <c r="AB76" s="142">
        <v>4</v>
      </c>
      <c r="AC76" s="141">
        <v>203982</v>
      </c>
      <c r="AD76" s="141">
        <v>204009</v>
      </c>
      <c r="AE76" s="142">
        <v>27</v>
      </c>
      <c r="AF76" s="141">
        <v>17608</v>
      </c>
      <c r="AG76" s="141">
        <v>17615</v>
      </c>
      <c r="AH76" s="142">
        <v>7</v>
      </c>
    </row>
    <row r="77" spans="1:34">
      <c r="A77" s="144">
        <v>45059</v>
      </c>
      <c r="B77" s="141">
        <v>28986</v>
      </c>
      <c r="C77" s="141">
        <v>29064</v>
      </c>
      <c r="D77" s="142">
        <f t="shared" si="1"/>
        <v>78</v>
      </c>
      <c r="E77" s="141">
        <v>11488</v>
      </c>
      <c r="F77" s="141">
        <v>11526</v>
      </c>
      <c r="G77" s="142">
        <v>38</v>
      </c>
      <c r="H77" s="141">
        <v>463009</v>
      </c>
      <c r="I77" s="141">
        <v>463207</v>
      </c>
      <c r="J77" s="142">
        <v>198</v>
      </c>
      <c r="K77" s="141">
        <v>42480</v>
      </c>
      <c r="L77" s="141">
        <v>42501</v>
      </c>
      <c r="M77" s="142">
        <v>21</v>
      </c>
      <c r="Q77" s="141">
        <v>7011</v>
      </c>
      <c r="R77" s="141">
        <v>7056</v>
      </c>
      <c r="S77" s="142">
        <v>45</v>
      </c>
      <c r="T77" s="141">
        <v>3233</v>
      </c>
      <c r="U77" s="141">
        <v>3233</v>
      </c>
      <c r="V77" s="142">
        <v>0</v>
      </c>
      <c r="W77" s="141">
        <v>2708</v>
      </c>
      <c r="X77" s="141">
        <v>2709</v>
      </c>
      <c r="Y77" s="142">
        <v>1</v>
      </c>
      <c r="Z77" s="141">
        <v>31072</v>
      </c>
      <c r="AA77" s="141">
        <v>31098</v>
      </c>
      <c r="AB77" s="142">
        <v>26</v>
      </c>
      <c r="AC77" s="141">
        <v>204009</v>
      </c>
      <c r="AD77" s="141">
        <v>204156</v>
      </c>
      <c r="AE77" s="142">
        <v>147</v>
      </c>
      <c r="AF77" s="141">
        <v>17615</v>
      </c>
      <c r="AG77" s="141">
        <v>17620</v>
      </c>
      <c r="AH77" s="142">
        <v>5</v>
      </c>
    </row>
    <row r="78" spans="1:34">
      <c r="A78" s="144">
        <v>45060</v>
      </c>
      <c r="B78" s="141">
        <v>29064</v>
      </c>
      <c r="C78" s="141">
        <v>29149</v>
      </c>
      <c r="D78" s="142">
        <f t="shared" si="1"/>
        <v>85</v>
      </c>
      <c r="E78" s="141">
        <v>11526</v>
      </c>
      <c r="F78" s="141">
        <v>11572</v>
      </c>
      <c r="G78" s="142">
        <v>46</v>
      </c>
      <c r="H78" s="141">
        <v>463207</v>
      </c>
      <c r="I78" s="141">
        <v>463327</v>
      </c>
      <c r="J78" s="142">
        <v>120</v>
      </c>
      <c r="K78" s="141">
        <v>42501</v>
      </c>
      <c r="L78" s="141">
        <v>42533</v>
      </c>
      <c r="M78" s="142">
        <v>32</v>
      </c>
      <c r="Q78" s="141">
        <v>7056</v>
      </c>
      <c r="R78" s="141">
        <v>7093</v>
      </c>
      <c r="S78" s="142">
        <v>37</v>
      </c>
      <c r="T78" s="141">
        <v>3233</v>
      </c>
      <c r="U78" s="141">
        <v>3233</v>
      </c>
      <c r="V78" s="142">
        <v>0</v>
      </c>
      <c r="W78" s="141">
        <v>2709</v>
      </c>
      <c r="X78" s="141">
        <v>2711</v>
      </c>
      <c r="Y78" s="142">
        <v>2</v>
      </c>
      <c r="Z78" s="141">
        <v>31098</v>
      </c>
      <c r="AA78" s="141">
        <v>31131</v>
      </c>
      <c r="AB78" s="142">
        <v>33</v>
      </c>
      <c r="AC78" s="141">
        <v>204156</v>
      </c>
      <c r="AD78" s="141">
        <v>204246</v>
      </c>
      <c r="AE78" s="142">
        <v>90</v>
      </c>
      <c r="AF78" s="141">
        <v>17620</v>
      </c>
      <c r="AG78" s="141">
        <v>17640</v>
      </c>
      <c r="AH78" s="142">
        <v>20</v>
      </c>
    </row>
    <row r="79" spans="1:34">
      <c r="A79" s="144">
        <v>45061</v>
      </c>
      <c r="B79" s="141">
        <v>29149</v>
      </c>
      <c r="C79" s="141">
        <v>29256</v>
      </c>
      <c r="D79" s="142">
        <f t="shared" si="1"/>
        <v>107</v>
      </c>
      <c r="E79" s="141">
        <v>11572</v>
      </c>
      <c r="F79" s="141">
        <v>11621</v>
      </c>
      <c r="G79" s="142">
        <v>49</v>
      </c>
      <c r="H79" s="141">
        <v>463327</v>
      </c>
      <c r="I79" s="141">
        <v>463502</v>
      </c>
      <c r="J79" s="142">
        <v>175</v>
      </c>
      <c r="K79" s="141">
        <v>42533</v>
      </c>
      <c r="L79" s="141">
        <v>42683</v>
      </c>
      <c r="M79" s="142">
        <v>150</v>
      </c>
      <c r="Q79" s="141">
        <v>7093</v>
      </c>
      <c r="R79" s="141">
        <v>7138</v>
      </c>
      <c r="S79" s="142">
        <v>45</v>
      </c>
      <c r="T79" s="141">
        <v>3233</v>
      </c>
      <c r="U79" s="141">
        <v>3233</v>
      </c>
      <c r="V79" s="142">
        <v>0</v>
      </c>
      <c r="W79" s="141">
        <v>2711</v>
      </c>
      <c r="X79" s="141">
        <v>2712</v>
      </c>
      <c r="Y79" s="142">
        <v>1</v>
      </c>
      <c r="Z79" s="141">
        <v>31131</v>
      </c>
      <c r="AA79" s="141">
        <v>31169</v>
      </c>
      <c r="AB79" s="142">
        <v>38</v>
      </c>
      <c r="AC79" s="141">
        <v>204246</v>
      </c>
      <c r="AD79" s="141">
        <v>204328</v>
      </c>
      <c r="AE79" s="142">
        <v>82</v>
      </c>
      <c r="AF79" s="141">
        <v>17640</v>
      </c>
      <c r="AG79" s="141">
        <v>17650</v>
      </c>
      <c r="AH79" s="142">
        <v>10</v>
      </c>
    </row>
    <row r="80" spans="1:34">
      <c r="A80" s="144">
        <v>45062</v>
      </c>
      <c r="B80" s="141">
        <v>29256</v>
      </c>
      <c r="C80" s="141">
        <v>29384</v>
      </c>
      <c r="D80" s="142">
        <f t="shared" si="1"/>
        <v>128</v>
      </c>
      <c r="E80" s="141">
        <v>11621</v>
      </c>
      <c r="F80" s="141">
        <v>11669</v>
      </c>
      <c r="G80" s="142">
        <v>48</v>
      </c>
      <c r="H80" s="141">
        <v>463502</v>
      </c>
      <c r="I80" s="141">
        <v>463664</v>
      </c>
      <c r="J80" s="142">
        <v>162</v>
      </c>
      <c r="K80" s="141">
        <v>42683</v>
      </c>
      <c r="L80" s="141">
        <v>42727</v>
      </c>
      <c r="M80" s="142">
        <v>44</v>
      </c>
      <c r="Q80" s="141">
        <v>7138</v>
      </c>
      <c r="R80" s="141">
        <v>7185</v>
      </c>
      <c r="S80" s="142">
        <v>47</v>
      </c>
      <c r="T80" s="141">
        <v>3233</v>
      </c>
      <c r="U80" s="141">
        <v>3233</v>
      </c>
      <c r="V80" s="142">
        <v>0</v>
      </c>
      <c r="W80" s="141">
        <v>2712</v>
      </c>
      <c r="X80" s="141">
        <v>2713</v>
      </c>
      <c r="Y80" s="142">
        <v>1</v>
      </c>
      <c r="Z80" s="141">
        <v>31169</v>
      </c>
      <c r="AA80" s="141">
        <v>31205</v>
      </c>
      <c r="AB80" s="142">
        <v>36</v>
      </c>
      <c r="AC80" s="141">
        <v>204328</v>
      </c>
      <c r="AD80" s="141">
        <v>204411</v>
      </c>
      <c r="AE80" s="142">
        <v>83</v>
      </c>
      <c r="AF80" s="141">
        <v>17650</v>
      </c>
      <c r="AG80" s="141">
        <v>17655</v>
      </c>
      <c r="AH80" s="142">
        <v>5</v>
      </c>
    </row>
    <row r="81" spans="1:34">
      <c r="A81" s="144">
        <v>45063</v>
      </c>
      <c r="B81" s="141">
        <v>29384</v>
      </c>
      <c r="C81" s="141">
        <v>29491</v>
      </c>
      <c r="D81" s="142">
        <f t="shared" si="1"/>
        <v>107</v>
      </c>
      <c r="E81" s="141">
        <v>11669</v>
      </c>
      <c r="F81" s="141">
        <v>11711</v>
      </c>
      <c r="G81" s="142">
        <v>42</v>
      </c>
      <c r="H81" s="141">
        <v>463664</v>
      </c>
      <c r="I81" s="141">
        <v>463835</v>
      </c>
      <c r="J81" s="142">
        <v>171</v>
      </c>
      <c r="K81" s="141">
        <v>42727</v>
      </c>
      <c r="L81" s="141">
        <v>42757</v>
      </c>
      <c r="M81" s="142">
        <v>30</v>
      </c>
      <c r="Q81" s="141">
        <v>7185</v>
      </c>
      <c r="R81" s="141">
        <v>7229</v>
      </c>
      <c r="S81" s="142">
        <v>44</v>
      </c>
      <c r="T81" s="141">
        <v>3233</v>
      </c>
      <c r="U81" s="141">
        <v>3233</v>
      </c>
      <c r="V81" s="142">
        <v>0</v>
      </c>
      <c r="W81" s="141">
        <v>2713</v>
      </c>
      <c r="X81" s="141">
        <v>2714</v>
      </c>
      <c r="Y81" s="142">
        <v>1</v>
      </c>
      <c r="Z81" s="141">
        <v>31205</v>
      </c>
      <c r="AA81" s="141">
        <v>31292</v>
      </c>
      <c r="AB81" s="142">
        <v>87</v>
      </c>
      <c r="AC81" s="141">
        <v>204411</v>
      </c>
      <c r="AD81" s="141">
        <v>204481</v>
      </c>
      <c r="AE81" s="142">
        <v>70</v>
      </c>
      <c r="AF81" s="141">
        <v>17655</v>
      </c>
      <c r="AG81" s="141">
        <v>17665</v>
      </c>
      <c r="AH81" s="142">
        <v>10</v>
      </c>
    </row>
    <row r="82" spans="1:34">
      <c r="A82" s="144">
        <v>45064</v>
      </c>
      <c r="B82" s="141">
        <v>29491</v>
      </c>
      <c r="C82" s="141">
        <v>29583</v>
      </c>
      <c r="D82" s="142">
        <f t="shared" si="1"/>
        <v>92</v>
      </c>
      <c r="E82" s="141">
        <v>11711</v>
      </c>
      <c r="F82" s="141">
        <v>11753</v>
      </c>
      <c r="G82" s="142">
        <v>42</v>
      </c>
      <c r="H82" s="141">
        <v>463835</v>
      </c>
      <c r="I82" s="141">
        <v>463974</v>
      </c>
      <c r="J82" s="142">
        <v>139</v>
      </c>
      <c r="K82" s="141">
        <v>42757</v>
      </c>
      <c r="L82" s="141">
        <v>42805</v>
      </c>
      <c r="M82" s="142">
        <v>48</v>
      </c>
      <c r="Q82" s="141">
        <v>7229</v>
      </c>
      <c r="R82" s="141">
        <v>7276</v>
      </c>
      <c r="S82" s="142">
        <v>47</v>
      </c>
      <c r="T82" s="141">
        <v>3233</v>
      </c>
      <c r="U82" s="141">
        <v>3233</v>
      </c>
      <c r="V82" s="142">
        <v>0</v>
      </c>
      <c r="W82" s="141">
        <v>2714</v>
      </c>
      <c r="X82" s="141">
        <v>2721</v>
      </c>
      <c r="Y82" s="142">
        <v>7</v>
      </c>
      <c r="Z82" s="141">
        <v>31292</v>
      </c>
      <c r="AA82" s="141">
        <v>31248</v>
      </c>
      <c r="AB82" s="142">
        <v>-44</v>
      </c>
      <c r="AC82" s="141">
        <v>204481</v>
      </c>
      <c r="AD82" s="141">
        <v>204614</v>
      </c>
      <c r="AE82" s="142">
        <v>133</v>
      </c>
      <c r="AF82" s="141">
        <v>17665</v>
      </c>
      <c r="AG82" s="141">
        <v>17670</v>
      </c>
      <c r="AH82" s="142">
        <v>5</v>
      </c>
    </row>
    <row r="83" spans="1:34">
      <c r="A83" s="144">
        <v>45065</v>
      </c>
      <c r="B83" s="141">
        <v>29583</v>
      </c>
      <c r="C83" s="141">
        <v>29583</v>
      </c>
      <c r="D83" s="142">
        <f t="shared" si="1"/>
        <v>0</v>
      </c>
      <c r="E83" s="141">
        <v>11753</v>
      </c>
      <c r="F83" s="141">
        <v>11829</v>
      </c>
      <c r="G83" s="142">
        <v>76</v>
      </c>
      <c r="H83" s="141">
        <v>463974</v>
      </c>
      <c r="I83" s="141">
        <v>464135</v>
      </c>
      <c r="J83" s="142">
        <v>161</v>
      </c>
      <c r="K83" s="141">
        <v>42805</v>
      </c>
      <c r="L83" s="141">
        <v>42862</v>
      </c>
      <c r="M83" s="142">
        <v>57</v>
      </c>
      <c r="Q83" s="141">
        <v>7276</v>
      </c>
      <c r="R83" s="141">
        <v>7281</v>
      </c>
      <c r="S83" s="142">
        <v>5</v>
      </c>
      <c r="T83" s="141">
        <v>3233</v>
      </c>
      <c r="U83" s="141">
        <v>3233</v>
      </c>
      <c r="V83" s="142">
        <v>0</v>
      </c>
      <c r="W83" s="141">
        <v>2721</v>
      </c>
      <c r="X83" s="141">
        <v>2722</v>
      </c>
      <c r="Y83" s="142">
        <v>1</v>
      </c>
      <c r="Z83" s="141">
        <v>31248</v>
      </c>
      <c r="AA83" s="141">
        <v>31284</v>
      </c>
      <c r="AB83" s="142">
        <v>36</v>
      </c>
      <c r="AC83" s="141">
        <v>204614</v>
      </c>
      <c r="AD83" s="141">
        <v>204682</v>
      </c>
      <c r="AE83" s="142">
        <v>68</v>
      </c>
      <c r="AF83" s="141">
        <v>17670</v>
      </c>
      <c r="AG83" s="141">
        <v>17677</v>
      </c>
      <c r="AH83" s="142">
        <v>7</v>
      </c>
    </row>
    <row r="84" spans="1:34">
      <c r="A84" s="144">
        <v>45066</v>
      </c>
      <c r="B84" s="141">
        <v>29583</v>
      </c>
      <c r="C84" s="141">
        <v>29583</v>
      </c>
      <c r="D84" s="142">
        <f t="shared" si="1"/>
        <v>0</v>
      </c>
      <c r="E84" s="141">
        <v>11829</v>
      </c>
      <c r="F84" s="141">
        <v>11871</v>
      </c>
      <c r="G84" s="142">
        <v>42</v>
      </c>
      <c r="H84" s="141">
        <v>464135</v>
      </c>
      <c r="I84" s="141">
        <v>464244</v>
      </c>
      <c r="J84" s="142">
        <v>109</v>
      </c>
      <c r="K84" s="141">
        <v>42862</v>
      </c>
      <c r="L84" s="141">
        <v>42930</v>
      </c>
      <c r="M84" s="142">
        <v>68</v>
      </c>
      <c r="Q84" s="141">
        <v>7281</v>
      </c>
      <c r="R84" s="141">
        <v>7346</v>
      </c>
      <c r="S84" s="142">
        <v>65</v>
      </c>
      <c r="T84" s="141">
        <v>3233</v>
      </c>
      <c r="U84" s="141">
        <v>3233</v>
      </c>
      <c r="V84" s="142">
        <v>0</v>
      </c>
      <c r="W84" s="141">
        <v>2722</v>
      </c>
      <c r="X84" s="141">
        <v>2723</v>
      </c>
      <c r="Y84" s="142">
        <v>1</v>
      </c>
      <c r="Z84" s="141">
        <v>31284</v>
      </c>
      <c r="AA84" s="141">
        <v>31316</v>
      </c>
      <c r="AB84" s="142">
        <v>32</v>
      </c>
      <c r="AC84" s="141">
        <v>204682</v>
      </c>
      <c r="AD84" s="141">
        <v>204752</v>
      </c>
      <c r="AE84" s="142">
        <v>70</v>
      </c>
      <c r="AF84" s="141">
        <v>17677</v>
      </c>
      <c r="AG84" s="141">
        <v>17689</v>
      </c>
      <c r="AH84" s="142">
        <v>12</v>
      </c>
    </row>
    <row r="85" spans="1:34">
      <c r="A85" s="144">
        <v>45067</v>
      </c>
      <c r="B85" s="141">
        <v>29583</v>
      </c>
      <c r="C85" s="141">
        <v>29842</v>
      </c>
      <c r="D85" s="142">
        <f t="shared" si="1"/>
        <v>259</v>
      </c>
      <c r="E85" s="141">
        <v>11871</v>
      </c>
      <c r="F85" s="141">
        <v>11902</v>
      </c>
      <c r="G85" s="142">
        <v>31</v>
      </c>
      <c r="H85" s="141">
        <v>464244</v>
      </c>
      <c r="I85" s="141">
        <v>464375</v>
      </c>
      <c r="J85" s="142">
        <v>131</v>
      </c>
      <c r="K85" s="141">
        <v>42930</v>
      </c>
      <c r="L85" s="141">
        <v>42980</v>
      </c>
      <c r="M85" s="142">
        <v>50</v>
      </c>
      <c r="Q85" s="141">
        <v>7346</v>
      </c>
      <c r="R85" s="141">
        <v>7377</v>
      </c>
      <c r="S85" s="142">
        <v>31</v>
      </c>
      <c r="T85" s="141">
        <v>3233</v>
      </c>
      <c r="U85" s="141">
        <v>3233</v>
      </c>
      <c r="V85" s="142">
        <v>0</v>
      </c>
      <c r="W85" s="141">
        <v>2723</v>
      </c>
      <c r="X85" s="141">
        <v>2724</v>
      </c>
      <c r="Y85" s="142">
        <v>1</v>
      </c>
      <c r="Z85" s="141">
        <v>31316</v>
      </c>
      <c r="AA85" s="141">
        <v>31343</v>
      </c>
      <c r="AB85" s="142">
        <v>27</v>
      </c>
      <c r="AC85" s="141">
        <v>204752</v>
      </c>
      <c r="AD85" s="141">
        <v>204826</v>
      </c>
      <c r="AE85" s="142">
        <v>74</v>
      </c>
      <c r="AF85" s="141">
        <v>17689</v>
      </c>
      <c r="AG85" s="141">
        <v>17699</v>
      </c>
      <c r="AH85" s="142">
        <v>10</v>
      </c>
    </row>
    <row r="86" spans="1:34">
      <c r="A86" s="144">
        <v>45068</v>
      </c>
      <c r="B86" s="141">
        <v>29842</v>
      </c>
      <c r="C86" s="141">
        <v>29935</v>
      </c>
      <c r="D86" s="142">
        <f t="shared" si="1"/>
        <v>93</v>
      </c>
      <c r="E86" s="141">
        <v>11902</v>
      </c>
      <c r="F86" s="141">
        <v>11952</v>
      </c>
      <c r="G86" s="142">
        <v>50</v>
      </c>
      <c r="H86" s="141">
        <v>464375</v>
      </c>
      <c r="I86" s="141">
        <v>464559</v>
      </c>
      <c r="J86" s="142">
        <v>184</v>
      </c>
      <c r="K86" s="141">
        <v>42980</v>
      </c>
      <c r="L86" s="141">
        <v>43018</v>
      </c>
      <c r="M86" s="142">
        <v>38</v>
      </c>
      <c r="Q86" s="141">
        <v>7377</v>
      </c>
      <c r="R86" s="141">
        <v>7418</v>
      </c>
      <c r="S86" s="142">
        <v>41</v>
      </c>
      <c r="T86" s="141">
        <v>3233</v>
      </c>
      <c r="U86" s="141">
        <v>3233</v>
      </c>
      <c r="V86" s="142">
        <v>0</v>
      </c>
      <c r="W86" s="141">
        <v>2724</v>
      </c>
      <c r="X86" s="141">
        <v>2725</v>
      </c>
      <c r="Y86" s="142">
        <v>1</v>
      </c>
      <c r="Z86" s="141">
        <v>31343</v>
      </c>
      <c r="AA86" s="141">
        <v>31386</v>
      </c>
      <c r="AB86" s="142">
        <v>43</v>
      </c>
      <c r="AC86" s="141">
        <v>204826</v>
      </c>
      <c r="AD86" s="141">
        <v>204906</v>
      </c>
      <c r="AE86" s="142">
        <v>80</v>
      </c>
      <c r="AF86" s="141">
        <v>17699</v>
      </c>
      <c r="AG86" s="141">
        <v>17708</v>
      </c>
      <c r="AH86" s="142">
        <v>9</v>
      </c>
    </row>
    <row r="87" spans="1:34">
      <c r="A87" s="144">
        <v>45069</v>
      </c>
      <c r="B87" s="141">
        <v>29935</v>
      </c>
      <c r="C87" s="141">
        <v>30028</v>
      </c>
      <c r="D87" s="142">
        <f t="shared" si="1"/>
        <v>93</v>
      </c>
      <c r="E87" s="141">
        <v>11952</v>
      </c>
      <c r="F87" s="141">
        <v>12006</v>
      </c>
      <c r="G87" s="142">
        <v>54</v>
      </c>
      <c r="H87" s="141">
        <v>464559</v>
      </c>
      <c r="I87" s="141">
        <v>464629</v>
      </c>
      <c r="J87" s="142">
        <v>70</v>
      </c>
      <c r="K87" s="141">
        <v>43018</v>
      </c>
      <c r="L87" s="141">
        <v>43079</v>
      </c>
      <c r="M87" s="142">
        <v>61</v>
      </c>
      <c r="Q87" s="141">
        <v>7418</v>
      </c>
      <c r="R87" s="141">
        <v>7487</v>
      </c>
      <c r="S87" s="142">
        <v>69</v>
      </c>
      <c r="T87" s="141">
        <v>3233</v>
      </c>
      <c r="U87" s="141">
        <v>3233</v>
      </c>
      <c r="V87" s="142">
        <v>0</v>
      </c>
      <c r="W87" s="141">
        <v>2725</v>
      </c>
      <c r="X87" s="141">
        <v>2727</v>
      </c>
      <c r="Y87" s="142">
        <v>2</v>
      </c>
      <c r="Z87" s="141">
        <v>31386</v>
      </c>
      <c r="AA87" s="141">
        <v>31421</v>
      </c>
      <c r="AB87" s="142">
        <v>35</v>
      </c>
      <c r="AC87" s="141">
        <v>204906</v>
      </c>
      <c r="AD87" s="141">
        <v>204983</v>
      </c>
      <c r="AE87" s="142">
        <v>77</v>
      </c>
      <c r="AF87" s="141">
        <v>17708</v>
      </c>
      <c r="AG87" s="141">
        <v>17719</v>
      </c>
      <c r="AH87" s="142">
        <v>11</v>
      </c>
    </row>
    <row r="88" spans="1:34">
      <c r="A88" s="144">
        <v>45070</v>
      </c>
      <c r="B88" s="141">
        <v>30028</v>
      </c>
      <c r="C88" s="141">
        <v>30139</v>
      </c>
      <c r="D88" s="142">
        <f t="shared" si="1"/>
        <v>111</v>
      </c>
      <c r="E88" s="141">
        <v>12006</v>
      </c>
      <c r="F88" s="141">
        <v>12043</v>
      </c>
      <c r="G88" s="142">
        <v>37</v>
      </c>
      <c r="H88" s="141">
        <v>464629</v>
      </c>
      <c r="I88" s="141">
        <v>464798</v>
      </c>
      <c r="J88" s="142">
        <v>169</v>
      </c>
      <c r="K88" s="141">
        <v>43018</v>
      </c>
      <c r="L88" s="141">
        <v>43128</v>
      </c>
      <c r="M88" s="142">
        <v>110</v>
      </c>
      <c r="Q88" s="141">
        <v>7487</v>
      </c>
      <c r="R88" s="141">
        <v>7508</v>
      </c>
      <c r="S88" s="142">
        <v>21</v>
      </c>
      <c r="T88" s="141">
        <v>3233</v>
      </c>
      <c r="U88" s="141">
        <v>3233</v>
      </c>
      <c r="V88" s="142">
        <v>0</v>
      </c>
      <c r="W88" s="141">
        <v>2727</v>
      </c>
      <c r="X88" s="141">
        <v>2729</v>
      </c>
      <c r="Y88" s="142">
        <v>2</v>
      </c>
      <c r="Z88" s="141">
        <v>31421</v>
      </c>
      <c r="AA88" s="141">
        <v>31436</v>
      </c>
      <c r="AB88" s="142">
        <v>15</v>
      </c>
      <c r="AC88" s="141">
        <v>204983</v>
      </c>
      <c r="AD88" s="141">
        <v>205060</v>
      </c>
      <c r="AE88" s="142">
        <v>77</v>
      </c>
      <c r="AF88" s="141">
        <v>17719</v>
      </c>
      <c r="AG88" s="141">
        <v>17725</v>
      </c>
      <c r="AH88" s="142">
        <v>6</v>
      </c>
    </row>
    <row r="89" spans="1:34">
      <c r="A89" s="144">
        <v>45071</v>
      </c>
      <c r="B89" s="141">
        <v>30139</v>
      </c>
      <c r="C89" s="141">
        <v>30237</v>
      </c>
      <c r="D89" s="142">
        <f t="shared" si="1"/>
        <v>98</v>
      </c>
      <c r="E89" s="141">
        <v>12043</v>
      </c>
      <c r="F89" s="141">
        <v>12073</v>
      </c>
      <c r="G89" s="142">
        <v>30</v>
      </c>
      <c r="H89" s="141">
        <v>464798</v>
      </c>
      <c r="I89" s="141">
        <v>464935</v>
      </c>
      <c r="J89" s="142">
        <v>137</v>
      </c>
      <c r="K89" s="141">
        <v>43128</v>
      </c>
      <c r="L89" s="141">
        <v>43181</v>
      </c>
      <c r="M89" s="142">
        <v>53</v>
      </c>
      <c r="Q89" s="141">
        <v>7508</v>
      </c>
      <c r="R89" s="141">
        <v>7550</v>
      </c>
      <c r="S89" s="142">
        <v>42</v>
      </c>
      <c r="T89" s="141">
        <v>3233</v>
      </c>
      <c r="U89" s="141">
        <v>3233</v>
      </c>
      <c r="V89" s="142">
        <v>0</v>
      </c>
      <c r="W89" s="141">
        <v>2729</v>
      </c>
      <c r="X89" s="141">
        <v>2730</v>
      </c>
      <c r="Y89" s="142">
        <v>1</v>
      </c>
      <c r="Z89" s="141">
        <v>31436</v>
      </c>
      <c r="AA89" s="141">
        <v>31462</v>
      </c>
      <c r="AB89" s="142">
        <v>26</v>
      </c>
      <c r="AC89" s="141">
        <v>205060</v>
      </c>
      <c r="AD89" s="141">
        <v>205137</v>
      </c>
      <c r="AE89" s="142">
        <v>77</v>
      </c>
      <c r="AF89" s="141">
        <v>17725</v>
      </c>
      <c r="AG89" s="141">
        <v>17730</v>
      </c>
      <c r="AH89" s="142">
        <v>5</v>
      </c>
    </row>
    <row r="90" spans="1:34">
      <c r="A90" s="144">
        <v>45072</v>
      </c>
      <c r="B90" s="141">
        <v>30237</v>
      </c>
      <c r="C90" s="141">
        <v>30237</v>
      </c>
      <c r="D90" s="142">
        <f t="shared" si="1"/>
        <v>0</v>
      </c>
      <c r="E90" s="141">
        <v>12073</v>
      </c>
      <c r="F90" s="141">
        <v>12129</v>
      </c>
      <c r="G90" s="142">
        <v>56</v>
      </c>
      <c r="H90" s="141">
        <v>464935</v>
      </c>
      <c r="I90" s="141">
        <v>465076</v>
      </c>
      <c r="J90" s="142">
        <v>141</v>
      </c>
      <c r="K90" s="141">
        <v>43181</v>
      </c>
      <c r="L90" s="141">
        <v>43231</v>
      </c>
      <c r="M90" s="142">
        <v>50</v>
      </c>
      <c r="Q90" s="141">
        <v>7550</v>
      </c>
      <c r="R90" s="141">
        <v>7599</v>
      </c>
      <c r="S90" s="142">
        <v>49</v>
      </c>
      <c r="T90" s="141">
        <v>3233</v>
      </c>
      <c r="U90" s="141">
        <v>3296</v>
      </c>
      <c r="V90" s="142">
        <v>63</v>
      </c>
      <c r="W90" s="141">
        <v>2730</v>
      </c>
      <c r="X90" s="141">
        <v>2731</v>
      </c>
      <c r="Y90" s="142">
        <v>1</v>
      </c>
      <c r="Z90" s="141">
        <v>31462</v>
      </c>
      <c r="AA90" s="141">
        <v>31478</v>
      </c>
      <c r="AB90" s="142">
        <v>16</v>
      </c>
      <c r="AC90" s="141">
        <v>205137</v>
      </c>
      <c r="AD90" s="141">
        <v>205223</v>
      </c>
      <c r="AE90" s="142">
        <v>86</v>
      </c>
      <c r="AF90" s="141">
        <v>17730</v>
      </c>
      <c r="AG90" s="141">
        <v>17733</v>
      </c>
      <c r="AH90" s="142">
        <v>3</v>
      </c>
    </row>
    <row r="91" spans="1:34">
      <c r="A91" s="144">
        <v>45073</v>
      </c>
      <c r="B91" s="141">
        <v>30237</v>
      </c>
      <c r="C91" s="141">
        <v>30237</v>
      </c>
      <c r="D91" s="142">
        <f t="shared" si="1"/>
        <v>0</v>
      </c>
      <c r="E91" s="141">
        <v>12129</v>
      </c>
      <c r="F91" s="141">
        <v>12182</v>
      </c>
      <c r="G91" s="142">
        <v>53</v>
      </c>
      <c r="H91" s="141">
        <v>465076</v>
      </c>
      <c r="I91" s="141">
        <v>465209</v>
      </c>
      <c r="J91" s="142">
        <v>133</v>
      </c>
      <c r="K91" s="141">
        <v>43181</v>
      </c>
      <c r="L91" s="141">
        <v>43237</v>
      </c>
      <c r="M91" s="142">
        <v>56</v>
      </c>
      <c r="Q91" s="141">
        <v>7599</v>
      </c>
      <c r="R91" s="141">
        <v>7642</v>
      </c>
      <c r="S91" s="142">
        <v>43</v>
      </c>
      <c r="T91" s="141">
        <v>3296</v>
      </c>
      <c r="U91" s="141">
        <v>3297</v>
      </c>
      <c r="V91" s="142">
        <v>1</v>
      </c>
      <c r="W91" s="141">
        <v>2731</v>
      </c>
      <c r="X91" s="141">
        <v>2732</v>
      </c>
      <c r="Y91" s="142">
        <v>1</v>
      </c>
      <c r="Z91" s="141">
        <v>31478</v>
      </c>
      <c r="AA91" s="141">
        <v>31517</v>
      </c>
      <c r="AB91" s="142">
        <v>39</v>
      </c>
      <c r="AC91" s="141">
        <v>205223</v>
      </c>
      <c r="AD91" s="141">
        <v>205294</v>
      </c>
      <c r="AE91" s="142">
        <v>71</v>
      </c>
      <c r="AF91" s="141">
        <v>17733</v>
      </c>
      <c r="AG91" s="141">
        <v>17753</v>
      </c>
      <c r="AH91" s="142">
        <v>20</v>
      </c>
    </row>
    <row r="92" spans="1:34">
      <c r="A92" s="144">
        <v>45074</v>
      </c>
      <c r="B92" s="141">
        <v>30237</v>
      </c>
      <c r="C92" s="141">
        <v>30572</v>
      </c>
      <c r="D92" s="142">
        <f t="shared" si="1"/>
        <v>335</v>
      </c>
      <c r="E92" s="141">
        <v>12182</v>
      </c>
      <c r="F92" s="141">
        <v>12218</v>
      </c>
      <c r="G92" s="142">
        <v>36</v>
      </c>
      <c r="H92" s="141">
        <v>465209</v>
      </c>
      <c r="I92" s="141">
        <v>465342</v>
      </c>
      <c r="J92" s="142">
        <v>133</v>
      </c>
      <c r="K92" s="141">
        <v>43237</v>
      </c>
      <c r="L92" s="141">
        <v>43286</v>
      </c>
      <c r="M92" s="142">
        <v>49</v>
      </c>
      <c r="Q92" s="141">
        <v>7642</v>
      </c>
      <c r="R92" s="141">
        <v>7670</v>
      </c>
      <c r="S92" s="142">
        <v>28</v>
      </c>
      <c r="T92" s="141">
        <v>3297</v>
      </c>
      <c r="U92" s="141">
        <v>3306</v>
      </c>
      <c r="V92" s="142">
        <v>9</v>
      </c>
      <c r="W92" s="141">
        <v>2732</v>
      </c>
      <c r="X92" s="141">
        <v>2733</v>
      </c>
      <c r="Y92" s="142">
        <v>1</v>
      </c>
      <c r="Z92" s="141">
        <v>31517</v>
      </c>
      <c r="AA92" s="141">
        <v>31535</v>
      </c>
      <c r="AB92" s="142">
        <v>18</v>
      </c>
      <c r="AC92" s="141">
        <v>205294</v>
      </c>
      <c r="AD92" s="141">
        <v>205349</v>
      </c>
      <c r="AE92" s="142">
        <v>55</v>
      </c>
      <c r="AF92" s="141">
        <v>17753</v>
      </c>
      <c r="AG92" s="141">
        <v>17777</v>
      </c>
      <c r="AH92" s="142">
        <v>24</v>
      </c>
    </row>
    <row r="93" spans="1:34">
      <c r="A93" s="144">
        <v>45075</v>
      </c>
      <c r="B93" s="141">
        <v>30572</v>
      </c>
      <c r="C93" s="141">
        <v>30664</v>
      </c>
      <c r="D93" s="142">
        <f t="shared" si="1"/>
        <v>92</v>
      </c>
      <c r="E93" s="141">
        <v>12218</v>
      </c>
      <c r="F93" s="141">
        <v>12250</v>
      </c>
      <c r="G93" s="142">
        <v>32</v>
      </c>
      <c r="H93" s="141">
        <v>465342</v>
      </c>
      <c r="I93" s="141">
        <v>465526</v>
      </c>
      <c r="J93" s="142">
        <v>184</v>
      </c>
      <c r="K93" s="141">
        <v>43286</v>
      </c>
      <c r="L93" s="141">
        <v>43330</v>
      </c>
      <c r="M93" s="142">
        <v>44</v>
      </c>
      <c r="Q93" s="141">
        <v>7670</v>
      </c>
      <c r="R93" s="141">
        <v>7711</v>
      </c>
      <c r="S93" s="142">
        <v>41</v>
      </c>
      <c r="T93" s="141">
        <v>3306</v>
      </c>
      <c r="U93" s="141">
        <v>3308</v>
      </c>
      <c r="V93" s="142">
        <v>2</v>
      </c>
      <c r="W93" s="141">
        <v>2733</v>
      </c>
      <c r="X93" s="141">
        <v>2738</v>
      </c>
      <c r="Y93" s="142">
        <v>5</v>
      </c>
      <c r="Z93" s="141">
        <v>31535</v>
      </c>
      <c r="AA93" s="141">
        <v>31562</v>
      </c>
      <c r="AB93" s="142">
        <v>27</v>
      </c>
      <c r="AC93" s="141">
        <v>205349</v>
      </c>
      <c r="AD93" s="141">
        <v>205413</v>
      </c>
      <c r="AE93" s="142">
        <v>64</v>
      </c>
      <c r="AF93" s="141">
        <v>17777</v>
      </c>
      <c r="AG93" s="141">
        <v>17782</v>
      </c>
      <c r="AH93" s="142">
        <v>5</v>
      </c>
    </row>
    <row r="94" spans="1:34">
      <c r="A94" s="144">
        <v>45076</v>
      </c>
      <c r="B94" s="141">
        <v>30664</v>
      </c>
      <c r="C94" s="141">
        <v>30721</v>
      </c>
      <c r="D94" s="142">
        <f t="shared" si="1"/>
        <v>57</v>
      </c>
      <c r="E94" s="141">
        <v>12250</v>
      </c>
      <c r="F94" s="141">
        <v>12321</v>
      </c>
      <c r="G94" s="142">
        <v>71</v>
      </c>
      <c r="H94" s="141">
        <v>465526</v>
      </c>
      <c r="I94" s="141">
        <v>465609</v>
      </c>
      <c r="J94" s="142">
        <v>83</v>
      </c>
      <c r="K94" s="141">
        <v>43330</v>
      </c>
      <c r="L94" s="141">
        <v>43385</v>
      </c>
      <c r="M94" s="142">
        <v>55</v>
      </c>
      <c r="Q94" s="141">
        <v>7711</v>
      </c>
      <c r="R94" s="141">
        <v>7746</v>
      </c>
      <c r="S94" s="142">
        <v>35</v>
      </c>
      <c r="T94" s="141">
        <v>3308</v>
      </c>
      <c r="U94" s="141">
        <v>3314</v>
      </c>
      <c r="V94" s="142">
        <v>6</v>
      </c>
      <c r="W94" s="141">
        <v>2738</v>
      </c>
      <c r="X94" s="141">
        <v>2742</v>
      </c>
      <c r="Y94" s="142">
        <v>4</v>
      </c>
      <c r="Z94" s="141">
        <v>31562</v>
      </c>
      <c r="AA94" s="141">
        <v>31578</v>
      </c>
      <c r="AB94" s="142">
        <v>16</v>
      </c>
      <c r="AC94" s="141">
        <v>205413</v>
      </c>
      <c r="AD94" s="141">
        <v>205473</v>
      </c>
      <c r="AE94" s="142">
        <v>60</v>
      </c>
      <c r="AF94" s="141">
        <v>17782</v>
      </c>
      <c r="AG94" s="141">
        <v>17788</v>
      </c>
      <c r="AH94" s="142">
        <v>6</v>
      </c>
    </row>
    <row r="95" spans="1:34">
      <c r="A95" s="144">
        <v>45077</v>
      </c>
      <c r="B95" s="141">
        <v>30721</v>
      </c>
      <c r="C95" s="141">
        <v>30721</v>
      </c>
      <c r="D95" s="142">
        <f t="shared" si="1"/>
        <v>0</v>
      </c>
      <c r="E95" s="141">
        <v>12321</v>
      </c>
      <c r="F95" s="141">
        <v>12359</v>
      </c>
      <c r="G95" s="142">
        <v>38</v>
      </c>
      <c r="H95" s="141">
        <v>465609</v>
      </c>
      <c r="I95" s="141">
        <v>465609</v>
      </c>
      <c r="J95" s="142">
        <v>0</v>
      </c>
      <c r="K95" s="141">
        <v>43385</v>
      </c>
      <c r="L95" s="141">
        <v>43431</v>
      </c>
      <c r="M95" s="142">
        <v>46</v>
      </c>
      <c r="Q95" s="141">
        <v>7746</v>
      </c>
      <c r="R95" s="141">
        <v>7746</v>
      </c>
      <c r="S95" s="142">
        <v>0</v>
      </c>
      <c r="T95" s="141">
        <v>3314</v>
      </c>
      <c r="U95" s="141">
        <v>3318</v>
      </c>
      <c r="V95" s="142">
        <v>4</v>
      </c>
      <c r="W95" s="141">
        <v>2742</v>
      </c>
      <c r="X95" s="141">
        <v>2743</v>
      </c>
      <c r="Y95" s="142">
        <v>1</v>
      </c>
      <c r="Z95" s="141">
        <v>31578</v>
      </c>
      <c r="AA95" s="141">
        <v>31611</v>
      </c>
      <c r="AB95" s="142">
        <v>33</v>
      </c>
      <c r="AC95" s="141">
        <v>205473</v>
      </c>
      <c r="AD95" s="141">
        <v>205559</v>
      </c>
      <c r="AE95" s="142">
        <v>86</v>
      </c>
      <c r="AF95" s="141">
        <v>17788</v>
      </c>
      <c r="AG95" s="141">
        <v>17798</v>
      </c>
      <c r="AH95" s="142">
        <v>10</v>
      </c>
    </row>
    <row r="96" spans="1:34">
      <c r="A96" s="144">
        <v>45078</v>
      </c>
      <c r="B96" s="141">
        <v>30721</v>
      </c>
      <c r="C96" s="141">
        <v>30721</v>
      </c>
      <c r="D96" s="142">
        <f t="shared" si="1"/>
        <v>0</v>
      </c>
      <c r="E96" s="141">
        <v>12359</v>
      </c>
      <c r="F96" s="141">
        <v>12384</v>
      </c>
      <c r="G96" s="142">
        <v>25</v>
      </c>
      <c r="H96" s="141">
        <v>465609</v>
      </c>
      <c r="I96" s="141">
        <v>465609</v>
      </c>
      <c r="J96" s="142">
        <v>0</v>
      </c>
      <c r="K96" s="141">
        <v>43431</v>
      </c>
      <c r="L96" s="141">
        <v>43485</v>
      </c>
      <c r="M96" s="142">
        <v>54</v>
      </c>
      <c r="Q96" s="141">
        <v>7746</v>
      </c>
      <c r="R96" s="141">
        <v>7746</v>
      </c>
      <c r="S96" s="142">
        <v>0</v>
      </c>
      <c r="T96" s="141">
        <v>3318</v>
      </c>
      <c r="U96" s="141">
        <v>3320</v>
      </c>
      <c r="V96" s="142">
        <v>2</v>
      </c>
      <c r="W96" s="141">
        <v>2743</v>
      </c>
      <c r="X96" s="141">
        <v>2744</v>
      </c>
      <c r="Y96" s="142">
        <v>1</v>
      </c>
      <c r="Z96" s="141">
        <v>31611</v>
      </c>
      <c r="AA96" s="141">
        <v>31661</v>
      </c>
      <c r="AB96" s="142">
        <v>50</v>
      </c>
      <c r="AC96" s="141">
        <v>205559</v>
      </c>
      <c r="AD96" s="141">
        <v>205645</v>
      </c>
      <c r="AE96" s="142">
        <v>86</v>
      </c>
      <c r="AF96" s="141">
        <v>17798</v>
      </c>
      <c r="AG96" s="141">
        <v>17805</v>
      </c>
      <c r="AH96" s="142">
        <v>7</v>
      </c>
    </row>
    <row r="97" spans="1:34">
      <c r="A97" s="144">
        <v>45079</v>
      </c>
      <c r="B97" s="141">
        <v>30721</v>
      </c>
      <c r="C97" s="141">
        <v>30721</v>
      </c>
      <c r="D97" s="142">
        <f t="shared" si="1"/>
        <v>0</v>
      </c>
      <c r="E97" s="141">
        <v>12384</v>
      </c>
      <c r="F97" s="141">
        <v>12423</v>
      </c>
      <c r="G97" s="142">
        <v>39</v>
      </c>
      <c r="H97" s="141">
        <v>465609</v>
      </c>
      <c r="I97" s="141">
        <v>465609</v>
      </c>
      <c r="J97" s="142">
        <v>0</v>
      </c>
      <c r="K97" s="141">
        <v>43485</v>
      </c>
      <c r="L97" s="141">
        <v>43569</v>
      </c>
      <c r="M97" s="142">
        <v>84</v>
      </c>
      <c r="Q97" s="141">
        <v>7746</v>
      </c>
      <c r="R97" s="141">
        <v>7746</v>
      </c>
      <c r="S97" s="142">
        <v>0</v>
      </c>
      <c r="T97" s="141">
        <v>3320</v>
      </c>
      <c r="U97" s="141">
        <v>3326</v>
      </c>
      <c r="V97" s="142">
        <v>6</v>
      </c>
      <c r="W97" s="141">
        <v>2744</v>
      </c>
      <c r="X97" s="141">
        <v>2746</v>
      </c>
      <c r="Y97" s="142">
        <v>2</v>
      </c>
      <c r="Z97" s="141">
        <v>31661</v>
      </c>
      <c r="AA97" s="141">
        <v>31697</v>
      </c>
      <c r="AB97" s="142">
        <v>36</v>
      </c>
      <c r="AC97" s="141">
        <v>205645</v>
      </c>
      <c r="AD97" s="141">
        <v>205747</v>
      </c>
      <c r="AE97" s="142">
        <v>102</v>
      </c>
      <c r="AF97" s="141">
        <v>17805</v>
      </c>
      <c r="AG97" s="141">
        <v>17825</v>
      </c>
      <c r="AH97" s="142">
        <v>20</v>
      </c>
    </row>
    <row r="98" spans="1:34">
      <c r="A98" s="144">
        <v>45080</v>
      </c>
      <c r="B98" s="141">
        <v>30721</v>
      </c>
      <c r="C98" s="141">
        <v>30721</v>
      </c>
      <c r="D98" s="142">
        <f t="shared" si="1"/>
        <v>0</v>
      </c>
      <c r="E98" s="141">
        <v>12423</v>
      </c>
      <c r="F98" s="141">
        <v>12465</v>
      </c>
      <c r="G98" s="142">
        <v>42</v>
      </c>
      <c r="H98" s="141">
        <v>465609</v>
      </c>
      <c r="I98" s="141">
        <v>465609</v>
      </c>
      <c r="J98" s="142">
        <v>0</v>
      </c>
      <c r="K98" s="141">
        <v>43569</v>
      </c>
      <c r="L98" s="141">
        <v>43621</v>
      </c>
      <c r="M98" s="142">
        <v>52</v>
      </c>
      <c r="Q98" s="141">
        <v>7746</v>
      </c>
      <c r="R98" s="141">
        <v>7746</v>
      </c>
      <c r="S98" s="142">
        <v>0</v>
      </c>
      <c r="T98" s="141">
        <v>3326</v>
      </c>
      <c r="U98" s="141">
        <v>3331</v>
      </c>
      <c r="V98" s="142">
        <v>5</v>
      </c>
      <c r="W98" s="141">
        <v>2746</v>
      </c>
      <c r="X98" s="141">
        <v>2748</v>
      </c>
      <c r="Y98" s="142">
        <v>2</v>
      </c>
      <c r="Z98" s="141">
        <v>31697</v>
      </c>
      <c r="AA98" s="141">
        <v>31723</v>
      </c>
      <c r="AB98" s="142">
        <v>26</v>
      </c>
      <c r="AC98" s="141">
        <v>205747</v>
      </c>
      <c r="AD98" s="141">
        <v>205747</v>
      </c>
      <c r="AE98" s="142">
        <v>0</v>
      </c>
      <c r="AF98" s="141">
        <v>17825</v>
      </c>
      <c r="AG98" s="141">
        <v>17833</v>
      </c>
      <c r="AH98" s="142">
        <v>8</v>
      </c>
    </row>
    <row r="99" spans="1:34">
      <c r="A99" s="144">
        <v>45081</v>
      </c>
      <c r="B99" s="141">
        <v>30721</v>
      </c>
      <c r="C99" s="141">
        <v>30721</v>
      </c>
      <c r="D99" s="142">
        <f t="shared" si="1"/>
        <v>0</v>
      </c>
      <c r="E99" s="141">
        <v>12465</v>
      </c>
      <c r="F99" s="141">
        <v>12516</v>
      </c>
      <c r="G99" s="142">
        <v>51</v>
      </c>
      <c r="H99" s="141">
        <v>465609</v>
      </c>
      <c r="I99" s="141">
        <v>465609</v>
      </c>
      <c r="J99" s="142">
        <v>0</v>
      </c>
      <c r="K99" s="141">
        <v>43621</v>
      </c>
      <c r="L99" s="141">
        <v>43669</v>
      </c>
      <c r="M99" s="142">
        <v>48</v>
      </c>
      <c r="Q99" s="141">
        <v>7746</v>
      </c>
      <c r="R99" s="141">
        <v>7746</v>
      </c>
      <c r="S99" s="142">
        <v>0</v>
      </c>
      <c r="T99" s="141">
        <v>3331</v>
      </c>
      <c r="U99" s="141">
        <v>3337</v>
      </c>
      <c r="V99" s="142">
        <v>6</v>
      </c>
      <c r="W99" s="141">
        <v>2748</v>
      </c>
      <c r="X99" s="141">
        <v>2750</v>
      </c>
      <c r="Y99" s="142">
        <v>2</v>
      </c>
      <c r="Z99" s="141">
        <v>31723</v>
      </c>
      <c r="AA99" s="141">
        <v>31742</v>
      </c>
      <c r="AB99" s="142">
        <v>19</v>
      </c>
      <c r="AC99" s="141">
        <v>205747</v>
      </c>
      <c r="AD99" s="141">
        <v>205889</v>
      </c>
      <c r="AE99" s="142">
        <v>142</v>
      </c>
      <c r="AF99" s="141">
        <v>17833</v>
      </c>
      <c r="AG99" s="141">
        <v>17847</v>
      </c>
      <c r="AH99" s="142">
        <v>14</v>
      </c>
    </row>
    <row r="100" spans="1:34">
      <c r="A100" s="144">
        <v>45082</v>
      </c>
      <c r="B100" s="141">
        <v>30721</v>
      </c>
      <c r="C100" s="141">
        <v>30721</v>
      </c>
      <c r="D100" s="142">
        <f t="shared" si="1"/>
        <v>0</v>
      </c>
      <c r="E100" s="141">
        <v>12516</v>
      </c>
      <c r="F100" s="141">
        <v>12545</v>
      </c>
      <c r="G100" s="142">
        <v>29</v>
      </c>
      <c r="H100" s="141">
        <v>465609</v>
      </c>
      <c r="I100" s="141">
        <v>465609</v>
      </c>
      <c r="J100" s="142">
        <v>0</v>
      </c>
      <c r="K100" s="141">
        <v>43699</v>
      </c>
      <c r="L100" s="141">
        <v>43759</v>
      </c>
      <c r="M100" s="142">
        <v>60</v>
      </c>
      <c r="Q100" s="141">
        <v>7746</v>
      </c>
      <c r="R100" s="141">
        <v>7746</v>
      </c>
      <c r="S100" s="142">
        <v>0</v>
      </c>
      <c r="T100" s="141">
        <v>3337</v>
      </c>
      <c r="U100" s="141">
        <v>3341</v>
      </c>
      <c r="V100" s="142">
        <v>4</v>
      </c>
      <c r="W100" s="141">
        <v>2750</v>
      </c>
      <c r="X100" s="141">
        <v>2751</v>
      </c>
      <c r="Y100" s="142">
        <v>1</v>
      </c>
      <c r="Z100" s="141">
        <v>31742</v>
      </c>
      <c r="AA100" s="141">
        <v>31763</v>
      </c>
      <c r="AB100" s="142">
        <v>21</v>
      </c>
      <c r="AC100" s="141">
        <v>205889</v>
      </c>
      <c r="AD100" s="141">
        <v>205964</v>
      </c>
      <c r="AE100" s="142">
        <v>75</v>
      </c>
      <c r="AF100" s="141">
        <v>17857</v>
      </c>
      <c r="AG100" s="141">
        <v>17869</v>
      </c>
      <c r="AH100" s="142">
        <v>12</v>
      </c>
    </row>
    <row r="101" spans="1:34">
      <c r="A101" s="144">
        <v>45083</v>
      </c>
      <c r="B101" s="141">
        <v>30721</v>
      </c>
      <c r="C101" s="141">
        <v>30721</v>
      </c>
      <c r="D101" s="142">
        <f t="shared" si="1"/>
        <v>0</v>
      </c>
      <c r="E101" s="141">
        <v>12545</v>
      </c>
      <c r="F101" s="141">
        <v>12582</v>
      </c>
      <c r="G101" s="142">
        <v>37</v>
      </c>
      <c r="H101" s="141">
        <v>465609</v>
      </c>
      <c r="I101" s="141">
        <v>465609</v>
      </c>
      <c r="J101" s="142">
        <v>0</v>
      </c>
      <c r="K101" s="141">
        <v>43759</v>
      </c>
      <c r="L101" s="141">
        <v>43793</v>
      </c>
      <c r="M101" s="142">
        <v>34</v>
      </c>
      <c r="Q101" s="141">
        <v>7746</v>
      </c>
      <c r="R101" s="141">
        <v>7746</v>
      </c>
      <c r="S101" s="142">
        <v>0</v>
      </c>
      <c r="T101" s="141">
        <v>3341</v>
      </c>
      <c r="U101" s="141">
        <v>3345</v>
      </c>
      <c r="V101" s="142">
        <v>4</v>
      </c>
      <c r="W101" s="141">
        <v>2751</v>
      </c>
      <c r="X101" s="141">
        <v>2752</v>
      </c>
      <c r="Y101" s="142">
        <v>1</v>
      </c>
      <c r="Z101" s="141">
        <v>31763</v>
      </c>
      <c r="AA101" s="141">
        <v>31795</v>
      </c>
      <c r="AB101" s="142">
        <v>32</v>
      </c>
      <c r="AC101" s="141">
        <v>205964</v>
      </c>
      <c r="AD101" s="141">
        <v>206052</v>
      </c>
      <c r="AE101" s="142">
        <v>88</v>
      </c>
      <c r="AF101" s="141">
        <v>17879</v>
      </c>
      <c r="AG101" s="141">
        <v>17885</v>
      </c>
      <c r="AH101" s="142">
        <v>6</v>
      </c>
    </row>
    <row r="102" spans="1:34">
      <c r="A102" s="144">
        <v>45084</v>
      </c>
      <c r="B102" s="141">
        <v>30721</v>
      </c>
      <c r="C102" s="141">
        <v>30721</v>
      </c>
      <c r="D102" s="142">
        <f t="shared" si="1"/>
        <v>0</v>
      </c>
      <c r="E102" s="141">
        <v>12582</v>
      </c>
      <c r="F102" s="141">
        <v>12642</v>
      </c>
      <c r="G102" s="142">
        <v>60</v>
      </c>
      <c r="H102" s="141">
        <v>465609</v>
      </c>
      <c r="I102" s="141">
        <v>465609</v>
      </c>
      <c r="J102" s="142">
        <v>0</v>
      </c>
      <c r="K102" s="141">
        <v>43793</v>
      </c>
      <c r="L102" s="141">
        <v>43837</v>
      </c>
      <c r="M102" s="142">
        <v>44</v>
      </c>
      <c r="Q102" s="141">
        <v>7746</v>
      </c>
      <c r="R102" s="141">
        <v>7746</v>
      </c>
      <c r="S102" s="142">
        <v>0</v>
      </c>
      <c r="T102" s="141">
        <v>3345</v>
      </c>
      <c r="U102" s="141">
        <v>3351</v>
      </c>
      <c r="V102" s="142">
        <v>6</v>
      </c>
      <c r="W102" s="141">
        <v>2752</v>
      </c>
      <c r="X102" s="141">
        <v>2754</v>
      </c>
      <c r="Y102" s="142">
        <v>2</v>
      </c>
      <c r="Z102" s="141">
        <v>31795</v>
      </c>
      <c r="AA102" s="141">
        <v>31823</v>
      </c>
      <c r="AB102" s="142">
        <v>28</v>
      </c>
      <c r="AC102" s="141">
        <v>206052</v>
      </c>
      <c r="AD102" s="141">
        <v>206127</v>
      </c>
      <c r="AE102" s="142">
        <v>75</v>
      </c>
      <c r="AF102" s="141">
        <v>17885</v>
      </c>
      <c r="AG102" s="141">
        <v>17895</v>
      </c>
      <c r="AH102" s="142">
        <v>10</v>
      </c>
    </row>
    <row r="103" spans="1:34">
      <c r="A103" s="144">
        <v>45085</v>
      </c>
      <c r="B103" s="141">
        <v>30721</v>
      </c>
      <c r="C103" s="141">
        <v>30721</v>
      </c>
      <c r="D103" s="142">
        <f t="shared" si="1"/>
        <v>0</v>
      </c>
      <c r="E103" s="141">
        <v>12642</v>
      </c>
      <c r="F103" s="141">
        <v>12671</v>
      </c>
      <c r="G103" s="142">
        <v>29</v>
      </c>
      <c r="H103" s="141">
        <v>465609</v>
      </c>
      <c r="I103" s="141">
        <v>465609</v>
      </c>
      <c r="J103" s="142">
        <v>0</v>
      </c>
      <c r="K103" s="141">
        <v>43837</v>
      </c>
      <c r="L103" s="141">
        <v>43893</v>
      </c>
      <c r="M103" s="142">
        <v>56</v>
      </c>
      <c r="Q103" s="141">
        <v>7746</v>
      </c>
      <c r="R103" s="141">
        <v>7746</v>
      </c>
      <c r="S103" s="142">
        <v>0</v>
      </c>
      <c r="T103" s="141">
        <v>3351</v>
      </c>
      <c r="U103" s="141">
        <v>3352</v>
      </c>
      <c r="V103" s="142">
        <v>1</v>
      </c>
      <c r="W103" s="141">
        <v>2754</v>
      </c>
      <c r="X103" s="141">
        <v>2755</v>
      </c>
      <c r="Y103" s="142">
        <v>1</v>
      </c>
      <c r="Z103" s="141">
        <v>31823</v>
      </c>
      <c r="AA103" s="141">
        <v>31834</v>
      </c>
      <c r="AB103" s="142">
        <v>11</v>
      </c>
      <c r="AC103" s="141">
        <v>206127</v>
      </c>
      <c r="AD103" s="141">
        <v>206185</v>
      </c>
      <c r="AE103" s="142">
        <v>58</v>
      </c>
      <c r="AF103" s="141">
        <v>17895</v>
      </c>
      <c r="AG103" s="141">
        <v>17906</v>
      </c>
      <c r="AH103" s="142">
        <v>11</v>
      </c>
    </row>
    <row r="104" spans="1:34">
      <c r="A104" s="144">
        <v>45086</v>
      </c>
      <c r="B104" s="141">
        <v>30721</v>
      </c>
      <c r="C104" s="141">
        <v>30721</v>
      </c>
      <c r="D104" s="142">
        <f t="shared" si="1"/>
        <v>0</v>
      </c>
      <c r="E104" s="141">
        <v>12671</v>
      </c>
      <c r="F104" s="141">
        <v>12731</v>
      </c>
      <c r="G104" s="142">
        <v>60</v>
      </c>
      <c r="H104" s="141">
        <v>465609</v>
      </c>
      <c r="I104" s="141">
        <v>466906</v>
      </c>
      <c r="J104" s="142">
        <v>1297</v>
      </c>
      <c r="K104" s="141">
        <v>43893</v>
      </c>
      <c r="L104" s="141">
        <v>43929</v>
      </c>
      <c r="M104" s="142">
        <v>36</v>
      </c>
      <c r="Q104" s="141">
        <v>7746</v>
      </c>
      <c r="R104" s="141">
        <v>8150</v>
      </c>
      <c r="S104" s="142">
        <v>404</v>
      </c>
      <c r="T104" s="141">
        <v>3352</v>
      </c>
      <c r="U104" s="141">
        <v>3355</v>
      </c>
      <c r="V104" s="142">
        <v>3</v>
      </c>
      <c r="W104" s="141">
        <v>2755</v>
      </c>
      <c r="X104" s="141">
        <v>2756</v>
      </c>
      <c r="Y104" s="142">
        <v>1</v>
      </c>
      <c r="Z104" s="141">
        <v>31834</v>
      </c>
      <c r="AA104" s="141">
        <v>31892</v>
      </c>
      <c r="AB104" s="142">
        <v>58</v>
      </c>
      <c r="AC104" s="141">
        <v>206185</v>
      </c>
      <c r="AD104" s="141">
        <v>206209</v>
      </c>
      <c r="AE104" s="142">
        <v>24</v>
      </c>
      <c r="AF104" s="141">
        <v>17906</v>
      </c>
      <c r="AG104" s="141">
        <v>17913</v>
      </c>
      <c r="AH104" s="142">
        <v>7</v>
      </c>
    </row>
    <row r="105" spans="1:34">
      <c r="A105" s="144">
        <v>45087</v>
      </c>
      <c r="B105" s="141">
        <v>30721</v>
      </c>
      <c r="C105" s="141">
        <v>30721</v>
      </c>
      <c r="D105" s="142">
        <f t="shared" si="1"/>
        <v>0</v>
      </c>
      <c r="E105" s="141">
        <v>12731</v>
      </c>
      <c r="F105" s="141">
        <v>12752</v>
      </c>
      <c r="G105" s="142">
        <v>21</v>
      </c>
      <c r="H105" s="141">
        <v>466906</v>
      </c>
      <c r="I105" s="141">
        <v>466987</v>
      </c>
      <c r="J105" s="142">
        <v>81</v>
      </c>
      <c r="K105" s="141">
        <v>43929</v>
      </c>
      <c r="L105" s="141">
        <v>43988</v>
      </c>
      <c r="M105" s="142">
        <v>59</v>
      </c>
      <c r="Q105" s="141">
        <v>8150</v>
      </c>
      <c r="R105" s="141">
        <v>8187</v>
      </c>
      <c r="S105" s="142">
        <v>37</v>
      </c>
      <c r="T105" s="141">
        <v>3355</v>
      </c>
      <c r="U105" s="141">
        <v>3357</v>
      </c>
      <c r="V105" s="142">
        <v>2</v>
      </c>
      <c r="W105" s="141">
        <v>2756</v>
      </c>
      <c r="X105" s="141">
        <v>2758</v>
      </c>
      <c r="Y105" s="142">
        <v>2</v>
      </c>
      <c r="Z105" s="141">
        <v>31892</v>
      </c>
      <c r="AA105" s="141">
        <v>31918</v>
      </c>
      <c r="AB105" s="142">
        <v>26</v>
      </c>
      <c r="AC105" s="141">
        <v>206209</v>
      </c>
      <c r="AD105" s="141">
        <v>206303</v>
      </c>
      <c r="AE105" s="142">
        <v>94</v>
      </c>
      <c r="AF105" s="141">
        <v>17913</v>
      </c>
      <c r="AG105" s="141">
        <v>17923</v>
      </c>
      <c r="AH105" s="142">
        <v>10</v>
      </c>
    </row>
    <row r="106" spans="1:34">
      <c r="A106" s="144">
        <v>45088</v>
      </c>
      <c r="B106" s="141">
        <v>30721</v>
      </c>
      <c r="C106" s="141">
        <v>31381</v>
      </c>
      <c r="D106" s="142">
        <f t="shared" si="1"/>
        <v>660</v>
      </c>
      <c r="E106" s="141">
        <v>12752</v>
      </c>
      <c r="F106" s="141">
        <v>12767</v>
      </c>
      <c r="G106" s="142">
        <v>15</v>
      </c>
      <c r="H106" s="141">
        <v>466987</v>
      </c>
      <c r="I106" s="141">
        <v>467191</v>
      </c>
      <c r="J106" s="142">
        <v>204</v>
      </c>
      <c r="K106" s="141">
        <v>43988</v>
      </c>
      <c r="L106" s="141">
        <v>44026</v>
      </c>
      <c r="M106" s="142">
        <v>38</v>
      </c>
      <c r="Q106" s="141">
        <v>8187</v>
      </c>
      <c r="R106" s="141">
        <v>8216</v>
      </c>
      <c r="S106" s="142">
        <v>29</v>
      </c>
      <c r="T106" s="141">
        <v>3357</v>
      </c>
      <c r="U106" s="141">
        <v>3360</v>
      </c>
      <c r="V106" s="142">
        <v>3</v>
      </c>
      <c r="W106" s="141">
        <v>2758</v>
      </c>
      <c r="X106" s="141">
        <v>2759</v>
      </c>
      <c r="Y106" s="142">
        <v>1</v>
      </c>
      <c r="Z106" s="141">
        <v>31918</v>
      </c>
      <c r="AA106" s="141">
        <v>31944</v>
      </c>
      <c r="AB106" s="142">
        <v>26</v>
      </c>
      <c r="AC106" s="141">
        <v>206303</v>
      </c>
      <c r="AD106" s="141">
        <v>206472</v>
      </c>
      <c r="AE106" s="142">
        <v>169</v>
      </c>
      <c r="AF106" s="141">
        <v>17923</v>
      </c>
      <c r="AG106" s="141">
        <v>17934</v>
      </c>
      <c r="AH106" s="142">
        <v>11</v>
      </c>
    </row>
    <row r="107" spans="1:34">
      <c r="A107" s="144">
        <v>45089</v>
      </c>
      <c r="B107" s="141">
        <v>31381</v>
      </c>
      <c r="C107" s="141">
        <v>31454</v>
      </c>
      <c r="D107" s="142">
        <f t="shared" si="1"/>
        <v>73</v>
      </c>
      <c r="E107" s="141">
        <v>12767</v>
      </c>
      <c r="F107" s="141">
        <v>12803</v>
      </c>
      <c r="G107" s="142">
        <v>36</v>
      </c>
      <c r="H107" s="141">
        <v>467191</v>
      </c>
      <c r="I107" s="141">
        <v>467345</v>
      </c>
      <c r="J107" s="142">
        <v>154</v>
      </c>
      <c r="K107" s="141">
        <v>44026</v>
      </c>
      <c r="L107" s="141">
        <v>44192</v>
      </c>
      <c r="M107" s="142">
        <v>166</v>
      </c>
      <c r="Q107" s="141">
        <v>8216</v>
      </c>
      <c r="R107" s="141">
        <v>8255</v>
      </c>
      <c r="S107" s="142">
        <v>39</v>
      </c>
      <c r="T107" s="141">
        <v>3360</v>
      </c>
      <c r="U107" s="141">
        <v>3362</v>
      </c>
      <c r="V107" s="142">
        <v>2</v>
      </c>
      <c r="W107" s="141">
        <v>2759</v>
      </c>
      <c r="X107" s="141">
        <v>2761</v>
      </c>
      <c r="Y107" s="142">
        <v>2</v>
      </c>
      <c r="Z107" s="141">
        <v>31944</v>
      </c>
      <c r="AA107" s="141">
        <v>31962</v>
      </c>
      <c r="AB107" s="142">
        <v>18</v>
      </c>
      <c r="AC107" s="141">
        <v>206472</v>
      </c>
      <c r="AD107" s="141">
        <v>206556</v>
      </c>
      <c r="AE107" s="142">
        <v>84</v>
      </c>
      <c r="AF107" s="141">
        <v>17934</v>
      </c>
      <c r="AG107" s="141">
        <v>17943</v>
      </c>
      <c r="AH107" s="142">
        <v>9</v>
      </c>
    </row>
    <row r="108" spans="1:34">
      <c r="A108" s="144">
        <v>45090</v>
      </c>
      <c r="B108" s="141">
        <v>31454</v>
      </c>
      <c r="C108" s="141">
        <v>31551</v>
      </c>
      <c r="D108" s="142">
        <f t="shared" si="1"/>
        <v>97</v>
      </c>
      <c r="E108" s="141">
        <v>12803</v>
      </c>
      <c r="F108" s="141">
        <v>12828</v>
      </c>
      <c r="G108" s="142">
        <v>25</v>
      </c>
      <c r="H108" s="141">
        <v>467345</v>
      </c>
      <c r="I108" s="141">
        <v>467484</v>
      </c>
      <c r="J108" s="142">
        <v>139</v>
      </c>
      <c r="K108" s="141">
        <v>44192</v>
      </c>
      <c r="L108" s="141">
        <v>44267</v>
      </c>
      <c r="M108" s="142">
        <v>75</v>
      </c>
      <c r="Q108" s="141">
        <v>8255</v>
      </c>
      <c r="R108" s="141">
        <v>8295</v>
      </c>
      <c r="S108" s="142">
        <v>40</v>
      </c>
      <c r="T108" s="141">
        <v>3362</v>
      </c>
      <c r="U108" s="141">
        <v>3368</v>
      </c>
      <c r="V108" s="142">
        <v>6</v>
      </c>
      <c r="W108" s="141">
        <v>2761</v>
      </c>
      <c r="X108" s="141">
        <v>2762</v>
      </c>
      <c r="Y108" s="142">
        <v>1</v>
      </c>
      <c r="Z108" s="141">
        <v>31962</v>
      </c>
      <c r="AA108" s="141">
        <v>31987</v>
      </c>
      <c r="AB108" s="142">
        <v>25</v>
      </c>
      <c r="AC108" s="141">
        <v>206556</v>
      </c>
      <c r="AD108" s="141">
        <v>206635</v>
      </c>
      <c r="AE108" s="142">
        <v>79</v>
      </c>
      <c r="AF108" s="141">
        <v>17943</v>
      </c>
      <c r="AG108" s="141">
        <v>17965</v>
      </c>
      <c r="AH108" s="142">
        <v>22</v>
      </c>
    </row>
    <row r="109" spans="1:34">
      <c r="A109" s="144">
        <v>45091</v>
      </c>
      <c r="B109" s="141">
        <v>31551</v>
      </c>
      <c r="C109" s="141">
        <v>31631</v>
      </c>
      <c r="D109" s="142">
        <f t="shared" si="1"/>
        <v>80</v>
      </c>
      <c r="E109" s="141">
        <v>12828</v>
      </c>
      <c r="F109" s="141">
        <v>12884</v>
      </c>
      <c r="G109" s="142">
        <v>56</v>
      </c>
      <c r="H109" s="141">
        <v>467484</v>
      </c>
      <c r="I109" s="141">
        <v>467661</v>
      </c>
      <c r="J109" s="142">
        <v>177</v>
      </c>
      <c r="K109" s="141">
        <v>44267</v>
      </c>
      <c r="L109" s="141">
        <v>44307</v>
      </c>
      <c r="M109" s="142">
        <v>40</v>
      </c>
      <c r="Q109" s="141">
        <v>8295</v>
      </c>
      <c r="R109" s="141">
        <v>8354</v>
      </c>
      <c r="S109" s="142">
        <v>59</v>
      </c>
      <c r="T109" s="141">
        <v>3368</v>
      </c>
      <c r="U109" s="141">
        <v>3371</v>
      </c>
      <c r="V109" s="142">
        <v>3</v>
      </c>
      <c r="W109" s="141">
        <v>2762</v>
      </c>
      <c r="X109" s="141">
        <v>2764</v>
      </c>
      <c r="Y109" s="142">
        <v>2</v>
      </c>
      <c r="Z109" s="141">
        <v>31987</v>
      </c>
      <c r="AA109" s="141">
        <v>32002</v>
      </c>
      <c r="AB109" s="142">
        <v>15</v>
      </c>
      <c r="AC109" s="141">
        <v>206635</v>
      </c>
      <c r="AD109" s="141">
        <v>206718</v>
      </c>
      <c r="AE109" s="142">
        <v>83</v>
      </c>
      <c r="AF109" s="141">
        <v>17965</v>
      </c>
      <c r="AG109" s="141">
        <v>17976</v>
      </c>
      <c r="AH109" s="142">
        <v>11</v>
      </c>
    </row>
    <row r="110" spans="1:34">
      <c r="A110" s="144">
        <v>45092</v>
      </c>
      <c r="B110" s="141">
        <v>31631</v>
      </c>
      <c r="C110" s="141">
        <v>31738</v>
      </c>
      <c r="D110" s="142">
        <f t="shared" si="1"/>
        <v>107</v>
      </c>
      <c r="E110" s="141">
        <v>12884</v>
      </c>
      <c r="F110" s="141">
        <v>12899</v>
      </c>
      <c r="G110" s="142">
        <v>15</v>
      </c>
      <c r="H110" s="141">
        <v>467661</v>
      </c>
      <c r="I110" s="141">
        <v>467830</v>
      </c>
      <c r="J110" s="142">
        <v>169</v>
      </c>
      <c r="K110" s="141">
        <v>44307</v>
      </c>
      <c r="L110" s="141">
        <v>44365</v>
      </c>
      <c r="M110" s="142">
        <v>58</v>
      </c>
      <c r="Q110" s="141">
        <v>8354</v>
      </c>
      <c r="R110" s="141">
        <v>8388</v>
      </c>
      <c r="S110" s="142">
        <v>34</v>
      </c>
      <c r="T110" s="141">
        <v>3371</v>
      </c>
      <c r="U110" s="141">
        <v>3373</v>
      </c>
      <c r="V110" s="142">
        <v>2</v>
      </c>
      <c r="W110" s="141">
        <v>2764</v>
      </c>
      <c r="X110" s="141">
        <v>2765</v>
      </c>
      <c r="Y110" s="142">
        <v>1</v>
      </c>
      <c r="Z110" s="141">
        <v>32002</v>
      </c>
      <c r="AA110" s="141">
        <v>32073</v>
      </c>
      <c r="AB110" s="142">
        <v>71</v>
      </c>
      <c r="AC110" s="141">
        <v>206718</v>
      </c>
      <c r="AD110" s="141">
        <v>206787</v>
      </c>
      <c r="AE110" s="142">
        <v>69</v>
      </c>
      <c r="AF110" s="141">
        <v>17976</v>
      </c>
      <c r="AG110" s="141">
        <v>17990</v>
      </c>
      <c r="AH110" s="142">
        <v>14</v>
      </c>
    </row>
    <row r="111" spans="1:34">
      <c r="A111" s="144">
        <v>45093</v>
      </c>
      <c r="B111" s="141">
        <v>31738</v>
      </c>
      <c r="C111" s="141">
        <v>31847</v>
      </c>
      <c r="D111" s="142">
        <f t="shared" si="1"/>
        <v>109</v>
      </c>
      <c r="E111" s="141">
        <v>12899</v>
      </c>
      <c r="F111" s="141">
        <v>12925</v>
      </c>
      <c r="G111" s="142">
        <v>26</v>
      </c>
      <c r="H111" s="141">
        <v>467830</v>
      </c>
      <c r="I111" s="141">
        <v>467976</v>
      </c>
      <c r="J111" s="142">
        <v>146</v>
      </c>
      <c r="K111" s="141">
        <v>44365</v>
      </c>
      <c r="L111" s="141">
        <v>44412</v>
      </c>
      <c r="M111" s="142">
        <v>47</v>
      </c>
      <c r="Q111" s="141">
        <v>8388</v>
      </c>
      <c r="R111" s="141">
        <v>8422</v>
      </c>
      <c r="S111" s="142">
        <v>34</v>
      </c>
      <c r="T111" s="141">
        <v>3373</v>
      </c>
      <c r="U111" s="141">
        <v>3375</v>
      </c>
      <c r="V111" s="142">
        <v>2</v>
      </c>
      <c r="W111" s="141">
        <v>2765</v>
      </c>
      <c r="X111" s="141">
        <v>2768</v>
      </c>
      <c r="Y111" s="142">
        <v>3</v>
      </c>
      <c r="Z111" s="141">
        <v>32073</v>
      </c>
      <c r="AA111" s="141">
        <v>32103</v>
      </c>
      <c r="AB111" s="142">
        <v>30</v>
      </c>
      <c r="AC111" s="141">
        <v>206787</v>
      </c>
      <c r="AD111" s="141">
        <v>206862</v>
      </c>
      <c r="AE111" s="142">
        <v>75</v>
      </c>
      <c r="AF111" s="141">
        <v>17990</v>
      </c>
      <c r="AG111" s="141">
        <v>18000</v>
      </c>
      <c r="AH111" s="142">
        <v>10</v>
      </c>
    </row>
    <row r="112" spans="1:34">
      <c r="A112" s="144">
        <v>45094</v>
      </c>
      <c r="B112" s="141">
        <v>31847</v>
      </c>
      <c r="C112" s="141">
        <v>31943</v>
      </c>
      <c r="D112" s="142">
        <f t="shared" si="1"/>
        <v>96</v>
      </c>
      <c r="E112" s="141">
        <v>12925</v>
      </c>
      <c r="F112" s="141">
        <v>12962</v>
      </c>
      <c r="G112" s="142">
        <v>37</v>
      </c>
      <c r="H112" s="141">
        <v>467976</v>
      </c>
      <c r="I112" s="141">
        <v>468099</v>
      </c>
      <c r="J112" s="142">
        <v>123</v>
      </c>
      <c r="K112" s="141">
        <v>44412</v>
      </c>
      <c r="L112" s="141">
        <v>44449</v>
      </c>
      <c r="M112" s="142">
        <v>37</v>
      </c>
      <c r="Q112" s="141">
        <v>8422</v>
      </c>
      <c r="R112" s="141">
        <v>8482</v>
      </c>
      <c r="S112" s="142">
        <v>60</v>
      </c>
      <c r="T112" s="141">
        <v>3375</v>
      </c>
      <c r="U112" s="141">
        <v>3379</v>
      </c>
      <c r="V112" s="142">
        <v>4</v>
      </c>
      <c r="W112" s="141">
        <v>2768</v>
      </c>
      <c r="X112" s="141">
        <v>2769</v>
      </c>
      <c r="Y112" s="142">
        <v>1</v>
      </c>
      <c r="Z112" s="141">
        <v>32103</v>
      </c>
      <c r="AA112" s="141">
        <v>32160</v>
      </c>
      <c r="AB112" s="142">
        <v>57</v>
      </c>
      <c r="AC112" s="141">
        <v>206862</v>
      </c>
      <c r="AD112" s="141">
        <v>206984</v>
      </c>
      <c r="AE112" s="142">
        <v>122</v>
      </c>
      <c r="AF112" s="141">
        <v>18000</v>
      </c>
      <c r="AG112" s="141">
        <v>18020</v>
      </c>
      <c r="AH112" s="142">
        <v>20</v>
      </c>
    </row>
    <row r="113" spans="1:34">
      <c r="A113" s="144">
        <v>45095</v>
      </c>
      <c r="B113" s="141">
        <v>31943</v>
      </c>
      <c r="C113" s="141">
        <v>32036</v>
      </c>
      <c r="D113" s="142">
        <f t="shared" si="1"/>
        <v>93</v>
      </c>
      <c r="E113" s="141">
        <v>12962</v>
      </c>
      <c r="F113" s="141">
        <v>12995</v>
      </c>
      <c r="G113" s="142">
        <v>33</v>
      </c>
      <c r="H113" s="141">
        <v>468099</v>
      </c>
      <c r="I113" s="141">
        <v>468260</v>
      </c>
      <c r="J113" s="142">
        <v>161</v>
      </c>
      <c r="K113" s="141">
        <v>44449</v>
      </c>
      <c r="L113" s="141">
        <v>44497</v>
      </c>
      <c r="M113" s="142">
        <v>48</v>
      </c>
      <c r="Q113" s="141">
        <v>8482</v>
      </c>
      <c r="R113" s="141">
        <v>8512</v>
      </c>
      <c r="S113" s="142">
        <v>30</v>
      </c>
      <c r="T113" s="141">
        <v>3379</v>
      </c>
      <c r="U113" s="141">
        <v>3381</v>
      </c>
      <c r="V113" s="142">
        <v>2</v>
      </c>
      <c r="W113" s="141">
        <v>2769</v>
      </c>
      <c r="X113" s="141">
        <v>2771</v>
      </c>
      <c r="Y113" s="142">
        <v>2</v>
      </c>
      <c r="Z113" s="141">
        <v>32160</v>
      </c>
      <c r="AA113" s="141">
        <v>32192</v>
      </c>
      <c r="AB113" s="142">
        <v>32</v>
      </c>
      <c r="AC113" s="141">
        <v>206984</v>
      </c>
      <c r="AD113" s="141">
        <v>207036</v>
      </c>
      <c r="AE113" s="142">
        <v>52</v>
      </c>
      <c r="AF113" s="141">
        <v>18020</v>
      </c>
      <c r="AG113" s="141">
        <v>18030</v>
      </c>
      <c r="AH113" s="142">
        <v>10</v>
      </c>
    </row>
    <row r="114" spans="1:34">
      <c r="A114" s="144">
        <v>45096</v>
      </c>
      <c r="B114" s="141">
        <v>32036</v>
      </c>
      <c r="C114" s="141">
        <v>32142</v>
      </c>
      <c r="D114" s="142">
        <f t="shared" si="1"/>
        <v>106</v>
      </c>
      <c r="E114" s="141">
        <v>12995</v>
      </c>
      <c r="F114" s="141">
        <v>13044</v>
      </c>
      <c r="G114" s="142">
        <v>49</v>
      </c>
      <c r="H114" s="141">
        <v>468260</v>
      </c>
      <c r="I114" s="141">
        <v>468403</v>
      </c>
      <c r="J114" s="142">
        <v>143</v>
      </c>
      <c r="K114" s="141">
        <v>44497</v>
      </c>
      <c r="L114" s="141">
        <v>44520</v>
      </c>
      <c r="M114" s="142">
        <v>23</v>
      </c>
      <c r="Q114" s="141">
        <v>8512</v>
      </c>
      <c r="R114" s="141">
        <v>8556</v>
      </c>
      <c r="S114" s="142">
        <v>44</v>
      </c>
      <c r="T114" s="141">
        <v>3381</v>
      </c>
      <c r="U114" s="141">
        <v>3383</v>
      </c>
      <c r="V114" s="142">
        <v>2</v>
      </c>
      <c r="W114" s="141">
        <v>2771</v>
      </c>
      <c r="X114" s="141">
        <v>2781</v>
      </c>
      <c r="Y114" s="142">
        <v>10</v>
      </c>
      <c r="Z114" s="141">
        <v>32192</v>
      </c>
      <c r="AA114" s="141">
        <v>32207</v>
      </c>
      <c r="AB114" s="142">
        <v>15</v>
      </c>
      <c r="AC114" s="141">
        <v>207036</v>
      </c>
      <c r="AD114" s="141">
        <v>207104</v>
      </c>
      <c r="AE114" s="142">
        <v>68</v>
      </c>
      <c r="AF114" s="141">
        <v>18030</v>
      </c>
      <c r="AG114" s="141">
        <v>18039</v>
      </c>
      <c r="AH114" s="142">
        <v>9</v>
      </c>
    </row>
    <row r="115" spans="1:34">
      <c r="A115" s="144">
        <v>45097</v>
      </c>
      <c r="B115" s="141">
        <v>32142</v>
      </c>
      <c r="C115" s="141">
        <v>32256</v>
      </c>
      <c r="D115" s="142">
        <f t="shared" si="1"/>
        <v>114</v>
      </c>
      <c r="E115" s="141">
        <v>13044</v>
      </c>
      <c r="F115" s="141">
        <v>13097</v>
      </c>
      <c r="G115" s="142">
        <v>53</v>
      </c>
      <c r="H115" s="141">
        <v>468403</v>
      </c>
      <c r="I115" s="141">
        <v>468534</v>
      </c>
      <c r="J115" s="142">
        <v>131</v>
      </c>
      <c r="K115" s="141">
        <v>44520</v>
      </c>
      <c r="L115" s="141">
        <v>44555</v>
      </c>
      <c r="M115" s="142">
        <v>35</v>
      </c>
      <c r="Q115" s="141">
        <v>8556</v>
      </c>
      <c r="R115" s="141">
        <v>8597</v>
      </c>
      <c r="S115" s="142">
        <v>41</v>
      </c>
      <c r="T115" s="141">
        <v>3383</v>
      </c>
      <c r="U115" s="141">
        <v>3385</v>
      </c>
      <c r="V115" s="142">
        <v>2</v>
      </c>
      <c r="W115" s="141">
        <v>2781</v>
      </c>
      <c r="X115" s="141">
        <v>2782</v>
      </c>
      <c r="Y115" s="142">
        <v>1</v>
      </c>
      <c r="Z115" s="141">
        <v>32207</v>
      </c>
      <c r="AA115" s="141">
        <v>32220</v>
      </c>
      <c r="AB115" s="142">
        <v>13</v>
      </c>
      <c r="AC115" s="141">
        <v>207104</v>
      </c>
      <c r="AD115" s="141">
        <v>207165</v>
      </c>
      <c r="AE115" s="142">
        <v>61</v>
      </c>
      <c r="AF115" s="141">
        <v>18039</v>
      </c>
      <c r="AG115" s="141">
        <v>18050</v>
      </c>
      <c r="AH115" s="142">
        <v>11</v>
      </c>
    </row>
    <row r="116" spans="1:34">
      <c r="A116" s="144">
        <v>45098</v>
      </c>
      <c r="B116" s="141">
        <v>32256</v>
      </c>
      <c r="C116" s="141">
        <v>32257</v>
      </c>
      <c r="D116" s="142">
        <f t="shared" si="1"/>
        <v>1</v>
      </c>
      <c r="E116" s="141">
        <v>13097</v>
      </c>
      <c r="F116" s="141">
        <v>13115</v>
      </c>
      <c r="G116" s="142">
        <v>18</v>
      </c>
      <c r="H116" s="141">
        <v>468534</v>
      </c>
      <c r="I116" s="141">
        <v>468737</v>
      </c>
      <c r="J116" s="142">
        <v>203</v>
      </c>
      <c r="K116" s="141">
        <v>44555</v>
      </c>
      <c r="L116" s="141">
        <v>44611</v>
      </c>
      <c r="M116" s="142">
        <v>56</v>
      </c>
      <c r="Q116" s="141">
        <v>8597</v>
      </c>
      <c r="R116" s="141">
        <v>8636</v>
      </c>
      <c r="S116" s="142">
        <v>39</v>
      </c>
      <c r="T116" s="141">
        <v>3385</v>
      </c>
      <c r="U116" s="141">
        <v>3390</v>
      </c>
      <c r="V116" s="142">
        <v>5</v>
      </c>
      <c r="W116" s="141">
        <v>2782</v>
      </c>
      <c r="X116" s="141">
        <v>2783</v>
      </c>
      <c r="Y116" s="142">
        <v>1</v>
      </c>
      <c r="Z116" s="141">
        <v>32220</v>
      </c>
      <c r="AA116" s="141">
        <v>32265</v>
      </c>
      <c r="AB116" s="142">
        <v>45</v>
      </c>
      <c r="AC116" s="141">
        <v>207165</v>
      </c>
      <c r="AD116" s="141">
        <v>207243</v>
      </c>
      <c r="AE116" s="142">
        <v>78</v>
      </c>
      <c r="AF116" s="141">
        <v>18050</v>
      </c>
      <c r="AG116" s="141">
        <v>18063</v>
      </c>
      <c r="AH116" s="142">
        <v>13</v>
      </c>
    </row>
    <row r="117" spans="1:34">
      <c r="A117" s="144">
        <v>45099</v>
      </c>
      <c r="B117" s="141">
        <v>32257</v>
      </c>
      <c r="C117" s="141">
        <v>32258</v>
      </c>
      <c r="D117" s="142">
        <f t="shared" si="1"/>
        <v>1</v>
      </c>
      <c r="E117" s="141">
        <v>13115</v>
      </c>
      <c r="F117" s="141">
        <v>13158</v>
      </c>
      <c r="G117" s="142">
        <v>43</v>
      </c>
      <c r="H117" s="141">
        <v>468737</v>
      </c>
      <c r="I117" s="141">
        <v>468897</v>
      </c>
      <c r="J117" s="142">
        <v>160</v>
      </c>
      <c r="K117" s="141">
        <v>44611</v>
      </c>
      <c r="L117" s="141">
        <v>44708</v>
      </c>
      <c r="M117" s="142">
        <v>97</v>
      </c>
      <c r="Q117" s="141">
        <v>8636</v>
      </c>
      <c r="R117" s="141">
        <v>8685</v>
      </c>
      <c r="S117" s="142">
        <v>49</v>
      </c>
      <c r="T117" s="141">
        <v>3390</v>
      </c>
      <c r="U117" s="141">
        <v>3394</v>
      </c>
      <c r="V117" s="142">
        <v>4</v>
      </c>
      <c r="W117" s="141">
        <v>2783</v>
      </c>
      <c r="X117" s="141">
        <v>2784</v>
      </c>
      <c r="Y117" s="142">
        <v>1</v>
      </c>
      <c r="Z117" s="141">
        <v>32265</v>
      </c>
      <c r="AA117" s="141">
        <v>32286</v>
      </c>
      <c r="AB117" s="142">
        <v>21</v>
      </c>
      <c r="AC117" s="141">
        <v>207243</v>
      </c>
      <c r="AD117" s="141">
        <v>207332</v>
      </c>
      <c r="AE117" s="142">
        <v>89</v>
      </c>
      <c r="AF117" s="141">
        <v>18063</v>
      </c>
      <c r="AG117" s="141">
        <v>18076</v>
      </c>
      <c r="AH117" s="142">
        <v>13</v>
      </c>
    </row>
    <row r="118" spans="1:34">
      <c r="A118" s="144">
        <v>45100</v>
      </c>
      <c r="B118" s="141">
        <v>32258</v>
      </c>
      <c r="C118" s="141">
        <v>32379</v>
      </c>
      <c r="D118" s="142">
        <f t="shared" si="1"/>
        <v>121</v>
      </c>
      <c r="E118" s="141">
        <v>13158</v>
      </c>
      <c r="F118" s="141">
        <v>13223</v>
      </c>
      <c r="G118" s="142">
        <v>65</v>
      </c>
      <c r="H118" s="141">
        <v>468897</v>
      </c>
      <c r="I118" s="141">
        <v>469017</v>
      </c>
      <c r="J118" s="142">
        <v>120</v>
      </c>
      <c r="K118" s="141">
        <v>44708</v>
      </c>
      <c r="L118" s="141">
        <v>44772</v>
      </c>
      <c r="M118" s="142">
        <v>64</v>
      </c>
      <c r="Q118" s="141">
        <v>8685</v>
      </c>
      <c r="R118" s="141">
        <v>8743</v>
      </c>
      <c r="S118" s="142">
        <v>58</v>
      </c>
      <c r="T118" s="141">
        <v>3394</v>
      </c>
      <c r="U118" s="141">
        <v>3395</v>
      </c>
      <c r="V118" s="142">
        <v>1</v>
      </c>
      <c r="W118" s="141">
        <v>2784</v>
      </c>
      <c r="X118" s="141">
        <v>2784</v>
      </c>
      <c r="Y118" s="142">
        <v>0</v>
      </c>
      <c r="Z118" s="141">
        <v>32286</v>
      </c>
      <c r="AA118" s="141">
        <v>32321</v>
      </c>
      <c r="AB118" s="142">
        <v>35</v>
      </c>
      <c r="AC118" s="141">
        <v>207332</v>
      </c>
      <c r="AD118" s="141">
        <v>207425</v>
      </c>
      <c r="AE118" s="142">
        <v>93</v>
      </c>
      <c r="AF118" s="141">
        <v>18076</v>
      </c>
      <c r="AG118" s="141">
        <v>18083</v>
      </c>
      <c r="AH118" s="142">
        <v>7</v>
      </c>
    </row>
    <row r="119" spans="1:34">
      <c r="A119" s="144">
        <v>45101</v>
      </c>
      <c r="B119" s="141">
        <v>32379</v>
      </c>
      <c r="C119" s="141">
        <v>32472</v>
      </c>
      <c r="D119" s="142">
        <f t="shared" si="1"/>
        <v>93</v>
      </c>
      <c r="E119" s="141">
        <v>13223</v>
      </c>
      <c r="F119" s="141">
        <v>13269</v>
      </c>
      <c r="G119" s="142">
        <v>46</v>
      </c>
      <c r="H119" s="141">
        <v>469017</v>
      </c>
      <c r="I119" s="141">
        <v>469265</v>
      </c>
      <c r="J119" s="142">
        <v>248</v>
      </c>
      <c r="K119" s="141">
        <v>44772</v>
      </c>
      <c r="L119" s="141">
        <v>44836</v>
      </c>
      <c r="M119" s="142">
        <v>64</v>
      </c>
      <c r="Q119" s="141">
        <v>8743</v>
      </c>
      <c r="R119" s="141">
        <v>8781</v>
      </c>
      <c r="S119" s="142">
        <v>38</v>
      </c>
      <c r="T119" s="141">
        <v>3395</v>
      </c>
      <c r="U119" s="141">
        <v>3396</v>
      </c>
      <c r="V119" s="142">
        <v>1</v>
      </c>
      <c r="W119" s="141">
        <v>2784</v>
      </c>
      <c r="X119" s="141">
        <v>2784</v>
      </c>
      <c r="Y119" s="142">
        <v>0</v>
      </c>
      <c r="Z119" s="141">
        <v>32321</v>
      </c>
      <c r="AA119" s="141">
        <v>32361</v>
      </c>
      <c r="AB119" s="142">
        <v>40</v>
      </c>
      <c r="AC119" s="141">
        <v>207425</v>
      </c>
      <c r="AD119" s="141">
        <v>207487</v>
      </c>
      <c r="AE119" s="142">
        <v>62</v>
      </c>
      <c r="AF119" s="141">
        <v>18083</v>
      </c>
      <c r="AG119" s="141">
        <v>18095</v>
      </c>
      <c r="AH119" s="142">
        <v>12</v>
      </c>
    </row>
    <row r="120" spans="1:34">
      <c r="A120" s="144">
        <v>45102</v>
      </c>
      <c r="B120" s="141">
        <v>32472</v>
      </c>
      <c r="C120" s="141">
        <v>32531</v>
      </c>
      <c r="D120" s="142">
        <f t="shared" si="1"/>
        <v>59</v>
      </c>
      <c r="E120" s="141">
        <v>13269</v>
      </c>
      <c r="F120" s="141">
        <v>13309</v>
      </c>
      <c r="G120" s="142">
        <v>40</v>
      </c>
      <c r="H120" s="141">
        <v>469265</v>
      </c>
      <c r="I120" s="141">
        <v>469356</v>
      </c>
      <c r="J120" s="142">
        <v>91</v>
      </c>
      <c r="K120" s="141">
        <v>44836</v>
      </c>
      <c r="L120" s="141">
        <v>44876</v>
      </c>
      <c r="M120" s="142">
        <v>40</v>
      </c>
      <c r="Q120" s="141">
        <v>8781</v>
      </c>
      <c r="R120" s="141">
        <v>8843</v>
      </c>
      <c r="S120" s="142">
        <v>62</v>
      </c>
      <c r="T120" s="141">
        <v>3396</v>
      </c>
      <c r="U120" s="141">
        <v>3398</v>
      </c>
      <c r="V120" s="142">
        <v>2</v>
      </c>
      <c r="W120" s="141">
        <v>2784</v>
      </c>
      <c r="X120" s="141">
        <v>2785</v>
      </c>
      <c r="Y120" s="142">
        <v>1</v>
      </c>
      <c r="Z120" s="141">
        <v>32361</v>
      </c>
      <c r="AA120" s="141">
        <v>32384</v>
      </c>
      <c r="AB120" s="142">
        <v>23</v>
      </c>
      <c r="AC120" s="141">
        <v>207487</v>
      </c>
      <c r="AD120" s="141">
        <v>207542</v>
      </c>
      <c r="AE120" s="142">
        <v>55</v>
      </c>
      <c r="AF120" s="141">
        <v>18095</v>
      </c>
      <c r="AG120" s="141">
        <v>18104</v>
      </c>
      <c r="AH120" s="142">
        <v>9</v>
      </c>
    </row>
    <row r="121" spans="1:34">
      <c r="A121" s="144">
        <v>45103</v>
      </c>
      <c r="B121" s="141">
        <v>32531</v>
      </c>
      <c r="C121" s="141">
        <v>32531</v>
      </c>
      <c r="D121" s="142">
        <f t="shared" si="1"/>
        <v>0</v>
      </c>
      <c r="E121" s="141">
        <v>13309</v>
      </c>
      <c r="F121" s="141">
        <v>13339</v>
      </c>
      <c r="G121" s="142">
        <v>30</v>
      </c>
      <c r="H121" s="141">
        <v>469356</v>
      </c>
      <c r="I121" s="141">
        <v>469507</v>
      </c>
      <c r="J121" s="142">
        <v>151</v>
      </c>
      <c r="K121" s="141">
        <v>44876</v>
      </c>
      <c r="L121" s="141">
        <v>44950</v>
      </c>
      <c r="M121" s="142">
        <v>74</v>
      </c>
      <c r="Q121" s="141">
        <v>8843</v>
      </c>
      <c r="R121" s="141">
        <v>8863</v>
      </c>
      <c r="S121" s="142">
        <v>20</v>
      </c>
      <c r="T121" s="141">
        <v>3398</v>
      </c>
      <c r="U121" s="141">
        <v>3417</v>
      </c>
      <c r="V121" s="142">
        <v>19</v>
      </c>
      <c r="W121" s="141">
        <v>2785</v>
      </c>
      <c r="X121" s="141">
        <v>2786</v>
      </c>
      <c r="Y121" s="142">
        <v>1</v>
      </c>
      <c r="Z121" s="141">
        <v>32384</v>
      </c>
      <c r="AA121" s="141">
        <v>32406</v>
      </c>
      <c r="AB121" s="142">
        <v>22</v>
      </c>
      <c r="AC121" s="141">
        <v>207542</v>
      </c>
      <c r="AD121" s="141">
        <v>207621</v>
      </c>
      <c r="AE121" s="142">
        <v>79</v>
      </c>
      <c r="AF121" s="141">
        <v>18104</v>
      </c>
      <c r="AG121" s="141">
        <v>18124</v>
      </c>
      <c r="AH121" s="142">
        <v>20</v>
      </c>
    </row>
    <row r="122" spans="1:34">
      <c r="A122" s="144">
        <v>45104</v>
      </c>
      <c r="B122" s="141">
        <v>32531</v>
      </c>
      <c r="C122" s="141">
        <v>32531</v>
      </c>
      <c r="D122" s="142">
        <f t="shared" si="1"/>
        <v>0</v>
      </c>
      <c r="E122" s="141">
        <v>13339</v>
      </c>
      <c r="F122" s="141">
        <v>13379</v>
      </c>
      <c r="G122" s="142">
        <v>40</v>
      </c>
      <c r="H122" s="141">
        <v>469507</v>
      </c>
      <c r="I122" s="141">
        <v>469611</v>
      </c>
      <c r="J122" s="142">
        <v>104</v>
      </c>
      <c r="K122" s="141">
        <v>44950</v>
      </c>
      <c r="L122" s="141">
        <v>45055</v>
      </c>
      <c r="M122" s="142">
        <v>105</v>
      </c>
      <c r="Q122" s="141">
        <v>8863</v>
      </c>
      <c r="R122" s="141">
        <v>8915</v>
      </c>
      <c r="S122" s="142">
        <v>52</v>
      </c>
      <c r="T122" s="141">
        <v>3417</v>
      </c>
      <c r="U122" s="141">
        <v>3424</v>
      </c>
      <c r="V122" s="142">
        <v>7</v>
      </c>
      <c r="W122" s="141">
        <v>2786</v>
      </c>
      <c r="X122" s="141">
        <v>2787</v>
      </c>
      <c r="Y122" s="142">
        <v>1</v>
      </c>
      <c r="Z122" s="141">
        <v>32406</v>
      </c>
      <c r="AA122" s="141">
        <v>32416</v>
      </c>
      <c r="AB122" s="142">
        <v>10</v>
      </c>
      <c r="AC122" s="141">
        <v>207621</v>
      </c>
      <c r="AD122" s="141">
        <v>207703</v>
      </c>
      <c r="AE122" s="142">
        <v>82</v>
      </c>
      <c r="AF122" s="141">
        <v>18124</v>
      </c>
      <c r="AG122" s="141">
        <v>18138</v>
      </c>
      <c r="AH122" s="142">
        <v>14</v>
      </c>
    </row>
    <row r="123" spans="1:34">
      <c r="A123" s="144">
        <v>45105</v>
      </c>
      <c r="B123" s="141">
        <v>32531</v>
      </c>
      <c r="C123" s="141">
        <v>32531</v>
      </c>
      <c r="D123" s="142">
        <f t="shared" si="1"/>
        <v>0</v>
      </c>
      <c r="E123" s="141">
        <v>13379</v>
      </c>
      <c r="F123" s="141">
        <v>13395</v>
      </c>
      <c r="G123" s="142">
        <v>16</v>
      </c>
      <c r="H123" s="141">
        <v>469611</v>
      </c>
      <c r="I123" s="141">
        <v>469792</v>
      </c>
      <c r="J123" s="142">
        <v>181</v>
      </c>
      <c r="K123" s="141">
        <v>45055</v>
      </c>
      <c r="L123" s="141">
        <v>45116</v>
      </c>
      <c r="M123" s="142">
        <v>61</v>
      </c>
      <c r="Q123" s="141">
        <v>8915</v>
      </c>
      <c r="R123" s="141">
        <v>8963</v>
      </c>
      <c r="S123" s="142">
        <v>48</v>
      </c>
      <c r="T123" s="141">
        <v>3424</v>
      </c>
      <c r="U123" s="141">
        <v>3430</v>
      </c>
      <c r="V123" s="142">
        <v>6</v>
      </c>
      <c r="W123" s="141">
        <v>2787</v>
      </c>
      <c r="X123" s="141">
        <v>2788</v>
      </c>
      <c r="Y123" s="142">
        <v>1</v>
      </c>
      <c r="Z123" s="141">
        <v>32416</v>
      </c>
      <c r="AA123" s="141">
        <v>32434</v>
      </c>
      <c r="AB123" s="142">
        <v>18</v>
      </c>
      <c r="AC123" s="141">
        <v>207703</v>
      </c>
      <c r="AD123" s="141">
        <v>207765</v>
      </c>
      <c r="AE123" s="142">
        <v>62</v>
      </c>
      <c r="AF123" s="141">
        <v>18138</v>
      </c>
      <c r="AG123" s="141">
        <v>18149</v>
      </c>
      <c r="AH123" s="142">
        <v>11</v>
      </c>
    </row>
    <row r="124" spans="1:34">
      <c r="A124" s="144">
        <v>45106</v>
      </c>
      <c r="B124" s="141">
        <v>32531</v>
      </c>
      <c r="C124" s="141">
        <v>32605</v>
      </c>
      <c r="D124" s="142">
        <f t="shared" si="1"/>
        <v>74</v>
      </c>
      <c r="E124" s="141">
        <v>13395</v>
      </c>
      <c r="F124" s="141">
        <v>13412</v>
      </c>
      <c r="G124" s="142">
        <v>17</v>
      </c>
      <c r="H124" s="141">
        <v>469792</v>
      </c>
      <c r="I124" s="141">
        <v>469956</v>
      </c>
      <c r="J124" s="142">
        <v>164</v>
      </c>
      <c r="K124" s="141">
        <v>45116</v>
      </c>
      <c r="L124" s="141">
        <v>45176</v>
      </c>
      <c r="M124" s="142">
        <v>60</v>
      </c>
      <c r="Q124" s="141">
        <v>8963</v>
      </c>
      <c r="R124" s="141">
        <v>8992</v>
      </c>
      <c r="S124" s="142">
        <v>29</v>
      </c>
      <c r="T124" s="141">
        <v>3430</v>
      </c>
      <c r="U124" s="141">
        <v>3431</v>
      </c>
      <c r="V124" s="142">
        <v>1</v>
      </c>
      <c r="W124" s="141">
        <v>2788</v>
      </c>
      <c r="X124" s="141">
        <v>2789</v>
      </c>
      <c r="Y124" s="142">
        <v>1</v>
      </c>
      <c r="Z124" s="141">
        <v>32434</v>
      </c>
      <c r="AA124" s="141">
        <v>32483</v>
      </c>
      <c r="AB124" s="142">
        <v>49</v>
      </c>
      <c r="AC124" s="141">
        <v>207765</v>
      </c>
      <c r="AD124" s="141">
        <v>198407</v>
      </c>
      <c r="AF124" s="141">
        <v>18149</v>
      </c>
      <c r="AG124" s="141">
        <v>18162</v>
      </c>
      <c r="AH124" s="142">
        <v>13</v>
      </c>
    </row>
    <row r="125" spans="1:34">
      <c r="A125" s="144">
        <v>45107</v>
      </c>
      <c r="B125" s="141">
        <v>32605</v>
      </c>
      <c r="C125" s="141">
        <v>32605</v>
      </c>
      <c r="D125" s="142">
        <f t="shared" si="1"/>
        <v>0</v>
      </c>
      <c r="E125" s="141">
        <v>13412</v>
      </c>
      <c r="F125" s="141">
        <v>13456</v>
      </c>
      <c r="G125" s="142">
        <v>44</v>
      </c>
      <c r="H125" s="141">
        <v>469956</v>
      </c>
      <c r="I125" s="141">
        <v>470011</v>
      </c>
      <c r="J125" s="142">
        <v>55</v>
      </c>
      <c r="K125" s="141">
        <v>45176</v>
      </c>
      <c r="L125" s="141">
        <v>45246</v>
      </c>
      <c r="M125" s="142">
        <v>70</v>
      </c>
      <c r="Q125" s="141">
        <v>8992</v>
      </c>
      <c r="R125" s="141">
        <v>9043</v>
      </c>
      <c r="S125" s="142">
        <v>51</v>
      </c>
      <c r="T125" s="141">
        <v>3431</v>
      </c>
      <c r="U125" s="141">
        <v>3432</v>
      </c>
      <c r="V125" s="142">
        <v>1</v>
      </c>
      <c r="W125" s="141">
        <v>2789</v>
      </c>
      <c r="X125" s="141">
        <v>2790</v>
      </c>
      <c r="Y125" s="142">
        <v>1</v>
      </c>
      <c r="Z125" s="141">
        <v>32483</v>
      </c>
      <c r="AA125" s="141">
        <v>32497</v>
      </c>
      <c r="AB125" s="142">
        <v>14</v>
      </c>
      <c r="AF125" s="141">
        <v>18162</v>
      </c>
      <c r="AG125" s="141">
        <v>18180</v>
      </c>
      <c r="AH125" s="142">
        <v>18</v>
      </c>
    </row>
    <row r="126" spans="1:34">
      <c r="A126" s="144">
        <v>45108</v>
      </c>
      <c r="B126" s="141">
        <v>32605</v>
      </c>
      <c r="C126" s="141">
        <v>32687</v>
      </c>
      <c r="D126" s="142">
        <f t="shared" si="1"/>
        <v>82</v>
      </c>
      <c r="E126" s="141">
        <v>13456</v>
      </c>
      <c r="F126" s="141">
        <v>13481</v>
      </c>
      <c r="G126" s="142">
        <v>25</v>
      </c>
      <c r="H126" s="141">
        <v>470011</v>
      </c>
      <c r="I126" s="141">
        <v>470011</v>
      </c>
      <c r="J126" s="142">
        <v>0</v>
      </c>
      <c r="K126" s="141">
        <v>45246</v>
      </c>
      <c r="L126" s="141">
        <v>45294</v>
      </c>
      <c r="M126" s="142">
        <v>48</v>
      </c>
      <c r="Q126" s="141">
        <v>9043</v>
      </c>
      <c r="R126" s="141">
        <v>9062</v>
      </c>
      <c r="S126" s="142">
        <v>19</v>
      </c>
      <c r="T126" s="141">
        <v>3432</v>
      </c>
      <c r="U126" s="141">
        <v>3433</v>
      </c>
      <c r="V126" s="142">
        <v>1</v>
      </c>
      <c r="W126" s="141">
        <v>2790</v>
      </c>
      <c r="X126" s="141">
        <v>2791</v>
      </c>
      <c r="Y126" s="142">
        <v>1</v>
      </c>
      <c r="Z126" s="141">
        <v>32497</v>
      </c>
      <c r="AA126" s="141">
        <v>32512</v>
      </c>
      <c r="AB126" s="142">
        <v>15</v>
      </c>
      <c r="AF126" s="141">
        <v>18180</v>
      </c>
      <c r="AG126" s="141">
        <v>18200</v>
      </c>
      <c r="AH126" s="142">
        <v>20</v>
      </c>
    </row>
    <row r="127" spans="1:34">
      <c r="A127" s="144">
        <v>45109</v>
      </c>
      <c r="B127" s="141">
        <v>32687</v>
      </c>
      <c r="C127" s="141">
        <v>32755</v>
      </c>
      <c r="D127" s="142">
        <f t="shared" si="1"/>
        <v>68</v>
      </c>
      <c r="E127" s="141">
        <v>13481</v>
      </c>
      <c r="F127" s="141">
        <v>13496</v>
      </c>
      <c r="G127" s="142">
        <v>15</v>
      </c>
      <c r="H127" s="141">
        <v>470011</v>
      </c>
      <c r="I127" s="141">
        <v>470268</v>
      </c>
      <c r="J127" s="142">
        <v>257</v>
      </c>
      <c r="K127" s="141">
        <v>45294</v>
      </c>
      <c r="L127" s="141">
        <v>45338</v>
      </c>
      <c r="M127" s="142">
        <v>44</v>
      </c>
      <c r="Q127" s="141">
        <v>9062</v>
      </c>
      <c r="R127" s="141">
        <v>9129</v>
      </c>
      <c r="S127" s="142">
        <v>67</v>
      </c>
      <c r="T127" s="141">
        <v>3433</v>
      </c>
      <c r="U127" s="141">
        <v>3434</v>
      </c>
      <c r="V127" s="142">
        <v>1</v>
      </c>
      <c r="W127" s="141">
        <v>2791</v>
      </c>
      <c r="X127" s="141">
        <v>2792</v>
      </c>
      <c r="Y127" s="142">
        <v>1</v>
      </c>
      <c r="Z127" s="141">
        <v>32512</v>
      </c>
      <c r="AA127" s="141">
        <v>32535</v>
      </c>
      <c r="AB127" s="142">
        <v>23</v>
      </c>
      <c r="AF127" s="141">
        <v>18200</v>
      </c>
      <c r="AG127" s="141">
        <v>18216</v>
      </c>
      <c r="AH127" s="142">
        <v>16</v>
      </c>
    </row>
    <row r="128" spans="1:34">
      <c r="A128" s="144">
        <v>45110</v>
      </c>
      <c r="B128" s="141">
        <v>32755</v>
      </c>
      <c r="C128" s="141">
        <v>32834</v>
      </c>
      <c r="D128" s="142">
        <f t="shared" si="1"/>
        <v>79</v>
      </c>
      <c r="E128" s="141">
        <v>13496</v>
      </c>
      <c r="F128" s="141">
        <v>13537</v>
      </c>
      <c r="G128" s="142">
        <v>41</v>
      </c>
      <c r="H128" s="141">
        <v>470268</v>
      </c>
      <c r="I128" s="141">
        <v>470395</v>
      </c>
      <c r="J128" s="142">
        <v>127</v>
      </c>
      <c r="K128" s="141">
        <v>45338</v>
      </c>
      <c r="L128" s="141">
        <v>45388</v>
      </c>
      <c r="M128" s="142">
        <v>50</v>
      </c>
      <c r="Q128" s="141">
        <v>9129</v>
      </c>
      <c r="R128" s="141">
        <v>9177</v>
      </c>
      <c r="S128" s="142">
        <v>48</v>
      </c>
      <c r="T128" s="141">
        <v>3434</v>
      </c>
      <c r="U128" s="141">
        <v>3458</v>
      </c>
      <c r="V128" s="142">
        <v>24</v>
      </c>
      <c r="W128" s="141">
        <v>2792</v>
      </c>
      <c r="X128" s="141">
        <v>2792</v>
      </c>
      <c r="Y128" s="142">
        <v>0</v>
      </c>
      <c r="Z128" s="141">
        <v>32535</v>
      </c>
      <c r="AA128" s="141">
        <v>32561</v>
      </c>
      <c r="AB128" s="142">
        <v>26</v>
      </c>
      <c r="AF128" s="141">
        <v>18216</v>
      </c>
      <c r="AG128" s="141">
        <v>18221</v>
      </c>
      <c r="AH128" s="142">
        <v>5</v>
      </c>
    </row>
    <row r="129" spans="1:34">
      <c r="A129" s="144">
        <v>45111</v>
      </c>
      <c r="B129" s="141">
        <v>32834</v>
      </c>
      <c r="C129" s="141">
        <v>32929</v>
      </c>
      <c r="D129" s="142">
        <f t="shared" si="1"/>
        <v>95</v>
      </c>
      <c r="E129" s="141">
        <v>13537</v>
      </c>
      <c r="F129" s="141">
        <v>13589</v>
      </c>
      <c r="G129" s="142">
        <v>52</v>
      </c>
      <c r="H129" s="141">
        <v>470395</v>
      </c>
      <c r="I129" s="141">
        <v>470536</v>
      </c>
      <c r="J129" s="142">
        <v>141</v>
      </c>
      <c r="K129" s="141">
        <v>45388</v>
      </c>
      <c r="L129" s="141">
        <v>45420</v>
      </c>
      <c r="M129" s="142">
        <v>32</v>
      </c>
      <c r="Q129" s="141">
        <v>9177</v>
      </c>
      <c r="R129" s="141">
        <v>9228</v>
      </c>
      <c r="S129" s="142">
        <v>51</v>
      </c>
      <c r="T129" s="141">
        <v>3458</v>
      </c>
      <c r="U129" s="141">
        <v>3461</v>
      </c>
      <c r="V129" s="142">
        <v>3</v>
      </c>
      <c r="W129" s="141">
        <v>2792</v>
      </c>
      <c r="X129" s="141">
        <v>2793</v>
      </c>
      <c r="Y129" s="142">
        <v>1</v>
      </c>
      <c r="Z129" s="141">
        <v>32561</v>
      </c>
      <c r="AA129" s="141">
        <v>32582</v>
      </c>
      <c r="AB129" s="142">
        <v>21</v>
      </c>
      <c r="AF129" s="141">
        <v>18221</v>
      </c>
      <c r="AG129" s="141">
        <v>18229</v>
      </c>
      <c r="AH129" s="142">
        <v>8</v>
      </c>
    </row>
    <row r="130" spans="1:34">
      <c r="A130" s="144">
        <v>45112</v>
      </c>
      <c r="B130" s="141">
        <v>32929</v>
      </c>
      <c r="C130" s="141">
        <v>33047</v>
      </c>
      <c r="D130" s="142">
        <f t="shared" si="1"/>
        <v>118</v>
      </c>
      <c r="E130" s="141">
        <v>13589</v>
      </c>
      <c r="F130" s="141">
        <v>13605</v>
      </c>
      <c r="G130" s="142">
        <v>16</v>
      </c>
      <c r="H130" s="141">
        <v>470536</v>
      </c>
      <c r="I130" s="141">
        <v>470655</v>
      </c>
      <c r="J130" s="142">
        <v>119</v>
      </c>
      <c r="K130" s="141">
        <v>45420</v>
      </c>
      <c r="L130" s="141">
        <v>45465</v>
      </c>
      <c r="M130" s="142">
        <v>45</v>
      </c>
      <c r="Q130" s="141">
        <v>9228</v>
      </c>
      <c r="R130" s="141">
        <v>9272</v>
      </c>
      <c r="S130" s="142">
        <v>44</v>
      </c>
      <c r="T130" s="141">
        <v>3461</v>
      </c>
      <c r="U130" s="141">
        <v>3478</v>
      </c>
      <c r="V130" s="142">
        <v>17</v>
      </c>
      <c r="W130" s="141">
        <v>2793</v>
      </c>
      <c r="X130" s="141">
        <v>2794</v>
      </c>
      <c r="Y130" s="142">
        <v>1</v>
      </c>
      <c r="Z130" s="141">
        <v>32582</v>
      </c>
      <c r="AA130" s="141">
        <v>32624</v>
      </c>
      <c r="AB130" s="142">
        <v>42</v>
      </c>
      <c r="AF130" s="141">
        <v>18229</v>
      </c>
      <c r="AG130" s="141">
        <v>18233</v>
      </c>
      <c r="AH130" s="142">
        <v>4</v>
      </c>
    </row>
    <row r="131" spans="1:34">
      <c r="A131" s="144">
        <v>45113</v>
      </c>
      <c r="B131" s="141">
        <v>33047</v>
      </c>
      <c r="C131" s="141">
        <v>33170</v>
      </c>
      <c r="D131" s="142">
        <f t="shared" ref="D131:D194" si="2">C131-B131</f>
        <v>123</v>
      </c>
      <c r="E131" s="141">
        <v>13605</v>
      </c>
      <c r="F131" s="141">
        <v>13635</v>
      </c>
      <c r="G131" s="142">
        <v>30</v>
      </c>
      <c r="H131" s="141">
        <v>470655</v>
      </c>
      <c r="I131" s="141">
        <v>470832</v>
      </c>
      <c r="J131" s="142">
        <v>177</v>
      </c>
      <c r="K131" s="141">
        <v>45465</v>
      </c>
      <c r="L131" s="141">
        <v>45550</v>
      </c>
      <c r="M131" s="142">
        <v>85</v>
      </c>
      <c r="Q131" s="141">
        <v>9272</v>
      </c>
      <c r="R131" s="141">
        <v>9306</v>
      </c>
      <c r="S131" s="142">
        <v>34</v>
      </c>
      <c r="T131" s="141">
        <v>3478</v>
      </c>
      <c r="U131" s="141">
        <v>3481</v>
      </c>
      <c r="V131" s="142">
        <v>3</v>
      </c>
      <c r="W131" s="141">
        <v>2794</v>
      </c>
      <c r="X131" s="141">
        <v>2795</v>
      </c>
      <c r="Y131" s="142">
        <v>1</v>
      </c>
      <c r="Z131" s="141">
        <v>32624</v>
      </c>
      <c r="AA131" s="141">
        <v>32660</v>
      </c>
      <c r="AB131" s="142">
        <v>36</v>
      </c>
      <c r="AF131" s="141">
        <v>18233</v>
      </c>
      <c r="AG131" s="141">
        <v>18237</v>
      </c>
      <c r="AH131" s="142">
        <v>4</v>
      </c>
    </row>
    <row r="132" spans="1:34">
      <c r="A132" s="144">
        <v>45114</v>
      </c>
      <c r="B132" s="141">
        <v>33170</v>
      </c>
      <c r="C132" s="141">
        <v>33353</v>
      </c>
      <c r="D132" s="142">
        <f t="shared" si="2"/>
        <v>183</v>
      </c>
      <c r="E132" s="141">
        <v>13635</v>
      </c>
      <c r="F132" s="141">
        <v>13665</v>
      </c>
      <c r="G132" s="142">
        <v>30</v>
      </c>
      <c r="H132" s="141">
        <v>470832</v>
      </c>
      <c r="I132" s="141">
        <v>470991</v>
      </c>
      <c r="J132" s="142">
        <v>159</v>
      </c>
      <c r="K132" s="141">
        <v>45550</v>
      </c>
      <c r="L132" s="141">
        <v>45580</v>
      </c>
      <c r="M132" s="142">
        <v>30</v>
      </c>
      <c r="Q132" s="141">
        <v>9306</v>
      </c>
      <c r="R132" s="141">
        <v>9345</v>
      </c>
      <c r="S132" s="142">
        <v>39</v>
      </c>
      <c r="T132" s="141">
        <v>3481</v>
      </c>
      <c r="U132" s="141">
        <v>3486</v>
      </c>
      <c r="V132" s="142">
        <v>5</v>
      </c>
      <c r="W132" s="141">
        <v>2795</v>
      </c>
      <c r="X132" s="141">
        <v>2796</v>
      </c>
      <c r="Y132" s="142">
        <v>1</v>
      </c>
      <c r="Z132" s="141">
        <v>32660</v>
      </c>
      <c r="AA132" s="141">
        <v>32676</v>
      </c>
      <c r="AB132" s="142">
        <v>16</v>
      </c>
      <c r="AF132" s="141">
        <v>18237</v>
      </c>
      <c r="AG132" s="141">
        <v>18243</v>
      </c>
      <c r="AH132" s="142">
        <v>6</v>
      </c>
    </row>
    <row r="133" spans="1:34">
      <c r="A133" s="144">
        <v>45115</v>
      </c>
      <c r="B133" s="141">
        <v>33353</v>
      </c>
      <c r="C133" s="141">
        <v>33527</v>
      </c>
      <c r="D133" s="142">
        <f t="shared" si="2"/>
        <v>174</v>
      </c>
      <c r="E133" s="141">
        <v>13665</v>
      </c>
      <c r="F133" s="141">
        <v>13721</v>
      </c>
      <c r="G133" s="142">
        <v>56</v>
      </c>
      <c r="H133" s="141">
        <v>470991</v>
      </c>
      <c r="I133" s="141">
        <v>471186</v>
      </c>
      <c r="J133" s="142">
        <v>195</v>
      </c>
      <c r="K133" s="141">
        <v>45580</v>
      </c>
      <c r="L133" s="141">
        <v>45655</v>
      </c>
      <c r="M133" s="142">
        <v>75</v>
      </c>
      <c r="Q133" s="141">
        <v>9345</v>
      </c>
      <c r="R133" s="141">
        <v>9401</v>
      </c>
      <c r="S133" s="142">
        <v>56</v>
      </c>
      <c r="T133" s="141">
        <v>3486</v>
      </c>
      <c r="U133" s="141">
        <v>3493</v>
      </c>
      <c r="V133" s="142">
        <v>7</v>
      </c>
      <c r="W133" s="141">
        <v>2796</v>
      </c>
      <c r="X133" s="141">
        <v>2797</v>
      </c>
      <c r="Y133" s="142">
        <v>1</v>
      </c>
      <c r="Z133" s="141">
        <v>32676</v>
      </c>
      <c r="AA133" s="141">
        <v>32712</v>
      </c>
      <c r="AB133" s="142">
        <v>36</v>
      </c>
      <c r="AF133" s="141">
        <v>18243</v>
      </c>
      <c r="AG133" s="141">
        <v>18250</v>
      </c>
      <c r="AH133" s="142">
        <v>7</v>
      </c>
    </row>
    <row r="134" spans="1:34">
      <c r="A134" s="144">
        <v>45116</v>
      </c>
      <c r="B134" s="141">
        <v>33527</v>
      </c>
      <c r="C134" s="141">
        <v>33734</v>
      </c>
      <c r="D134" s="142">
        <f t="shared" si="2"/>
        <v>207</v>
      </c>
      <c r="E134" s="141">
        <v>13721</v>
      </c>
      <c r="F134" s="141">
        <v>13761</v>
      </c>
      <c r="G134" s="142">
        <v>40</v>
      </c>
      <c r="H134" s="141">
        <v>471186</v>
      </c>
      <c r="I134" s="141">
        <v>471294</v>
      </c>
      <c r="J134" s="142">
        <v>108</v>
      </c>
      <c r="K134" s="141">
        <v>45655</v>
      </c>
      <c r="L134" s="141">
        <v>45699</v>
      </c>
      <c r="M134" s="142">
        <v>44</v>
      </c>
      <c r="Q134" s="141">
        <v>9401</v>
      </c>
      <c r="R134" s="141">
        <v>9441</v>
      </c>
      <c r="S134" s="142">
        <v>40</v>
      </c>
      <c r="T134" s="141">
        <v>3493</v>
      </c>
      <c r="U134" s="141">
        <v>3495</v>
      </c>
      <c r="V134" s="142">
        <v>2</v>
      </c>
      <c r="W134" s="141">
        <v>2797</v>
      </c>
      <c r="X134" s="141">
        <v>2798</v>
      </c>
      <c r="Y134" s="142">
        <v>1</v>
      </c>
      <c r="Z134" s="141">
        <v>32712</v>
      </c>
      <c r="AA134" s="141">
        <v>32756</v>
      </c>
      <c r="AB134" s="142">
        <v>44</v>
      </c>
      <c r="AF134" s="141">
        <v>18250</v>
      </c>
      <c r="AG134" s="141">
        <v>18255</v>
      </c>
      <c r="AH134" s="142">
        <v>5</v>
      </c>
    </row>
    <row r="135" spans="1:34">
      <c r="A135" s="144">
        <v>45117</v>
      </c>
      <c r="B135" s="141">
        <v>33734</v>
      </c>
      <c r="C135" s="141">
        <v>33768</v>
      </c>
      <c r="D135" s="142">
        <f t="shared" si="2"/>
        <v>34</v>
      </c>
      <c r="E135" s="141">
        <v>13761</v>
      </c>
      <c r="F135" s="141">
        <v>13833</v>
      </c>
      <c r="G135" s="142">
        <v>72</v>
      </c>
      <c r="H135" s="141">
        <v>471294</v>
      </c>
      <c r="I135" s="141">
        <v>471396</v>
      </c>
      <c r="J135" s="142">
        <v>102</v>
      </c>
      <c r="K135" s="141">
        <v>45699</v>
      </c>
      <c r="L135" s="141">
        <v>45742</v>
      </c>
      <c r="M135" s="142">
        <v>43</v>
      </c>
      <c r="Q135" s="141">
        <v>9441</v>
      </c>
      <c r="R135" s="141">
        <v>9489</v>
      </c>
      <c r="S135" s="142">
        <v>48</v>
      </c>
      <c r="T135" s="141">
        <v>3495</v>
      </c>
      <c r="U135" s="141">
        <v>3496</v>
      </c>
      <c r="V135" s="142">
        <v>1</v>
      </c>
      <c r="W135" s="141">
        <v>2798</v>
      </c>
      <c r="X135" s="141">
        <v>2805</v>
      </c>
      <c r="Y135" s="142">
        <v>7</v>
      </c>
      <c r="Z135" s="141">
        <v>32756</v>
      </c>
      <c r="AA135" s="141">
        <v>32801</v>
      </c>
      <c r="AB135" s="142">
        <v>45</v>
      </c>
      <c r="AF135" s="141">
        <v>18255</v>
      </c>
      <c r="AG135" s="141">
        <v>18263</v>
      </c>
      <c r="AH135" s="142">
        <v>8</v>
      </c>
    </row>
    <row r="136" spans="1:34">
      <c r="A136" s="144">
        <v>45118</v>
      </c>
      <c r="B136" s="141">
        <v>33768</v>
      </c>
      <c r="C136" s="141">
        <v>33898</v>
      </c>
      <c r="D136" s="142">
        <f t="shared" si="2"/>
        <v>130</v>
      </c>
      <c r="E136" s="141">
        <v>13833</v>
      </c>
      <c r="F136" s="141">
        <v>13899</v>
      </c>
      <c r="G136" s="142">
        <v>66</v>
      </c>
      <c r="H136" s="141">
        <v>471396</v>
      </c>
      <c r="I136" s="141">
        <v>471583</v>
      </c>
      <c r="J136" s="142">
        <v>187</v>
      </c>
      <c r="K136" s="141">
        <v>45742</v>
      </c>
      <c r="L136" s="141">
        <v>45760</v>
      </c>
      <c r="M136" s="142">
        <v>18</v>
      </c>
      <c r="Q136" s="141">
        <v>9489</v>
      </c>
      <c r="R136" s="141">
        <v>9541</v>
      </c>
      <c r="S136" s="142">
        <v>52</v>
      </c>
      <c r="T136" s="141">
        <v>3496</v>
      </c>
      <c r="U136" s="141">
        <v>3498</v>
      </c>
      <c r="V136" s="142">
        <v>2</v>
      </c>
      <c r="W136" s="141">
        <v>2805</v>
      </c>
      <c r="X136" s="141">
        <v>2807</v>
      </c>
      <c r="Y136" s="142">
        <v>2</v>
      </c>
      <c r="Z136" s="141">
        <v>32801</v>
      </c>
      <c r="AA136" s="141">
        <v>32864</v>
      </c>
      <c r="AB136" s="142">
        <v>63</v>
      </c>
      <c r="AF136" s="141">
        <v>18263</v>
      </c>
      <c r="AG136" s="141">
        <v>18270</v>
      </c>
      <c r="AH136" s="142">
        <v>7</v>
      </c>
    </row>
    <row r="137" spans="1:34">
      <c r="A137" s="144">
        <v>45119</v>
      </c>
      <c r="B137" s="141">
        <v>33898</v>
      </c>
      <c r="C137" s="141">
        <v>33914</v>
      </c>
      <c r="D137" s="142">
        <f t="shared" si="2"/>
        <v>16</v>
      </c>
      <c r="E137" s="141">
        <v>13899</v>
      </c>
      <c r="F137" s="141">
        <v>13936</v>
      </c>
      <c r="G137" s="142">
        <v>37</v>
      </c>
      <c r="H137" s="141">
        <v>471583</v>
      </c>
      <c r="I137" s="141">
        <v>471767</v>
      </c>
      <c r="J137" s="142">
        <v>184</v>
      </c>
      <c r="K137" s="141">
        <v>45760</v>
      </c>
      <c r="L137" s="141">
        <v>45774</v>
      </c>
      <c r="M137" s="142">
        <v>14</v>
      </c>
      <c r="Q137" s="141">
        <v>9541</v>
      </c>
      <c r="R137" s="141">
        <v>9608</v>
      </c>
      <c r="S137" s="142">
        <v>67</v>
      </c>
      <c r="T137" s="141">
        <v>3498</v>
      </c>
      <c r="U137" s="141">
        <v>3507</v>
      </c>
      <c r="V137" s="142">
        <v>9</v>
      </c>
      <c r="W137" s="141">
        <v>2807</v>
      </c>
      <c r="X137" s="141">
        <v>2808</v>
      </c>
      <c r="Y137" s="142">
        <v>1</v>
      </c>
      <c r="Z137" s="141">
        <v>32864</v>
      </c>
      <c r="AA137" s="141">
        <v>32893</v>
      </c>
      <c r="AB137" s="142">
        <v>29</v>
      </c>
      <c r="AF137" s="141">
        <v>18270</v>
      </c>
      <c r="AG137" s="141">
        <v>18275</v>
      </c>
      <c r="AH137" s="142">
        <v>5</v>
      </c>
    </row>
    <row r="138" spans="1:34">
      <c r="A138" s="144">
        <v>45120</v>
      </c>
      <c r="B138" s="141">
        <v>33914</v>
      </c>
      <c r="C138" s="141">
        <v>33914</v>
      </c>
      <c r="D138" s="142">
        <f t="shared" si="2"/>
        <v>0</v>
      </c>
      <c r="E138" s="141">
        <v>13936</v>
      </c>
      <c r="F138" s="141">
        <v>13936</v>
      </c>
      <c r="G138" s="142">
        <v>0</v>
      </c>
      <c r="H138" s="141">
        <v>471767</v>
      </c>
      <c r="I138" s="141">
        <v>471767</v>
      </c>
      <c r="J138" s="142">
        <v>0</v>
      </c>
      <c r="K138" s="141">
        <v>45774</v>
      </c>
      <c r="L138" s="141">
        <v>45842</v>
      </c>
      <c r="M138" s="142">
        <v>68</v>
      </c>
      <c r="Q138" s="141">
        <v>9608</v>
      </c>
      <c r="R138" s="141">
        <v>9608</v>
      </c>
      <c r="S138" s="142">
        <v>0</v>
      </c>
      <c r="T138" s="141">
        <v>3507</v>
      </c>
      <c r="U138" s="141">
        <v>3507</v>
      </c>
      <c r="V138" s="142">
        <v>0</v>
      </c>
      <c r="W138" s="141">
        <v>2808</v>
      </c>
      <c r="X138" s="141">
        <v>2808</v>
      </c>
      <c r="Y138" s="142">
        <v>0</v>
      </c>
      <c r="Z138" s="141">
        <v>32893</v>
      </c>
      <c r="AA138" s="141">
        <v>32893</v>
      </c>
      <c r="AB138" s="142">
        <v>0</v>
      </c>
      <c r="AF138" s="141">
        <v>18275</v>
      </c>
      <c r="AG138" s="141">
        <v>18280</v>
      </c>
      <c r="AH138" s="142">
        <v>5</v>
      </c>
    </row>
    <row r="139" spans="1:34">
      <c r="A139" s="144">
        <v>45121</v>
      </c>
      <c r="B139" s="141">
        <v>33914</v>
      </c>
      <c r="C139" s="141">
        <v>33914</v>
      </c>
      <c r="D139" s="142">
        <f t="shared" si="2"/>
        <v>0</v>
      </c>
      <c r="E139" s="141">
        <v>13936</v>
      </c>
      <c r="F139" s="141">
        <v>13936</v>
      </c>
      <c r="G139" s="142">
        <v>0</v>
      </c>
      <c r="H139" s="141">
        <v>471767</v>
      </c>
      <c r="I139" s="141">
        <v>471767</v>
      </c>
      <c r="J139" s="142">
        <v>0</v>
      </c>
      <c r="K139" s="141">
        <v>45842</v>
      </c>
      <c r="L139" s="141">
        <v>45910</v>
      </c>
      <c r="M139" s="142">
        <v>68</v>
      </c>
      <c r="Q139" s="141">
        <v>9608</v>
      </c>
      <c r="R139" s="141">
        <v>9608</v>
      </c>
      <c r="S139" s="142">
        <v>0</v>
      </c>
      <c r="T139" s="141">
        <v>3507</v>
      </c>
      <c r="U139" s="141">
        <v>3507</v>
      </c>
      <c r="V139" s="142">
        <v>0</v>
      </c>
      <c r="W139" s="141">
        <v>2808</v>
      </c>
      <c r="X139" s="141">
        <v>2808</v>
      </c>
      <c r="Y139" s="142">
        <v>0</v>
      </c>
      <c r="Z139" s="141">
        <v>32893</v>
      </c>
      <c r="AA139" s="141">
        <v>32893</v>
      </c>
      <c r="AB139" s="142">
        <v>0</v>
      </c>
      <c r="AF139" s="141">
        <v>18280</v>
      </c>
      <c r="AG139" s="141">
        <v>18284</v>
      </c>
      <c r="AH139" s="142">
        <v>4</v>
      </c>
    </row>
    <row r="140" spans="1:34">
      <c r="A140" s="144">
        <v>45122</v>
      </c>
      <c r="B140" s="141">
        <v>33914</v>
      </c>
      <c r="C140" s="141">
        <v>33914</v>
      </c>
      <c r="D140" s="142">
        <f t="shared" si="2"/>
        <v>0</v>
      </c>
      <c r="E140" s="141">
        <v>13936</v>
      </c>
      <c r="F140" s="141">
        <v>13936</v>
      </c>
      <c r="G140" s="142">
        <v>0</v>
      </c>
      <c r="H140" s="141">
        <v>471767</v>
      </c>
      <c r="I140" s="141">
        <v>471767</v>
      </c>
      <c r="J140" s="142">
        <v>0</v>
      </c>
      <c r="K140" s="141">
        <v>45910</v>
      </c>
      <c r="L140" s="141">
        <v>45944</v>
      </c>
      <c r="M140" s="142">
        <v>34</v>
      </c>
      <c r="Q140" s="141">
        <v>9608</v>
      </c>
      <c r="R140" s="141">
        <v>9608</v>
      </c>
      <c r="S140" s="142">
        <v>0</v>
      </c>
      <c r="T140" s="141">
        <v>3507</v>
      </c>
      <c r="U140" s="141">
        <v>3507</v>
      </c>
      <c r="V140" s="142">
        <v>0</v>
      </c>
      <c r="W140" s="141">
        <v>2808</v>
      </c>
      <c r="X140" s="141">
        <v>2808</v>
      </c>
      <c r="Y140" s="142">
        <v>0</v>
      </c>
      <c r="Z140" s="141">
        <v>32893</v>
      </c>
      <c r="AA140" s="141">
        <v>32893</v>
      </c>
      <c r="AB140" s="142">
        <v>0</v>
      </c>
      <c r="AF140" s="141">
        <v>18284</v>
      </c>
      <c r="AG140" s="141">
        <v>18286</v>
      </c>
      <c r="AH140" s="142">
        <v>2</v>
      </c>
    </row>
    <row r="141" spans="1:34">
      <c r="A141" s="144">
        <v>45123</v>
      </c>
      <c r="B141" s="141">
        <v>33914</v>
      </c>
      <c r="C141" s="141">
        <v>34091</v>
      </c>
      <c r="D141" s="142">
        <f t="shared" si="2"/>
        <v>177</v>
      </c>
      <c r="E141" s="141">
        <v>13936</v>
      </c>
      <c r="F141" s="141">
        <v>13936</v>
      </c>
      <c r="G141" s="142">
        <v>0</v>
      </c>
      <c r="H141" s="141">
        <v>471767</v>
      </c>
      <c r="I141" s="141">
        <v>471767</v>
      </c>
      <c r="J141" s="142">
        <v>0</v>
      </c>
      <c r="K141" s="141">
        <v>45944</v>
      </c>
      <c r="L141" s="141">
        <v>46014</v>
      </c>
      <c r="M141" s="142">
        <v>70</v>
      </c>
      <c r="Q141" s="141">
        <v>9608</v>
      </c>
      <c r="R141" s="141">
        <v>9608</v>
      </c>
      <c r="S141" s="142">
        <v>0</v>
      </c>
      <c r="T141" s="141">
        <v>3507</v>
      </c>
      <c r="U141" s="141">
        <v>3507</v>
      </c>
      <c r="V141" s="142">
        <v>0</v>
      </c>
      <c r="W141" s="141">
        <v>2808</v>
      </c>
      <c r="X141" s="141">
        <v>2808</v>
      </c>
      <c r="Y141" s="142">
        <v>0</v>
      </c>
      <c r="Z141" s="141">
        <v>32893</v>
      </c>
      <c r="AA141" s="141">
        <v>32893</v>
      </c>
      <c r="AB141" s="142">
        <v>0</v>
      </c>
      <c r="AF141" s="141">
        <v>18286</v>
      </c>
      <c r="AG141" s="141">
        <v>18289</v>
      </c>
      <c r="AH141" s="142">
        <v>3</v>
      </c>
    </row>
    <row r="142" spans="1:34">
      <c r="A142" s="144">
        <v>45124</v>
      </c>
      <c r="B142" s="141">
        <v>34091</v>
      </c>
      <c r="C142" s="141">
        <v>34144</v>
      </c>
      <c r="D142" s="142">
        <f t="shared" si="2"/>
        <v>53</v>
      </c>
      <c r="E142" s="141">
        <v>13936</v>
      </c>
      <c r="F142" s="141">
        <v>14145</v>
      </c>
      <c r="G142" s="142">
        <v>209</v>
      </c>
      <c r="H142" s="141">
        <v>471767</v>
      </c>
      <c r="I142" s="141">
        <v>472599</v>
      </c>
      <c r="J142" s="142">
        <v>832</v>
      </c>
      <c r="K142" s="141">
        <v>46014</v>
      </c>
      <c r="L142" s="141">
        <v>46057</v>
      </c>
      <c r="M142" s="142">
        <v>43</v>
      </c>
      <c r="Q142" s="141">
        <v>9608</v>
      </c>
      <c r="R142" s="141">
        <v>9986</v>
      </c>
      <c r="S142" s="142">
        <v>378</v>
      </c>
      <c r="T142" s="141">
        <v>3507</v>
      </c>
      <c r="U142" s="141">
        <v>3507</v>
      </c>
      <c r="V142" s="142">
        <v>0</v>
      </c>
      <c r="W142" s="141">
        <v>2808</v>
      </c>
      <c r="X142" s="141">
        <v>2820</v>
      </c>
      <c r="Y142" s="142">
        <v>12</v>
      </c>
      <c r="Z142" s="141">
        <v>32893</v>
      </c>
      <c r="AA142" s="141">
        <v>33072</v>
      </c>
      <c r="AB142" s="142">
        <v>179</v>
      </c>
      <c r="AF142" s="141">
        <v>18289</v>
      </c>
      <c r="AG142" s="141">
        <v>18290</v>
      </c>
      <c r="AH142" s="142">
        <v>1</v>
      </c>
    </row>
    <row r="143" spans="1:34">
      <c r="A143" s="144">
        <v>45125</v>
      </c>
      <c r="B143" s="141">
        <v>34144</v>
      </c>
      <c r="C143" s="141">
        <v>34164</v>
      </c>
      <c r="D143" s="142">
        <f t="shared" si="2"/>
        <v>20</v>
      </c>
      <c r="E143" s="141">
        <v>14145</v>
      </c>
      <c r="F143" s="141">
        <v>14188</v>
      </c>
      <c r="G143" s="142">
        <v>43</v>
      </c>
      <c r="H143" s="141">
        <v>472599</v>
      </c>
      <c r="I143" s="141">
        <v>472769</v>
      </c>
      <c r="J143" s="142">
        <v>170</v>
      </c>
      <c r="K143" s="141">
        <v>46057</v>
      </c>
      <c r="L143" s="141">
        <v>46123</v>
      </c>
      <c r="M143" s="142">
        <v>66</v>
      </c>
      <c r="Q143" s="141">
        <v>9986</v>
      </c>
      <c r="R143" s="141">
        <v>9997</v>
      </c>
      <c r="S143" s="142">
        <v>11</v>
      </c>
      <c r="T143" s="141">
        <v>3507</v>
      </c>
      <c r="U143" s="141">
        <v>3507</v>
      </c>
      <c r="V143" s="142">
        <v>0</v>
      </c>
      <c r="W143" s="141">
        <v>2820</v>
      </c>
      <c r="X143" s="141">
        <v>2820</v>
      </c>
      <c r="Y143" s="142">
        <v>0</v>
      </c>
      <c r="Z143" s="141">
        <v>33072</v>
      </c>
      <c r="AA143" s="141">
        <v>33084</v>
      </c>
      <c r="AB143" s="142">
        <v>12</v>
      </c>
      <c r="AF143" s="141">
        <v>18290</v>
      </c>
      <c r="AG143" s="141">
        <v>18292</v>
      </c>
      <c r="AH143" s="142">
        <v>2</v>
      </c>
    </row>
    <row r="144" spans="1:34">
      <c r="A144" s="144">
        <v>45126</v>
      </c>
      <c r="B144" s="141">
        <v>34164</v>
      </c>
      <c r="C144" s="141">
        <v>34172</v>
      </c>
      <c r="D144" s="142">
        <f t="shared" si="2"/>
        <v>8</v>
      </c>
      <c r="E144" s="141">
        <v>14188</v>
      </c>
      <c r="F144" s="141">
        <v>14248</v>
      </c>
      <c r="G144" s="142">
        <v>60</v>
      </c>
      <c r="H144" s="141">
        <v>472769</v>
      </c>
      <c r="I144" s="141">
        <v>472935</v>
      </c>
      <c r="J144" s="142">
        <v>166</v>
      </c>
      <c r="K144" s="141">
        <v>46123</v>
      </c>
      <c r="L144" s="141">
        <v>46171</v>
      </c>
      <c r="M144" s="142">
        <v>48</v>
      </c>
      <c r="Q144" s="141">
        <v>9997</v>
      </c>
      <c r="R144" s="141">
        <v>10006</v>
      </c>
      <c r="S144" s="142">
        <v>9</v>
      </c>
      <c r="T144" s="141">
        <v>3507</v>
      </c>
      <c r="U144" s="141">
        <v>3510</v>
      </c>
      <c r="V144" s="142">
        <v>3</v>
      </c>
      <c r="W144" s="141">
        <v>2820</v>
      </c>
      <c r="X144" s="141">
        <v>2827</v>
      </c>
      <c r="Y144" s="142">
        <v>7</v>
      </c>
      <c r="Z144" s="141">
        <v>33084</v>
      </c>
      <c r="AA144" s="141">
        <v>33142</v>
      </c>
      <c r="AB144" s="142">
        <v>58</v>
      </c>
      <c r="AF144" s="141">
        <v>18292</v>
      </c>
      <c r="AG144" s="141">
        <v>18305</v>
      </c>
      <c r="AH144" s="142">
        <v>13</v>
      </c>
    </row>
    <row r="145" spans="1:34">
      <c r="A145" s="144">
        <v>45127</v>
      </c>
      <c r="B145" s="141">
        <v>34172</v>
      </c>
      <c r="C145" s="141">
        <v>34235</v>
      </c>
      <c r="D145" s="142">
        <f t="shared" si="2"/>
        <v>63</v>
      </c>
      <c r="E145" s="141">
        <v>14248</v>
      </c>
      <c r="F145" s="141">
        <v>14275</v>
      </c>
      <c r="G145" s="142">
        <v>27</v>
      </c>
      <c r="H145" s="141">
        <v>472935</v>
      </c>
      <c r="I145" s="141">
        <v>473083</v>
      </c>
      <c r="J145" s="142">
        <v>148</v>
      </c>
      <c r="K145" s="141">
        <v>46171</v>
      </c>
      <c r="L145" s="141">
        <v>46220</v>
      </c>
      <c r="M145" s="142">
        <v>49</v>
      </c>
      <c r="Q145" s="141">
        <v>10006</v>
      </c>
      <c r="R145" s="141">
        <v>10136</v>
      </c>
      <c r="S145" s="142">
        <v>130</v>
      </c>
      <c r="T145" s="141">
        <v>3510</v>
      </c>
      <c r="U145" s="141">
        <v>3514</v>
      </c>
      <c r="V145" s="142">
        <v>4</v>
      </c>
      <c r="W145" s="141">
        <v>2827</v>
      </c>
      <c r="X145" s="141">
        <v>2828</v>
      </c>
      <c r="Y145" s="142">
        <v>1</v>
      </c>
      <c r="Z145" s="141">
        <v>33142</v>
      </c>
      <c r="AA145" s="141">
        <v>33142</v>
      </c>
      <c r="AB145" s="142">
        <v>0</v>
      </c>
      <c r="AF145" s="141">
        <v>18305</v>
      </c>
      <c r="AG145" s="141">
        <v>18314</v>
      </c>
      <c r="AH145" s="142">
        <v>9</v>
      </c>
    </row>
    <row r="146" spans="1:34">
      <c r="A146" s="144">
        <v>45128</v>
      </c>
      <c r="B146" s="141">
        <v>34235</v>
      </c>
      <c r="C146" s="141">
        <v>34235</v>
      </c>
      <c r="D146" s="142">
        <f t="shared" si="2"/>
        <v>0</v>
      </c>
      <c r="E146" s="141">
        <v>14275</v>
      </c>
      <c r="F146" s="141">
        <v>14338</v>
      </c>
      <c r="G146" s="142">
        <v>63</v>
      </c>
      <c r="H146" s="141">
        <v>473083</v>
      </c>
      <c r="I146" s="141">
        <v>473239</v>
      </c>
      <c r="J146" s="142">
        <v>156</v>
      </c>
      <c r="K146" s="141">
        <v>46171</v>
      </c>
      <c r="L146" s="141">
        <v>46238</v>
      </c>
      <c r="M146" s="142">
        <v>67</v>
      </c>
      <c r="Q146" s="141">
        <v>10136</v>
      </c>
      <c r="R146" s="141">
        <v>10249</v>
      </c>
      <c r="S146" s="142">
        <v>113</v>
      </c>
      <c r="T146" s="141">
        <v>3514</v>
      </c>
      <c r="U146" s="141">
        <v>3515</v>
      </c>
      <c r="V146" s="142">
        <v>1</v>
      </c>
      <c r="W146" s="141">
        <v>2828</v>
      </c>
      <c r="X146" s="141">
        <v>2829</v>
      </c>
      <c r="Y146" s="142">
        <v>1</v>
      </c>
      <c r="Z146" s="141">
        <v>33142</v>
      </c>
      <c r="AA146" s="141">
        <v>33142</v>
      </c>
      <c r="AB146" s="142">
        <v>0</v>
      </c>
      <c r="AF146" s="141">
        <v>18314</v>
      </c>
      <c r="AG146" s="141">
        <v>18314</v>
      </c>
      <c r="AH146" s="142">
        <v>4</v>
      </c>
    </row>
    <row r="147" spans="1:34">
      <c r="A147" s="144">
        <v>45129</v>
      </c>
      <c r="B147" s="141">
        <v>34235</v>
      </c>
      <c r="C147" s="141">
        <v>34235</v>
      </c>
      <c r="D147" s="142">
        <f t="shared" si="2"/>
        <v>0</v>
      </c>
      <c r="E147" s="141">
        <v>14338</v>
      </c>
      <c r="F147" s="141">
        <v>14404</v>
      </c>
      <c r="G147" s="142">
        <v>66</v>
      </c>
      <c r="H147" s="141">
        <v>473239</v>
      </c>
      <c r="I147" s="141">
        <v>473317</v>
      </c>
      <c r="J147" s="142">
        <v>78</v>
      </c>
      <c r="K147" s="141">
        <v>46288</v>
      </c>
      <c r="L147" s="141">
        <v>46300</v>
      </c>
      <c r="M147" s="142">
        <v>12</v>
      </c>
      <c r="Q147" s="141">
        <v>10249</v>
      </c>
      <c r="R147" s="141">
        <v>10257</v>
      </c>
      <c r="S147" s="142">
        <v>8</v>
      </c>
      <c r="T147" s="141">
        <v>3515</v>
      </c>
      <c r="U147" s="141">
        <v>3521</v>
      </c>
      <c r="V147" s="142">
        <v>6</v>
      </c>
      <c r="W147" s="141">
        <v>2829</v>
      </c>
      <c r="X147" s="141">
        <v>2834</v>
      </c>
      <c r="Y147" s="142">
        <v>5</v>
      </c>
      <c r="Z147" s="141">
        <v>33142</v>
      </c>
      <c r="AA147" s="141">
        <v>33142</v>
      </c>
      <c r="AB147" s="142">
        <v>0</v>
      </c>
      <c r="AF147" s="141">
        <v>18314</v>
      </c>
      <c r="AG147" s="141">
        <v>18314</v>
      </c>
      <c r="AH147" s="142">
        <v>6</v>
      </c>
    </row>
    <row r="148" spans="1:34">
      <c r="A148" s="144">
        <v>45130</v>
      </c>
      <c r="B148" s="141">
        <v>34235</v>
      </c>
      <c r="C148" s="141">
        <v>34235</v>
      </c>
      <c r="D148" s="142">
        <f t="shared" si="2"/>
        <v>0</v>
      </c>
      <c r="E148" s="141">
        <v>14404</v>
      </c>
      <c r="F148" s="141">
        <v>14468</v>
      </c>
      <c r="G148" s="142">
        <v>64</v>
      </c>
      <c r="H148" s="141">
        <v>473317</v>
      </c>
      <c r="I148" s="141">
        <v>473498</v>
      </c>
      <c r="J148" s="142">
        <v>181</v>
      </c>
      <c r="K148" s="141">
        <v>46300</v>
      </c>
      <c r="L148" s="141">
        <v>46351</v>
      </c>
      <c r="M148" s="142">
        <v>51</v>
      </c>
      <c r="Q148" s="141">
        <v>10257</v>
      </c>
      <c r="R148" s="141">
        <v>10543</v>
      </c>
      <c r="S148" s="142">
        <v>286</v>
      </c>
      <c r="T148" s="141">
        <v>3521</v>
      </c>
      <c r="U148" s="141">
        <v>3523</v>
      </c>
      <c r="V148" s="142">
        <v>2</v>
      </c>
      <c r="W148" s="141">
        <v>2834</v>
      </c>
      <c r="X148" s="141">
        <v>2835</v>
      </c>
      <c r="Y148" s="142">
        <v>1</v>
      </c>
      <c r="Z148" s="141">
        <v>33142</v>
      </c>
      <c r="AA148" s="141">
        <v>33142</v>
      </c>
      <c r="AB148" s="142">
        <v>0</v>
      </c>
      <c r="AF148" s="141">
        <v>18314</v>
      </c>
      <c r="AG148" s="141">
        <v>18314</v>
      </c>
      <c r="AH148" s="142">
        <v>10</v>
      </c>
    </row>
    <row r="149" spans="1:34">
      <c r="A149" s="144">
        <v>45131</v>
      </c>
      <c r="B149" s="141">
        <v>34235</v>
      </c>
      <c r="C149" s="141">
        <v>34367</v>
      </c>
      <c r="D149" s="142">
        <f t="shared" si="2"/>
        <v>132</v>
      </c>
      <c r="E149" s="141">
        <v>14468</v>
      </c>
      <c r="F149" s="141">
        <v>14537</v>
      </c>
      <c r="G149" s="142">
        <v>69</v>
      </c>
      <c r="H149" s="141">
        <v>473498</v>
      </c>
      <c r="I149" s="141">
        <v>473652</v>
      </c>
      <c r="J149" s="142">
        <v>154</v>
      </c>
      <c r="K149" s="141">
        <v>46351</v>
      </c>
      <c r="L149" s="141">
        <v>46418</v>
      </c>
      <c r="M149" s="142">
        <v>67</v>
      </c>
      <c r="Q149" s="141">
        <v>10543</v>
      </c>
      <c r="R149" s="141">
        <v>10558</v>
      </c>
      <c r="S149" s="142">
        <v>15</v>
      </c>
      <c r="T149" s="141">
        <v>3523</v>
      </c>
      <c r="U149" s="141">
        <v>3527</v>
      </c>
      <c r="V149" s="142">
        <v>4</v>
      </c>
      <c r="W149" s="141">
        <v>2835</v>
      </c>
      <c r="X149" s="141">
        <v>2836</v>
      </c>
      <c r="Y149" s="142">
        <v>1</v>
      </c>
      <c r="Z149" s="141">
        <v>33142</v>
      </c>
      <c r="AA149" s="141">
        <v>33142</v>
      </c>
      <c r="AB149" s="142">
        <v>0</v>
      </c>
      <c r="AF149" s="141">
        <v>18314</v>
      </c>
      <c r="AG149" s="141">
        <v>18314</v>
      </c>
      <c r="AH149" s="142">
        <v>8</v>
      </c>
    </row>
    <row r="150" spans="1:34">
      <c r="A150" s="144">
        <v>45132</v>
      </c>
      <c r="B150" s="141">
        <v>34367</v>
      </c>
      <c r="C150" s="141">
        <v>34421</v>
      </c>
      <c r="D150" s="142">
        <f t="shared" si="2"/>
        <v>54</v>
      </c>
      <c r="E150" s="141">
        <v>14537</v>
      </c>
      <c r="F150" s="141">
        <v>14617</v>
      </c>
      <c r="G150" s="142">
        <v>80</v>
      </c>
      <c r="H150" s="141">
        <v>473652</v>
      </c>
      <c r="I150" s="141">
        <v>473687</v>
      </c>
      <c r="J150" s="142">
        <v>35</v>
      </c>
      <c r="K150" s="141">
        <v>46418</v>
      </c>
      <c r="L150" s="141">
        <v>46456</v>
      </c>
      <c r="M150" s="142">
        <v>38</v>
      </c>
      <c r="Q150" s="141">
        <v>10558</v>
      </c>
      <c r="R150" s="141">
        <v>10584</v>
      </c>
      <c r="S150" s="142">
        <v>26</v>
      </c>
      <c r="T150" s="141">
        <v>3527</v>
      </c>
      <c r="U150" s="141">
        <v>3531</v>
      </c>
      <c r="V150" s="142">
        <v>4</v>
      </c>
      <c r="W150" s="141">
        <v>2836</v>
      </c>
      <c r="X150" s="141">
        <v>2837</v>
      </c>
      <c r="Y150" s="142">
        <v>1</v>
      </c>
      <c r="Z150" s="141">
        <v>33142</v>
      </c>
      <c r="AA150" s="141">
        <v>33142</v>
      </c>
      <c r="AB150" s="142">
        <v>0</v>
      </c>
      <c r="AF150" s="141">
        <v>18314</v>
      </c>
      <c r="AG150" s="141">
        <v>18314</v>
      </c>
      <c r="AH150" s="142">
        <v>11</v>
      </c>
    </row>
    <row r="151" spans="1:34">
      <c r="A151" s="144">
        <v>45133</v>
      </c>
      <c r="B151" s="141">
        <v>34421</v>
      </c>
      <c r="C151" s="141">
        <v>34501</v>
      </c>
      <c r="D151" s="142">
        <f t="shared" si="2"/>
        <v>80</v>
      </c>
      <c r="E151" s="141">
        <v>14617</v>
      </c>
      <c r="F151" s="141">
        <v>14661</v>
      </c>
      <c r="G151" s="142">
        <v>44</v>
      </c>
      <c r="H151" s="141">
        <v>473687</v>
      </c>
      <c r="I151" s="141">
        <v>473687</v>
      </c>
      <c r="J151" s="142">
        <v>0</v>
      </c>
      <c r="K151" s="141">
        <v>46456</v>
      </c>
      <c r="L151" s="141">
        <v>46500</v>
      </c>
      <c r="M151" s="142">
        <v>44</v>
      </c>
      <c r="Q151" s="141">
        <v>10584</v>
      </c>
      <c r="R151" s="141">
        <v>10596</v>
      </c>
      <c r="S151" s="142">
        <v>12</v>
      </c>
      <c r="T151" s="141">
        <v>3531</v>
      </c>
      <c r="U151" s="141">
        <v>3533</v>
      </c>
      <c r="V151" s="142">
        <v>2</v>
      </c>
      <c r="W151" s="141">
        <v>2837</v>
      </c>
      <c r="X151" s="141">
        <v>2838</v>
      </c>
      <c r="Y151" s="142">
        <v>1</v>
      </c>
      <c r="Z151" s="141">
        <v>33142</v>
      </c>
      <c r="AA151" s="141">
        <v>33142</v>
      </c>
      <c r="AB151" s="142">
        <v>0</v>
      </c>
      <c r="AF151" s="141">
        <v>18314</v>
      </c>
      <c r="AG151" s="141">
        <v>18314</v>
      </c>
      <c r="AH151" s="142">
        <v>16</v>
      </c>
    </row>
    <row r="152" spans="1:34">
      <c r="A152" s="144">
        <v>45134</v>
      </c>
      <c r="B152" s="141">
        <v>34501</v>
      </c>
      <c r="C152" s="141">
        <v>34520</v>
      </c>
      <c r="D152" s="142">
        <f t="shared" si="2"/>
        <v>19</v>
      </c>
      <c r="E152" s="141">
        <v>14661</v>
      </c>
      <c r="F152" s="141">
        <v>14701</v>
      </c>
      <c r="G152" s="142">
        <v>40</v>
      </c>
      <c r="H152" s="141">
        <v>473687</v>
      </c>
      <c r="I152" s="141">
        <v>474096</v>
      </c>
      <c r="J152" s="142">
        <v>409</v>
      </c>
      <c r="K152" s="141">
        <v>46500</v>
      </c>
      <c r="L152" s="141">
        <v>46560</v>
      </c>
      <c r="M152" s="142">
        <v>60</v>
      </c>
      <c r="Q152" s="141">
        <v>10596</v>
      </c>
      <c r="R152" s="141">
        <v>10612</v>
      </c>
      <c r="S152" s="142">
        <v>16</v>
      </c>
      <c r="T152" s="141">
        <v>3533</v>
      </c>
      <c r="U152" s="141">
        <v>3534</v>
      </c>
      <c r="V152" s="142">
        <v>1</v>
      </c>
      <c r="W152" s="141">
        <v>2838</v>
      </c>
      <c r="X152" s="141">
        <v>2839</v>
      </c>
      <c r="Y152" s="142">
        <v>1</v>
      </c>
      <c r="Z152" s="141">
        <v>33142</v>
      </c>
      <c r="AA152" s="141">
        <v>33142</v>
      </c>
      <c r="AB152" s="142">
        <v>0</v>
      </c>
      <c r="AF152" s="141">
        <v>18314</v>
      </c>
      <c r="AG152" s="141">
        <v>18314</v>
      </c>
      <c r="AH152" s="142">
        <v>8</v>
      </c>
    </row>
    <row r="153" spans="1:34">
      <c r="A153" s="144">
        <v>45135</v>
      </c>
      <c r="B153" s="141">
        <v>34520</v>
      </c>
      <c r="C153" s="141">
        <v>34522</v>
      </c>
      <c r="D153" s="142">
        <f t="shared" si="2"/>
        <v>2</v>
      </c>
      <c r="E153" s="141">
        <v>14701</v>
      </c>
      <c r="F153" s="141">
        <v>14747</v>
      </c>
      <c r="G153" s="142">
        <v>46</v>
      </c>
      <c r="H153" s="141">
        <v>474096</v>
      </c>
      <c r="I153" s="141">
        <v>474261</v>
      </c>
      <c r="J153" s="142">
        <v>165</v>
      </c>
      <c r="K153" s="141">
        <v>46560</v>
      </c>
      <c r="L153" s="141">
        <v>46606</v>
      </c>
      <c r="M153" s="142">
        <v>46</v>
      </c>
      <c r="Q153" s="141">
        <v>10612</v>
      </c>
      <c r="R153" s="141">
        <v>10642</v>
      </c>
      <c r="S153" s="142">
        <v>30</v>
      </c>
      <c r="T153" s="141">
        <v>3534</v>
      </c>
      <c r="U153" s="141">
        <v>3535</v>
      </c>
      <c r="V153" s="142">
        <v>1</v>
      </c>
      <c r="W153" s="141">
        <v>2839</v>
      </c>
      <c r="X153" s="141">
        <v>2839</v>
      </c>
      <c r="Y153" s="142">
        <v>0</v>
      </c>
      <c r="Z153" s="141">
        <v>33142</v>
      </c>
      <c r="AA153" s="141">
        <v>33142</v>
      </c>
      <c r="AB153" s="142">
        <v>0</v>
      </c>
      <c r="AF153" s="141">
        <v>18314</v>
      </c>
      <c r="AG153" s="141">
        <v>18314</v>
      </c>
      <c r="AH153" s="142">
        <v>10</v>
      </c>
    </row>
    <row r="154" spans="1:34">
      <c r="A154" s="144">
        <v>45136</v>
      </c>
      <c r="B154" s="141">
        <v>34522</v>
      </c>
      <c r="C154" s="141">
        <v>34526</v>
      </c>
      <c r="D154" s="142">
        <f t="shared" si="2"/>
        <v>4</v>
      </c>
      <c r="E154" s="141">
        <v>14747</v>
      </c>
      <c r="F154" s="141">
        <v>14817</v>
      </c>
      <c r="G154" s="142">
        <v>70</v>
      </c>
      <c r="H154" s="141">
        <v>474261</v>
      </c>
      <c r="I154" s="141">
        <v>474431</v>
      </c>
      <c r="J154" s="142">
        <v>170</v>
      </c>
      <c r="K154" s="141">
        <v>46606</v>
      </c>
      <c r="L154" s="141">
        <v>46653</v>
      </c>
      <c r="M154" s="142">
        <v>47</v>
      </c>
      <c r="Q154" s="141">
        <v>10642</v>
      </c>
      <c r="R154" s="141">
        <v>10712</v>
      </c>
      <c r="S154" s="142">
        <v>70</v>
      </c>
      <c r="T154" s="141">
        <v>3535</v>
      </c>
      <c r="U154" s="141">
        <v>3536</v>
      </c>
      <c r="V154" s="142">
        <v>1</v>
      </c>
      <c r="W154" s="141">
        <v>2839</v>
      </c>
      <c r="X154" s="141">
        <v>2840</v>
      </c>
      <c r="Y154" s="142">
        <v>1</v>
      </c>
      <c r="Z154" s="141">
        <v>33142</v>
      </c>
      <c r="AA154" s="141">
        <v>33142</v>
      </c>
      <c r="AB154" s="142">
        <v>0</v>
      </c>
      <c r="AF154" s="141">
        <v>18314</v>
      </c>
      <c r="AG154" s="141">
        <v>18314</v>
      </c>
      <c r="AH154" s="142">
        <v>8</v>
      </c>
    </row>
    <row r="155" spans="1:34">
      <c r="A155" s="144">
        <v>45137</v>
      </c>
      <c r="B155" s="141">
        <v>34526</v>
      </c>
      <c r="C155" s="141">
        <v>34530</v>
      </c>
      <c r="D155" s="142">
        <f t="shared" si="2"/>
        <v>4</v>
      </c>
      <c r="E155" s="141">
        <v>14817</v>
      </c>
      <c r="F155" s="141">
        <v>14875</v>
      </c>
      <c r="G155" s="142">
        <v>58</v>
      </c>
      <c r="H155" s="141">
        <v>474431</v>
      </c>
      <c r="I155" s="141">
        <v>474436</v>
      </c>
      <c r="J155" s="142">
        <v>5</v>
      </c>
      <c r="K155" s="141">
        <v>46653</v>
      </c>
      <c r="L155" s="141">
        <v>46708</v>
      </c>
      <c r="M155" s="142">
        <v>55</v>
      </c>
      <c r="Q155" s="141">
        <v>10712</v>
      </c>
      <c r="R155" s="141">
        <v>10732</v>
      </c>
      <c r="S155" s="142">
        <v>20</v>
      </c>
      <c r="T155" s="141">
        <v>3536</v>
      </c>
      <c r="U155" s="141">
        <v>3537</v>
      </c>
      <c r="V155" s="142">
        <v>1</v>
      </c>
      <c r="W155" s="141">
        <v>2840</v>
      </c>
      <c r="X155" s="141">
        <v>2840</v>
      </c>
      <c r="Y155" s="142">
        <v>0</v>
      </c>
      <c r="Z155" s="141">
        <v>33142</v>
      </c>
      <c r="AA155" s="141">
        <v>33142</v>
      </c>
      <c r="AB155" s="142">
        <v>0</v>
      </c>
      <c r="AF155" s="141">
        <v>18314</v>
      </c>
      <c r="AH155" s="142">
        <v>-18314</v>
      </c>
    </row>
    <row r="156" spans="1:34">
      <c r="A156" s="144">
        <v>45138</v>
      </c>
      <c r="B156" s="141">
        <v>34530</v>
      </c>
      <c r="C156" s="141">
        <v>34605</v>
      </c>
      <c r="D156" s="142">
        <f t="shared" si="2"/>
        <v>75</v>
      </c>
      <c r="E156" s="141">
        <v>14875</v>
      </c>
      <c r="F156" s="141">
        <v>14945</v>
      </c>
      <c r="G156" s="142">
        <v>70</v>
      </c>
      <c r="H156" s="141">
        <v>474436</v>
      </c>
      <c r="I156" s="141">
        <v>474436</v>
      </c>
      <c r="J156" s="142">
        <v>0</v>
      </c>
      <c r="K156" s="141">
        <v>46708</v>
      </c>
      <c r="L156" s="141">
        <v>46750</v>
      </c>
      <c r="M156" s="142">
        <v>42</v>
      </c>
      <c r="Q156" s="141">
        <v>10732</v>
      </c>
      <c r="R156" s="141">
        <v>10741</v>
      </c>
      <c r="S156" s="142">
        <v>9</v>
      </c>
      <c r="T156" s="141">
        <v>3537</v>
      </c>
      <c r="U156" s="141">
        <v>3538</v>
      </c>
      <c r="V156" s="142">
        <v>1</v>
      </c>
      <c r="W156" s="141">
        <v>2840</v>
      </c>
      <c r="X156" s="141">
        <v>2841</v>
      </c>
      <c r="Y156" s="142">
        <v>1</v>
      </c>
      <c r="Z156" s="141">
        <v>33142</v>
      </c>
      <c r="AA156" s="141">
        <v>33142</v>
      </c>
      <c r="AB156" s="142">
        <v>0</v>
      </c>
    </row>
    <row r="157" spans="1:34">
      <c r="A157" s="144">
        <v>45139</v>
      </c>
      <c r="B157" s="141">
        <v>34605</v>
      </c>
      <c r="C157" s="141">
        <v>34658</v>
      </c>
      <c r="D157" s="142">
        <f t="shared" si="2"/>
        <v>53</v>
      </c>
      <c r="E157" s="141">
        <v>14945</v>
      </c>
      <c r="F157" s="141">
        <v>15103</v>
      </c>
      <c r="G157" s="142">
        <v>158</v>
      </c>
      <c r="H157" s="141">
        <v>474436</v>
      </c>
      <c r="I157" s="141">
        <v>474541</v>
      </c>
      <c r="J157" s="142">
        <v>105</v>
      </c>
      <c r="K157" s="141">
        <v>46750</v>
      </c>
      <c r="L157" s="141">
        <v>46811</v>
      </c>
      <c r="M157" s="142">
        <v>61</v>
      </c>
      <c r="Q157" s="141">
        <v>10741</v>
      </c>
      <c r="R157" s="141">
        <v>10758</v>
      </c>
      <c r="S157" s="142">
        <v>17</v>
      </c>
      <c r="T157" s="141">
        <v>3538</v>
      </c>
      <c r="U157" s="141">
        <v>3540</v>
      </c>
      <c r="V157" s="142">
        <v>2</v>
      </c>
      <c r="W157" s="141">
        <v>2841</v>
      </c>
      <c r="X157" s="141">
        <v>2842</v>
      </c>
      <c r="Y157" s="142">
        <v>1</v>
      </c>
      <c r="Z157" s="141">
        <v>33142</v>
      </c>
      <c r="AA157" s="141">
        <v>33663</v>
      </c>
      <c r="AB157" s="142">
        <v>521</v>
      </c>
    </row>
    <row r="158" spans="1:34">
      <c r="A158" s="144">
        <v>45140</v>
      </c>
      <c r="B158" s="141">
        <v>34658</v>
      </c>
      <c r="C158" s="141">
        <v>34748</v>
      </c>
      <c r="D158" s="142">
        <f t="shared" si="2"/>
        <v>90</v>
      </c>
      <c r="E158" s="141">
        <v>15103</v>
      </c>
      <c r="F158" s="141">
        <v>15173</v>
      </c>
      <c r="G158" s="142">
        <v>70</v>
      </c>
      <c r="H158" s="141">
        <v>474541</v>
      </c>
      <c r="I158" s="141">
        <v>474541</v>
      </c>
      <c r="J158" s="142">
        <v>0</v>
      </c>
      <c r="K158" s="141">
        <v>46811</v>
      </c>
      <c r="L158" s="141">
        <v>46886</v>
      </c>
      <c r="M158" s="142">
        <v>75</v>
      </c>
      <c r="Q158" s="141">
        <v>10758</v>
      </c>
      <c r="R158" s="141">
        <v>10761</v>
      </c>
      <c r="S158" s="142">
        <v>3</v>
      </c>
      <c r="T158" s="141">
        <v>3540</v>
      </c>
      <c r="U158" s="141">
        <v>3543</v>
      </c>
      <c r="V158" s="142">
        <v>3</v>
      </c>
      <c r="W158" s="141">
        <v>2842</v>
      </c>
      <c r="X158" s="141">
        <v>2843</v>
      </c>
      <c r="Y158" s="142">
        <v>1</v>
      </c>
      <c r="Z158" s="141">
        <v>33663</v>
      </c>
      <c r="AA158" s="141">
        <v>33682</v>
      </c>
      <c r="AB158" s="142">
        <v>19</v>
      </c>
    </row>
    <row r="159" spans="1:34">
      <c r="A159" s="144">
        <v>45141</v>
      </c>
      <c r="B159" s="141">
        <v>34748</v>
      </c>
      <c r="C159" s="141">
        <v>34772</v>
      </c>
      <c r="D159" s="142">
        <f t="shared" si="2"/>
        <v>24</v>
      </c>
      <c r="E159" s="141">
        <v>15173</v>
      </c>
      <c r="F159" s="141">
        <v>15173</v>
      </c>
      <c r="G159" s="142">
        <v>0</v>
      </c>
      <c r="H159" s="141">
        <v>474541</v>
      </c>
      <c r="I159" s="141">
        <v>474835</v>
      </c>
      <c r="J159" s="142">
        <v>294</v>
      </c>
      <c r="K159" s="141">
        <v>46886</v>
      </c>
      <c r="L159" s="141">
        <v>46941</v>
      </c>
      <c r="M159" s="142">
        <v>55</v>
      </c>
      <c r="Q159" s="141">
        <v>10761</v>
      </c>
      <c r="R159" s="141">
        <v>10770</v>
      </c>
      <c r="S159" s="142">
        <v>9</v>
      </c>
      <c r="T159" s="141">
        <v>3543</v>
      </c>
      <c r="U159" s="141">
        <v>3545</v>
      </c>
      <c r="V159" s="142">
        <v>2</v>
      </c>
      <c r="W159" s="141">
        <v>2843</v>
      </c>
      <c r="X159" s="141">
        <v>2844</v>
      </c>
      <c r="Y159" s="142">
        <v>1</v>
      </c>
      <c r="Z159" s="141">
        <v>33682</v>
      </c>
      <c r="AA159" s="141">
        <v>33682</v>
      </c>
      <c r="AB159" s="142">
        <v>0</v>
      </c>
    </row>
    <row r="160" spans="1:34">
      <c r="A160" s="144">
        <v>45142</v>
      </c>
      <c r="B160" s="141">
        <v>34772</v>
      </c>
      <c r="C160" s="141">
        <v>34772</v>
      </c>
      <c r="D160" s="142">
        <f t="shared" si="2"/>
        <v>0</v>
      </c>
      <c r="E160" s="141">
        <v>15173</v>
      </c>
      <c r="F160" s="141">
        <v>15193</v>
      </c>
      <c r="G160" s="142">
        <v>20</v>
      </c>
      <c r="H160" s="141">
        <v>474835</v>
      </c>
      <c r="I160" s="141">
        <v>474972</v>
      </c>
      <c r="J160" s="142">
        <v>137</v>
      </c>
      <c r="K160" s="141">
        <v>46941</v>
      </c>
      <c r="L160" s="141">
        <v>46991</v>
      </c>
      <c r="M160" s="142">
        <v>50</v>
      </c>
      <c r="Q160" s="141">
        <v>10770</v>
      </c>
      <c r="R160" s="141">
        <v>10857</v>
      </c>
      <c r="S160" s="142">
        <v>87</v>
      </c>
      <c r="T160" s="141">
        <v>3545</v>
      </c>
      <c r="U160" s="141">
        <v>3548</v>
      </c>
      <c r="V160" s="142">
        <v>3</v>
      </c>
      <c r="W160" s="141">
        <v>2844</v>
      </c>
      <c r="X160" s="141">
        <v>2845</v>
      </c>
      <c r="Y160" s="142">
        <v>1</v>
      </c>
      <c r="Z160" s="141">
        <v>33682</v>
      </c>
      <c r="AA160" s="141">
        <v>33685</v>
      </c>
      <c r="AB160" s="142">
        <v>3</v>
      </c>
    </row>
    <row r="161" spans="1:28">
      <c r="A161" s="144">
        <v>45143</v>
      </c>
      <c r="B161" s="141">
        <v>34772</v>
      </c>
      <c r="C161" s="141">
        <v>34772</v>
      </c>
      <c r="D161" s="142">
        <f t="shared" si="2"/>
        <v>0</v>
      </c>
      <c r="E161" s="141">
        <v>15193</v>
      </c>
      <c r="F161" s="141">
        <v>15264</v>
      </c>
      <c r="G161" s="142">
        <v>71</v>
      </c>
      <c r="H161" s="141">
        <v>474972</v>
      </c>
      <c r="I161" s="141">
        <v>475171</v>
      </c>
      <c r="J161" s="142">
        <v>199</v>
      </c>
      <c r="K161" s="141">
        <v>46991</v>
      </c>
      <c r="L161" s="141">
        <v>47052</v>
      </c>
      <c r="M161" s="142">
        <v>61</v>
      </c>
      <c r="Q161" s="141">
        <v>10857</v>
      </c>
      <c r="R161" s="141">
        <v>10862</v>
      </c>
      <c r="S161" s="142">
        <v>5</v>
      </c>
      <c r="T161" s="141">
        <v>3548</v>
      </c>
      <c r="U161" s="141">
        <v>3651</v>
      </c>
      <c r="V161" s="142">
        <v>103</v>
      </c>
      <c r="W161" s="141">
        <v>2845</v>
      </c>
      <c r="X161" s="141">
        <v>2846</v>
      </c>
      <c r="Y161" s="142">
        <v>1</v>
      </c>
      <c r="Z161" s="141">
        <v>33685</v>
      </c>
      <c r="AA161" s="141">
        <v>33762</v>
      </c>
      <c r="AB161" s="142">
        <v>77</v>
      </c>
    </row>
    <row r="162" spans="1:28">
      <c r="A162" s="144">
        <v>45144</v>
      </c>
      <c r="B162" s="141">
        <v>34772</v>
      </c>
      <c r="C162" s="141">
        <v>34803</v>
      </c>
      <c r="D162" s="142">
        <f t="shared" si="2"/>
        <v>31</v>
      </c>
      <c r="E162" s="141">
        <v>15264</v>
      </c>
      <c r="F162" s="141">
        <v>15272</v>
      </c>
      <c r="G162" s="142">
        <v>8</v>
      </c>
      <c r="H162" s="141">
        <v>475171</v>
      </c>
      <c r="I162" s="141">
        <v>475349</v>
      </c>
      <c r="J162" s="142">
        <v>178</v>
      </c>
      <c r="K162" s="141">
        <v>47052</v>
      </c>
      <c r="L162" s="141">
        <v>47107</v>
      </c>
      <c r="M162" s="142">
        <v>55</v>
      </c>
      <c r="Q162" s="141">
        <v>10862</v>
      </c>
      <c r="R162" s="141">
        <v>10873</v>
      </c>
      <c r="S162" s="142">
        <v>11</v>
      </c>
      <c r="T162" s="141">
        <v>3651</v>
      </c>
      <c r="U162" s="141">
        <v>3654</v>
      </c>
      <c r="V162" s="142">
        <v>3</v>
      </c>
      <c r="W162" s="141">
        <v>2846</v>
      </c>
      <c r="X162" s="141">
        <v>2847</v>
      </c>
      <c r="Y162" s="142">
        <v>1</v>
      </c>
      <c r="Z162" s="141">
        <v>33762</v>
      </c>
      <c r="AA162" s="141">
        <v>33782</v>
      </c>
      <c r="AB162" s="142">
        <v>20</v>
      </c>
    </row>
    <row r="163" spans="1:28">
      <c r="A163" s="144">
        <v>45145</v>
      </c>
      <c r="B163" s="141">
        <v>34803</v>
      </c>
      <c r="C163" s="141">
        <v>34803</v>
      </c>
      <c r="D163" s="142">
        <f t="shared" si="2"/>
        <v>0</v>
      </c>
      <c r="E163" s="141">
        <v>15272</v>
      </c>
      <c r="F163" s="141">
        <v>15272</v>
      </c>
      <c r="G163" s="142">
        <v>0</v>
      </c>
      <c r="H163" s="141">
        <v>475349</v>
      </c>
      <c r="I163" s="141">
        <v>475349</v>
      </c>
      <c r="J163" s="142">
        <v>0</v>
      </c>
      <c r="K163" s="141">
        <v>47107</v>
      </c>
      <c r="L163" s="141">
        <v>47144</v>
      </c>
      <c r="M163" s="142">
        <v>37</v>
      </c>
      <c r="Q163" s="141">
        <v>10873</v>
      </c>
      <c r="R163" s="141">
        <v>10873</v>
      </c>
      <c r="S163" s="142">
        <v>0</v>
      </c>
      <c r="T163" s="141">
        <v>3654</v>
      </c>
      <c r="U163" s="141">
        <v>3654</v>
      </c>
      <c r="V163" s="142">
        <v>0</v>
      </c>
      <c r="W163" s="141">
        <v>2847</v>
      </c>
      <c r="X163" s="141">
        <v>2847</v>
      </c>
      <c r="Y163" s="142">
        <v>0</v>
      </c>
      <c r="Z163" s="141">
        <v>33782</v>
      </c>
      <c r="AA163" s="141">
        <v>33782</v>
      </c>
      <c r="AB163" s="142">
        <v>0</v>
      </c>
    </row>
    <row r="164" spans="1:28">
      <c r="A164" s="144">
        <v>45146</v>
      </c>
      <c r="B164" s="141">
        <v>34803</v>
      </c>
      <c r="C164" s="141">
        <v>34803</v>
      </c>
      <c r="D164" s="142">
        <f t="shared" si="2"/>
        <v>0</v>
      </c>
      <c r="E164" s="141">
        <v>15272</v>
      </c>
      <c r="F164" s="141">
        <v>15272</v>
      </c>
      <c r="G164" s="142">
        <v>0</v>
      </c>
      <c r="H164" s="141">
        <v>475349</v>
      </c>
      <c r="I164" s="141">
        <v>475349</v>
      </c>
      <c r="J164" s="142">
        <v>0</v>
      </c>
      <c r="K164" s="141">
        <v>47144</v>
      </c>
      <c r="L164" s="141">
        <v>47199</v>
      </c>
      <c r="M164" s="142">
        <v>55</v>
      </c>
      <c r="Q164" s="141">
        <v>10873</v>
      </c>
      <c r="R164" s="141">
        <v>10873</v>
      </c>
      <c r="S164" s="142">
        <v>0</v>
      </c>
      <c r="T164" s="141">
        <v>3654</v>
      </c>
      <c r="U164" s="141">
        <v>3654</v>
      </c>
      <c r="V164" s="142">
        <v>0</v>
      </c>
      <c r="W164" s="141">
        <v>2847</v>
      </c>
      <c r="X164" s="141">
        <v>2847</v>
      </c>
      <c r="Y164" s="142">
        <v>0</v>
      </c>
      <c r="Z164" s="141">
        <v>33782</v>
      </c>
      <c r="AA164" s="141">
        <v>33782</v>
      </c>
      <c r="AB164" s="142">
        <v>0</v>
      </c>
    </row>
    <row r="165" spans="1:28">
      <c r="A165" s="144">
        <v>45147</v>
      </c>
      <c r="B165" s="141">
        <v>34803</v>
      </c>
      <c r="C165" s="141">
        <v>34803</v>
      </c>
      <c r="D165" s="142">
        <f t="shared" si="2"/>
        <v>0</v>
      </c>
      <c r="E165" s="141">
        <v>15272</v>
      </c>
      <c r="F165" s="141">
        <v>15272</v>
      </c>
      <c r="G165" s="142">
        <v>0</v>
      </c>
      <c r="H165" s="141">
        <v>475349</v>
      </c>
      <c r="I165" s="141">
        <v>475349</v>
      </c>
      <c r="J165" s="142">
        <v>0</v>
      </c>
      <c r="K165" s="141">
        <v>47199</v>
      </c>
      <c r="L165" s="141">
        <v>47250</v>
      </c>
      <c r="M165" s="142">
        <v>51</v>
      </c>
      <c r="Q165" s="141">
        <v>10873</v>
      </c>
      <c r="R165" s="141">
        <v>10873</v>
      </c>
      <c r="S165" s="142">
        <v>0</v>
      </c>
      <c r="T165" s="141">
        <v>3654</v>
      </c>
      <c r="U165" s="141">
        <v>3654</v>
      </c>
      <c r="V165" s="142">
        <v>0</v>
      </c>
      <c r="W165" s="141">
        <v>2847</v>
      </c>
      <c r="X165" s="141">
        <v>2847</v>
      </c>
      <c r="Y165" s="142">
        <v>0</v>
      </c>
      <c r="Z165" s="141">
        <v>33782</v>
      </c>
      <c r="AA165" s="141">
        <v>33782</v>
      </c>
      <c r="AB165" s="142">
        <v>0</v>
      </c>
    </row>
    <row r="166" spans="1:28">
      <c r="A166" s="144">
        <v>45148</v>
      </c>
      <c r="B166" s="141">
        <v>34803</v>
      </c>
      <c r="C166" s="141">
        <v>34803</v>
      </c>
      <c r="D166" s="142">
        <f t="shared" si="2"/>
        <v>0</v>
      </c>
      <c r="E166" s="141">
        <v>15272</v>
      </c>
      <c r="F166" s="141">
        <v>15272</v>
      </c>
      <c r="G166" s="142">
        <v>0</v>
      </c>
      <c r="H166" s="141">
        <v>475349</v>
      </c>
      <c r="I166" s="141">
        <v>475349</v>
      </c>
      <c r="J166" s="142">
        <v>0</v>
      </c>
      <c r="K166" s="141">
        <v>47250</v>
      </c>
      <c r="L166" s="141">
        <v>47290</v>
      </c>
      <c r="M166" s="142">
        <v>40</v>
      </c>
      <c r="Q166" s="141">
        <v>10873</v>
      </c>
      <c r="R166" s="141">
        <v>10873</v>
      </c>
      <c r="S166" s="142">
        <v>0</v>
      </c>
      <c r="T166" s="141">
        <v>3654</v>
      </c>
      <c r="U166" s="141">
        <v>3654</v>
      </c>
      <c r="V166" s="142">
        <v>0</v>
      </c>
      <c r="W166" s="141">
        <v>2847</v>
      </c>
      <c r="X166" s="141">
        <v>2847</v>
      </c>
      <c r="Y166" s="142">
        <v>0</v>
      </c>
      <c r="Z166" s="141">
        <v>33782</v>
      </c>
      <c r="AA166" s="141">
        <v>33782</v>
      </c>
      <c r="AB166" s="142">
        <v>0</v>
      </c>
    </row>
    <row r="167" spans="1:28">
      <c r="A167" s="144">
        <v>45149</v>
      </c>
      <c r="B167" s="141">
        <v>34803</v>
      </c>
      <c r="C167" s="141">
        <v>34954</v>
      </c>
      <c r="D167" s="142">
        <f t="shared" si="2"/>
        <v>151</v>
      </c>
      <c r="E167" s="141">
        <v>15272</v>
      </c>
      <c r="F167" s="141">
        <v>15272</v>
      </c>
      <c r="G167" s="142">
        <v>0</v>
      </c>
      <c r="H167" s="141">
        <v>475349</v>
      </c>
      <c r="I167" s="141">
        <v>476285</v>
      </c>
      <c r="J167" s="142">
        <v>936</v>
      </c>
      <c r="K167" s="141">
        <v>47290</v>
      </c>
      <c r="L167" s="141">
        <v>47342</v>
      </c>
      <c r="M167" s="142">
        <v>52</v>
      </c>
      <c r="Q167" s="141">
        <v>10873</v>
      </c>
      <c r="R167" s="141">
        <v>10873</v>
      </c>
      <c r="S167" s="142">
        <v>0</v>
      </c>
      <c r="T167" s="141">
        <v>3654</v>
      </c>
      <c r="U167" s="141">
        <v>3696</v>
      </c>
      <c r="V167" s="142">
        <v>42</v>
      </c>
      <c r="W167" s="141">
        <v>2847</v>
      </c>
      <c r="X167" s="141">
        <v>2878</v>
      </c>
      <c r="Y167" s="142">
        <v>31</v>
      </c>
      <c r="Z167" s="141">
        <v>33782</v>
      </c>
      <c r="AA167" s="141">
        <v>33782</v>
      </c>
      <c r="AB167" s="142">
        <v>0</v>
      </c>
    </row>
    <row r="168" spans="1:28">
      <c r="A168" s="144">
        <v>45150</v>
      </c>
      <c r="B168" s="141">
        <v>34954</v>
      </c>
      <c r="C168" s="141">
        <v>34953</v>
      </c>
      <c r="D168" s="142">
        <f t="shared" si="2"/>
        <v>-1</v>
      </c>
      <c r="E168" s="141">
        <v>15272</v>
      </c>
      <c r="F168" s="141">
        <v>15584</v>
      </c>
      <c r="G168" s="142">
        <v>312</v>
      </c>
      <c r="H168" s="141">
        <v>476285</v>
      </c>
      <c r="I168" s="141">
        <v>476373</v>
      </c>
      <c r="J168" s="142">
        <v>88</v>
      </c>
      <c r="K168" s="141">
        <v>47342</v>
      </c>
      <c r="L168" s="141">
        <v>47382</v>
      </c>
      <c r="M168" s="142">
        <v>40</v>
      </c>
      <c r="Q168" s="141">
        <v>10873</v>
      </c>
      <c r="R168" s="141">
        <v>10873</v>
      </c>
      <c r="S168" s="142">
        <v>0</v>
      </c>
      <c r="T168" s="141">
        <v>3696</v>
      </c>
      <c r="U168" s="141">
        <v>3698</v>
      </c>
      <c r="V168" s="142">
        <v>2</v>
      </c>
      <c r="W168" s="141">
        <v>2847</v>
      </c>
      <c r="X168" s="141">
        <v>2879</v>
      </c>
      <c r="Y168" s="142">
        <v>32</v>
      </c>
      <c r="Z168" s="141">
        <v>33782</v>
      </c>
      <c r="AA168" s="141">
        <v>33923</v>
      </c>
      <c r="AB168" s="142">
        <v>141</v>
      </c>
    </row>
    <row r="169" spans="1:28">
      <c r="A169" s="144">
        <v>45151</v>
      </c>
      <c r="B169" s="141">
        <v>34953</v>
      </c>
      <c r="C169" s="141">
        <v>34958</v>
      </c>
      <c r="D169" s="142">
        <f t="shared" si="2"/>
        <v>5</v>
      </c>
      <c r="E169" s="141">
        <v>15584</v>
      </c>
      <c r="F169" s="141">
        <v>15581</v>
      </c>
      <c r="G169" s="142">
        <v>-3</v>
      </c>
      <c r="H169" s="141">
        <v>476373</v>
      </c>
      <c r="I169" s="141">
        <v>476615</v>
      </c>
      <c r="J169" s="142">
        <v>242</v>
      </c>
      <c r="K169" s="141">
        <v>47382</v>
      </c>
      <c r="L169" s="141">
        <v>47441</v>
      </c>
      <c r="M169" s="142">
        <v>59</v>
      </c>
      <c r="Q169" s="141">
        <v>10873</v>
      </c>
      <c r="R169" s="141">
        <v>10998</v>
      </c>
      <c r="S169" s="142">
        <v>125</v>
      </c>
      <c r="T169" s="141">
        <v>3698</v>
      </c>
      <c r="U169" s="141">
        <v>3699</v>
      </c>
      <c r="V169" s="142">
        <v>1</v>
      </c>
      <c r="W169" s="141">
        <v>2879</v>
      </c>
      <c r="X169" s="141">
        <v>2881</v>
      </c>
      <c r="Y169" s="142">
        <v>2</v>
      </c>
      <c r="Z169" s="141">
        <v>33923</v>
      </c>
      <c r="AA169" s="141">
        <v>33935</v>
      </c>
      <c r="AB169" s="142">
        <v>12</v>
      </c>
    </row>
    <row r="170" spans="1:28">
      <c r="A170" s="144">
        <v>45152</v>
      </c>
      <c r="B170" s="141">
        <v>34958</v>
      </c>
      <c r="C170" s="141">
        <v>35015</v>
      </c>
      <c r="D170" s="142">
        <f t="shared" si="2"/>
        <v>57</v>
      </c>
      <c r="E170" s="141">
        <v>15581</v>
      </c>
      <c r="F170" s="141">
        <v>15622</v>
      </c>
      <c r="G170" s="142">
        <v>41</v>
      </c>
      <c r="H170" s="141">
        <v>476615</v>
      </c>
      <c r="I170" s="141">
        <v>476760</v>
      </c>
      <c r="J170" s="142">
        <v>145</v>
      </c>
      <c r="K170" s="141">
        <v>47441</v>
      </c>
      <c r="L170" s="141">
        <v>47468</v>
      </c>
      <c r="M170" s="142">
        <v>27</v>
      </c>
      <c r="Q170" s="141">
        <v>10998</v>
      </c>
      <c r="R170" s="141">
        <v>10999</v>
      </c>
      <c r="S170" s="142">
        <v>1</v>
      </c>
      <c r="T170" s="141">
        <v>3699</v>
      </c>
      <c r="U170" s="141">
        <v>3701</v>
      </c>
      <c r="V170" s="142">
        <v>2</v>
      </c>
      <c r="W170" s="141">
        <v>2881</v>
      </c>
      <c r="X170" s="141">
        <v>2882</v>
      </c>
      <c r="Y170" s="142">
        <v>1</v>
      </c>
      <c r="Z170" s="141">
        <v>33935</v>
      </c>
      <c r="AA170" s="141">
        <v>33991</v>
      </c>
      <c r="AB170" s="142">
        <v>56</v>
      </c>
    </row>
    <row r="171" spans="1:28">
      <c r="A171" s="144">
        <v>45153</v>
      </c>
      <c r="B171" s="141">
        <v>35015</v>
      </c>
      <c r="C171" s="141">
        <v>35015</v>
      </c>
      <c r="D171" s="142">
        <f t="shared" si="2"/>
        <v>0</v>
      </c>
      <c r="E171" s="141">
        <v>15622</v>
      </c>
      <c r="F171" s="141">
        <v>15653</v>
      </c>
      <c r="G171" s="142">
        <v>31</v>
      </c>
      <c r="H171" s="141">
        <v>476760</v>
      </c>
      <c r="I171" s="141">
        <v>476889</v>
      </c>
      <c r="J171" s="142">
        <v>129</v>
      </c>
      <c r="K171" s="141">
        <v>47468</v>
      </c>
      <c r="L171" s="141">
        <v>47505</v>
      </c>
      <c r="M171" s="142">
        <v>37</v>
      </c>
      <c r="Q171" s="141">
        <v>10999</v>
      </c>
      <c r="R171" s="141">
        <v>11039</v>
      </c>
      <c r="S171" s="142">
        <v>40</v>
      </c>
      <c r="T171" s="141">
        <v>3701</v>
      </c>
      <c r="U171" s="141">
        <v>3703</v>
      </c>
      <c r="V171" s="142">
        <v>2</v>
      </c>
      <c r="W171" s="141">
        <v>2882</v>
      </c>
      <c r="X171" s="141">
        <v>2883</v>
      </c>
      <c r="Y171" s="142">
        <v>1</v>
      </c>
      <c r="Z171" s="141">
        <v>33991</v>
      </c>
      <c r="AA171" s="141">
        <v>34016</v>
      </c>
      <c r="AB171" s="142">
        <v>25</v>
      </c>
    </row>
    <row r="172" spans="1:28">
      <c r="A172" s="144">
        <v>45154</v>
      </c>
      <c r="B172" s="141">
        <v>35015</v>
      </c>
      <c r="C172" s="141">
        <v>35015</v>
      </c>
      <c r="D172" s="142">
        <f t="shared" si="2"/>
        <v>0</v>
      </c>
      <c r="E172" s="141">
        <v>15653</v>
      </c>
      <c r="F172" s="141">
        <v>15704</v>
      </c>
      <c r="G172" s="142">
        <v>51</v>
      </c>
      <c r="H172" s="141">
        <v>476889</v>
      </c>
      <c r="I172" s="141">
        <v>477062</v>
      </c>
      <c r="J172" s="142">
        <v>173</v>
      </c>
      <c r="K172" s="141">
        <v>47505</v>
      </c>
      <c r="L172" s="141">
        <v>47591</v>
      </c>
      <c r="M172" s="142">
        <v>86</v>
      </c>
      <c r="Q172" s="141">
        <v>11039</v>
      </c>
      <c r="R172" s="141">
        <v>11039</v>
      </c>
      <c r="S172" s="142">
        <v>0</v>
      </c>
      <c r="T172" s="141">
        <v>3703</v>
      </c>
      <c r="U172" s="141">
        <v>3704</v>
      </c>
      <c r="V172" s="142">
        <v>1</v>
      </c>
      <c r="W172" s="141">
        <v>2883</v>
      </c>
      <c r="X172" s="141">
        <v>2884</v>
      </c>
      <c r="Y172" s="142">
        <v>1</v>
      </c>
      <c r="Z172" s="141">
        <v>34016</v>
      </c>
      <c r="AA172" s="141">
        <v>34031</v>
      </c>
      <c r="AB172" s="142">
        <v>15</v>
      </c>
    </row>
    <row r="173" spans="1:28">
      <c r="A173" s="144">
        <v>45155</v>
      </c>
      <c r="B173" s="141">
        <v>35015</v>
      </c>
      <c r="C173" s="141">
        <v>35015</v>
      </c>
      <c r="D173" s="142">
        <f t="shared" si="2"/>
        <v>0</v>
      </c>
      <c r="E173" s="141">
        <v>15704</v>
      </c>
      <c r="F173" s="141">
        <v>15742</v>
      </c>
      <c r="G173" s="142">
        <v>38</v>
      </c>
      <c r="H173" s="141">
        <v>477062</v>
      </c>
      <c r="I173" s="141">
        <v>477327</v>
      </c>
      <c r="J173" s="142">
        <v>265</v>
      </c>
      <c r="K173" s="141">
        <v>47591</v>
      </c>
      <c r="L173" s="141">
        <v>47680</v>
      </c>
      <c r="M173" s="142">
        <v>89</v>
      </c>
      <c r="Q173" s="141">
        <v>11039</v>
      </c>
      <c r="R173" s="141">
        <v>11144</v>
      </c>
      <c r="S173" s="142">
        <v>105</v>
      </c>
      <c r="T173" s="141">
        <v>3704</v>
      </c>
      <c r="U173" s="141">
        <v>3749</v>
      </c>
      <c r="V173" s="142">
        <v>45</v>
      </c>
      <c r="W173" s="141">
        <v>2884</v>
      </c>
      <c r="X173" s="141">
        <v>2893</v>
      </c>
      <c r="Y173" s="142">
        <v>9</v>
      </c>
      <c r="Z173" s="141">
        <v>34031</v>
      </c>
      <c r="AA173" s="141">
        <v>34081</v>
      </c>
      <c r="AB173" s="142">
        <v>50</v>
      </c>
    </row>
    <row r="174" spans="1:28">
      <c r="A174" s="144">
        <v>45156</v>
      </c>
      <c r="B174" s="141">
        <v>35015</v>
      </c>
      <c r="C174" s="141">
        <v>35311</v>
      </c>
      <c r="D174" s="142">
        <f t="shared" si="2"/>
        <v>296</v>
      </c>
      <c r="E174" s="141">
        <v>15742</v>
      </c>
      <c r="F174" s="141">
        <v>15803</v>
      </c>
      <c r="G174" s="142">
        <v>61</v>
      </c>
      <c r="H174" s="141">
        <v>477327</v>
      </c>
      <c r="I174" s="141">
        <v>477534</v>
      </c>
      <c r="J174" s="142">
        <v>207</v>
      </c>
      <c r="K174" s="141">
        <v>47680</v>
      </c>
      <c r="L174" s="141">
        <v>47717</v>
      </c>
      <c r="M174" s="142">
        <v>37</v>
      </c>
      <c r="Q174" s="141">
        <v>11144</v>
      </c>
      <c r="R174" s="141">
        <v>11188</v>
      </c>
      <c r="S174" s="142">
        <v>44</v>
      </c>
      <c r="T174" s="141">
        <v>3749</v>
      </c>
      <c r="U174" s="141">
        <v>3752</v>
      </c>
      <c r="V174" s="142">
        <v>3</v>
      </c>
      <c r="W174" s="141">
        <v>2893</v>
      </c>
      <c r="X174" s="141">
        <v>2895</v>
      </c>
      <c r="Y174" s="142">
        <v>2</v>
      </c>
      <c r="Z174" s="141">
        <v>34081</v>
      </c>
      <c r="AA174" s="141">
        <v>34312</v>
      </c>
      <c r="AB174" s="142">
        <v>231</v>
      </c>
    </row>
    <row r="175" spans="1:28">
      <c r="A175" s="144">
        <v>45157</v>
      </c>
      <c r="B175" s="141">
        <v>35311</v>
      </c>
      <c r="C175" s="141">
        <v>35404</v>
      </c>
      <c r="D175" s="142">
        <f t="shared" si="2"/>
        <v>93</v>
      </c>
      <c r="E175" s="141">
        <v>15803</v>
      </c>
      <c r="F175" s="141">
        <v>15839</v>
      </c>
      <c r="G175" s="142">
        <v>36</v>
      </c>
      <c r="H175" s="141">
        <v>477534</v>
      </c>
      <c r="I175" s="141">
        <v>477706</v>
      </c>
      <c r="J175" s="142">
        <v>172</v>
      </c>
      <c r="K175" s="141">
        <v>47717</v>
      </c>
      <c r="L175" s="141">
        <v>47771</v>
      </c>
      <c r="M175" s="142">
        <v>54</v>
      </c>
      <c r="Q175" s="141">
        <v>11188</v>
      </c>
      <c r="R175" s="141">
        <v>11227</v>
      </c>
      <c r="S175" s="142">
        <v>39</v>
      </c>
      <c r="T175" s="141">
        <v>3752</v>
      </c>
      <c r="U175" s="141">
        <v>3783</v>
      </c>
      <c r="V175" s="142">
        <v>31</v>
      </c>
      <c r="W175" s="141">
        <v>2895</v>
      </c>
      <c r="X175" s="141">
        <v>2896</v>
      </c>
      <c r="Y175" s="142">
        <v>1</v>
      </c>
      <c r="Z175" s="141">
        <v>34312</v>
      </c>
      <c r="AA175" s="141">
        <v>34368</v>
      </c>
      <c r="AB175" s="142">
        <v>56</v>
      </c>
    </row>
    <row r="176" spans="1:28">
      <c r="A176" s="144">
        <v>45158</v>
      </c>
      <c r="B176" s="141">
        <v>35404</v>
      </c>
      <c r="C176" s="141">
        <v>35510</v>
      </c>
      <c r="D176" s="142">
        <f t="shared" si="2"/>
        <v>106</v>
      </c>
      <c r="E176" s="141">
        <v>15839</v>
      </c>
      <c r="F176" s="141">
        <v>15879</v>
      </c>
      <c r="G176" s="142">
        <v>40</v>
      </c>
      <c r="H176" s="141">
        <v>477706</v>
      </c>
      <c r="I176" s="141">
        <v>477864</v>
      </c>
      <c r="J176" s="142">
        <v>158</v>
      </c>
      <c r="K176" s="141">
        <v>47771</v>
      </c>
      <c r="L176" s="141">
        <v>47835</v>
      </c>
      <c r="M176" s="142">
        <v>64</v>
      </c>
      <c r="Q176" s="141">
        <v>11227</v>
      </c>
      <c r="R176" s="141">
        <v>11266</v>
      </c>
      <c r="S176" s="142">
        <v>39</v>
      </c>
      <c r="T176" s="141">
        <v>3783</v>
      </c>
      <c r="U176" s="141">
        <v>3785</v>
      </c>
      <c r="V176" s="142">
        <v>2</v>
      </c>
      <c r="W176" s="141">
        <v>2896</v>
      </c>
      <c r="X176" s="141">
        <v>2898</v>
      </c>
      <c r="Y176" s="142">
        <v>2</v>
      </c>
      <c r="Z176" s="141">
        <v>34368</v>
      </c>
      <c r="AA176" s="141">
        <v>34379</v>
      </c>
      <c r="AB176" s="142">
        <v>11</v>
      </c>
    </row>
    <row r="177" spans="1:28">
      <c r="A177" s="144">
        <v>45159</v>
      </c>
      <c r="B177" s="141">
        <v>35510</v>
      </c>
      <c r="C177" s="141">
        <v>35641</v>
      </c>
      <c r="D177" s="142">
        <f t="shared" si="2"/>
        <v>131</v>
      </c>
      <c r="E177" s="141">
        <v>15879</v>
      </c>
      <c r="F177" s="141">
        <v>15879</v>
      </c>
      <c r="G177" s="142">
        <v>0</v>
      </c>
      <c r="H177" s="141">
        <v>477864</v>
      </c>
      <c r="I177" s="141">
        <v>477864</v>
      </c>
      <c r="J177" s="142">
        <v>0</v>
      </c>
      <c r="K177" s="141">
        <v>47835</v>
      </c>
      <c r="L177" s="141">
        <v>47877</v>
      </c>
      <c r="M177" s="142">
        <v>42</v>
      </c>
      <c r="Q177" s="141">
        <v>11266</v>
      </c>
      <c r="R177" s="141">
        <v>11266</v>
      </c>
      <c r="S177" s="142">
        <v>0</v>
      </c>
      <c r="T177" s="141">
        <v>3785</v>
      </c>
      <c r="U177" s="141">
        <v>3785</v>
      </c>
      <c r="V177" s="142">
        <v>0</v>
      </c>
      <c r="W177" s="141">
        <v>2898</v>
      </c>
      <c r="X177" s="141">
        <v>2898</v>
      </c>
      <c r="Y177" s="142">
        <v>0</v>
      </c>
      <c r="Z177" s="141">
        <v>34379</v>
      </c>
      <c r="AA177" s="141">
        <v>34379</v>
      </c>
      <c r="AB177" s="142">
        <v>0</v>
      </c>
    </row>
    <row r="178" spans="1:28">
      <c r="A178" s="144">
        <v>45160</v>
      </c>
      <c r="B178" s="141">
        <v>35641</v>
      </c>
      <c r="C178" s="141">
        <v>35672</v>
      </c>
      <c r="D178" s="142">
        <f t="shared" si="2"/>
        <v>31</v>
      </c>
      <c r="E178" s="141">
        <v>15879</v>
      </c>
      <c r="F178" s="141">
        <v>15983</v>
      </c>
      <c r="G178" s="142">
        <v>104</v>
      </c>
      <c r="H178" s="141">
        <v>477864</v>
      </c>
      <c r="I178" s="141">
        <v>477898</v>
      </c>
      <c r="J178" s="142">
        <v>34</v>
      </c>
      <c r="K178" s="141">
        <v>47877</v>
      </c>
      <c r="L178" s="141">
        <v>47908</v>
      </c>
      <c r="M178" s="142">
        <v>31</v>
      </c>
      <c r="Q178" s="141">
        <v>11266</v>
      </c>
      <c r="R178" s="141">
        <v>11368</v>
      </c>
      <c r="S178" s="142">
        <v>102</v>
      </c>
      <c r="T178" s="141">
        <v>3785</v>
      </c>
      <c r="U178" s="141">
        <v>3797</v>
      </c>
      <c r="V178" s="142">
        <v>12</v>
      </c>
      <c r="W178" s="141">
        <v>2898</v>
      </c>
      <c r="X178" s="141">
        <v>2909</v>
      </c>
      <c r="Y178" s="142">
        <v>11</v>
      </c>
      <c r="Z178" s="141">
        <v>34379</v>
      </c>
      <c r="AA178" s="141">
        <v>34397</v>
      </c>
      <c r="AB178" s="142">
        <v>18</v>
      </c>
    </row>
    <row r="179" spans="1:28">
      <c r="A179" s="144">
        <v>45161</v>
      </c>
      <c r="B179" s="141">
        <v>35672</v>
      </c>
      <c r="C179" s="141">
        <v>35672</v>
      </c>
      <c r="D179" s="142">
        <f t="shared" si="2"/>
        <v>0</v>
      </c>
      <c r="E179" s="141">
        <v>15983</v>
      </c>
      <c r="F179" s="141">
        <v>16042</v>
      </c>
      <c r="G179" s="142">
        <v>59</v>
      </c>
      <c r="H179" s="141">
        <v>477898</v>
      </c>
      <c r="I179" s="141">
        <v>478454</v>
      </c>
      <c r="J179" s="142">
        <v>556</v>
      </c>
      <c r="K179" s="141">
        <v>47908</v>
      </c>
      <c r="L179" s="141">
        <v>48012</v>
      </c>
      <c r="M179" s="142">
        <v>104</v>
      </c>
      <c r="Q179" s="141">
        <v>11368</v>
      </c>
      <c r="R179" s="141">
        <v>11389</v>
      </c>
      <c r="S179" s="142">
        <v>21</v>
      </c>
      <c r="T179" s="141">
        <v>3797</v>
      </c>
      <c r="U179" s="141">
        <v>3798</v>
      </c>
      <c r="V179" s="142">
        <v>1</v>
      </c>
      <c r="W179" s="141">
        <v>2909</v>
      </c>
      <c r="X179" s="141">
        <v>2911</v>
      </c>
      <c r="Y179" s="142">
        <v>2</v>
      </c>
      <c r="Z179" s="141">
        <v>34397</v>
      </c>
      <c r="AA179" s="141">
        <v>34441</v>
      </c>
      <c r="AB179" s="142">
        <v>44</v>
      </c>
    </row>
    <row r="180" spans="1:28">
      <c r="A180" s="144">
        <v>45162</v>
      </c>
      <c r="B180" s="141">
        <v>35672</v>
      </c>
      <c r="C180" s="141">
        <v>35790</v>
      </c>
      <c r="D180" s="142">
        <f t="shared" si="2"/>
        <v>118</v>
      </c>
      <c r="E180" s="141">
        <v>16042</v>
      </c>
      <c r="F180" s="141">
        <v>16063</v>
      </c>
      <c r="G180" s="142">
        <v>21</v>
      </c>
      <c r="H180" s="141">
        <v>478454</v>
      </c>
      <c r="I180" s="141">
        <v>478649</v>
      </c>
      <c r="J180" s="142">
        <v>195</v>
      </c>
      <c r="K180" s="141">
        <v>48012</v>
      </c>
      <c r="L180" s="141">
        <v>48067</v>
      </c>
      <c r="M180" s="142">
        <v>55</v>
      </c>
      <c r="Q180" s="141">
        <v>11389</v>
      </c>
      <c r="R180" s="141">
        <v>11395</v>
      </c>
      <c r="S180" s="142">
        <v>6</v>
      </c>
      <c r="T180" s="141">
        <v>3798</v>
      </c>
      <c r="U180" s="141">
        <v>3799</v>
      </c>
      <c r="V180" s="142">
        <v>1</v>
      </c>
      <c r="W180" s="141">
        <v>2911</v>
      </c>
      <c r="X180" s="141">
        <v>2912</v>
      </c>
      <c r="Y180" s="142">
        <v>1</v>
      </c>
      <c r="Z180" s="141">
        <v>34441</v>
      </c>
      <c r="AA180" s="141">
        <v>34462</v>
      </c>
      <c r="AB180" s="142">
        <v>21</v>
      </c>
    </row>
    <row r="181" spans="1:28">
      <c r="A181" s="144">
        <v>45163</v>
      </c>
      <c r="B181" s="141">
        <v>35790</v>
      </c>
      <c r="C181" s="141">
        <v>35790</v>
      </c>
      <c r="D181" s="142">
        <f t="shared" si="2"/>
        <v>0</v>
      </c>
      <c r="E181" s="141">
        <v>16063</v>
      </c>
      <c r="F181" s="141">
        <v>16148</v>
      </c>
      <c r="G181" s="142">
        <v>85</v>
      </c>
      <c r="H181" s="141">
        <v>478649</v>
      </c>
      <c r="I181" s="141">
        <v>478728</v>
      </c>
      <c r="J181" s="142">
        <v>79</v>
      </c>
      <c r="K181" s="141">
        <v>48067</v>
      </c>
      <c r="L181" s="141">
        <v>48128</v>
      </c>
      <c r="M181" s="142">
        <v>61</v>
      </c>
      <c r="Q181" s="141">
        <v>11395</v>
      </c>
      <c r="R181" s="141">
        <v>11528</v>
      </c>
      <c r="S181" s="142">
        <v>133</v>
      </c>
      <c r="T181" s="141">
        <v>3799</v>
      </c>
      <c r="U181" s="141">
        <v>3814</v>
      </c>
      <c r="V181" s="142">
        <v>15</v>
      </c>
      <c r="W181" s="141">
        <v>2912</v>
      </c>
      <c r="X181" s="141">
        <v>2913</v>
      </c>
      <c r="Y181" s="142">
        <v>1</v>
      </c>
      <c r="Z181" s="141">
        <v>34462</v>
      </c>
      <c r="AA181" s="141">
        <v>34470</v>
      </c>
      <c r="AB181" s="142">
        <v>8</v>
      </c>
    </row>
    <row r="182" spans="1:28">
      <c r="A182" s="144">
        <v>45164</v>
      </c>
      <c r="B182" s="141">
        <v>35790</v>
      </c>
      <c r="C182" s="141">
        <v>36008</v>
      </c>
      <c r="D182" s="142">
        <f t="shared" si="2"/>
        <v>218</v>
      </c>
      <c r="E182" s="141">
        <v>16148</v>
      </c>
      <c r="F182" s="141">
        <v>16199</v>
      </c>
      <c r="G182" s="142">
        <v>51</v>
      </c>
      <c r="H182" s="141">
        <v>478728</v>
      </c>
      <c r="I182" s="141">
        <v>478953</v>
      </c>
      <c r="J182" s="142">
        <v>225</v>
      </c>
      <c r="K182" s="141">
        <v>48128</v>
      </c>
      <c r="L182" s="141">
        <v>48170</v>
      </c>
      <c r="M182" s="142">
        <v>42</v>
      </c>
      <c r="Q182" s="141">
        <v>11528</v>
      </c>
      <c r="R182" s="141">
        <v>11549</v>
      </c>
      <c r="S182" s="142">
        <v>21</v>
      </c>
      <c r="T182" s="141">
        <v>3814</v>
      </c>
      <c r="U182" s="141">
        <v>3817</v>
      </c>
      <c r="V182" s="142">
        <v>3</v>
      </c>
      <c r="W182" s="141">
        <v>2913</v>
      </c>
      <c r="X182" s="141">
        <v>2915</v>
      </c>
      <c r="Y182" s="142">
        <v>2</v>
      </c>
      <c r="Z182" s="141">
        <v>34470</v>
      </c>
      <c r="AA182" s="141">
        <v>34470</v>
      </c>
      <c r="AB182" s="142">
        <v>0</v>
      </c>
    </row>
    <row r="183" spans="1:28">
      <c r="A183" s="144">
        <v>45165</v>
      </c>
      <c r="B183" s="141">
        <v>36008</v>
      </c>
      <c r="C183" s="141">
        <v>36101</v>
      </c>
      <c r="D183" s="142">
        <f t="shared" si="2"/>
        <v>93</v>
      </c>
      <c r="E183" s="141">
        <v>16199</v>
      </c>
      <c r="F183" s="141">
        <v>16234</v>
      </c>
      <c r="G183" s="142">
        <v>35</v>
      </c>
      <c r="H183" s="141">
        <v>478953</v>
      </c>
      <c r="I183" s="141">
        <v>479116</v>
      </c>
      <c r="J183" s="142">
        <v>163</v>
      </c>
      <c r="K183" s="141">
        <v>48170</v>
      </c>
      <c r="L183" s="141">
        <v>48225</v>
      </c>
      <c r="M183" s="142">
        <v>55</v>
      </c>
      <c r="Q183" s="141">
        <v>11549</v>
      </c>
      <c r="R183" s="141">
        <v>11604</v>
      </c>
      <c r="S183" s="142">
        <v>55</v>
      </c>
      <c r="T183" s="141">
        <v>3817</v>
      </c>
      <c r="U183" s="141">
        <v>3829</v>
      </c>
      <c r="V183" s="142">
        <v>12</v>
      </c>
      <c r="W183" s="141">
        <v>2915</v>
      </c>
      <c r="X183" s="141">
        <v>2916</v>
      </c>
      <c r="Y183" s="142">
        <v>1</v>
      </c>
      <c r="Z183" s="141">
        <v>34470</v>
      </c>
      <c r="AA183" s="141">
        <v>34482</v>
      </c>
      <c r="AB183" s="142">
        <v>12</v>
      </c>
    </row>
    <row r="184" spans="1:28">
      <c r="A184" s="144">
        <v>45166</v>
      </c>
      <c r="B184" s="141">
        <v>36101</v>
      </c>
      <c r="C184" s="141">
        <v>36166</v>
      </c>
      <c r="D184" s="142">
        <f t="shared" si="2"/>
        <v>65</v>
      </c>
      <c r="E184" s="141">
        <v>16234</v>
      </c>
      <c r="F184" s="141">
        <v>16286</v>
      </c>
      <c r="G184" s="142">
        <v>52</v>
      </c>
      <c r="H184" s="141">
        <v>479116</v>
      </c>
      <c r="I184" s="141">
        <v>479241</v>
      </c>
      <c r="J184" s="142">
        <v>125</v>
      </c>
      <c r="K184" s="141">
        <v>48225</v>
      </c>
      <c r="L184" s="141">
        <v>48263</v>
      </c>
      <c r="M184" s="142">
        <v>38</v>
      </c>
      <c r="Q184" s="141">
        <v>11604</v>
      </c>
      <c r="R184" s="141">
        <v>11659</v>
      </c>
      <c r="S184" s="142">
        <v>55</v>
      </c>
      <c r="T184" s="141">
        <v>3829</v>
      </c>
      <c r="U184" s="141">
        <v>3859</v>
      </c>
      <c r="V184" s="142">
        <v>30</v>
      </c>
      <c r="W184" s="141">
        <v>2916</v>
      </c>
      <c r="X184" s="141">
        <v>2925</v>
      </c>
      <c r="Y184" s="142">
        <v>9</v>
      </c>
      <c r="Z184" s="141">
        <v>34482</v>
      </c>
      <c r="AA184" s="141">
        <v>34491</v>
      </c>
      <c r="AB184" s="142">
        <v>9</v>
      </c>
    </row>
    <row r="185" spans="1:28">
      <c r="A185" s="144">
        <v>45167</v>
      </c>
      <c r="B185" s="141">
        <v>36166</v>
      </c>
      <c r="C185" s="141">
        <v>36251</v>
      </c>
      <c r="D185" s="142">
        <f t="shared" si="2"/>
        <v>85</v>
      </c>
      <c r="E185" s="141">
        <v>16286</v>
      </c>
      <c r="F185" s="141">
        <v>16324</v>
      </c>
      <c r="G185" s="142">
        <v>38</v>
      </c>
      <c r="H185" s="141">
        <v>479241</v>
      </c>
      <c r="I185" s="141">
        <v>479329</v>
      </c>
      <c r="J185" s="142">
        <v>88</v>
      </c>
      <c r="K185" s="141">
        <v>48263</v>
      </c>
      <c r="L185" s="141">
        <v>48305</v>
      </c>
      <c r="M185" s="142">
        <v>42</v>
      </c>
      <c r="Q185" s="141">
        <v>11659</v>
      </c>
      <c r="R185" s="141">
        <v>11896</v>
      </c>
      <c r="S185" s="142">
        <v>237</v>
      </c>
      <c r="T185" s="141">
        <v>3859</v>
      </c>
      <c r="U185" s="141">
        <v>3861</v>
      </c>
      <c r="V185" s="142">
        <v>2</v>
      </c>
      <c r="W185" s="141">
        <v>2925</v>
      </c>
      <c r="X185" s="141">
        <v>2926</v>
      </c>
      <c r="Y185" s="142">
        <v>1</v>
      </c>
      <c r="Z185" s="141">
        <v>34491</v>
      </c>
      <c r="AA185" s="141">
        <v>34532</v>
      </c>
      <c r="AB185" s="142">
        <v>41</v>
      </c>
    </row>
    <row r="186" spans="1:28">
      <c r="A186" s="144">
        <v>45168</v>
      </c>
      <c r="B186" s="141">
        <v>36251</v>
      </c>
      <c r="C186" s="141">
        <v>36346</v>
      </c>
      <c r="D186" s="142">
        <f t="shared" si="2"/>
        <v>95</v>
      </c>
      <c r="E186" s="141">
        <v>16324</v>
      </c>
      <c r="F186" s="141">
        <v>16374</v>
      </c>
      <c r="G186" s="142">
        <v>50</v>
      </c>
      <c r="H186" s="141">
        <v>479329</v>
      </c>
      <c r="I186" s="141">
        <v>479478</v>
      </c>
      <c r="J186" s="142">
        <v>149</v>
      </c>
      <c r="K186" s="141">
        <v>48305</v>
      </c>
      <c r="L186" s="141">
        <v>48357</v>
      </c>
      <c r="M186" s="142">
        <v>52</v>
      </c>
      <c r="Q186" s="141">
        <v>11896</v>
      </c>
      <c r="R186" s="141">
        <v>11899</v>
      </c>
      <c r="S186" s="142">
        <v>3</v>
      </c>
      <c r="T186" s="141">
        <v>3861</v>
      </c>
      <c r="U186" s="141">
        <v>3863</v>
      </c>
      <c r="V186" s="142">
        <v>2</v>
      </c>
      <c r="W186" s="141">
        <v>2926</v>
      </c>
      <c r="X186" s="141">
        <v>2928</v>
      </c>
      <c r="Y186" s="142">
        <v>2</v>
      </c>
      <c r="Z186" s="141">
        <v>34532</v>
      </c>
      <c r="AA186" s="141">
        <v>34560</v>
      </c>
      <c r="AB186" s="142">
        <v>28</v>
      </c>
    </row>
    <row r="187" spans="1:28">
      <c r="A187" s="144">
        <v>45169</v>
      </c>
      <c r="B187" s="141">
        <v>36346</v>
      </c>
      <c r="C187" s="141">
        <v>36346</v>
      </c>
      <c r="D187" s="142">
        <f t="shared" si="2"/>
        <v>0</v>
      </c>
      <c r="E187" s="141">
        <v>16374</v>
      </c>
      <c r="F187" s="141">
        <v>16374</v>
      </c>
      <c r="G187" s="142">
        <v>0</v>
      </c>
      <c r="H187" s="141">
        <v>479478</v>
      </c>
      <c r="I187" s="141">
        <v>479478</v>
      </c>
      <c r="J187" s="142">
        <v>0</v>
      </c>
      <c r="K187" s="141">
        <v>48357</v>
      </c>
      <c r="L187" s="141">
        <v>48385</v>
      </c>
      <c r="M187" s="142">
        <v>28</v>
      </c>
      <c r="Q187" s="141">
        <v>11899</v>
      </c>
      <c r="R187" s="141">
        <v>11899</v>
      </c>
      <c r="S187" s="142">
        <v>0</v>
      </c>
      <c r="T187" s="141">
        <v>3863</v>
      </c>
      <c r="U187" s="141">
        <v>3872</v>
      </c>
      <c r="V187" s="142">
        <v>9</v>
      </c>
      <c r="W187" s="141">
        <v>2928</v>
      </c>
      <c r="X187" s="141">
        <v>2930</v>
      </c>
      <c r="Y187" s="142">
        <v>2</v>
      </c>
      <c r="Z187" s="141">
        <v>34560</v>
      </c>
      <c r="AA187" s="141">
        <v>34593</v>
      </c>
      <c r="AB187" s="142">
        <v>33</v>
      </c>
    </row>
    <row r="188" spans="1:28">
      <c r="A188" s="144">
        <v>45170</v>
      </c>
      <c r="B188" s="141">
        <v>36346</v>
      </c>
      <c r="C188" s="141">
        <v>36346</v>
      </c>
      <c r="D188" s="142">
        <f t="shared" si="2"/>
        <v>0</v>
      </c>
      <c r="E188" s="141">
        <v>16374</v>
      </c>
      <c r="F188" s="141">
        <v>16374</v>
      </c>
      <c r="G188" s="142">
        <v>0</v>
      </c>
      <c r="H188" s="141">
        <v>479478</v>
      </c>
      <c r="I188" s="141">
        <v>479478</v>
      </c>
      <c r="J188" s="142">
        <v>0</v>
      </c>
      <c r="K188" s="141">
        <v>48385</v>
      </c>
      <c r="L188" s="141">
        <v>48449</v>
      </c>
      <c r="M188" s="142">
        <v>64</v>
      </c>
      <c r="Q188" s="141">
        <v>11899</v>
      </c>
      <c r="R188" s="141">
        <v>11899</v>
      </c>
      <c r="S188" s="142">
        <v>0</v>
      </c>
      <c r="T188" s="141">
        <v>3872</v>
      </c>
      <c r="U188" s="141">
        <v>3883</v>
      </c>
      <c r="V188" s="142">
        <v>11</v>
      </c>
      <c r="W188" s="141">
        <v>2930</v>
      </c>
      <c r="X188" s="141">
        <v>2931</v>
      </c>
      <c r="Y188" s="142">
        <v>1</v>
      </c>
      <c r="Z188" s="141">
        <v>34593</v>
      </c>
      <c r="AA188" s="141">
        <v>34621</v>
      </c>
      <c r="AB188" s="142">
        <v>28</v>
      </c>
    </row>
    <row r="189" spans="1:28">
      <c r="A189" s="144">
        <v>45171</v>
      </c>
      <c r="B189" s="141">
        <v>36346</v>
      </c>
      <c r="C189" s="141">
        <v>36346</v>
      </c>
      <c r="D189" s="142">
        <f t="shared" si="2"/>
        <v>0</v>
      </c>
      <c r="E189" s="141">
        <v>16374</v>
      </c>
      <c r="F189" s="141">
        <v>16374</v>
      </c>
      <c r="G189" s="142">
        <v>0</v>
      </c>
      <c r="H189" s="141">
        <v>479478</v>
      </c>
      <c r="I189" s="141">
        <v>480134</v>
      </c>
      <c r="J189" s="142">
        <v>656</v>
      </c>
      <c r="K189" s="141">
        <v>48449</v>
      </c>
      <c r="L189" s="141">
        <v>48501</v>
      </c>
      <c r="M189" s="142">
        <v>52</v>
      </c>
      <c r="Q189" s="141">
        <v>11899</v>
      </c>
      <c r="R189" s="141">
        <v>11899</v>
      </c>
      <c r="S189" s="142">
        <v>0</v>
      </c>
      <c r="T189" s="141">
        <v>3883</v>
      </c>
      <c r="U189" s="141">
        <v>3886</v>
      </c>
      <c r="V189" s="142">
        <v>3</v>
      </c>
      <c r="W189" s="141">
        <v>2931</v>
      </c>
      <c r="X189" s="141">
        <v>2933</v>
      </c>
      <c r="Y189" s="142">
        <v>2</v>
      </c>
      <c r="Z189" s="141">
        <v>34621</v>
      </c>
      <c r="AA189" s="141">
        <v>34653</v>
      </c>
      <c r="AB189" s="142">
        <v>32</v>
      </c>
    </row>
    <row r="190" spans="1:28">
      <c r="A190" s="144">
        <v>45172</v>
      </c>
      <c r="B190" s="141">
        <v>36346</v>
      </c>
      <c r="C190" s="141">
        <v>36346</v>
      </c>
      <c r="D190" s="142">
        <f t="shared" si="2"/>
        <v>0</v>
      </c>
      <c r="E190" s="141">
        <v>16374</v>
      </c>
      <c r="F190" s="141">
        <v>16374</v>
      </c>
      <c r="G190" s="142">
        <v>0</v>
      </c>
      <c r="H190" s="141">
        <v>480134</v>
      </c>
      <c r="I190" s="141">
        <v>480315</v>
      </c>
      <c r="J190" s="142">
        <v>181</v>
      </c>
      <c r="K190" s="141">
        <v>48501</v>
      </c>
      <c r="L190" s="141">
        <v>48543</v>
      </c>
      <c r="M190" s="142">
        <v>42</v>
      </c>
      <c r="Q190" s="141">
        <v>11899</v>
      </c>
      <c r="R190" s="141">
        <v>11899</v>
      </c>
      <c r="S190" s="142">
        <v>0</v>
      </c>
      <c r="T190" s="141">
        <v>3886</v>
      </c>
      <c r="U190" s="141">
        <v>3891</v>
      </c>
      <c r="V190" s="142">
        <v>5</v>
      </c>
      <c r="W190" s="141">
        <v>2933</v>
      </c>
      <c r="X190" s="141">
        <v>2939</v>
      </c>
      <c r="Y190" s="142">
        <v>6</v>
      </c>
      <c r="Z190" s="141">
        <v>34653</v>
      </c>
      <c r="AA190" s="141">
        <v>34681</v>
      </c>
      <c r="AB190" s="142">
        <v>28</v>
      </c>
    </row>
    <row r="191" spans="1:28">
      <c r="A191" s="144">
        <v>45173</v>
      </c>
      <c r="B191" s="141">
        <v>36346</v>
      </c>
      <c r="C191" s="141">
        <v>36401</v>
      </c>
      <c r="D191" s="142">
        <f t="shared" si="2"/>
        <v>55</v>
      </c>
      <c r="E191" s="141">
        <v>16374</v>
      </c>
      <c r="F191" s="141">
        <v>16374</v>
      </c>
      <c r="G191" s="142">
        <v>0</v>
      </c>
      <c r="H191" s="141">
        <v>480315</v>
      </c>
      <c r="I191" s="141">
        <v>480551</v>
      </c>
      <c r="J191" s="142">
        <v>236</v>
      </c>
      <c r="K191" s="141">
        <v>48543</v>
      </c>
      <c r="L191" s="141">
        <v>48591</v>
      </c>
      <c r="M191" s="142">
        <v>48</v>
      </c>
      <c r="Q191" s="141">
        <v>11899</v>
      </c>
      <c r="R191" s="141">
        <v>11899</v>
      </c>
      <c r="S191" s="142">
        <v>0</v>
      </c>
      <c r="T191" s="141">
        <v>3891</v>
      </c>
      <c r="U191" s="141">
        <v>3891</v>
      </c>
      <c r="V191" s="142">
        <v>0</v>
      </c>
      <c r="W191" s="141">
        <v>2939</v>
      </c>
      <c r="X191" s="141">
        <v>2949</v>
      </c>
      <c r="Y191" s="142">
        <v>10</v>
      </c>
      <c r="Z191" s="141">
        <v>34681</v>
      </c>
      <c r="AA191" s="141">
        <v>34701</v>
      </c>
      <c r="AB191" s="142">
        <v>20</v>
      </c>
    </row>
    <row r="192" spans="1:28">
      <c r="A192" s="144">
        <v>45174</v>
      </c>
      <c r="B192" s="141">
        <v>36401</v>
      </c>
      <c r="C192" s="141">
        <v>36484</v>
      </c>
      <c r="D192" s="142">
        <f t="shared" si="2"/>
        <v>83</v>
      </c>
      <c r="E192" s="141">
        <v>16374</v>
      </c>
      <c r="F192" s="141">
        <v>16374</v>
      </c>
      <c r="G192" s="142">
        <v>0</v>
      </c>
      <c r="H192" s="141">
        <v>480551</v>
      </c>
      <c r="I192" s="141">
        <v>480552</v>
      </c>
      <c r="J192" s="142">
        <v>1</v>
      </c>
      <c r="K192" s="141">
        <v>48591</v>
      </c>
      <c r="L192" s="141">
        <v>48624</v>
      </c>
      <c r="M192" s="142">
        <v>33</v>
      </c>
      <c r="Q192" s="141">
        <v>11899</v>
      </c>
      <c r="R192" s="141">
        <v>11899</v>
      </c>
      <c r="S192" s="142">
        <v>0</v>
      </c>
      <c r="T192" s="141">
        <v>3891</v>
      </c>
      <c r="U192" s="141">
        <v>3891</v>
      </c>
      <c r="V192" s="142">
        <v>0</v>
      </c>
      <c r="W192" s="141">
        <v>2949</v>
      </c>
      <c r="X192" s="141">
        <v>2950</v>
      </c>
      <c r="Y192" s="142">
        <v>1</v>
      </c>
      <c r="Z192" s="141">
        <v>34701</v>
      </c>
      <c r="AA192" s="141">
        <v>34701</v>
      </c>
      <c r="AB192" s="142">
        <v>0</v>
      </c>
    </row>
    <row r="193" spans="1:28">
      <c r="A193" s="144">
        <v>45175</v>
      </c>
      <c r="B193" s="141">
        <v>36484</v>
      </c>
      <c r="C193" s="141">
        <v>36594</v>
      </c>
      <c r="D193" s="142">
        <f t="shared" si="2"/>
        <v>110</v>
      </c>
      <c r="E193" s="141">
        <v>16374</v>
      </c>
      <c r="F193" s="141">
        <v>16374</v>
      </c>
      <c r="G193" s="142">
        <v>0</v>
      </c>
      <c r="H193" s="141">
        <v>480552</v>
      </c>
      <c r="I193" s="141">
        <v>480552</v>
      </c>
      <c r="J193" s="142">
        <v>0</v>
      </c>
      <c r="K193" s="141">
        <v>48624</v>
      </c>
      <c r="L193" s="141">
        <v>48659</v>
      </c>
      <c r="M193" s="142">
        <v>35</v>
      </c>
      <c r="Q193" s="141">
        <v>11899</v>
      </c>
      <c r="R193" s="141">
        <v>11988</v>
      </c>
      <c r="S193" s="142">
        <v>89</v>
      </c>
      <c r="T193" s="141">
        <v>3891</v>
      </c>
      <c r="U193" s="141">
        <v>3891</v>
      </c>
      <c r="V193" s="142">
        <v>0</v>
      </c>
      <c r="W193" s="141">
        <v>2950</v>
      </c>
      <c r="X193" s="141">
        <v>2950</v>
      </c>
      <c r="Y193" s="142">
        <v>0</v>
      </c>
      <c r="Z193" s="141">
        <v>34701</v>
      </c>
      <c r="AA193" s="141">
        <v>34701</v>
      </c>
      <c r="AB193" s="142">
        <v>0</v>
      </c>
    </row>
    <row r="194" spans="1:28">
      <c r="A194" s="144">
        <v>45176</v>
      </c>
      <c r="B194" s="141">
        <v>36594</v>
      </c>
      <c r="C194" s="141">
        <v>36627</v>
      </c>
      <c r="D194" s="142">
        <f t="shared" si="2"/>
        <v>33</v>
      </c>
      <c r="E194" s="141">
        <v>16374</v>
      </c>
      <c r="F194" s="141">
        <v>16374</v>
      </c>
      <c r="G194" s="142">
        <v>0</v>
      </c>
      <c r="H194" s="141">
        <v>480552</v>
      </c>
      <c r="I194" s="141">
        <v>480735</v>
      </c>
      <c r="J194" s="142">
        <v>183</v>
      </c>
      <c r="K194" s="141">
        <v>48659</v>
      </c>
      <c r="M194" s="142">
        <v>-48659</v>
      </c>
      <c r="Q194" s="141">
        <v>11988</v>
      </c>
      <c r="R194" s="141">
        <v>11989</v>
      </c>
      <c r="S194" s="142">
        <v>1</v>
      </c>
      <c r="T194" s="141">
        <v>3891</v>
      </c>
      <c r="U194" s="141">
        <v>3894</v>
      </c>
      <c r="V194" s="142">
        <v>3</v>
      </c>
      <c r="W194" s="141">
        <v>2950</v>
      </c>
      <c r="X194" s="141">
        <v>2951</v>
      </c>
      <c r="Y194" s="142">
        <v>1</v>
      </c>
      <c r="Z194" s="141">
        <v>34701</v>
      </c>
      <c r="AA194" s="141">
        <v>34701</v>
      </c>
      <c r="AB194" s="142">
        <v>0</v>
      </c>
    </row>
    <row r="195" spans="1:28">
      <c r="A195" s="144">
        <v>45177</v>
      </c>
      <c r="B195" s="141">
        <v>36627</v>
      </c>
      <c r="C195" s="141">
        <v>36730</v>
      </c>
      <c r="D195" s="142">
        <f t="shared" ref="D195:D258" si="3">C195-B195</f>
        <v>103</v>
      </c>
      <c r="E195" s="141">
        <v>16374</v>
      </c>
      <c r="F195" s="141">
        <v>16374</v>
      </c>
      <c r="G195" s="142">
        <v>0</v>
      </c>
      <c r="H195" s="141">
        <v>480735</v>
      </c>
      <c r="I195" s="141">
        <v>481116</v>
      </c>
      <c r="J195" s="142">
        <v>381</v>
      </c>
      <c r="Q195" s="141">
        <v>11989</v>
      </c>
      <c r="R195" s="141">
        <v>12074</v>
      </c>
      <c r="S195" s="142">
        <v>85</v>
      </c>
      <c r="T195" s="141">
        <v>3894</v>
      </c>
      <c r="U195" s="141">
        <v>3898</v>
      </c>
      <c r="V195" s="142">
        <v>4</v>
      </c>
      <c r="W195" s="141">
        <v>2951</v>
      </c>
      <c r="X195" s="141">
        <v>2955</v>
      </c>
      <c r="Y195" s="142">
        <v>4</v>
      </c>
      <c r="Z195" s="141">
        <v>34701</v>
      </c>
      <c r="AA195" s="141">
        <v>34701</v>
      </c>
      <c r="AB195" s="142">
        <v>0</v>
      </c>
    </row>
    <row r="196" spans="1:28">
      <c r="A196" s="144">
        <v>45178</v>
      </c>
      <c r="B196" s="141">
        <v>36730</v>
      </c>
      <c r="C196" s="141">
        <v>36828</v>
      </c>
      <c r="D196" s="142">
        <f t="shared" si="3"/>
        <v>98</v>
      </c>
      <c r="E196" s="141">
        <v>16374</v>
      </c>
      <c r="F196" s="141">
        <v>16374</v>
      </c>
      <c r="G196" s="142">
        <v>0</v>
      </c>
      <c r="H196" s="141">
        <v>481116</v>
      </c>
      <c r="I196" s="141">
        <v>482001</v>
      </c>
      <c r="J196" s="142">
        <v>885</v>
      </c>
      <c r="Q196" s="141">
        <v>12074</v>
      </c>
      <c r="R196" s="141">
        <v>12116</v>
      </c>
      <c r="S196" s="142">
        <v>42</v>
      </c>
      <c r="T196" s="141">
        <v>3898</v>
      </c>
      <c r="U196" s="141">
        <v>3899</v>
      </c>
      <c r="V196" s="142">
        <v>1</v>
      </c>
      <c r="W196" s="141">
        <v>2955</v>
      </c>
      <c r="X196" s="141">
        <v>2956</v>
      </c>
      <c r="Y196" s="142">
        <v>1</v>
      </c>
      <c r="Z196" s="141">
        <v>34701</v>
      </c>
      <c r="AA196" s="141">
        <v>34701</v>
      </c>
      <c r="AB196" s="142">
        <v>0</v>
      </c>
    </row>
    <row r="197" spans="1:28">
      <c r="A197" s="144">
        <v>45179</v>
      </c>
      <c r="B197" s="141">
        <v>36828</v>
      </c>
      <c r="C197" s="141">
        <v>36910</v>
      </c>
      <c r="D197" s="142">
        <f t="shared" si="3"/>
        <v>82</v>
      </c>
      <c r="E197" s="141">
        <v>16374</v>
      </c>
      <c r="F197" s="141">
        <v>16813</v>
      </c>
      <c r="G197" s="142">
        <v>439</v>
      </c>
      <c r="H197" s="141">
        <v>482001</v>
      </c>
      <c r="I197" s="141">
        <v>482465</v>
      </c>
      <c r="J197" s="142">
        <v>464</v>
      </c>
      <c r="Q197" s="141">
        <v>12116</v>
      </c>
      <c r="R197" s="141">
        <v>12145</v>
      </c>
      <c r="S197" s="142">
        <v>29</v>
      </c>
      <c r="T197" s="141">
        <v>3899</v>
      </c>
      <c r="U197" s="141">
        <v>3904</v>
      </c>
      <c r="V197" s="142">
        <v>5</v>
      </c>
      <c r="W197" s="141">
        <v>2956</v>
      </c>
      <c r="X197" s="141">
        <v>2957</v>
      </c>
      <c r="Y197" s="142">
        <v>1</v>
      </c>
      <c r="Z197" s="141">
        <v>34701</v>
      </c>
      <c r="AA197" s="141">
        <v>34701</v>
      </c>
      <c r="AB197" s="142">
        <v>0</v>
      </c>
    </row>
    <row r="198" spans="1:28">
      <c r="A198" s="144">
        <v>45180</v>
      </c>
      <c r="B198" s="141">
        <v>36910</v>
      </c>
      <c r="C198" s="141">
        <v>37001</v>
      </c>
      <c r="D198" s="142">
        <f t="shared" si="3"/>
        <v>91</v>
      </c>
      <c r="E198" s="141">
        <v>16813</v>
      </c>
      <c r="F198" s="141">
        <v>16896</v>
      </c>
      <c r="G198" s="142">
        <v>83</v>
      </c>
      <c r="H198" s="141">
        <v>482465</v>
      </c>
      <c r="I198" s="141">
        <v>482531</v>
      </c>
      <c r="J198" s="142">
        <v>66</v>
      </c>
      <c r="Q198" s="141">
        <v>12145</v>
      </c>
      <c r="R198" s="141">
        <v>12190</v>
      </c>
      <c r="S198" s="142">
        <v>45</v>
      </c>
      <c r="T198" s="141">
        <v>3904</v>
      </c>
      <c r="U198" s="141">
        <v>3910</v>
      </c>
      <c r="V198" s="142">
        <v>6</v>
      </c>
      <c r="W198" s="141">
        <v>2957</v>
      </c>
      <c r="X198" s="141">
        <v>2957</v>
      </c>
      <c r="Y198" s="142">
        <v>0</v>
      </c>
      <c r="Z198" s="141">
        <v>34701</v>
      </c>
      <c r="AA198" s="141">
        <v>34910</v>
      </c>
      <c r="AB198" s="142">
        <v>209</v>
      </c>
    </row>
    <row r="199" spans="1:28">
      <c r="A199" s="144">
        <v>45181</v>
      </c>
      <c r="B199" s="141">
        <v>37001</v>
      </c>
      <c r="C199" s="141">
        <v>37042</v>
      </c>
      <c r="D199" s="142">
        <f t="shared" si="3"/>
        <v>41</v>
      </c>
      <c r="E199" s="141">
        <v>16896</v>
      </c>
      <c r="F199" s="141">
        <v>16928</v>
      </c>
      <c r="G199" s="142">
        <v>32</v>
      </c>
      <c r="H199" s="141">
        <v>482531</v>
      </c>
      <c r="I199" s="141">
        <v>482684</v>
      </c>
      <c r="J199" s="142">
        <v>153</v>
      </c>
      <c r="Q199" s="141">
        <v>12190</v>
      </c>
      <c r="R199" s="141">
        <v>12212</v>
      </c>
      <c r="S199" s="142">
        <v>22</v>
      </c>
      <c r="T199" s="141">
        <v>3910</v>
      </c>
      <c r="U199" s="141">
        <v>3916</v>
      </c>
      <c r="V199" s="142">
        <v>6</v>
      </c>
      <c r="W199" s="141">
        <v>2957</v>
      </c>
      <c r="X199" s="141">
        <v>2958</v>
      </c>
      <c r="Y199" s="142">
        <v>1</v>
      </c>
      <c r="Z199" s="141">
        <v>34910</v>
      </c>
      <c r="AA199" s="141">
        <v>34921</v>
      </c>
      <c r="AB199" s="142">
        <v>11</v>
      </c>
    </row>
    <row r="200" spans="1:28">
      <c r="A200" s="144">
        <v>45182</v>
      </c>
      <c r="B200" s="141">
        <v>37042</v>
      </c>
      <c r="C200" s="141">
        <v>37148</v>
      </c>
      <c r="D200" s="142">
        <f t="shared" si="3"/>
        <v>106</v>
      </c>
      <c r="E200" s="141">
        <v>16928</v>
      </c>
      <c r="F200" s="141">
        <v>16998</v>
      </c>
      <c r="G200" s="142">
        <v>70</v>
      </c>
      <c r="H200" s="141">
        <v>482684</v>
      </c>
      <c r="I200" s="141">
        <v>482978</v>
      </c>
      <c r="J200" s="142">
        <v>294</v>
      </c>
      <c r="Q200" s="141">
        <v>12212</v>
      </c>
      <c r="R200" s="141">
        <v>12227</v>
      </c>
      <c r="S200" s="142">
        <v>15</v>
      </c>
      <c r="T200" s="141">
        <v>3916</v>
      </c>
      <c r="U200" s="141">
        <v>3921</v>
      </c>
      <c r="V200" s="142">
        <v>5</v>
      </c>
      <c r="W200" s="141">
        <v>2958</v>
      </c>
      <c r="X200" s="141">
        <v>2965</v>
      </c>
      <c r="Y200" s="142">
        <v>7</v>
      </c>
      <c r="Z200" s="141">
        <v>34921</v>
      </c>
      <c r="AA200" s="141">
        <v>34943</v>
      </c>
      <c r="AB200" s="142">
        <v>22</v>
      </c>
    </row>
    <row r="201" spans="1:28">
      <c r="A201" s="144">
        <v>45183</v>
      </c>
      <c r="B201" s="141">
        <v>37148</v>
      </c>
      <c r="C201" s="141">
        <v>37243</v>
      </c>
      <c r="D201" s="142">
        <f t="shared" si="3"/>
        <v>95</v>
      </c>
      <c r="E201" s="141">
        <v>16998</v>
      </c>
      <c r="F201" s="141">
        <v>17043</v>
      </c>
      <c r="G201" s="142">
        <v>45</v>
      </c>
      <c r="H201" s="141">
        <v>482978</v>
      </c>
      <c r="I201" s="141">
        <v>483241</v>
      </c>
      <c r="J201" s="142">
        <v>263</v>
      </c>
      <c r="Q201" s="141">
        <v>12227</v>
      </c>
      <c r="R201" s="141">
        <v>12301</v>
      </c>
      <c r="S201" s="142">
        <v>74</v>
      </c>
      <c r="T201" s="141">
        <v>3921</v>
      </c>
      <c r="U201" s="141">
        <v>3932</v>
      </c>
      <c r="V201" s="142">
        <v>11</v>
      </c>
      <c r="W201" s="141">
        <v>2965</v>
      </c>
      <c r="X201" s="141">
        <v>2971</v>
      </c>
      <c r="Y201" s="142">
        <v>6</v>
      </c>
      <c r="Z201" s="141">
        <v>34943</v>
      </c>
      <c r="AA201" s="141">
        <v>34963</v>
      </c>
      <c r="AB201" s="142">
        <v>20</v>
      </c>
    </row>
    <row r="202" spans="1:28">
      <c r="A202" s="144">
        <v>45184</v>
      </c>
      <c r="B202" s="141">
        <v>37243</v>
      </c>
      <c r="C202" s="141">
        <v>37376</v>
      </c>
      <c r="D202" s="142">
        <f t="shared" si="3"/>
        <v>133</v>
      </c>
      <c r="E202" s="141">
        <v>17043</v>
      </c>
      <c r="F202" s="141">
        <v>17083</v>
      </c>
      <c r="G202" s="142">
        <v>40</v>
      </c>
      <c r="H202" s="141">
        <v>483241</v>
      </c>
      <c r="I202" s="141">
        <v>483516</v>
      </c>
      <c r="J202" s="142">
        <v>275</v>
      </c>
      <c r="Q202" s="141">
        <v>12301</v>
      </c>
      <c r="R202" s="141">
        <v>12333</v>
      </c>
      <c r="S202" s="142">
        <v>32</v>
      </c>
      <c r="T202" s="141">
        <v>3932</v>
      </c>
      <c r="U202" s="141">
        <v>3938</v>
      </c>
      <c r="V202" s="142">
        <v>6</v>
      </c>
      <c r="W202" s="141">
        <v>2971</v>
      </c>
      <c r="X202" s="141">
        <v>2973</v>
      </c>
      <c r="Y202" s="142">
        <v>2</v>
      </c>
      <c r="Z202" s="141">
        <v>34963</v>
      </c>
      <c r="AA202" s="141">
        <v>34986</v>
      </c>
      <c r="AB202" s="142">
        <v>23</v>
      </c>
    </row>
    <row r="203" spans="1:28">
      <c r="A203" s="144">
        <v>45185</v>
      </c>
      <c r="B203" s="141">
        <v>37376</v>
      </c>
      <c r="C203" s="141">
        <v>37454</v>
      </c>
      <c r="D203" s="142">
        <f t="shared" si="3"/>
        <v>78</v>
      </c>
      <c r="E203" s="141">
        <v>17083</v>
      </c>
      <c r="F203" s="141">
        <v>17097</v>
      </c>
      <c r="G203" s="142">
        <v>14</v>
      </c>
      <c r="H203" s="141">
        <v>483516</v>
      </c>
      <c r="I203" s="141">
        <v>483689</v>
      </c>
      <c r="J203" s="142">
        <v>173</v>
      </c>
      <c r="Q203" s="141">
        <v>12333</v>
      </c>
      <c r="R203" s="141">
        <v>12346</v>
      </c>
      <c r="S203" s="142">
        <v>13</v>
      </c>
      <c r="T203" s="141">
        <v>3938</v>
      </c>
      <c r="U203" s="141">
        <v>3939</v>
      </c>
      <c r="V203" s="142">
        <v>1</v>
      </c>
      <c r="W203" s="141">
        <v>2973</v>
      </c>
      <c r="X203" s="141">
        <v>2975</v>
      </c>
      <c r="Y203" s="142">
        <v>2</v>
      </c>
      <c r="Z203" s="141">
        <v>34986</v>
      </c>
      <c r="AA203" s="141">
        <v>34997</v>
      </c>
      <c r="AB203" s="142">
        <v>11</v>
      </c>
    </row>
    <row r="204" spans="1:28">
      <c r="A204" s="144">
        <v>45186</v>
      </c>
      <c r="B204" s="141">
        <v>37454</v>
      </c>
      <c r="C204" s="141">
        <v>37454</v>
      </c>
      <c r="D204" s="142">
        <f t="shared" si="3"/>
        <v>0</v>
      </c>
      <c r="E204" s="141">
        <v>17097</v>
      </c>
      <c r="F204" s="141">
        <v>17161</v>
      </c>
      <c r="G204" s="142">
        <v>64</v>
      </c>
      <c r="H204" s="141">
        <v>483689</v>
      </c>
      <c r="I204" s="141">
        <v>484074</v>
      </c>
      <c r="J204" s="142">
        <v>385</v>
      </c>
      <c r="Q204" s="141">
        <v>12346</v>
      </c>
      <c r="R204" s="141">
        <v>12476</v>
      </c>
      <c r="S204" s="142">
        <v>130</v>
      </c>
      <c r="T204" s="141">
        <v>3939</v>
      </c>
      <c r="U204" s="141">
        <v>3940</v>
      </c>
      <c r="V204" s="142">
        <v>1</v>
      </c>
      <c r="W204" s="141">
        <v>2975</v>
      </c>
      <c r="X204" s="141">
        <v>2979</v>
      </c>
      <c r="Y204" s="142">
        <v>4</v>
      </c>
      <c r="Z204" s="141">
        <v>34997</v>
      </c>
      <c r="AA204" s="141">
        <v>35018</v>
      </c>
      <c r="AB204" s="142">
        <v>21</v>
      </c>
    </row>
    <row r="205" spans="1:28">
      <c r="A205" s="144">
        <v>45187</v>
      </c>
      <c r="B205" s="141">
        <f t="shared" ref="B205:B268" si="4">C204</f>
        <v>37454</v>
      </c>
      <c r="C205" s="141">
        <v>37454</v>
      </c>
      <c r="D205" s="142">
        <f t="shared" si="3"/>
        <v>0</v>
      </c>
      <c r="E205" s="141">
        <v>17161</v>
      </c>
      <c r="F205" s="141">
        <v>17192</v>
      </c>
      <c r="G205" s="142">
        <v>31</v>
      </c>
      <c r="H205" s="141">
        <v>484074</v>
      </c>
      <c r="I205" s="141">
        <v>484263</v>
      </c>
      <c r="J205" s="142">
        <v>189</v>
      </c>
      <c r="Q205" s="141">
        <v>12476</v>
      </c>
      <c r="R205" s="141">
        <v>12483</v>
      </c>
      <c r="S205" s="142">
        <v>7</v>
      </c>
      <c r="T205" s="141">
        <v>3940</v>
      </c>
      <c r="U205" s="141">
        <v>3941</v>
      </c>
      <c r="V205" s="142">
        <v>1</v>
      </c>
      <c r="W205" s="141">
        <v>2979</v>
      </c>
      <c r="X205" s="141">
        <v>2982</v>
      </c>
      <c r="Y205" s="142">
        <v>3</v>
      </c>
      <c r="Z205" s="141">
        <v>35018</v>
      </c>
      <c r="AA205" s="141">
        <v>35027</v>
      </c>
      <c r="AB205" s="142">
        <v>9</v>
      </c>
    </row>
    <row r="206" spans="1:28">
      <c r="A206" s="144">
        <v>45188</v>
      </c>
      <c r="B206" s="141">
        <f t="shared" si="4"/>
        <v>37454</v>
      </c>
      <c r="C206" s="141">
        <v>37569</v>
      </c>
      <c r="D206" s="142">
        <f t="shared" si="3"/>
        <v>115</v>
      </c>
      <c r="E206" s="141">
        <v>17192</v>
      </c>
      <c r="F206" s="141">
        <v>17247</v>
      </c>
      <c r="G206" s="142">
        <v>55</v>
      </c>
      <c r="H206" s="141">
        <v>484263</v>
      </c>
      <c r="I206" s="141">
        <v>484448</v>
      </c>
      <c r="J206" s="142">
        <v>185</v>
      </c>
      <c r="Q206" s="141">
        <v>12483</v>
      </c>
      <c r="R206" s="141">
        <v>12493</v>
      </c>
      <c r="S206" s="142">
        <v>10</v>
      </c>
      <c r="T206" s="141">
        <v>3941</v>
      </c>
      <c r="U206" s="141">
        <v>3942</v>
      </c>
      <c r="V206" s="142">
        <v>1</v>
      </c>
      <c r="W206" s="141">
        <v>2982</v>
      </c>
      <c r="X206" s="141">
        <v>2985</v>
      </c>
      <c r="Y206" s="142">
        <v>3</v>
      </c>
      <c r="Z206" s="141">
        <v>35027</v>
      </c>
      <c r="AA206" s="141">
        <v>35035</v>
      </c>
      <c r="AB206" s="142">
        <v>8</v>
      </c>
    </row>
    <row r="207" spans="1:28">
      <c r="A207" s="144">
        <v>45189</v>
      </c>
      <c r="B207" s="141">
        <f t="shared" si="4"/>
        <v>37569</v>
      </c>
      <c r="C207" s="141">
        <v>37569</v>
      </c>
      <c r="D207" s="142">
        <f t="shared" si="3"/>
        <v>0</v>
      </c>
      <c r="E207" s="141">
        <v>17247</v>
      </c>
      <c r="F207" s="141">
        <v>17265</v>
      </c>
      <c r="G207" s="142">
        <v>18</v>
      </c>
      <c r="H207" s="141">
        <v>484448</v>
      </c>
      <c r="I207" s="141">
        <v>484653</v>
      </c>
      <c r="J207" s="142">
        <v>205</v>
      </c>
      <c r="Q207" s="141">
        <v>12493</v>
      </c>
      <c r="R207" s="141">
        <v>12533</v>
      </c>
      <c r="S207" s="142">
        <v>40</v>
      </c>
      <c r="T207" s="141">
        <v>3942</v>
      </c>
      <c r="U207" s="141">
        <v>3945</v>
      </c>
      <c r="V207" s="142">
        <v>3</v>
      </c>
      <c r="W207" s="141">
        <v>2985</v>
      </c>
      <c r="X207" s="141">
        <v>2988</v>
      </c>
      <c r="Y207" s="142">
        <v>3</v>
      </c>
      <c r="Z207" s="141">
        <v>35035</v>
      </c>
      <c r="AA207" s="141">
        <v>35062</v>
      </c>
      <c r="AB207" s="142">
        <v>27</v>
      </c>
    </row>
    <row r="208" spans="1:28">
      <c r="A208" s="144">
        <v>45190</v>
      </c>
      <c r="B208" s="141">
        <f t="shared" si="4"/>
        <v>37569</v>
      </c>
      <c r="C208" s="141">
        <v>37581</v>
      </c>
      <c r="D208" s="142">
        <f t="shared" si="3"/>
        <v>12</v>
      </c>
      <c r="E208" s="141">
        <v>17265</v>
      </c>
      <c r="F208" s="141">
        <v>17321</v>
      </c>
      <c r="G208" s="142">
        <v>56</v>
      </c>
      <c r="H208" s="141">
        <v>484653</v>
      </c>
      <c r="I208" s="141">
        <v>484892</v>
      </c>
      <c r="J208" s="142">
        <v>239</v>
      </c>
      <c r="Q208" s="141">
        <v>12533</v>
      </c>
      <c r="R208" s="141">
        <v>12578</v>
      </c>
      <c r="S208" s="142">
        <v>45</v>
      </c>
      <c r="T208" s="141">
        <v>3945</v>
      </c>
      <c r="U208" s="141">
        <v>3947</v>
      </c>
      <c r="V208" s="142">
        <v>2</v>
      </c>
      <c r="W208" s="141">
        <v>2988</v>
      </c>
      <c r="X208" s="141">
        <v>2989</v>
      </c>
      <c r="Y208" s="142">
        <v>1</v>
      </c>
      <c r="Z208" s="141">
        <v>35062</v>
      </c>
      <c r="AA208" s="141">
        <v>35081</v>
      </c>
      <c r="AB208" s="142">
        <v>19</v>
      </c>
    </row>
    <row r="209" spans="1:28">
      <c r="A209" s="144">
        <v>45191</v>
      </c>
      <c r="B209" s="141">
        <f t="shared" si="4"/>
        <v>37581</v>
      </c>
      <c r="C209" s="141">
        <v>37581</v>
      </c>
      <c r="D209" s="142">
        <f t="shared" si="3"/>
        <v>0</v>
      </c>
      <c r="E209" s="141">
        <v>17321</v>
      </c>
      <c r="F209" s="141">
        <v>17418</v>
      </c>
      <c r="G209" s="142">
        <v>97</v>
      </c>
      <c r="H209" s="141">
        <v>484892</v>
      </c>
      <c r="I209" s="141">
        <v>485187</v>
      </c>
      <c r="J209" s="142">
        <v>295</v>
      </c>
      <c r="Q209" s="141">
        <v>12578</v>
      </c>
      <c r="R209" s="141">
        <v>12622</v>
      </c>
      <c r="S209" s="142">
        <v>44</v>
      </c>
      <c r="T209" s="141">
        <v>3947</v>
      </c>
      <c r="U209" s="141">
        <v>3950</v>
      </c>
      <c r="V209" s="142">
        <v>3</v>
      </c>
      <c r="W209" s="141">
        <v>2989</v>
      </c>
      <c r="X209" s="141">
        <v>2991</v>
      </c>
      <c r="Y209" s="142">
        <v>2</v>
      </c>
      <c r="Z209" s="141">
        <v>35081</v>
      </c>
      <c r="AA209" s="141">
        <v>35098</v>
      </c>
      <c r="AB209" s="142">
        <v>17</v>
      </c>
    </row>
    <row r="210" spans="1:28">
      <c r="A210" s="144">
        <v>45192</v>
      </c>
      <c r="B210" s="141">
        <f t="shared" si="4"/>
        <v>37581</v>
      </c>
      <c r="C210" s="141">
        <v>37581</v>
      </c>
      <c r="D210" s="142">
        <f t="shared" si="3"/>
        <v>0</v>
      </c>
      <c r="E210" s="141">
        <v>17418</v>
      </c>
      <c r="F210" s="141">
        <v>17451</v>
      </c>
      <c r="G210" s="142">
        <v>33</v>
      </c>
      <c r="H210" s="141">
        <v>485187</v>
      </c>
      <c r="I210" s="141">
        <v>485332</v>
      </c>
      <c r="J210" s="142">
        <v>145</v>
      </c>
      <c r="Q210" s="141">
        <v>12622</v>
      </c>
      <c r="R210" s="141">
        <v>12647</v>
      </c>
      <c r="S210" s="142">
        <v>25</v>
      </c>
      <c r="T210" s="141">
        <v>3950</v>
      </c>
      <c r="U210" s="141">
        <v>3954</v>
      </c>
      <c r="V210" s="142">
        <v>4</v>
      </c>
      <c r="W210" s="141">
        <v>2991</v>
      </c>
      <c r="X210" s="141">
        <v>2993</v>
      </c>
      <c r="Y210" s="142">
        <v>2</v>
      </c>
      <c r="Z210" s="141">
        <v>35098</v>
      </c>
      <c r="AA210" s="141">
        <v>35122</v>
      </c>
      <c r="AB210" s="142">
        <v>24</v>
      </c>
    </row>
    <row r="211" spans="1:28">
      <c r="A211" s="144">
        <v>45193</v>
      </c>
      <c r="B211" s="141">
        <f t="shared" si="4"/>
        <v>37581</v>
      </c>
      <c r="C211" s="141">
        <v>37581</v>
      </c>
      <c r="D211" s="142">
        <f t="shared" si="3"/>
        <v>0</v>
      </c>
      <c r="E211" s="141">
        <v>17451</v>
      </c>
      <c r="F211" s="141">
        <v>17498</v>
      </c>
      <c r="G211" s="142">
        <v>47</v>
      </c>
      <c r="H211" s="141">
        <v>485332</v>
      </c>
      <c r="I211" s="141">
        <v>485503</v>
      </c>
      <c r="J211" s="142">
        <v>171</v>
      </c>
      <c r="Q211" s="141">
        <v>12647</v>
      </c>
      <c r="R211" s="141">
        <v>12684</v>
      </c>
      <c r="S211" s="142">
        <v>37</v>
      </c>
      <c r="T211" s="141">
        <v>3954</v>
      </c>
      <c r="U211" s="141">
        <v>3957</v>
      </c>
      <c r="V211" s="142">
        <v>3</v>
      </c>
      <c r="W211" s="141">
        <v>2993</v>
      </c>
      <c r="X211" s="141">
        <v>2995</v>
      </c>
      <c r="Y211" s="142">
        <v>2</v>
      </c>
      <c r="Z211" s="141">
        <v>35122</v>
      </c>
      <c r="AA211" s="141">
        <v>35164</v>
      </c>
      <c r="AB211" s="142">
        <v>42</v>
      </c>
    </row>
    <row r="212" spans="1:28">
      <c r="A212" s="144">
        <v>45194</v>
      </c>
      <c r="B212" s="141">
        <f t="shared" si="4"/>
        <v>37581</v>
      </c>
      <c r="C212" s="141">
        <v>37581</v>
      </c>
      <c r="D212" s="142">
        <f t="shared" si="3"/>
        <v>0</v>
      </c>
      <c r="E212" s="141">
        <v>17498</v>
      </c>
      <c r="F212" s="141">
        <v>17525</v>
      </c>
      <c r="G212" s="142">
        <v>27</v>
      </c>
      <c r="H212" s="141">
        <v>485503</v>
      </c>
      <c r="I212" s="141">
        <v>485677</v>
      </c>
      <c r="J212" s="142">
        <v>174</v>
      </c>
      <c r="Q212" s="141">
        <v>12684</v>
      </c>
      <c r="R212" s="141">
        <v>12725</v>
      </c>
      <c r="S212" s="142">
        <v>41</v>
      </c>
      <c r="T212" s="141">
        <v>3957</v>
      </c>
      <c r="U212" s="141">
        <v>3961</v>
      </c>
      <c r="V212" s="142">
        <v>4</v>
      </c>
      <c r="W212" s="141">
        <v>2995</v>
      </c>
      <c r="X212" s="141">
        <v>2996</v>
      </c>
      <c r="Y212" s="142">
        <v>1</v>
      </c>
      <c r="Z212" s="141">
        <v>35164</v>
      </c>
      <c r="AA212" s="141">
        <v>35293</v>
      </c>
      <c r="AB212" s="142">
        <v>129</v>
      </c>
    </row>
    <row r="213" spans="1:28">
      <c r="A213" s="144">
        <v>45195</v>
      </c>
      <c r="B213" s="141">
        <f t="shared" si="4"/>
        <v>37581</v>
      </c>
      <c r="C213" s="141">
        <v>37581</v>
      </c>
      <c r="D213" s="142">
        <f t="shared" si="3"/>
        <v>0</v>
      </c>
      <c r="E213" s="141">
        <v>17525</v>
      </c>
      <c r="F213" s="141">
        <v>17567</v>
      </c>
      <c r="G213" s="142">
        <v>42</v>
      </c>
      <c r="H213" s="141">
        <v>485677</v>
      </c>
      <c r="I213" s="141">
        <v>485942</v>
      </c>
      <c r="J213" s="142">
        <v>265</v>
      </c>
      <c r="Q213" s="141">
        <v>12725</v>
      </c>
      <c r="R213" s="141">
        <v>12769</v>
      </c>
      <c r="S213" s="142">
        <v>44</v>
      </c>
      <c r="T213" s="141">
        <v>3961</v>
      </c>
      <c r="U213" s="141">
        <v>3964</v>
      </c>
      <c r="V213" s="142">
        <v>3</v>
      </c>
      <c r="W213" s="141">
        <v>2996</v>
      </c>
      <c r="X213" s="141">
        <v>2997</v>
      </c>
      <c r="Y213" s="142">
        <v>1</v>
      </c>
      <c r="Z213" s="141">
        <v>35293</v>
      </c>
      <c r="AA213" s="141">
        <v>35341</v>
      </c>
      <c r="AB213" s="142">
        <v>48</v>
      </c>
    </row>
    <row r="214" spans="1:28">
      <c r="A214" s="144">
        <v>45196</v>
      </c>
      <c r="B214" s="141">
        <f t="shared" si="4"/>
        <v>37581</v>
      </c>
      <c r="C214" s="141">
        <v>37581</v>
      </c>
      <c r="D214" s="142">
        <f t="shared" si="3"/>
        <v>0</v>
      </c>
      <c r="E214" s="141">
        <v>17567</v>
      </c>
      <c r="F214" s="141">
        <v>17591</v>
      </c>
      <c r="G214" s="142">
        <v>24</v>
      </c>
      <c r="H214" s="141">
        <v>485942</v>
      </c>
      <c r="I214" s="141">
        <v>486105</v>
      </c>
      <c r="J214" s="142">
        <v>163</v>
      </c>
      <c r="Q214" s="141">
        <v>12769</v>
      </c>
      <c r="R214" s="141">
        <v>12815</v>
      </c>
      <c r="S214" s="142">
        <v>46</v>
      </c>
      <c r="T214" s="141">
        <v>3964</v>
      </c>
      <c r="U214" s="141">
        <v>3967</v>
      </c>
      <c r="V214" s="142">
        <v>3</v>
      </c>
      <c r="W214" s="141">
        <v>2997</v>
      </c>
      <c r="X214" s="141">
        <v>2998</v>
      </c>
      <c r="Y214" s="142">
        <v>1</v>
      </c>
      <c r="Z214" s="141">
        <v>35341</v>
      </c>
      <c r="AA214" s="141">
        <v>35362</v>
      </c>
      <c r="AB214" s="142">
        <v>21</v>
      </c>
    </row>
    <row r="215" spans="1:28">
      <c r="A215" s="144">
        <v>45197</v>
      </c>
      <c r="B215" s="141">
        <f t="shared" si="4"/>
        <v>37581</v>
      </c>
      <c r="C215" s="141">
        <v>37652</v>
      </c>
      <c r="D215" s="142">
        <f t="shared" si="3"/>
        <v>71</v>
      </c>
      <c r="E215" s="141">
        <v>17591</v>
      </c>
      <c r="F215" s="141">
        <v>17609</v>
      </c>
      <c r="G215" s="142">
        <v>18</v>
      </c>
      <c r="H215" s="141">
        <v>486105</v>
      </c>
      <c r="I215" s="141">
        <v>486341</v>
      </c>
      <c r="J215" s="142">
        <v>236</v>
      </c>
      <c r="Q215" s="141">
        <v>12815</v>
      </c>
      <c r="R215" s="141">
        <v>12854</v>
      </c>
      <c r="S215" s="142">
        <v>39</v>
      </c>
      <c r="T215" s="141">
        <v>3967</v>
      </c>
      <c r="U215" s="141">
        <v>3969</v>
      </c>
      <c r="V215" s="142">
        <v>2</v>
      </c>
      <c r="W215" s="141">
        <v>2998</v>
      </c>
      <c r="X215" s="141">
        <v>2999</v>
      </c>
      <c r="Y215" s="142">
        <v>1</v>
      </c>
      <c r="Z215" s="141">
        <v>35362</v>
      </c>
      <c r="AA215" s="141">
        <v>35383</v>
      </c>
      <c r="AB215" s="142">
        <v>21</v>
      </c>
    </row>
    <row r="216" spans="1:28">
      <c r="A216" s="144">
        <v>45198</v>
      </c>
      <c r="B216" s="141">
        <f t="shared" si="4"/>
        <v>37652</v>
      </c>
      <c r="C216" s="141">
        <v>37738</v>
      </c>
      <c r="D216" s="142">
        <f t="shared" si="3"/>
        <v>86</v>
      </c>
      <c r="E216" s="141">
        <v>17609</v>
      </c>
      <c r="F216" s="141">
        <v>17654</v>
      </c>
      <c r="G216" s="142">
        <v>45</v>
      </c>
      <c r="H216" s="141">
        <v>486341</v>
      </c>
      <c r="I216" s="141">
        <v>486476</v>
      </c>
      <c r="J216" s="142">
        <v>135</v>
      </c>
      <c r="Q216" s="141">
        <v>12854</v>
      </c>
      <c r="R216" s="141">
        <v>12881</v>
      </c>
      <c r="S216" s="142">
        <v>27</v>
      </c>
      <c r="T216" s="141">
        <v>3969</v>
      </c>
      <c r="U216" s="141">
        <v>3974</v>
      </c>
      <c r="V216" s="142">
        <v>5</v>
      </c>
      <c r="W216" s="141">
        <v>2999</v>
      </c>
      <c r="X216" s="141">
        <v>3008</v>
      </c>
      <c r="Y216" s="142">
        <v>9</v>
      </c>
      <c r="Z216" s="141">
        <v>35383</v>
      </c>
      <c r="AA216" s="141">
        <v>35396</v>
      </c>
      <c r="AB216" s="142">
        <v>13</v>
      </c>
    </row>
    <row r="217" spans="1:28">
      <c r="A217" s="144">
        <v>45199</v>
      </c>
      <c r="B217" s="141">
        <f t="shared" si="4"/>
        <v>37738</v>
      </c>
      <c r="C217" s="141">
        <v>37866</v>
      </c>
      <c r="D217" s="142">
        <f t="shared" si="3"/>
        <v>128</v>
      </c>
      <c r="E217" s="141">
        <v>17654</v>
      </c>
      <c r="F217" s="141">
        <v>17689</v>
      </c>
      <c r="G217" s="142">
        <v>35</v>
      </c>
      <c r="H217" s="141">
        <v>486476</v>
      </c>
      <c r="I217" s="141">
        <v>486705</v>
      </c>
      <c r="J217" s="142">
        <v>229</v>
      </c>
      <c r="Q217" s="141">
        <v>12881</v>
      </c>
      <c r="R217" s="141">
        <v>12894</v>
      </c>
      <c r="S217" s="142">
        <v>13</v>
      </c>
      <c r="T217" s="141">
        <v>3974</v>
      </c>
      <c r="U217" s="141">
        <v>3976</v>
      </c>
      <c r="V217" s="142">
        <v>2</v>
      </c>
      <c r="W217" s="141">
        <v>3008</v>
      </c>
      <c r="X217" s="141">
        <v>3011</v>
      </c>
      <c r="Y217" s="142">
        <v>3</v>
      </c>
      <c r="Z217" s="141">
        <v>35396</v>
      </c>
      <c r="AA217" s="141">
        <v>35413</v>
      </c>
      <c r="AB217" s="142">
        <v>17</v>
      </c>
    </row>
    <row r="218" spans="1:28">
      <c r="A218" s="144">
        <v>45200</v>
      </c>
      <c r="B218" s="141">
        <f t="shared" si="4"/>
        <v>37866</v>
      </c>
      <c r="C218" s="141">
        <v>37866</v>
      </c>
      <c r="D218" s="142">
        <f t="shared" si="3"/>
        <v>0</v>
      </c>
      <c r="E218" s="141">
        <v>17689</v>
      </c>
      <c r="F218" s="141">
        <v>17701</v>
      </c>
      <c r="G218" s="142">
        <v>12</v>
      </c>
      <c r="H218" s="141">
        <v>486705</v>
      </c>
      <c r="I218" s="141">
        <v>486891</v>
      </c>
      <c r="J218" s="142">
        <v>186</v>
      </c>
      <c r="Q218" s="141">
        <v>12894</v>
      </c>
      <c r="R218" s="141">
        <v>12918</v>
      </c>
      <c r="S218" s="142">
        <v>24</v>
      </c>
      <c r="T218" s="141">
        <v>3976</v>
      </c>
      <c r="U218" s="141">
        <v>3978</v>
      </c>
      <c r="V218" s="142">
        <v>2</v>
      </c>
      <c r="W218" s="141">
        <v>3011</v>
      </c>
      <c r="X218" s="141">
        <v>3013</v>
      </c>
      <c r="Y218" s="142">
        <v>2</v>
      </c>
      <c r="Z218" s="141">
        <v>35413</v>
      </c>
      <c r="AA218" s="141">
        <v>35621</v>
      </c>
      <c r="AB218" s="142">
        <v>208</v>
      </c>
    </row>
    <row r="219" spans="1:28">
      <c r="A219" s="144">
        <v>45201</v>
      </c>
      <c r="B219" s="141">
        <f t="shared" si="4"/>
        <v>37866</v>
      </c>
      <c r="C219" s="141">
        <v>37866</v>
      </c>
      <c r="D219" s="142">
        <f t="shared" si="3"/>
        <v>0</v>
      </c>
      <c r="E219" s="141">
        <v>17701</v>
      </c>
      <c r="F219" s="141">
        <v>17738</v>
      </c>
      <c r="G219" s="142">
        <v>37</v>
      </c>
      <c r="H219" s="141">
        <v>486891</v>
      </c>
      <c r="I219" s="141">
        <v>487068</v>
      </c>
      <c r="J219" s="142">
        <v>177</v>
      </c>
      <c r="Q219" s="141">
        <v>12918</v>
      </c>
      <c r="R219" s="141">
        <v>13002</v>
      </c>
      <c r="S219" s="142">
        <v>84</v>
      </c>
      <c r="T219" s="141">
        <v>3978</v>
      </c>
      <c r="U219" s="141">
        <v>3981</v>
      </c>
      <c r="V219" s="142">
        <v>3</v>
      </c>
      <c r="W219" s="141">
        <v>3013</v>
      </c>
      <c r="X219" s="141">
        <v>3014</v>
      </c>
      <c r="Y219" s="142">
        <v>1</v>
      </c>
      <c r="Z219" s="141">
        <v>35621</v>
      </c>
      <c r="AA219" s="141">
        <v>35830</v>
      </c>
      <c r="AB219" s="142">
        <v>209</v>
      </c>
    </row>
    <row r="220" spans="1:28">
      <c r="A220" s="144">
        <v>45202</v>
      </c>
      <c r="B220" s="141">
        <f t="shared" si="4"/>
        <v>37866</v>
      </c>
      <c r="C220" s="141">
        <v>37964</v>
      </c>
      <c r="D220" s="142">
        <f t="shared" si="3"/>
        <v>98</v>
      </c>
      <c r="E220" s="141">
        <v>17738</v>
      </c>
      <c r="F220" s="141">
        <v>17792</v>
      </c>
      <c r="G220" s="142">
        <v>54</v>
      </c>
      <c r="H220" s="141">
        <v>487068</v>
      </c>
      <c r="I220" s="141">
        <v>487196</v>
      </c>
      <c r="J220" s="142">
        <v>128</v>
      </c>
      <c r="Q220" s="141">
        <v>13002</v>
      </c>
      <c r="R220" s="141">
        <v>13034</v>
      </c>
      <c r="S220" s="142">
        <v>32</v>
      </c>
      <c r="T220" s="141">
        <v>3981</v>
      </c>
      <c r="U220" s="141">
        <v>3983</v>
      </c>
      <c r="V220" s="142">
        <v>2</v>
      </c>
      <c r="W220" s="141">
        <v>3014</v>
      </c>
      <c r="X220" s="141">
        <v>3015</v>
      </c>
      <c r="Y220" s="142">
        <v>1</v>
      </c>
      <c r="Z220" s="141">
        <v>35830</v>
      </c>
      <c r="AA220" s="141">
        <v>35891</v>
      </c>
      <c r="AB220" s="142">
        <v>61</v>
      </c>
    </row>
    <row r="221" spans="1:28">
      <c r="A221" s="144">
        <v>45203</v>
      </c>
      <c r="B221" s="141">
        <f t="shared" si="4"/>
        <v>37964</v>
      </c>
      <c r="C221" s="141">
        <v>38087</v>
      </c>
      <c r="D221" s="142">
        <f t="shared" si="3"/>
        <v>123</v>
      </c>
      <c r="E221" s="141">
        <v>17792</v>
      </c>
      <c r="F221" s="141">
        <v>17853</v>
      </c>
      <c r="G221" s="142">
        <v>61</v>
      </c>
      <c r="H221" s="141">
        <v>487196</v>
      </c>
      <c r="I221" s="141">
        <v>487388</v>
      </c>
      <c r="J221" s="142">
        <v>192</v>
      </c>
      <c r="Q221" s="141">
        <v>13034</v>
      </c>
      <c r="R221" s="141">
        <v>13073</v>
      </c>
      <c r="S221" s="142">
        <v>39</v>
      </c>
      <c r="T221" s="141">
        <v>3983</v>
      </c>
      <c r="U221" s="141">
        <v>3752</v>
      </c>
      <c r="V221" s="142">
        <v>-231</v>
      </c>
      <c r="W221" s="141">
        <v>3015</v>
      </c>
      <c r="X221" s="141">
        <v>2981</v>
      </c>
      <c r="Y221" s="142">
        <v>-34</v>
      </c>
      <c r="Z221" s="141">
        <v>35891</v>
      </c>
      <c r="AA221" s="141">
        <v>35238</v>
      </c>
      <c r="AB221" s="142">
        <v>-653</v>
      </c>
    </row>
    <row r="222" spans="1:28">
      <c r="A222" s="144">
        <v>45204</v>
      </c>
      <c r="B222" s="141">
        <f t="shared" si="4"/>
        <v>38087</v>
      </c>
      <c r="C222" s="141">
        <v>38203</v>
      </c>
      <c r="D222" s="142">
        <f t="shared" si="3"/>
        <v>116</v>
      </c>
      <c r="E222" s="141">
        <v>17853</v>
      </c>
      <c r="F222" s="141">
        <v>17906</v>
      </c>
      <c r="G222" s="142">
        <v>53</v>
      </c>
      <c r="H222" s="141">
        <v>487388</v>
      </c>
      <c r="I222" s="141">
        <v>487562</v>
      </c>
      <c r="J222" s="142">
        <v>174</v>
      </c>
      <c r="Q222" s="141">
        <v>13073</v>
      </c>
      <c r="R222" s="141">
        <v>13117</v>
      </c>
      <c r="S222" s="142">
        <v>44</v>
      </c>
      <c r="T222" s="141">
        <v>3752</v>
      </c>
      <c r="U222" s="141">
        <v>3754</v>
      </c>
      <c r="V222" s="142">
        <v>2</v>
      </c>
      <c r="W222" s="141">
        <v>2981</v>
      </c>
      <c r="X222" s="141">
        <v>2981</v>
      </c>
      <c r="Y222" s="142">
        <v>0</v>
      </c>
      <c r="Z222" s="141">
        <v>35238</v>
      </c>
      <c r="AA222" s="141">
        <v>35267</v>
      </c>
      <c r="AB222" s="142">
        <v>29</v>
      </c>
    </row>
    <row r="223" spans="1:28">
      <c r="A223" s="144">
        <v>45205</v>
      </c>
      <c r="B223" s="141">
        <f t="shared" si="4"/>
        <v>38203</v>
      </c>
      <c r="C223" s="141">
        <v>38311</v>
      </c>
      <c r="D223" s="142">
        <f t="shared" si="3"/>
        <v>108</v>
      </c>
      <c r="E223" s="141">
        <v>17906</v>
      </c>
      <c r="F223" s="141">
        <v>17949</v>
      </c>
      <c r="G223" s="142">
        <v>43</v>
      </c>
      <c r="H223" s="141">
        <v>487562</v>
      </c>
      <c r="I223" s="141">
        <v>487721</v>
      </c>
      <c r="J223" s="142">
        <v>159</v>
      </c>
      <c r="Q223" s="141">
        <v>13117</v>
      </c>
      <c r="R223" s="141">
        <v>13147</v>
      </c>
      <c r="S223" s="142">
        <v>30</v>
      </c>
      <c r="T223" s="141">
        <v>3754</v>
      </c>
      <c r="U223" s="141">
        <v>3757</v>
      </c>
      <c r="V223" s="142">
        <v>3</v>
      </c>
      <c r="W223" s="141">
        <v>2981</v>
      </c>
      <c r="X223" s="141">
        <v>3018</v>
      </c>
      <c r="Y223" s="142">
        <v>37</v>
      </c>
      <c r="Z223" s="141">
        <v>35267</v>
      </c>
      <c r="AA223" s="141">
        <v>36492</v>
      </c>
      <c r="AB223" s="142">
        <v>1225</v>
      </c>
    </row>
    <row r="224" spans="1:28">
      <c r="A224" s="144">
        <v>45206</v>
      </c>
      <c r="B224" s="141">
        <f t="shared" si="4"/>
        <v>38311</v>
      </c>
      <c r="C224" s="141">
        <v>38434</v>
      </c>
      <c r="D224" s="142">
        <f t="shared" si="3"/>
        <v>123</v>
      </c>
      <c r="E224" s="141">
        <v>17949</v>
      </c>
      <c r="F224" s="141">
        <v>17993</v>
      </c>
      <c r="G224" s="142">
        <v>44</v>
      </c>
      <c r="H224" s="141">
        <v>487721</v>
      </c>
      <c r="I224" s="141">
        <v>487906</v>
      </c>
      <c r="J224" s="142">
        <v>185</v>
      </c>
      <c r="Q224" s="141">
        <v>13147</v>
      </c>
      <c r="R224" s="141">
        <v>13179</v>
      </c>
      <c r="S224" s="142">
        <v>32</v>
      </c>
      <c r="T224" s="141">
        <v>3757</v>
      </c>
      <c r="U224" s="141">
        <v>3759</v>
      </c>
      <c r="V224" s="142">
        <v>2</v>
      </c>
      <c r="W224" s="141">
        <v>3018</v>
      </c>
      <c r="X224" s="141">
        <v>3019</v>
      </c>
      <c r="Y224" s="142">
        <v>1</v>
      </c>
      <c r="Z224" s="141">
        <v>36492</v>
      </c>
      <c r="AA224" s="141">
        <v>38339</v>
      </c>
      <c r="AB224" s="142">
        <v>1847</v>
      </c>
    </row>
    <row r="225" spans="1:28">
      <c r="A225" s="144">
        <v>45207</v>
      </c>
      <c r="B225" s="141">
        <f t="shared" si="4"/>
        <v>38434</v>
      </c>
      <c r="C225" s="141">
        <v>38454</v>
      </c>
      <c r="D225" s="142">
        <f t="shared" si="3"/>
        <v>20</v>
      </c>
      <c r="E225" s="141">
        <v>17993</v>
      </c>
      <c r="F225" s="141">
        <v>18029</v>
      </c>
      <c r="G225" s="142">
        <v>36</v>
      </c>
      <c r="H225" s="141">
        <v>487906</v>
      </c>
      <c r="I225" s="141">
        <v>488032</v>
      </c>
      <c r="J225" s="142">
        <v>126</v>
      </c>
      <c r="Q225" s="141">
        <v>13179</v>
      </c>
      <c r="R225" s="141">
        <v>13213</v>
      </c>
      <c r="S225" s="142">
        <v>34</v>
      </c>
      <c r="T225" s="141">
        <v>3759</v>
      </c>
      <c r="U225" s="141">
        <v>3761</v>
      </c>
      <c r="V225" s="142">
        <v>2</v>
      </c>
      <c r="W225" s="141">
        <v>3019</v>
      </c>
      <c r="X225" s="141">
        <v>3020</v>
      </c>
      <c r="Y225" s="142">
        <v>1</v>
      </c>
      <c r="Z225" s="141">
        <v>38339</v>
      </c>
      <c r="AA225" s="141">
        <v>38415</v>
      </c>
      <c r="AB225" s="142">
        <v>76</v>
      </c>
    </row>
    <row r="226" spans="1:28">
      <c r="A226" s="144">
        <v>45208</v>
      </c>
      <c r="B226" s="141">
        <f t="shared" si="4"/>
        <v>38454</v>
      </c>
      <c r="C226" s="141">
        <v>38558</v>
      </c>
      <c r="D226" s="142">
        <f t="shared" si="3"/>
        <v>104</v>
      </c>
      <c r="E226" s="141">
        <v>18029</v>
      </c>
      <c r="F226" s="141">
        <v>18067</v>
      </c>
      <c r="G226" s="142">
        <v>38</v>
      </c>
      <c r="H226" s="141">
        <v>488032</v>
      </c>
      <c r="I226" s="141">
        <v>488162</v>
      </c>
      <c r="J226" s="142">
        <v>130</v>
      </c>
      <c r="Q226" s="141">
        <v>13213</v>
      </c>
      <c r="R226" s="141">
        <v>13264</v>
      </c>
      <c r="S226" s="142">
        <v>51</v>
      </c>
      <c r="T226" s="141">
        <v>3761</v>
      </c>
      <c r="U226" s="141">
        <v>3767</v>
      </c>
      <c r="V226" s="142">
        <v>6</v>
      </c>
      <c r="W226" s="141">
        <v>3020</v>
      </c>
      <c r="X226" s="141">
        <v>3021</v>
      </c>
      <c r="Y226" s="142">
        <v>1</v>
      </c>
      <c r="Z226" s="141">
        <v>38415</v>
      </c>
      <c r="AA226" s="141">
        <v>38912</v>
      </c>
      <c r="AB226" s="142">
        <v>497</v>
      </c>
    </row>
    <row r="227" spans="1:28">
      <c r="A227" s="144">
        <v>45209</v>
      </c>
      <c r="B227" s="141">
        <f t="shared" si="4"/>
        <v>38558</v>
      </c>
      <c r="C227" s="141">
        <v>38564</v>
      </c>
      <c r="D227" s="142">
        <f t="shared" si="3"/>
        <v>6</v>
      </c>
      <c r="E227" s="141">
        <v>18067</v>
      </c>
      <c r="F227" s="141">
        <v>18097</v>
      </c>
      <c r="G227" s="142">
        <v>30</v>
      </c>
      <c r="H227" s="141">
        <v>488162</v>
      </c>
      <c r="I227" s="141">
        <v>488346</v>
      </c>
      <c r="J227" s="142">
        <v>184</v>
      </c>
      <c r="Q227" s="141">
        <v>13264</v>
      </c>
      <c r="R227" s="141">
        <v>13301</v>
      </c>
      <c r="S227" s="142">
        <v>37</v>
      </c>
      <c r="T227" s="141">
        <v>3767</v>
      </c>
      <c r="U227" s="141">
        <v>3772</v>
      </c>
      <c r="V227" s="142">
        <v>5</v>
      </c>
      <c r="W227" s="141">
        <v>3021</v>
      </c>
      <c r="X227" s="141">
        <v>3022</v>
      </c>
      <c r="Y227" s="142">
        <v>1</v>
      </c>
      <c r="Z227" s="141">
        <v>38912</v>
      </c>
      <c r="AA227" s="141">
        <v>39004</v>
      </c>
      <c r="AB227" s="142">
        <v>92</v>
      </c>
    </row>
    <row r="228" spans="1:28">
      <c r="A228" s="144">
        <v>45210</v>
      </c>
      <c r="B228" s="141">
        <f t="shared" si="4"/>
        <v>38564</v>
      </c>
      <c r="C228" s="141">
        <v>38675</v>
      </c>
      <c r="D228" s="142">
        <f t="shared" si="3"/>
        <v>111</v>
      </c>
      <c r="E228" s="141">
        <v>18097</v>
      </c>
      <c r="F228" s="141">
        <v>18123</v>
      </c>
      <c r="G228" s="142">
        <v>26</v>
      </c>
      <c r="H228" s="141">
        <v>488346</v>
      </c>
      <c r="I228" s="141">
        <v>488552</v>
      </c>
      <c r="J228" s="142">
        <v>206</v>
      </c>
      <c r="Q228" s="141">
        <v>13301</v>
      </c>
      <c r="R228" s="141">
        <v>13342</v>
      </c>
      <c r="S228" s="142">
        <v>41</v>
      </c>
      <c r="T228" s="141">
        <v>3772</v>
      </c>
      <c r="U228" s="141">
        <v>3775</v>
      </c>
      <c r="V228" s="142">
        <v>3</v>
      </c>
      <c r="W228" s="141">
        <v>3022</v>
      </c>
      <c r="X228" s="141">
        <v>2988</v>
      </c>
      <c r="Y228" s="142">
        <v>-34</v>
      </c>
      <c r="Z228" s="141">
        <v>39004</v>
      </c>
      <c r="AA228" s="141">
        <v>35529</v>
      </c>
      <c r="AB228" s="142">
        <v>-3475</v>
      </c>
    </row>
    <row r="229" spans="1:28">
      <c r="A229" s="144">
        <v>45211</v>
      </c>
      <c r="B229" s="141">
        <f t="shared" si="4"/>
        <v>38675</v>
      </c>
      <c r="C229" s="141">
        <v>38781</v>
      </c>
      <c r="D229" s="142">
        <f t="shared" si="3"/>
        <v>106</v>
      </c>
      <c r="E229" s="141">
        <v>18123</v>
      </c>
      <c r="F229" s="141">
        <v>18149</v>
      </c>
      <c r="G229" s="142">
        <v>26</v>
      </c>
      <c r="H229" s="141">
        <v>488552</v>
      </c>
      <c r="I229" s="141">
        <v>488653</v>
      </c>
      <c r="J229" s="142">
        <v>101</v>
      </c>
      <c r="Q229" s="141">
        <v>13342</v>
      </c>
      <c r="R229" s="141">
        <v>13374</v>
      </c>
      <c r="S229" s="142">
        <v>32</v>
      </c>
      <c r="T229" s="141">
        <v>3775</v>
      </c>
      <c r="U229" s="141">
        <v>3777</v>
      </c>
      <c r="V229" s="142">
        <v>2</v>
      </c>
      <c r="W229" s="141">
        <v>2988</v>
      </c>
      <c r="X229" s="141">
        <v>2988</v>
      </c>
      <c r="Y229" s="142">
        <v>0</v>
      </c>
      <c r="Z229" s="141">
        <v>35529</v>
      </c>
      <c r="AA229" s="141">
        <v>35556</v>
      </c>
      <c r="AB229" s="142">
        <v>27</v>
      </c>
    </row>
    <row r="230" spans="1:28">
      <c r="A230" s="144">
        <v>45212</v>
      </c>
      <c r="B230" s="141">
        <f t="shared" si="4"/>
        <v>38781</v>
      </c>
      <c r="C230" s="141">
        <v>38781</v>
      </c>
      <c r="D230" s="142">
        <f t="shared" si="3"/>
        <v>0</v>
      </c>
      <c r="E230" s="141">
        <v>18149</v>
      </c>
      <c r="F230" s="141">
        <v>18186</v>
      </c>
      <c r="G230" s="142">
        <v>37</v>
      </c>
      <c r="H230" s="141">
        <v>488653</v>
      </c>
      <c r="I230" s="141">
        <v>488792</v>
      </c>
      <c r="J230" s="142">
        <v>139</v>
      </c>
      <c r="Q230" s="141">
        <v>13374</v>
      </c>
      <c r="R230" s="141">
        <v>13404</v>
      </c>
      <c r="S230" s="142">
        <v>30</v>
      </c>
      <c r="T230" s="141">
        <v>3777</v>
      </c>
      <c r="U230" s="141">
        <v>3777</v>
      </c>
      <c r="V230" s="142">
        <v>0</v>
      </c>
      <c r="W230" s="141">
        <v>2988</v>
      </c>
      <c r="X230" s="141">
        <v>2990</v>
      </c>
      <c r="Y230" s="142">
        <v>2</v>
      </c>
      <c r="Z230" s="141">
        <v>35556</v>
      </c>
      <c r="AA230" s="141">
        <v>35584</v>
      </c>
      <c r="AB230" s="142">
        <v>28</v>
      </c>
    </row>
    <row r="231" spans="1:28">
      <c r="A231" s="144">
        <v>45213</v>
      </c>
      <c r="B231" s="141">
        <f t="shared" si="4"/>
        <v>38781</v>
      </c>
      <c r="C231" s="141">
        <v>38781</v>
      </c>
      <c r="D231" s="142">
        <f t="shared" si="3"/>
        <v>0</v>
      </c>
      <c r="E231" s="141">
        <v>18186</v>
      </c>
      <c r="F231" s="141">
        <v>18216</v>
      </c>
      <c r="G231" s="142">
        <v>30</v>
      </c>
      <c r="H231" s="141">
        <v>488792</v>
      </c>
      <c r="I231" s="141">
        <v>488936</v>
      </c>
      <c r="J231" s="142">
        <v>144</v>
      </c>
      <c r="Q231" s="141">
        <v>13404</v>
      </c>
      <c r="R231" s="141">
        <v>13421</v>
      </c>
      <c r="S231" s="142">
        <v>17</v>
      </c>
      <c r="T231" s="141">
        <v>3777</v>
      </c>
      <c r="U231" s="141">
        <v>3779</v>
      </c>
      <c r="V231" s="142">
        <v>2</v>
      </c>
      <c r="W231" s="141">
        <v>2990</v>
      </c>
      <c r="X231" s="141">
        <v>2991</v>
      </c>
      <c r="Y231" s="142">
        <v>1</v>
      </c>
      <c r="Z231" s="141">
        <v>35584</v>
      </c>
      <c r="AA231" s="141">
        <v>35609</v>
      </c>
      <c r="AB231" s="142">
        <v>25</v>
      </c>
    </row>
    <row r="232" spans="1:28">
      <c r="A232" s="144">
        <v>45214</v>
      </c>
      <c r="B232" s="141">
        <f t="shared" si="4"/>
        <v>38781</v>
      </c>
      <c r="C232" s="141">
        <v>38781</v>
      </c>
      <c r="D232" s="142">
        <f t="shared" si="3"/>
        <v>0</v>
      </c>
      <c r="E232" s="141">
        <v>18216</v>
      </c>
      <c r="F232" s="141">
        <v>18263</v>
      </c>
      <c r="G232" s="142">
        <v>47</v>
      </c>
      <c r="H232" s="141">
        <v>488936</v>
      </c>
      <c r="I232" s="141">
        <v>489015</v>
      </c>
      <c r="J232" s="142">
        <v>79</v>
      </c>
      <c r="Q232" s="141">
        <v>13421</v>
      </c>
      <c r="R232" s="141">
        <v>13442</v>
      </c>
      <c r="S232" s="142">
        <v>21</v>
      </c>
      <c r="T232" s="141">
        <v>3779</v>
      </c>
      <c r="U232" s="141">
        <v>3782</v>
      </c>
      <c r="V232" s="142">
        <v>3</v>
      </c>
      <c r="W232" s="141">
        <v>2991</v>
      </c>
      <c r="X232" s="141">
        <v>2993</v>
      </c>
      <c r="Y232" s="142">
        <v>2</v>
      </c>
      <c r="Z232" s="141">
        <v>35609</v>
      </c>
      <c r="AA232" s="141">
        <v>35637</v>
      </c>
      <c r="AB232" s="142">
        <v>28</v>
      </c>
    </row>
    <row r="233" spans="1:28">
      <c r="A233" s="144">
        <v>45215</v>
      </c>
      <c r="B233" s="141">
        <f t="shared" si="4"/>
        <v>38781</v>
      </c>
      <c r="C233" s="141">
        <v>38781</v>
      </c>
      <c r="D233" s="142">
        <f t="shared" si="3"/>
        <v>0</v>
      </c>
      <c r="E233" s="141">
        <v>18263</v>
      </c>
      <c r="F233" s="141">
        <v>18289</v>
      </c>
      <c r="G233" s="142">
        <v>26</v>
      </c>
      <c r="H233" s="141">
        <v>489015</v>
      </c>
      <c r="I233" s="141">
        <v>489126</v>
      </c>
      <c r="J233" s="142">
        <v>111</v>
      </c>
      <c r="Q233" s="141">
        <v>13442</v>
      </c>
      <c r="R233" s="141">
        <v>13483</v>
      </c>
      <c r="S233" s="142">
        <v>41</v>
      </c>
      <c r="T233" s="141">
        <v>3782</v>
      </c>
      <c r="U233" s="141">
        <v>3785</v>
      </c>
      <c r="V233" s="142">
        <v>3</v>
      </c>
      <c r="W233" s="141">
        <v>2993</v>
      </c>
      <c r="X233" s="141">
        <v>2993</v>
      </c>
      <c r="Y233" s="142">
        <v>0</v>
      </c>
      <c r="Z233" s="141">
        <v>35637</v>
      </c>
      <c r="AA233" s="141">
        <v>35661</v>
      </c>
      <c r="AB233" s="142">
        <v>24</v>
      </c>
    </row>
    <row r="234" spans="1:28">
      <c r="A234" s="144">
        <v>45216</v>
      </c>
      <c r="B234" s="141">
        <f t="shared" si="4"/>
        <v>38781</v>
      </c>
      <c r="C234" s="141">
        <v>38909</v>
      </c>
      <c r="D234" s="142">
        <f t="shared" si="3"/>
        <v>128</v>
      </c>
      <c r="E234" s="141">
        <v>18289</v>
      </c>
      <c r="F234" s="141">
        <v>18322</v>
      </c>
      <c r="G234" s="142">
        <v>33</v>
      </c>
      <c r="H234" s="141">
        <v>489126</v>
      </c>
      <c r="I234" s="141">
        <v>489303</v>
      </c>
      <c r="J234" s="142">
        <v>177</v>
      </c>
      <c r="Q234" s="141">
        <v>13483</v>
      </c>
      <c r="R234" s="141">
        <v>13542</v>
      </c>
      <c r="S234" s="142">
        <v>59</v>
      </c>
      <c r="T234" s="141">
        <v>3785</v>
      </c>
      <c r="U234" s="141">
        <v>3788</v>
      </c>
      <c r="V234" s="142">
        <v>3</v>
      </c>
      <c r="W234" s="141">
        <v>2993</v>
      </c>
      <c r="X234" s="141">
        <v>2994</v>
      </c>
      <c r="Y234" s="142">
        <v>1</v>
      </c>
      <c r="Z234" s="141">
        <v>35661</v>
      </c>
      <c r="AA234" s="141">
        <v>35693</v>
      </c>
      <c r="AB234" s="142">
        <v>32</v>
      </c>
    </row>
    <row r="235" spans="1:28">
      <c r="A235" s="144">
        <v>45217</v>
      </c>
      <c r="B235" s="141">
        <f t="shared" si="4"/>
        <v>38909</v>
      </c>
      <c r="C235" s="141">
        <v>39106</v>
      </c>
      <c r="D235" s="142">
        <f t="shared" si="3"/>
        <v>197</v>
      </c>
      <c r="E235" s="141">
        <v>18322</v>
      </c>
      <c r="F235" s="141">
        <v>18359</v>
      </c>
      <c r="G235" s="142">
        <v>37</v>
      </c>
      <c r="H235" s="141">
        <v>489303</v>
      </c>
      <c r="I235" s="141">
        <v>489483</v>
      </c>
      <c r="J235" s="142">
        <v>180</v>
      </c>
      <c r="Q235" s="141">
        <v>13542</v>
      </c>
      <c r="R235" s="141">
        <v>13588</v>
      </c>
      <c r="S235" s="142">
        <v>46</v>
      </c>
      <c r="T235" s="141">
        <v>3788</v>
      </c>
      <c r="U235" s="141">
        <v>3790</v>
      </c>
      <c r="V235" s="142">
        <v>2</v>
      </c>
      <c r="W235" s="141">
        <v>2994</v>
      </c>
      <c r="X235" s="141">
        <v>2995</v>
      </c>
      <c r="Y235" s="142">
        <v>1</v>
      </c>
      <c r="Z235" s="141">
        <v>35693</v>
      </c>
      <c r="AA235" s="141">
        <v>35716</v>
      </c>
      <c r="AB235" s="142">
        <v>23</v>
      </c>
    </row>
    <row r="236" spans="1:28">
      <c r="A236" s="144">
        <v>45218</v>
      </c>
      <c r="B236" s="141">
        <f t="shared" si="4"/>
        <v>39106</v>
      </c>
      <c r="C236" s="141">
        <v>39176</v>
      </c>
      <c r="D236" s="142">
        <f t="shared" si="3"/>
        <v>70</v>
      </c>
      <c r="E236" s="141">
        <v>18359</v>
      </c>
      <c r="F236" s="141">
        <v>18394</v>
      </c>
      <c r="G236" s="142">
        <v>35</v>
      </c>
      <c r="H236" s="141">
        <v>489483</v>
      </c>
      <c r="I236" s="141">
        <v>489586</v>
      </c>
      <c r="J236" s="142">
        <v>103</v>
      </c>
      <c r="Q236" s="141">
        <v>13588</v>
      </c>
      <c r="R236" s="141">
        <v>13619</v>
      </c>
      <c r="S236" s="142">
        <v>31</v>
      </c>
      <c r="T236" s="141">
        <v>3790</v>
      </c>
      <c r="U236" s="141">
        <v>3793</v>
      </c>
      <c r="V236" s="142">
        <v>3</v>
      </c>
      <c r="W236" s="141">
        <v>2995</v>
      </c>
      <c r="X236" s="141">
        <v>2997</v>
      </c>
      <c r="Y236" s="142">
        <v>2</v>
      </c>
      <c r="Z236" s="141">
        <v>35716</v>
      </c>
      <c r="AA236" s="141">
        <v>35755</v>
      </c>
      <c r="AB236" s="142">
        <v>39</v>
      </c>
    </row>
    <row r="237" spans="1:28">
      <c r="A237" s="144">
        <v>45219</v>
      </c>
      <c r="B237" s="141">
        <f t="shared" si="4"/>
        <v>39176</v>
      </c>
      <c r="C237" s="141">
        <v>39340</v>
      </c>
      <c r="D237" s="142">
        <f t="shared" si="3"/>
        <v>164</v>
      </c>
      <c r="E237" s="141">
        <v>18394</v>
      </c>
      <c r="F237" s="141">
        <v>18432</v>
      </c>
      <c r="G237" s="142">
        <v>38</v>
      </c>
      <c r="H237" s="141">
        <v>489586</v>
      </c>
      <c r="I237" s="141">
        <v>489686</v>
      </c>
      <c r="J237" s="142">
        <v>100</v>
      </c>
      <c r="Q237" s="141">
        <v>13619</v>
      </c>
      <c r="R237" s="141">
        <v>13630</v>
      </c>
      <c r="S237" s="142">
        <v>11</v>
      </c>
      <c r="T237" s="141">
        <v>3793</v>
      </c>
      <c r="U237" s="141">
        <v>3795</v>
      </c>
      <c r="V237" s="142">
        <v>2</v>
      </c>
      <c r="W237" s="141">
        <v>2997</v>
      </c>
      <c r="X237" s="141">
        <v>2997</v>
      </c>
      <c r="Y237" s="142">
        <v>0</v>
      </c>
      <c r="Z237" s="141">
        <v>35755</v>
      </c>
      <c r="AA237" s="141">
        <v>35784</v>
      </c>
      <c r="AB237" s="142">
        <v>29</v>
      </c>
    </row>
    <row r="238" spans="1:28">
      <c r="A238" s="144">
        <v>45220</v>
      </c>
      <c r="B238" s="141">
        <f t="shared" si="4"/>
        <v>39340</v>
      </c>
      <c r="C238" s="141">
        <v>39536</v>
      </c>
      <c r="D238" s="142">
        <f t="shared" si="3"/>
        <v>196</v>
      </c>
      <c r="E238" s="141">
        <v>18432</v>
      </c>
      <c r="F238" s="141">
        <v>18474</v>
      </c>
      <c r="G238" s="142">
        <v>42</v>
      </c>
      <c r="H238" s="141">
        <v>489686</v>
      </c>
      <c r="I238" s="141">
        <v>489807</v>
      </c>
      <c r="J238" s="142">
        <v>121</v>
      </c>
      <c r="Q238" s="141">
        <v>13630</v>
      </c>
      <c r="R238" s="141">
        <v>13695</v>
      </c>
      <c r="S238" s="142">
        <v>65</v>
      </c>
      <c r="T238" s="141">
        <v>3795</v>
      </c>
      <c r="U238" s="141">
        <v>3797</v>
      </c>
      <c r="V238" s="142">
        <v>2</v>
      </c>
      <c r="W238" s="141">
        <v>2997</v>
      </c>
      <c r="X238" s="141">
        <v>2997</v>
      </c>
      <c r="Y238" s="142">
        <v>0</v>
      </c>
      <c r="Z238" s="141">
        <v>35784</v>
      </c>
      <c r="AA238" s="141">
        <v>35826</v>
      </c>
      <c r="AB238" s="142">
        <v>42</v>
      </c>
    </row>
    <row r="239" spans="1:28">
      <c r="A239" s="144">
        <v>45221</v>
      </c>
      <c r="B239" s="141">
        <f t="shared" si="4"/>
        <v>39536</v>
      </c>
      <c r="C239" s="141">
        <v>39682</v>
      </c>
      <c r="D239" s="142">
        <f t="shared" si="3"/>
        <v>146</v>
      </c>
      <c r="E239" s="141">
        <v>18474</v>
      </c>
      <c r="F239" s="141">
        <v>18522</v>
      </c>
      <c r="G239" s="142">
        <v>48</v>
      </c>
      <c r="H239" s="141">
        <v>489807</v>
      </c>
      <c r="I239" s="141">
        <v>489902</v>
      </c>
      <c r="J239" s="142">
        <v>95</v>
      </c>
      <c r="Q239" s="141">
        <v>13695</v>
      </c>
      <c r="R239" s="141">
        <v>13722</v>
      </c>
      <c r="S239" s="142">
        <v>27</v>
      </c>
      <c r="T239" s="141">
        <v>3797</v>
      </c>
      <c r="U239" s="141">
        <v>3798</v>
      </c>
      <c r="V239" s="142">
        <v>1</v>
      </c>
      <c r="W239" s="141">
        <v>2997</v>
      </c>
      <c r="X239" s="141">
        <v>2997</v>
      </c>
      <c r="Y239" s="142">
        <v>0</v>
      </c>
      <c r="Z239" s="141">
        <v>35826</v>
      </c>
      <c r="AA239" s="141">
        <v>35889</v>
      </c>
      <c r="AB239" s="142">
        <v>63</v>
      </c>
    </row>
    <row r="240" spans="1:28">
      <c r="A240" s="144">
        <v>45222</v>
      </c>
      <c r="B240" s="141">
        <f t="shared" si="4"/>
        <v>39682</v>
      </c>
      <c r="C240" s="141">
        <v>39849</v>
      </c>
      <c r="D240" s="142">
        <f t="shared" si="3"/>
        <v>167</v>
      </c>
      <c r="E240" s="141">
        <v>18522</v>
      </c>
      <c r="F240" s="141">
        <v>18552</v>
      </c>
      <c r="G240" s="142">
        <v>30</v>
      </c>
      <c r="H240" s="141">
        <v>489902</v>
      </c>
      <c r="I240" s="141">
        <v>490008</v>
      </c>
      <c r="J240" s="142">
        <v>106</v>
      </c>
      <c r="Q240" s="141">
        <v>13722</v>
      </c>
      <c r="R240" s="141">
        <v>13770</v>
      </c>
      <c r="S240" s="142">
        <v>48</v>
      </c>
      <c r="T240" s="141">
        <v>3798</v>
      </c>
      <c r="U240" s="141">
        <v>3799</v>
      </c>
      <c r="V240" s="142">
        <v>1</v>
      </c>
      <c r="W240" s="141">
        <v>2997</v>
      </c>
      <c r="X240" s="141">
        <v>2998</v>
      </c>
      <c r="Y240" s="142">
        <v>1</v>
      </c>
      <c r="Z240" s="141">
        <v>35889</v>
      </c>
      <c r="AA240" s="141">
        <v>35932</v>
      </c>
      <c r="AB240" s="142">
        <v>43</v>
      </c>
    </row>
    <row r="241" spans="1:28">
      <c r="A241" s="144">
        <v>45223</v>
      </c>
      <c r="B241" s="141">
        <f t="shared" si="4"/>
        <v>39849</v>
      </c>
      <c r="C241" s="141">
        <v>39964</v>
      </c>
      <c r="D241" s="142">
        <f t="shared" si="3"/>
        <v>115</v>
      </c>
      <c r="E241" s="141">
        <v>18552</v>
      </c>
      <c r="F241" s="141">
        <v>18611</v>
      </c>
      <c r="G241" s="142">
        <v>59</v>
      </c>
      <c r="H241" s="141">
        <v>490008</v>
      </c>
      <c r="I241" s="141">
        <v>490068</v>
      </c>
      <c r="J241" s="142">
        <v>60</v>
      </c>
      <c r="Q241" s="141">
        <v>13770</v>
      </c>
      <c r="R241" s="141">
        <v>13821</v>
      </c>
      <c r="S241" s="142">
        <v>51</v>
      </c>
      <c r="T241" s="141">
        <v>3799</v>
      </c>
      <c r="U241" s="141">
        <v>3799</v>
      </c>
      <c r="V241" s="142">
        <v>0</v>
      </c>
      <c r="W241" s="141">
        <v>2998</v>
      </c>
      <c r="X241" s="141">
        <v>2999</v>
      </c>
      <c r="Y241" s="142">
        <v>1</v>
      </c>
      <c r="Z241" s="141">
        <v>35932</v>
      </c>
      <c r="AA241" s="141">
        <v>35983</v>
      </c>
      <c r="AB241" s="142">
        <v>51</v>
      </c>
    </row>
    <row r="242" spans="1:28">
      <c r="A242" s="144">
        <v>45224</v>
      </c>
      <c r="B242" s="141">
        <f t="shared" si="4"/>
        <v>39964</v>
      </c>
      <c r="C242" s="141">
        <v>40117</v>
      </c>
      <c r="D242" s="142">
        <f t="shared" si="3"/>
        <v>153</v>
      </c>
      <c r="E242" s="141">
        <v>18611</v>
      </c>
      <c r="F242" s="141">
        <v>18681</v>
      </c>
      <c r="G242" s="142">
        <v>70</v>
      </c>
      <c r="H242" s="141">
        <v>490068</v>
      </c>
      <c r="I242" s="141">
        <v>490211</v>
      </c>
      <c r="J242" s="142">
        <v>143</v>
      </c>
      <c r="Q242" s="141">
        <v>13821</v>
      </c>
      <c r="R242" s="141">
        <v>13860</v>
      </c>
      <c r="S242" s="142">
        <v>39</v>
      </c>
      <c r="T242" s="141">
        <v>3799</v>
      </c>
      <c r="U242" s="141">
        <v>3808</v>
      </c>
      <c r="V242" s="142">
        <v>9</v>
      </c>
      <c r="W242" s="141">
        <v>2999</v>
      </c>
      <c r="X242" s="141">
        <v>3002</v>
      </c>
      <c r="Y242" s="142">
        <v>3</v>
      </c>
      <c r="Z242" s="141">
        <v>35983</v>
      </c>
      <c r="AA242" s="141">
        <v>36003</v>
      </c>
      <c r="AB242" s="142">
        <v>20</v>
      </c>
    </row>
    <row r="243" spans="1:28">
      <c r="A243" s="144">
        <v>45225</v>
      </c>
      <c r="B243" s="141">
        <f t="shared" si="4"/>
        <v>40117</v>
      </c>
      <c r="C243" s="141">
        <v>40226</v>
      </c>
      <c r="D243" s="142">
        <f t="shared" si="3"/>
        <v>109</v>
      </c>
      <c r="E243" s="141">
        <v>18681</v>
      </c>
      <c r="F243" s="141">
        <v>18726</v>
      </c>
      <c r="G243" s="142">
        <v>45</v>
      </c>
      <c r="H243" s="141">
        <v>490211</v>
      </c>
      <c r="I243" s="141">
        <v>490408</v>
      </c>
      <c r="J243" s="142">
        <v>197</v>
      </c>
      <c r="Q243" s="141">
        <v>13860</v>
      </c>
      <c r="R243" s="141">
        <v>13914</v>
      </c>
      <c r="S243" s="142">
        <v>54</v>
      </c>
      <c r="T243" s="141">
        <v>3808</v>
      </c>
      <c r="U243" s="141">
        <v>3810</v>
      </c>
      <c r="V243" s="142">
        <v>2</v>
      </c>
      <c r="W243" s="141">
        <v>3002</v>
      </c>
      <c r="X243" s="141">
        <v>3003</v>
      </c>
      <c r="Y243" s="142">
        <v>1</v>
      </c>
      <c r="Z243" s="141">
        <v>36003</v>
      </c>
      <c r="AA243" s="141">
        <v>36063</v>
      </c>
      <c r="AB243" s="142">
        <v>60</v>
      </c>
    </row>
    <row r="244" spans="1:28">
      <c r="A244" s="144">
        <v>45226</v>
      </c>
      <c r="B244" s="141">
        <f t="shared" si="4"/>
        <v>40226</v>
      </c>
      <c r="C244" s="141">
        <v>40329</v>
      </c>
      <c r="D244" s="142">
        <f t="shared" si="3"/>
        <v>103</v>
      </c>
      <c r="E244" s="141">
        <v>18726</v>
      </c>
      <c r="F244" s="141">
        <v>18775</v>
      </c>
      <c r="G244" s="142">
        <v>49</v>
      </c>
      <c r="H244" s="141">
        <v>490408</v>
      </c>
      <c r="I244" s="141">
        <v>490518</v>
      </c>
      <c r="J244" s="142">
        <v>110</v>
      </c>
      <c r="Q244" s="141">
        <v>13914</v>
      </c>
      <c r="R244" s="141">
        <v>13945</v>
      </c>
      <c r="S244" s="142">
        <v>31</v>
      </c>
      <c r="T244" s="141">
        <v>3810</v>
      </c>
      <c r="U244" s="141">
        <v>3813</v>
      </c>
      <c r="V244" s="142">
        <v>3</v>
      </c>
      <c r="W244" s="141">
        <v>3003</v>
      </c>
      <c r="X244" s="141">
        <v>3003</v>
      </c>
      <c r="Y244" s="142">
        <v>0</v>
      </c>
      <c r="Z244" s="141">
        <v>36063</v>
      </c>
      <c r="AA244" s="141">
        <v>36105</v>
      </c>
      <c r="AB244" s="142">
        <v>42</v>
      </c>
    </row>
    <row r="245" spans="1:28">
      <c r="A245" s="144">
        <v>45227</v>
      </c>
      <c r="B245" s="141">
        <f t="shared" si="4"/>
        <v>40329</v>
      </c>
      <c r="C245" s="141">
        <v>40415</v>
      </c>
      <c r="D245" s="142">
        <f t="shared" si="3"/>
        <v>86</v>
      </c>
      <c r="E245" s="141">
        <v>18775</v>
      </c>
      <c r="F245" s="141">
        <v>18827</v>
      </c>
      <c r="G245" s="142">
        <v>52</v>
      </c>
      <c r="H245" s="141">
        <v>490518</v>
      </c>
      <c r="I245" s="141">
        <v>490665</v>
      </c>
      <c r="J245" s="142">
        <v>147</v>
      </c>
      <c r="Q245" s="141">
        <v>13945</v>
      </c>
      <c r="R245" s="141">
        <v>13986</v>
      </c>
      <c r="S245" s="142">
        <v>41</v>
      </c>
      <c r="T245" s="141">
        <v>3813</v>
      </c>
      <c r="U245" s="141">
        <v>3814</v>
      </c>
      <c r="V245" s="142">
        <v>1</v>
      </c>
      <c r="W245" s="141">
        <v>3003</v>
      </c>
      <c r="X245" s="141">
        <v>3004</v>
      </c>
      <c r="Y245" s="142">
        <v>1</v>
      </c>
      <c r="Z245" s="141">
        <v>36105</v>
      </c>
      <c r="AA245" s="141">
        <v>36142</v>
      </c>
      <c r="AB245" s="142">
        <v>37</v>
      </c>
    </row>
    <row r="246" spans="1:28">
      <c r="A246" s="144">
        <v>45228</v>
      </c>
      <c r="B246" s="141">
        <f t="shared" si="4"/>
        <v>40415</v>
      </c>
      <c r="C246" s="141">
        <v>40493</v>
      </c>
      <c r="D246" s="142">
        <f t="shared" si="3"/>
        <v>78</v>
      </c>
      <c r="E246" s="141">
        <v>18827</v>
      </c>
      <c r="F246" s="141">
        <v>18884</v>
      </c>
      <c r="G246" s="142">
        <v>57</v>
      </c>
      <c r="H246" s="141">
        <v>490665</v>
      </c>
      <c r="I246" s="141">
        <v>490772</v>
      </c>
      <c r="J246" s="142">
        <v>107</v>
      </c>
      <c r="Q246" s="141">
        <v>13986</v>
      </c>
      <c r="R246" s="141">
        <v>14023</v>
      </c>
      <c r="S246" s="142">
        <v>37</v>
      </c>
      <c r="T246" s="141">
        <v>3814</v>
      </c>
      <c r="U246" s="141">
        <v>3821</v>
      </c>
      <c r="V246" s="142">
        <v>7</v>
      </c>
      <c r="W246" s="141">
        <v>3004</v>
      </c>
      <c r="X246" s="141">
        <v>3006</v>
      </c>
      <c r="Y246" s="142">
        <v>2</v>
      </c>
      <c r="Z246" s="141">
        <v>36142</v>
      </c>
      <c r="AA246" s="141">
        <v>36166</v>
      </c>
      <c r="AB246" s="142">
        <v>24</v>
      </c>
    </row>
    <row r="247" spans="1:28">
      <c r="A247" s="144">
        <v>45229</v>
      </c>
      <c r="B247" s="141">
        <f t="shared" si="4"/>
        <v>40493</v>
      </c>
      <c r="C247" s="141">
        <v>40528</v>
      </c>
      <c r="D247" s="142">
        <f t="shared" si="3"/>
        <v>35</v>
      </c>
      <c r="E247" s="141">
        <v>18884</v>
      </c>
      <c r="F247" s="141">
        <v>18924</v>
      </c>
      <c r="G247" s="142">
        <v>40</v>
      </c>
      <c r="H247" s="141">
        <v>490772</v>
      </c>
      <c r="I247" s="141">
        <v>490802</v>
      </c>
      <c r="J247" s="142">
        <v>30</v>
      </c>
      <c r="Q247" s="141">
        <v>14023</v>
      </c>
      <c r="R247" s="141">
        <v>14026</v>
      </c>
      <c r="S247" s="142">
        <v>3</v>
      </c>
      <c r="T247" s="141">
        <v>3821</v>
      </c>
      <c r="U247" s="141">
        <v>3822</v>
      </c>
      <c r="V247" s="142">
        <v>1</v>
      </c>
      <c r="W247" s="141">
        <v>3006</v>
      </c>
      <c r="X247" s="141">
        <v>3007</v>
      </c>
      <c r="Y247" s="142">
        <v>1</v>
      </c>
      <c r="Z247" s="141">
        <v>36166</v>
      </c>
      <c r="AA247" s="141">
        <v>36205</v>
      </c>
      <c r="AB247" s="142">
        <v>39</v>
      </c>
    </row>
    <row r="248" spans="1:28">
      <c r="A248" s="144">
        <v>45230</v>
      </c>
      <c r="B248" s="141">
        <f t="shared" si="4"/>
        <v>40528</v>
      </c>
      <c r="C248" s="141">
        <v>40638</v>
      </c>
      <c r="D248" s="142">
        <f t="shared" si="3"/>
        <v>110</v>
      </c>
      <c r="E248" s="141">
        <v>18924</v>
      </c>
      <c r="F248" s="141">
        <v>18967</v>
      </c>
      <c r="G248" s="142">
        <v>43</v>
      </c>
      <c r="H248" s="141">
        <v>490802</v>
      </c>
      <c r="I248" s="141">
        <v>491004</v>
      </c>
      <c r="J248" s="142">
        <v>202</v>
      </c>
      <c r="Q248" s="141">
        <v>14026</v>
      </c>
      <c r="R248" s="141">
        <v>14106</v>
      </c>
      <c r="S248" s="142">
        <v>80</v>
      </c>
      <c r="T248" s="141">
        <v>3822</v>
      </c>
      <c r="U248" s="141">
        <v>3826</v>
      </c>
      <c r="V248" s="142">
        <v>4</v>
      </c>
      <c r="W248" s="141">
        <v>3007</v>
      </c>
      <c r="X248" s="141">
        <v>3009</v>
      </c>
      <c r="Y248" s="142">
        <v>2</v>
      </c>
      <c r="Z248" s="141">
        <v>36205</v>
      </c>
      <c r="AA248" s="141">
        <v>36242</v>
      </c>
      <c r="AB248" s="142">
        <v>37</v>
      </c>
    </row>
    <row r="249" spans="1:28">
      <c r="A249" s="144">
        <v>45231</v>
      </c>
      <c r="B249" s="141">
        <f t="shared" si="4"/>
        <v>40638</v>
      </c>
      <c r="C249" s="141">
        <v>40747</v>
      </c>
      <c r="D249" s="142">
        <f t="shared" si="3"/>
        <v>109</v>
      </c>
      <c r="E249" s="141">
        <v>18967</v>
      </c>
      <c r="F249" s="141">
        <v>19005</v>
      </c>
      <c r="G249" s="142">
        <v>38</v>
      </c>
      <c r="H249" s="141">
        <v>491004</v>
      </c>
      <c r="I249" s="141">
        <v>491136</v>
      </c>
      <c r="J249" s="142">
        <v>132</v>
      </c>
      <c r="Q249" s="141">
        <v>14106</v>
      </c>
      <c r="R249" s="141">
        <v>14150</v>
      </c>
      <c r="S249" s="142">
        <v>44</v>
      </c>
      <c r="T249" s="141">
        <v>3826</v>
      </c>
      <c r="U249" s="141">
        <v>3829</v>
      </c>
      <c r="V249" s="142">
        <v>3</v>
      </c>
      <c r="W249" s="141">
        <v>3009</v>
      </c>
      <c r="X249" s="141">
        <v>3010</v>
      </c>
      <c r="Y249" s="142">
        <v>1</v>
      </c>
      <c r="Z249" s="141">
        <v>36242</v>
      </c>
      <c r="AA249" s="141">
        <v>36261</v>
      </c>
      <c r="AB249" s="142">
        <v>19</v>
      </c>
    </row>
    <row r="250" spans="1:28">
      <c r="A250" s="144">
        <v>45232</v>
      </c>
      <c r="B250" s="141">
        <f t="shared" si="4"/>
        <v>40747</v>
      </c>
      <c r="C250" s="141">
        <v>40858</v>
      </c>
      <c r="D250" s="142">
        <f t="shared" si="3"/>
        <v>111</v>
      </c>
      <c r="E250" s="141">
        <v>19005</v>
      </c>
      <c r="F250" s="141">
        <v>19027</v>
      </c>
      <c r="G250" s="142">
        <v>22</v>
      </c>
      <c r="H250" s="141">
        <v>491136</v>
      </c>
      <c r="I250" s="141">
        <v>491237</v>
      </c>
      <c r="J250" s="142">
        <v>101</v>
      </c>
      <c r="Q250" s="141">
        <v>14150</v>
      </c>
      <c r="R250" s="141">
        <v>14184</v>
      </c>
      <c r="S250" s="142">
        <v>34</v>
      </c>
      <c r="T250" s="141">
        <v>3829</v>
      </c>
      <c r="U250" s="141">
        <v>3832</v>
      </c>
      <c r="V250" s="142">
        <v>3</v>
      </c>
      <c r="W250" s="141">
        <v>3010</v>
      </c>
      <c r="X250" s="141">
        <v>3011</v>
      </c>
      <c r="Y250" s="142">
        <v>1</v>
      </c>
      <c r="Z250" s="141">
        <v>36261</v>
      </c>
      <c r="AA250" s="141">
        <v>36267</v>
      </c>
      <c r="AB250" s="142">
        <v>6</v>
      </c>
    </row>
    <row r="251" spans="1:28">
      <c r="A251" s="144">
        <v>45233</v>
      </c>
      <c r="B251" s="141">
        <f t="shared" si="4"/>
        <v>40858</v>
      </c>
      <c r="C251" s="141">
        <v>40904</v>
      </c>
      <c r="D251" s="142">
        <f t="shared" si="3"/>
        <v>46</v>
      </c>
      <c r="E251" s="141">
        <v>19027</v>
      </c>
      <c r="F251" s="141">
        <v>19080</v>
      </c>
      <c r="G251" s="142">
        <v>53</v>
      </c>
      <c r="H251" s="141">
        <v>491237</v>
      </c>
      <c r="I251" s="141">
        <v>491373</v>
      </c>
      <c r="J251" s="142">
        <v>136</v>
      </c>
      <c r="Q251" s="141">
        <v>14184</v>
      </c>
      <c r="R251" s="141">
        <v>14225</v>
      </c>
      <c r="S251" s="142">
        <v>41</v>
      </c>
      <c r="T251" s="141">
        <v>3832</v>
      </c>
      <c r="U251" s="141">
        <v>3835</v>
      </c>
      <c r="V251" s="142">
        <v>3</v>
      </c>
      <c r="W251" s="141">
        <v>3011</v>
      </c>
      <c r="X251" s="141">
        <v>3012</v>
      </c>
      <c r="Y251" s="142">
        <v>1</v>
      </c>
      <c r="Z251" s="141">
        <v>36267</v>
      </c>
      <c r="AA251" s="141">
        <v>36279</v>
      </c>
      <c r="AB251" s="142">
        <v>12</v>
      </c>
    </row>
    <row r="252" spans="1:28">
      <c r="A252" s="144">
        <v>45234</v>
      </c>
      <c r="B252" s="141">
        <f t="shared" si="4"/>
        <v>40904</v>
      </c>
      <c r="C252" s="141">
        <v>41012</v>
      </c>
      <c r="D252" s="142">
        <f t="shared" si="3"/>
        <v>108</v>
      </c>
      <c r="E252" s="141">
        <v>19080</v>
      </c>
      <c r="F252" s="141">
        <v>19111</v>
      </c>
      <c r="G252" s="142">
        <v>31</v>
      </c>
      <c r="H252" s="141">
        <v>491373</v>
      </c>
      <c r="I252" s="141">
        <v>491534</v>
      </c>
      <c r="J252" s="142">
        <v>161</v>
      </c>
      <c r="Q252" s="141">
        <v>14225</v>
      </c>
      <c r="R252" s="141">
        <v>14265</v>
      </c>
      <c r="S252" s="142">
        <v>40</v>
      </c>
      <c r="T252" s="141">
        <v>3835</v>
      </c>
      <c r="U252" s="141">
        <v>3836</v>
      </c>
      <c r="V252" s="142">
        <v>1</v>
      </c>
      <c r="W252" s="141">
        <v>3012</v>
      </c>
      <c r="X252" s="141">
        <v>3012</v>
      </c>
      <c r="Y252" s="142">
        <v>0</v>
      </c>
      <c r="Z252" s="141">
        <v>36279</v>
      </c>
      <c r="AA252" s="141">
        <v>36303</v>
      </c>
      <c r="AB252" s="142">
        <v>24</v>
      </c>
    </row>
    <row r="253" spans="1:28">
      <c r="A253" s="144">
        <v>45235</v>
      </c>
      <c r="B253" s="141">
        <f t="shared" si="4"/>
        <v>41012</v>
      </c>
      <c r="C253" s="141">
        <v>41108</v>
      </c>
      <c r="D253" s="142">
        <f t="shared" si="3"/>
        <v>96</v>
      </c>
      <c r="E253" s="141">
        <v>19111</v>
      </c>
      <c r="F253" s="141">
        <v>19131</v>
      </c>
      <c r="G253" s="142">
        <v>20</v>
      </c>
      <c r="H253" s="141">
        <v>491534</v>
      </c>
      <c r="I253" s="141">
        <v>491615</v>
      </c>
      <c r="J253" s="142">
        <v>81</v>
      </c>
      <c r="Q253" s="141">
        <v>14265</v>
      </c>
      <c r="R253" s="141">
        <v>14295</v>
      </c>
      <c r="S253" s="142">
        <v>30</v>
      </c>
      <c r="T253" s="141">
        <v>3836</v>
      </c>
      <c r="U253" s="141">
        <v>3840</v>
      </c>
      <c r="V253" s="142">
        <v>4</v>
      </c>
      <c r="W253" s="141">
        <v>3012</v>
      </c>
      <c r="X253" s="141">
        <v>3013</v>
      </c>
      <c r="Y253" s="142">
        <v>1</v>
      </c>
      <c r="Z253" s="141">
        <v>36303</v>
      </c>
      <c r="AA253" s="141">
        <v>36311</v>
      </c>
      <c r="AB253" s="142">
        <v>8</v>
      </c>
    </row>
    <row r="254" spans="1:28">
      <c r="A254" s="144">
        <v>45236</v>
      </c>
      <c r="B254" s="141">
        <f t="shared" si="4"/>
        <v>41108</v>
      </c>
      <c r="C254" s="141">
        <v>41234</v>
      </c>
      <c r="D254" s="142">
        <f t="shared" si="3"/>
        <v>126</v>
      </c>
      <c r="E254" s="141">
        <v>19131</v>
      </c>
      <c r="F254" s="141">
        <v>19151</v>
      </c>
      <c r="G254" s="142">
        <v>20</v>
      </c>
      <c r="H254" s="141">
        <v>491615</v>
      </c>
      <c r="I254" s="141">
        <v>491730</v>
      </c>
      <c r="J254" s="142">
        <v>115</v>
      </c>
      <c r="Q254" s="141">
        <v>14295</v>
      </c>
      <c r="R254" s="141">
        <v>14344</v>
      </c>
      <c r="S254" s="142">
        <v>49</v>
      </c>
      <c r="T254" s="141">
        <v>3840</v>
      </c>
      <c r="U254" s="141">
        <v>3843</v>
      </c>
      <c r="V254" s="142">
        <v>3</v>
      </c>
      <c r="W254" s="141">
        <v>3013</v>
      </c>
      <c r="X254" s="141">
        <v>3015</v>
      </c>
      <c r="Y254" s="142">
        <v>2</v>
      </c>
      <c r="Z254" s="141">
        <v>36311</v>
      </c>
      <c r="AA254" s="141">
        <v>36337</v>
      </c>
      <c r="AB254" s="142">
        <v>26</v>
      </c>
    </row>
    <row r="255" spans="1:28">
      <c r="A255" s="144">
        <v>45237</v>
      </c>
      <c r="B255" s="141">
        <f t="shared" si="4"/>
        <v>41234</v>
      </c>
      <c r="C255" s="141">
        <v>41459</v>
      </c>
      <c r="D255" s="142">
        <f t="shared" si="3"/>
        <v>225</v>
      </c>
      <c r="E255" s="141">
        <v>19151</v>
      </c>
      <c r="F255" s="141">
        <v>19187</v>
      </c>
      <c r="G255" s="142">
        <v>36</v>
      </c>
      <c r="H255" s="141">
        <v>491730</v>
      </c>
      <c r="I255" s="141">
        <v>491832</v>
      </c>
      <c r="J255" s="142">
        <v>102</v>
      </c>
      <c r="Q255" s="141">
        <v>14344</v>
      </c>
      <c r="R255" s="141">
        <v>14379</v>
      </c>
      <c r="S255" s="142">
        <v>35</v>
      </c>
      <c r="T255" s="141">
        <v>3843</v>
      </c>
      <c r="U255" s="141">
        <v>3846</v>
      </c>
      <c r="V255" s="142">
        <v>3</v>
      </c>
      <c r="W255" s="141">
        <v>3015</v>
      </c>
      <c r="X255" s="141">
        <v>3020</v>
      </c>
      <c r="Y255" s="142">
        <v>5</v>
      </c>
      <c r="Z255" s="141">
        <v>36337</v>
      </c>
      <c r="AA255" s="141">
        <v>36344</v>
      </c>
      <c r="AB255" s="142">
        <v>7</v>
      </c>
    </row>
    <row r="256" spans="1:28">
      <c r="A256" s="144">
        <v>45238</v>
      </c>
      <c r="B256" s="141">
        <f t="shared" si="4"/>
        <v>41459</v>
      </c>
      <c r="C256" s="141">
        <v>41796</v>
      </c>
      <c r="D256" s="142">
        <f t="shared" si="3"/>
        <v>337</v>
      </c>
      <c r="E256" s="141">
        <v>19187</v>
      </c>
      <c r="F256" s="141">
        <v>19225</v>
      </c>
      <c r="G256" s="142">
        <v>38</v>
      </c>
      <c r="H256" s="141">
        <v>491832</v>
      </c>
      <c r="I256" s="141">
        <v>491928</v>
      </c>
      <c r="J256" s="142">
        <v>96</v>
      </c>
      <c r="Q256" s="141">
        <v>14379</v>
      </c>
      <c r="R256" s="141">
        <v>14424</v>
      </c>
      <c r="S256" s="142">
        <v>45</v>
      </c>
      <c r="T256" s="141">
        <v>3846</v>
      </c>
      <c r="U256" s="141">
        <v>3849</v>
      </c>
      <c r="V256" s="142">
        <v>3</v>
      </c>
      <c r="W256" s="141">
        <v>3020</v>
      </c>
      <c r="X256" s="141">
        <v>3021</v>
      </c>
      <c r="Y256" s="142">
        <v>1</v>
      </c>
      <c r="Z256" s="141">
        <v>36344</v>
      </c>
      <c r="AA256" s="141">
        <v>36354</v>
      </c>
      <c r="AB256" s="142">
        <v>10</v>
      </c>
    </row>
    <row r="257" spans="1:28">
      <c r="A257" s="144">
        <v>45239</v>
      </c>
      <c r="B257" s="141">
        <f t="shared" si="4"/>
        <v>41796</v>
      </c>
      <c r="C257" s="141">
        <v>42195</v>
      </c>
      <c r="D257" s="142">
        <f t="shared" si="3"/>
        <v>399</v>
      </c>
      <c r="E257" s="141">
        <v>19225</v>
      </c>
      <c r="F257" s="141">
        <v>19261</v>
      </c>
      <c r="G257" s="142">
        <v>36</v>
      </c>
      <c r="H257" s="141">
        <v>491928</v>
      </c>
      <c r="I257" s="141">
        <v>492034</v>
      </c>
      <c r="J257" s="142">
        <v>106</v>
      </c>
      <c r="Q257" s="141">
        <v>14424</v>
      </c>
      <c r="R257" s="141">
        <v>14457</v>
      </c>
      <c r="S257" s="142">
        <v>33</v>
      </c>
      <c r="T257" s="141">
        <v>3849</v>
      </c>
      <c r="U257" s="141">
        <v>3850</v>
      </c>
      <c r="V257" s="142">
        <v>1</v>
      </c>
      <c r="W257" s="141">
        <v>3021</v>
      </c>
      <c r="X257" s="141">
        <v>3023</v>
      </c>
      <c r="Y257" s="142">
        <v>2</v>
      </c>
      <c r="Z257" s="141">
        <v>36354</v>
      </c>
      <c r="AA257" s="141">
        <v>36363</v>
      </c>
      <c r="AB257" s="142">
        <v>9</v>
      </c>
    </row>
    <row r="258" spans="1:28">
      <c r="A258" s="144">
        <v>45240</v>
      </c>
      <c r="B258" s="141">
        <f t="shared" si="4"/>
        <v>42195</v>
      </c>
      <c r="C258" s="141">
        <v>42633</v>
      </c>
      <c r="D258" s="142">
        <f t="shared" si="3"/>
        <v>438</v>
      </c>
      <c r="E258" s="141">
        <v>19261</v>
      </c>
      <c r="F258" s="141">
        <v>19297</v>
      </c>
      <c r="G258" s="142">
        <v>36</v>
      </c>
      <c r="H258" s="141">
        <v>492034</v>
      </c>
      <c r="I258" s="141">
        <v>492164</v>
      </c>
      <c r="J258" s="142">
        <v>130</v>
      </c>
      <c r="Q258" s="141">
        <v>14457</v>
      </c>
      <c r="R258" s="141">
        <v>14500</v>
      </c>
      <c r="S258" s="142">
        <v>43</v>
      </c>
      <c r="T258" s="141">
        <v>3850</v>
      </c>
      <c r="U258" s="141">
        <v>3853</v>
      </c>
      <c r="V258" s="142">
        <v>3</v>
      </c>
      <c r="W258" s="141">
        <v>3023</v>
      </c>
      <c r="X258" s="141">
        <v>3024</v>
      </c>
      <c r="Y258" s="142">
        <v>1</v>
      </c>
      <c r="Z258" s="141">
        <v>36363</v>
      </c>
      <c r="AA258" s="141">
        <v>36375</v>
      </c>
      <c r="AB258" s="142">
        <v>12</v>
      </c>
    </row>
    <row r="259" spans="1:28">
      <c r="A259" s="144">
        <v>45241</v>
      </c>
      <c r="B259" s="141">
        <f t="shared" si="4"/>
        <v>42633</v>
      </c>
      <c r="C259" s="141">
        <v>42677</v>
      </c>
      <c r="D259" s="142">
        <f t="shared" ref="D259:D322" si="5">C259-B259</f>
        <v>44</v>
      </c>
      <c r="E259" s="141">
        <v>19297</v>
      </c>
      <c r="F259" s="141">
        <v>19321</v>
      </c>
      <c r="G259" s="142">
        <v>24</v>
      </c>
      <c r="H259" s="141">
        <v>492164</v>
      </c>
      <c r="I259" s="141">
        <v>492286</v>
      </c>
      <c r="J259" s="142">
        <v>122</v>
      </c>
      <c r="Q259" s="141">
        <v>14500</v>
      </c>
      <c r="R259" s="141">
        <v>14537</v>
      </c>
      <c r="S259" s="142">
        <v>37</v>
      </c>
      <c r="T259" s="141">
        <v>3853</v>
      </c>
      <c r="U259" s="141">
        <v>3854</v>
      </c>
      <c r="V259" s="142">
        <v>1</v>
      </c>
      <c r="W259" s="141">
        <v>3024</v>
      </c>
      <c r="X259" s="141">
        <v>3024</v>
      </c>
      <c r="Y259" s="142">
        <v>0</v>
      </c>
      <c r="Z259" s="141">
        <v>36375</v>
      </c>
      <c r="AA259" s="141">
        <v>36383</v>
      </c>
      <c r="AB259" s="142">
        <v>8</v>
      </c>
    </row>
    <row r="260" spans="1:28">
      <c r="A260" s="144">
        <v>45242</v>
      </c>
      <c r="B260" s="141">
        <f t="shared" si="4"/>
        <v>42677</v>
      </c>
      <c r="C260" s="141">
        <v>42888</v>
      </c>
      <c r="D260" s="142">
        <f t="shared" si="5"/>
        <v>211</v>
      </c>
      <c r="E260" s="141">
        <v>19321</v>
      </c>
      <c r="F260" s="141">
        <v>19342</v>
      </c>
      <c r="G260" s="142">
        <v>21</v>
      </c>
      <c r="H260" s="141">
        <v>492286</v>
      </c>
      <c r="I260" s="141">
        <v>492377</v>
      </c>
      <c r="J260" s="142">
        <v>91</v>
      </c>
      <c r="Q260" s="141">
        <v>14537</v>
      </c>
      <c r="R260" s="141">
        <v>14569</v>
      </c>
      <c r="S260" s="142">
        <v>32</v>
      </c>
      <c r="T260" s="141">
        <v>3854</v>
      </c>
      <c r="U260" s="141">
        <v>3858</v>
      </c>
      <c r="V260" s="142">
        <v>4</v>
      </c>
      <c r="W260" s="141">
        <v>3024</v>
      </c>
      <c r="X260" s="141">
        <v>3024</v>
      </c>
      <c r="Y260" s="142">
        <v>0</v>
      </c>
      <c r="Z260" s="141">
        <v>36383</v>
      </c>
      <c r="AA260" s="141">
        <v>36392</v>
      </c>
      <c r="AB260" s="142">
        <v>9</v>
      </c>
    </row>
    <row r="261" spans="1:28">
      <c r="A261" s="144">
        <v>45243</v>
      </c>
      <c r="B261" s="141">
        <f t="shared" si="4"/>
        <v>42888</v>
      </c>
      <c r="C261" s="141">
        <v>42888</v>
      </c>
      <c r="D261" s="142">
        <f t="shared" si="5"/>
        <v>0</v>
      </c>
      <c r="E261" s="141">
        <v>19342</v>
      </c>
      <c r="F261" s="141">
        <v>19366</v>
      </c>
      <c r="G261" s="142">
        <v>24</v>
      </c>
      <c r="H261" s="141">
        <v>492377</v>
      </c>
      <c r="I261" s="141">
        <v>492488</v>
      </c>
      <c r="J261" s="142">
        <v>111</v>
      </c>
      <c r="Q261" s="141">
        <v>14569</v>
      </c>
      <c r="R261" s="141">
        <v>14616</v>
      </c>
      <c r="S261" s="142">
        <v>47</v>
      </c>
      <c r="T261" s="141">
        <v>3858</v>
      </c>
      <c r="U261" s="141">
        <v>3860</v>
      </c>
      <c r="V261" s="142">
        <v>2</v>
      </c>
      <c r="W261" s="141">
        <v>3024</v>
      </c>
      <c r="X261" s="141">
        <v>3025</v>
      </c>
      <c r="Y261" s="142">
        <v>1</v>
      </c>
      <c r="Z261" s="141">
        <v>36392</v>
      </c>
      <c r="AA261" s="141">
        <v>36401</v>
      </c>
      <c r="AB261" s="142">
        <v>9</v>
      </c>
    </row>
    <row r="262" spans="1:28">
      <c r="A262" s="144">
        <v>45244</v>
      </c>
      <c r="B262" s="141">
        <f t="shared" si="4"/>
        <v>42888</v>
      </c>
      <c r="C262" s="141">
        <v>42916</v>
      </c>
      <c r="D262" s="142">
        <f t="shared" si="5"/>
        <v>28</v>
      </c>
      <c r="E262" s="141">
        <v>19366</v>
      </c>
      <c r="F262" s="141">
        <v>19404</v>
      </c>
      <c r="G262" s="142">
        <v>38</v>
      </c>
      <c r="H262" s="141">
        <v>492488</v>
      </c>
      <c r="I262" s="141">
        <v>492583</v>
      </c>
      <c r="J262" s="142">
        <v>95</v>
      </c>
      <c r="Q262" s="141">
        <v>14616</v>
      </c>
      <c r="R262" s="141">
        <v>14656</v>
      </c>
      <c r="S262" s="142">
        <v>40</v>
      </c>
      <c r="T262" s="141">
        <v>3860</v>
      </c>
      <c r="U262" s="141">
        <v>3863</v>
      </c>
      <c r="V262" s="142">
        <v>3</v>
      </c>
      <c r="W262" s="141">
        <v>3025</v>
      </c>
      <c r="X262" s="141">
        <v>3026</v>
      </c>
      <c r="Y262" s="142">
        <v>1</v>
      </c>
      <c r="Z262" s="141">
        <v>36401</v>
      </c>
      <c r="AA262" s="141">
        <v>36422</v>
      </c>
      <c r="AB262" s="142">
        <v>21</v>
      </c>
    </row>
    <row r="263" spans="1:28">
      <c r="A263" s="144">
        <v>45245</v>
      </c>
      <c r="B263" s="141">
        <f t="shared" si="4"/>
        <v>42916</v>
      </c>
      <c r="C263" s="141">
        <v>43034</v>
      </c>
      <c r="D263" s="142">
        <f t="shared" si="5"/>
        <v>118</v>
      </c>
      <c r="E263" s="141">
        <v>19404</v>
      </c>
      <c r="F263" s="141">
        <v>19437</v>
      </c>
      <c r="G263" s="142">
        <v>33</v>
      </c>
      <c r="H263" s="141">
        <v>492583</v>
      </c>
      <c r="I263" s="141">
        <v>492729</v>
      </c>
      <c r="J263" s="142">
        <v>146</v>
      </c>
      <c r="Q263" s="141">
        <v>14656</v>
      </c>
      <c r="R263" s="141">
        <v>14698</v>
      </c>
      <c r="S263" s="142">
        <v>42</v>
      </c>
      <c r="T263" s="141">
        <v>3863</v>
      </c>
      <c r="U263" s="141">
        <v>3867</v>
      </c>
      <c r="V263" s="142">
        <v>4</v>
      </c>
      <c r="W263" s="141">
        <v>3026</v>
      </c>
      <c r="X263" s="141">
        <v>3029</v>
      </c>
      <c r="Y263" s="142">
        <v>3</v>
      </c>
      <c r="Z263" s="141">
        <v>36422</v>
      </c>
      <c r="AA263" s="141">
        <v>36432</v>
      </c>
      <c r="AB263" s="142">
        <v>10</v>
      </c>
    </row>
    <row r="264" spans="1:28">
      <c r="A264" s="144">
        <v>45246</v>
      </c>
      <c r="B264" s="141">
        <f t="shared" si="4"/>
        <v>43034</v>
      </c>
      <c r="C264" s="141">
        <v>43166</v>
      </c>
      <c r="D264" s="142">
        <f t="shared" si="5"/>
        <v>132</v>
      </c>
      <c r="E264" s="141">
        <v>19437</v>
      </c>
      <c r="F264" s="141">
        <v>19461</v>
      </c>
      <c r="G264" s="142">
        <v>24</v>
      </c>
      <c r="H264" s="141">
        <v>492729</v>
      </c>
      <c r="I264" s="141">
        <v>492851</v>
      </c>
      <c r="J264" s="142">
        <v>122</v>
      </c>
      <c r="Q264" s="141">
        <v>14698</v>
      </c>
      <c r="R264" s="141">
        <v>14727</v>
      </c>
      <c r="S264" s="142">
        <v>29</v>
      </c>
      <c r="T264" s="141">
        <v>3867</v>
      </c>
      <c r="U264" s="141">
        <v>3870</v>
      </c>
      <c r="V264" s="142">
        <v>3</v>
      </c>
      <c r="W264" s="141">
        <v>3029</v>
      </c>
      <c r="X264" s="141">
        <v>3031</v>
      </c>
      <c r="Y264" s="142">
        <v>2</v>
      </c>
      <c r="Z264" s="141">
        <v>36432</v>
      </c>
      <c r="AA264" s="141">
        <v>36439</v>
      </c>
      <c r="AB264" s="142">
        <v>7</v>
      </c>
    </row>
    <row r="265" spans="1:28">
      <c r="A265" s="144">
        <v>45247</v>
      </c>
      <c r="B265" s="141">
        <f t="shared" si="4"/>
        <v>43166</v>
      </c>
      <c r="C265" s="141">
        <v>43260</v>
      </c>
      <c r="D265" s="142">
        <f t="shared" si="5"/>
        <v>94</v>
      </c>
      <c r="E265" s="141">
        <v>19461</v>
      </c>
      <c r="F265" s="141">
        <v>19490</v>
      </c>
      <c r="G265" s="142">
        <v>29</v>
      </c>
      <c r="H265" s="141">
        <v>492851</v>
      </c>
      <c r="I265" s="141">
        <v>492953</v>
      </c>
      <c r="J265" s="142">
        <v>102</v>
      </c>
      <c r="Q265" s="141">
        <v>14727</v>
      </c>
      <c r="R265" s="141">
        <v>14771</v>
      </c>
      <c r="S265" s="142">
        <v>44</v>
      </c>
      <c r="T265" s="141">
        <v>3870</v>
      </c>
      <c r="U265" s="141">
        <v>3872</v>
      </c>
      <c r="V265" s="142">
        <v>2</v>
      </c>
      <c r="W265" s="141">
        <v>3031</v>
      </c>
      <c r="X265" s="141">
        <v>3032</v>
      </c>
      <c r="Y265" s="142">
        <v>1</v>
      </c>
      <c r="Z265" s="141">
        <v>36439</v>
      </c>
      <c r="AA265" s="141">
        <v>36452</v>
      </c>
      <c r="AB265" s="142">
        <v>13</v>
      </c>
    </row>
    <row r="266" spans="1:28">
      <c r="A266" s="144">
        <v>45248</v>
      </c>
      <c r="B266" s="141">
        <f t="shared" si="4"/>
        <v>43260</v>
      </c>
      <c r="C266" s="141">
        <v>43365</v>
      </c>
      <c r="D266" s="142">
        <f t="shared" si="5"/>
        <v>105</v>
      </c>
      <c r="E266" s="141">
        <v>19490</v>
      </c>
      <c r="F266" s="141">
        <v>19525</v>
      </c>
      <c r="G266" s="142">
        <v>35</v>
      </c>
      <c r="H266" s="141">
        <v>492953</v>
      </c>
      <c r="I266" s="141">
        <v>493134</v>
      </c>
      <c r="J266" s="142">
        <v>181</v>
      </c>
      <c r="Q266" s="141">
        <v>14771</v>
      </c>
      <c r="R266" s="141">
        <v>14810</v>
      </c>
      <c r="S266" s="142">
        <v>39</v>
      </c>
      <c r="T266" s="141">
        <v>3872</v>
      </c>
      <c r="U266" s="141">
        <v>3874</v>
      </c>
      <c r="V266" s="142">
        <v>2</v>
      </c>
      <c r="W266" s="141">
        <v>3032</v>
      </c>
      <c r="X266" s="141">
        <v>3032</v>
      </c>
      <c r="Y266" s="142">
        <v>0</v>
      </c>
      <c r="Z266" s="141">
        <v>36452</v>
      </c>
      <c r="AA266" s="141">
        <v>36479</v>
      </c>
      <c r="AB266" s="142">
        <v>27</v>
      </c>
    </row>
    <row r="267" spans="1:28">
      <c r="A267" s="144">
        <v>45249</v>
      </c>
      <c r="B267" s="141">
        <f t="shared" si="4"/>
        <v>43365</v>
      </c>
      <c r="C267" s="141">
        <v>43474</v>
      </c>
      <c r="D267" s="142">
        <f t="shared" si="5"/>
        <v>109</v>
      </c>
      <c r="E267" s="141">
        <v>19525</v>
      </c>
      <c r="F267" s="141">
        <v>19555</v>
      </c>
      <c r="G267" s="142">
        <v>30</v>
      </c>
      <c r="H267" s="141">
        <v>493134</v>
      </c>
      <c r="I267" s="141">
        <v>493271</v>
      </c>
      <c r="J267" s="142">
        <v>137</v>
      </c>
      <c r="Q267" s="141">
        <v>14810</v>
      </c>
      <c r="R267" s="141">
        <v>14840</v>
      </c>
      <c r="S267" s="142">
        <v>30</v>
      </c>
      <c r="T267" s="141">
        <v>3874</v>
      </c>
      <c r="U267" s="141">
        <v>3880</v>
      </c>
      <c r="V267" s="142">
        <v>6</v>
      </c>
      <c r="W267" s="141">
        <v>3032</v>
      </c>
      <c r="X267" s="141">
        <v>3034</v>
      </c>
      <c r="Y267" s="142">
        <v>2</v>
      </c>
      <c r="Z267" s="141">
        <v>36479</v>
      </c>
      <c r="AA267" s="141">
        <v>36485</v>
      </c>
      <c r="AB267" s="142">
        <v>6</v>
      </c>
    </row>
    <row r="268" spans="1:28">
      <c r="A268" s="144">
        <v>45250</v>
      </c>
      <c r="B268" s="141">
        <f t="shared" si="4"/>
        <v>43474</v>
      </c>
      <c r="C268" s="141">
        <v>43612</v>
      </c>
      <c r="D268" s="142">
        <f t="shared" si="5"/>
        <v>138</v>
      </c>
      <c r="E268" s="141">
        <v>19555</v>
      </c>
      <c r="F268" s="141">
        <v>19583</v>
      </c>
      <c r="G268" s="142">
        <v>28</v>
      </c>
      <c r="H268" s="141">
        <v>493271</v>
      </c>
      <c r="I268" s="141">
        <v>493366</v>
      </c>
      <c r="J268" s="142">
        <v>95</v>
      </c>
      <c r="Q268" s="141">
        <v>14840</v>
      </c>
      <c r="R268" s="141">
        <v>14883</v>
      </c>
      <c r="S268" s="142">
        <v>43</v>
      </c>
      <c r="T268" s="141">
        <v>3880</v>
      </c>
      <c r="U268" s="141">
        <v>3882</v>
      </c>
      <c r="V268" s="142">
        <v>2</v>
      </c>
      <c r="W268" s="141">
        <v>3034</v>
      </c>
      <c r="X268" s="141">
        <v>3036</v>
      </c>
      <c r="Y268" s="142">
        <v>2</v>
      </c>
      <c r="Z268" s="141">
        <v>36485</v>
      </c>
      <c r="AA268" s="141">
        <v>36493</v>
      </c>
      <c r="AB268" s="142">
        <v>8</v>
      </c>
    </row>
    <row r="269" spans="1:28">
      <c r="A269" s="144">
        <v>45251</v>
      </c>
      <c r="B269" s="141">
        <f t="shared" ref="B269:B332" si="6">C268</f>
        <v>43612</v>
      </c>
      <c r="C269" s="141">
        <v>43755</v>
      </c>
      <c r="D269" s="142">
        <f t="shared" si="5"/>
        <v>143</v>
      </c>
      <c r="E269" s="141">
        <v>19583</v>
      </c>
      <c r="F269" s="141">
        <v>19626</v>
      </c>
      <c r="G269" s="142">
        <v>43</v>
      </c>
      <c r="H269" s="141">
        <v>493366</v>
      </c>
      <c r="I269" s="141">
        <v>493464</v>
      </c>
      <c r="J269" s="142">
        <v>98</v>
      </c>
      <c r="Q269" s="141">
        <v>14883</v>
      </c>
      <c r="R269" s="141">
        <v>14918</v>
      </c>
      <c r="S269" s="142">
        <v>35</v>
      </c>
      <c r="T269" s="141">
        <v>3882</v>
      </c>
      <c r="U269" s="141">
        <v>3885</v>
      </c>
      <c r="V269" s="142">
        <v>3</v>
      </c>
      <c r="W269" s="141">
        <v>3036</v>
      </c>
      <c r="X269" s="141">
        <v>3039</v>
      </c>
      <c r="Y269" s="142">
        <v>3</v>
      </c>
      <c r="Z269" s="141">
        <v>36493</v>
      </c>
      <c r="AA269" s="141">
        <v>36499</v>
      </c>
      <c r="AB269" s="142">
        <v>6</v>
      </c>
    </row>
    <row r="270" spans="1:28">
      <c r="A270" s="144">
        <v>45252</v>
      </c>
      <c r="B270" s="141">
        <f t="shared" si="6"/>
        <v>43755</v>
      </c>
      <c r="C270" s="141">
        <v>43883</v>
      </c>
      <c r="D270" s="142">
        <f t="shared" si="5"/>
        <v>128</v>
      </c>
      <c r="E270" s="141">
        <v>19626</v>
      </c>
      <c r="F270" s="141">
        <v>19661</v>
      </c>
      <c r="G270" s="142">
        <v>35</v>
      </c>
      <c r="H270" s="141">
        <v>493464</v>
      </c>
      <c r="I270" s="141">
        <v>493553</v>
      </c>
      <c r="J270" s="142">
        <v>89</v>
      </c>
      <c r="Q270" s="141">
        <v>14918</v>
      </c>
      <c r="R270" s="141">
        <v>14962</v>
      </c>
      <c r="S270" s="142">
        <v>44</v>
      </c>
      <c r="T270" s="141">
        <v>3885</v>
      </c>
      <c r="U270" s="141">
        <v>3887</v>
      </c>
      <c r="V270" s="142">
        <v>2</v>
      </c>
      <c r="W270" s="141">
        <v>3039</v>
      </c>
      <c r="X270" s="141">
        <v>3041</v>
      </c>
      <c r="Y270" s="142">
        <v>2</v>
      </c>
      <c r="Z270" s="141">
        <v>36499</v>
      </c>
      <c r="AA270" s="141">
        <v>36529</v>
      </c>
      <c r="AB270" s="142">
        <v>30</v>
      </c>
    </row>
    <row r="271" spans="1:28">
      <c r="A271" s="144">
        <v>45253</v>
      </c>
      <c r="B271" s="141">
        <f t="shared" si="6"/>
        <v>43883</v>
      </c>
      <c r="C271" s="141">
        <v>44027</v>
      </c>
      <c r="D271" s="142">
        <f t="shared" si="5"/>
        <v>144</v>
      </c>
      <c r="E271" s="141">
        <v>19661</v>
      </c>
      <c r="F271" s="141">
        <v>19704</v>
      </c>
      <c r="G271" s="142">
        <v>43</v>
      </c>
      <c r="H271" s="141">
        <v>493553</v>
      </c>
      <c r="I271" s="141">
        <v>493687</v>
      </c>
      <c r="J271" s="142">
        <v>134</v>
      </c>
      <c r="Q271" s="141">
        <v>14962</v>
      </c>
      <c r="R271" s="141">
        <v>14991</v>
      </c>
      <c r="S271" s="142">
        <v>29</v>
      </c>
      <c r="T271" s="141">
        <v>3887</v>
      </c>
      <c r="U271" s="141">
        <v>3890</v>
      </c>
      <c r="V271" s="142">
        <v>3</v>
      </c>
      <c r="W271" s="141">
        <v>3041</v>
      </c>
      <c r="X271" s="141">
        <v>3042</v>
      </c>
      <c r="Y271" s="142">
        <v>1</v>
      </c>
      <c r="Z271" s="141">
        <v>36529</v>
      </c>
      <c r="AA271" s="141">
        <v>36543</v>
      </c>
      <c r="AB271" s="142">
        <v>14</v>
      </c>
    </row>
    <row r="272" spans="1:28">
      <c r="A272" s="144">
        <v>45254</v>
      </c>
      <c r="B272" s="141">
        <f t="shared" si="6"/>
        <v>44027</v>
      </c>
      <c r="C272" s="141">
        <v>44169</v>
      </c>
      <c r="D272" s="142">
        <f t="shared" si="5"/>
        <v>142</v>
      </c>
      <c r="E272" s="141">
        <v>19704</v>
      </c>
      <c r="F272" s="141">
        <v>19764</v>
      </c>
      <c r="G272" s="142">
        <v>60</v>
      </c>
      <c r="H272" s="141">
        <v>493687</v>
      </c>
      <c r="I272" s="141">
        <v>493808</v>
      </c>
      <c r="J272" s="142">
        <v>121</v>
      </c>
      <c r="Q272" s="141">
        <v>14991</v>
      </c>
      <c r="R272" s="141">
        <v>15026</v>
      </c>
      <c r="S272" s="142">
        <v>35</v>
      </c>
      <c r="T272" s="141">
        <v>3890</v>
      </c>
      <c r="U272" s="141">
        <v>3892</v>
      </c>
      <c r="V272" s="142">
        <v>2</v>
      </c>
      <c r="W272" s="141">
        <v>3042</v>
      </c>
      <c r="X272" s="141">
        <v>3043</v>
      </c>
      <c r="Y272" s="142">
        <v>1</v>
      </c>
      <c r="Z272" s="141">
        <v>36543</v>
      </c>
      <c r="AA272" s="141">
        <v>36576</v>
      </c>
      <c r="AB272" s="142">
        <v>33</v>
      </c>
    </row>
    <row r="273" spans="1:28">
      <c r="A273" s="144">
        <v>45255</v>
      </c>
      <c r="B273" s="141">
        <f t="shared" si="6"/>
        <v>44169</v>
      </c>
      <c r="C273" s="141">
        <v>44288</v>
      </c>
      <c r="D273" s="142">
        <f t="shared" si="5"/>
        <v>119</v>
      </c>
      <c r="E273" s="141">
        <v>19764</v>
      </c>
      <c r="F273" s="141">
        <v>19790</v>
      </c>
      <c r="G273" s="142">
        <v>26</v>
      </c>
      <c r="H273" s="141">
        <v>493808</v>
      </c>
      <c r="I273" s="141">
        <v>493912</v>
      </c>
      <c r="J273" s="142">
        <v>104</v>
      </c>
      <c r="Q273" s="141">
        <v>15026</v>
      </c>
      <c r="R273" s="141">
        <v>15055</v>
      </c>
      <c r="S273" s="142">
        <v>29</v>
      </c>
      <c r="T273" s="141">
        <v>3892</v>
      </c>
      <c r="U273" s="141">
        <v>3893</v>
      </c>
      <c r="V273" s="142">
        <v>1</v>
      </c>
      <c r="W273" s="141">
        <v>3043</v>
      </c>
      <c r="X273" s="141">
        <v>3043</v>
      </c>
      <c r="Y273" s="142">
        <v>0</v>
      </c>
      <c r="Z273" s="141">
        <v>36576</v>
      </c>
      <c r="AA273" s="141">
        <v>36592</v>
      </c>
      <c r="AB273" s="142">
        <v>16</v>
      </c>
    </row>
    <row r="274" spans="1:28">
      <c r="A274" s="144">
        <v>45256</v>
      </c>
      <c r="B274" s="141">
        <f t="shared" si="6"/>
        <v>44288</v>
      </c>
      <c r="C274" s="141">
        <v>44441</v>
      </c>
      <c r="D274" s="142">
        <f t="shared" si="5"/>
        <v>153</v>
      </c>
      <c r="E274" s="141">
        <v>19790</v>
      </c>
      <c r="F274" s="141">
        <v>19807</v>
      </c>
      <c r="G274" s="142">
        <v>17</v>
      </c>
      <c r="H274" s="141">
        <v>493912</v>
      </c>
      <c r="I274" s="141">
        <v>493981</v>
      </c>
      <c r="J274" s="142">
        <v>69</v>
      </c>
      <c r="Q274" s="141">
        <v>15055</v>
      </c>
      <c r="R274" s="141">
        <v>15085</v>
      </c>
      <c r="S274" s="142">
        <v>30</v>
      </c>
      <c r="T274" s="141">
        <v>3893</v>
      </c>
      <c r="U274" s="141">
        <v>3897</v>
      </c>
      <c r="V274" s="142">
        <v>4</v>
      </c>
      <c r="W274" s="141">
        <v>3043</v>
      </c>
      <c r="X274" s="141">
        <v>3043</v>
      </c>
      <c r="Y274" s="142">
        <v>0</v>
      </c>
      <c r="Z274" s="141">
        <v>36592</v>
      </c>
      <c r="AA274" s="141">
        <v>36606</v>
      </c>
      <c r="AB274" s="142">
        <v>14</v>
      </c>
    </row>
    <row r="275" spans="1:28">
      <c r="A275" s="144">
        <v>45257</v>
      </c>
      <c r="B275" s="141">
        <f t="shared" si="6"/>
        <v>44441</v>
      </c>
      <c r="C275" s="141">
        <v>44575</v>
      </c>
      <c r="D275" s="142">
        <f t="shared" si="5"/>
        <v>134</v>
      </c>
      <c r="E275" s="141">
        <v>19807</v>
      </c>
      <c r="F275" s="141">
        <v>19832</v>
      </c>
      <c r="G275" s="142">
        <v>25</v>
      </c>
      <c r="H275" s="141">
        <v>493981</v>
      </c>
      <c r="I275" s="141">
        <v>494085</v>
      </c>
      <c r="J275" s="142">
        <v>104</v>
      </c>
      <c r="Q275" s="141">
        <v>15085</v>
      </c>
      <c r="R275" s="141">
        <v>15129</v>
      </c>
      <c r="S275" s="142">
        <v>44</v>
      </c>
      <c r="T275" s="141">
        <v>3897</v>
      </c>
      <c r="U275" s="141">
        <v>3899</v>
      </c>
      <c r="V275" s="142">
        <v>2</v>
      </c>
      <c r="W275" s="141">
        <v>3043</v>
      </c>
      <c r="X275" s="141">
        <v>3044</v>
      </c>
      <c r="Y275" s="142">
        <v>1</v>
      </c>
      <c r="Z275" s="141">
        <v>36606</v>
      </c>
      <c r="AA275" s="141">
        <v>36615</v>
      </c>
      <c r="AB275" s="142">
        <v>9</v>
      </c>
    </row>
    <row r="276" spans="1:28">
      <c r="A276" s="144">
        <v>45258</v>
      </c>
      <c r="B276" s="141">
        <f t="shared" si="6"/>
        <v>44575</v>
      </c>
      <c r="C276" s="141">
        <v>44692</v>
      </c>
      <c r="D276" s="142">
        <f t="shared" si="5"/>
        <v>117</v>
      </c>
      <c r="E276" s="141">
        <v>19832</v>
      </c>
      <c r="F276" s="141">
        <v>19869</v>
      </c>
      <c r="G276" s="142">
        <v>37</v>
      </c>
      <c r="H276" s="141">
        <v>494085</v>
      </c>
      <c r="I276" s="141">
        <v>494236</v>
      </c>
      <c r="J276" s="142">
        <v>151</v>
      </c>
      <c r="Q276" s="141">
        <v>15129</v>
      </c>
      <c r="R276" s="141">
        <v>15168</v>
      </c>
      <c r="S276" s="142">
        <v>39</v>
      </c>
      <c r="T276" s="141">
        <v>3899</v>
      </c>
      <c r="U276" s="141">
        <v>3902</v>
      </c>
      <c r="V276" s="142">
        <v>3</v>
      </c>
      <c r="W276" s="141">
        <v>3044</v>
      </c>
      <c r="X276" s="141">
        <v>3045</v>
      </c>
      <c r="Y276" s="142">
        <v>1</v>
      </c>
      <c r="Z276" s="141">
        <v>36615</v>
      </c>
      <c r="AA276" s="141">
        <v>36633</v>
      </c>
      <c r="AB276" s="142">
        <v>18</v>
      </c>
    </row>
    <row r="277" spans="1:28">
      <c r="A277" s="144">
        <v>45259</v>
      </c>
      <c r="B277" s="141">
        <f t="shared" si="6"/>
        <v>44692</v>
      </c>
      <c r="C277" s="141">
        <v>44808</v>
      </c>
      <c r="D277" s="142">
        <f t="shared" si="5"/>
        <v>116</v>
      </c>
      <c r="E277" s="141">
        <v>19869</v>
      </c>
      <c r="F277" s="141">
        <v>19902</v>
      </c>
      <c r="G277" s="142">
        <v>33</v>
      </c>
      <c r="H277" s="141">
        <v>494236</v>
      </c>
      <c r="I277" s="141">
        <v>494350</v>
      </c>
      <c r="J277" s="142">
        <v>114</v>
      </c>
      <c r="Q277" s="141">
        <v>15168</v>
      </c>
      <c r="R277" s="141">
        <v>15214</v>
      </c>
      <c r="S277" s="142">
        <v>46</v>
      </c>
      <c r="T277" s="141">
        <v>3902</v>
      </c>
      <c r="U277" s="141">
        <v>3904</v>
      </c>
      <c r="V277" s="142">
        <v>2</v>
      </c>
      <c r="W277" s="141">
        <v>3045</v>
      </c>
      <c r="X277" s="141">
        <v>3046</v>
      </c>
      <c r="Y277" s="142">
        <v>1</v>
      </c>
      <c r="Z277" s="141">
        <v>36633</v>
      </c>
      <c r="AA277" s="141">
        <v>36649</v>
      </c>
      <c r="AB277" s="142">
        <v>16</v>
      </c>
    </row>
    <row r="278" spans="1:28">
      <c r="A278" s="144">
        <v>45260</v>
      </c>
      <c r="B278" s="141">
        <f t="shared" si="6"/>
        <v>44808</v>
      </c>
      <c r="C278" s="141">
        <v>44928</v>
      </c>
      <c r="D278" s="142">
        <f t="shared" si="5"/>
        <v>120</v>
      </c>
      <c r="E278" s="141">
        <v>19902</v>
      </c>
      <c r="F278" s="141">
        <v>19946</v>
      </c>
      <c r="G278" s="142">
        <v>44</v>
      </c>
      <c r="H278" s="141">
        <v>494350</v>
      </c>
      <c r="I278" s="141">
        <v>494474</v>
      </c>
      <c r="J278" s="142">
        <v>124</v>
      </c>
      <c r="Q278" s="141">
        <v>15214</v>
      </c>
      <c r="R278" s="141">
        <v>15255</v>
      </c>
      <c r="S278" s="142">
        <v>41</v>
      </c>
      <c r="T278" s="141">
        <v>3904</v>
      </c>
      <c r="U278" s="141">
        <v>3907</v>
      </c>
      <c r="V278" s="142">
        <v>3</v>
      </c>
      <c r="W278" s="141">
        <v>3046</v>
      </c>
      <c r="X278" s="141">
        <v>3048</v>
      </c>
      <c r="Y278" s="142">
        <v>2</v>
      </c>
      <c r="Z278" s="141">
        <v>36649</v>
      </c>
      <c r="AA278" s="141">
        <v>36668</v>
      </c>
      <c r="AB278" s="142">
        <v>19</v>
      </c>
    </row>
    <row r="279" spans="1:28">
      <c r="A279" s="144">
        <v>45261</v>
      </c>
      <c r="B279" s="141">
        <f t="shared" si="6"/>
        <v>44928</v>
      </c>
      <c r="C279" s="141">
        <v>45053</v>
      </c>
      <c r="D279" s="142">
        <f t="shared" si="5"/>
        <v>125</v>
      </c>
      <c r="E279" s="141">
        <v>19946</v>
      </c>
      <c r="F279" s="141">
        <v>19994</v>
      </c>
      <c r="G279" s="142">
        <v>48</v>
      </c>
      <c r="H279" s="141">
        <v>494474</v>
      </c>
      <c r="I279" s="141">
        <v>494599</v>
      </c>
      <c r="J279" s="142">
        <v>125</v>
      </c>
      <c r="Q279" s="141">
        <v>15255</v>
      </c>
      <c r="R279" s="141">
        <v>15294</v>
      </c>
      <c r="S279" s="142">
        <v>39</v>
      </c>
      <c r="T279" s="141">
        <v>3907</v>
      </c>
      <c r="U279" s="141">
        <v>3912</v>
      </c>
      <c r="V279" s="142">
        <v>5</v>
      </c>
      <c r="W279" s="141">
        <v>3048</v>
      </c>
      <c r="X279" s="141">
        <v>3048</v>
      </c>
      <c r="Y279" s="142">
        <v>0</v>
      </c>
      <c r="Z279" s="141">
        <v>36668</v>
      </c>
      <c r="AA279" s="141">
        <v>36683</v>
      </c>
      <c r="AB279" s="142">
        <v>15</v>
      </c>
    </row>
    <row r="280" spans="1:28">
      <c r="A280" s="144">
        <v>45262</v>
      </c>
      <c r="B280" s="141">
        <f t="shared" si="6"/>
        <v>45053</v>
      </c>
      <c r="C280" s="141">
        <v>45178</v>
      </c>
      <c r="D280" s="142">
        <f t="shared" si="5"/>
        <v>125</v>
      </c>
      <c r="E280" s="141">
        <v>19994</v>
      </c>
      <c r="F280" s="141">
        <v>20039</v>
      </c>
      <c r="G280" s="142">
        <v>45</v>
      </c>
      <c r="H280" s="141">
        <v>494599</v>
      </c>
      <c r="I280" s="141">
        <v>494695</v>
      </c>
      <c r="J280" s="142">
        <v>96</v>
      </c>
      <c r="Q280" s="141">
        <v>15294</v>
      </c>
      <c r="R280" s="141">
        <v>15327</v>
      </c>
      <c r="S280" s="142">
        <v>33</v>
      </c>
      <c r="T280" s="141">
        <v>3912</v>
      </c>
      <c r="U280" s="141">
        <v>3914</v>
      </c>
      <c r="V280" s="142">
        <v>2</v>
      </c>
      <c r="W280" s="141">
        <v>3048</v>
      </c>
      <c r="X280" s="141">
        <v>3049</v>
      </c>
      <c r="Y280" s="142">
        <v>1</v>
      </c>
      <c r="Z280" s="141">
        <v>36683</v>
      </c>
      <c r="AA280" s="141">
        <v>36699</v>
      </c>
      <c r="AB280" s="142">
        <v>16</v>
      </c>
    </row>
    <row r="281" spans="1:28">
      <c r="A281" s="144">
        <v>45263</v>
      </c>
      <c r="B281" s="141">
        <f t="shared" si="6"/>
        <v>45178</v>
      </c>
      <c r="C281" s="141">
        <v>45178</v>
      </c>
      <c r="D281" s="142">
        <f t="shared" si="5"/>
        <v>0</v>
      </c>
      <c r="E281" s="141">
        <v>20039</v>
      </c>
      <c r="F281" s="141">
        <v>20074</v>
      </c>
      <c r="G281" s="142">
        <v>35</v>
      </c>
      <c r="H281" s="141">
        <v>494695</v>
      </c>
      <c r="I281" s="141">
        <v>494789</v>
      </c>
      <c r="J281" s="142">
        <v>94</v>
      </c>
      <c r="Q281" s="141">
        <v>15327</v>
      </c>
      <c r="R281" s="141">
        <v>15361</v>
      </c>
      <c r="S281" s="142">
        <v>34</v>
      </c>
      <c r="T281" s="141">
        <v>3914</v>
      </c>
      <c r="U281" s="141">
        <v>3919</v>
      </c>
      <c r="V281" s="142">
        <v>5</v>
      </c>
      <c r="W281" s="141">
        <v>3049</v>
      </c>
      <c r="X281" s="141">
        <v>3049</v>
      </c>
      <c r="Y281" s="142">
        <v>0</v>
      </c>
      <c r="Z281" s="141">
        <v>36699</v>
      </c>
      <c r="AA281" s="141">
        <v>36707</v>
      </c>
      <c r="AB281" s="142">
        <v>8</v>
      </c>
    </row>
    <row r="282" spans="1:28">
      <c r="A282" s="144">
        <v>45264</v>
      </c>
      <c r="B282" s="141">
        <f t="shared" si="6"/>
        <v>45178</v>
      </c>
      <c r="C282" s="141">
        <v>45273</v>
      </c>
      <c r="D282" s="142">
        <f t="shared" si="5"/>
        <v>95</v>
      </c>
      <c r="E282" s="141">
        <v>20074</v>
      </c>
      <c r="F282" s="141">
        <v>20120</v>
      </c>
      <c r="G282" s="142">
        <v>46</v>
      </c>
      <c r="H282" s="141">
        <v>494789</v>
      </c>
      <c r="I282" s="141">
        <v>494905</v>
      </c>
      <c r="J282" s="142">
        <v>116</v>
      </c>
      <c r="Q282" s="141">
        <v>15361</v>
      </c>
      <c r="R282" s="141">
        <v>15399</v>
      </c>
      <c r="S282" s="142">
        <v>38</v>
      </c>
      <c r="T282" s="141">
        <v>3919</v>
      </c>
      <c r="U282" s="141">
        <v>3922</v>
      </c>
      <c r="V282" s="142">
        <v>3</v>
      </c>
      <c r="W282" s="141">
        <v>3049</v>
      </c>
      <c r="X282" s="141">
        <v>3050</v>
      </c>
      <c r="Y282" s="142">
        <v>1</v>
      </c>
      <c r="Z282" s="141">
        <v>36707</v>
      </c>
      <c r="AA282" s="141">
        <v>36729</v>
      </c>
      <c r="AB282" s="142">
        <v>22</v>
      </c>
    </row>
    <row r="283" spans="1:28">
      <c r="A283" s="144">
        <v>45265</v>
      </c>
      <c r="B283" s="141">
        <f t="shared" si="6"/>
        <v>45273</v>
      </c>
      <c r="C283" s="141">
        <v>45391</v>
      </c>
      <c r="D283" s="142">
        <f t="shared" si="5"/>
        <v>118</v>
      </c>
      <c r="E283" s="141">
        <v>20120</v>
      </c>
      <c r="F283" s="141">
        <v>20148</v>
      </c>
      <c r="G283" s="142">
        <v>28</v>
      </c>
      <c r="H283" s="141">
        <v>494905</v>
      </c>
      <c r="I283" s="141">
        <v>495012</v>
      </c>
      <c r="J283" s="142">
        <v>107</v>
      </c>
      <c r="Q283" s="141">
        <v>15399</v>
      </c>
      <c r="R283" s="141">
        <v>15433</v>
      </c>
      <c r="S283" s="142">
        <v>34</v>
      </c>
      <c r="T283" s="141">
        <v>3922</v>
      </c>
      <c r="U283" s="141">
        <v>3926</v>
      </c>
      <c r="V283" s="142">
        <v>4</v>
      </c>
      <c r="W283" s="141">
        <v>3050</v>
      </c>
      <c r="X283" s="141">
        <v>3059</v>
      </c>
      <c r="Y283" s="142">
        <v>9</v>
      </c>
      <c r="Z283" s="141">
        <v>36729</v>
      </c>
      <c r="AA283" s="141">
        <v>36738</v>
      </c>
      <c r="AB283" s="142">
        <v>9</v>
      </c>
    </row>
    <row r="284" spans="1:28">
      <c r="A284" s="144">
        <v>45266</v>
      </c>
      <c r="B284" s="141">
        <f t="shared" si="6"/>
        <v>45391</v>
      </c>
      <c r="C284" s="141">
        <v>45480</v>
      </c>
      <c r="D284" s="142">
        <f t="shared" si="5"/>
        <v>89</v>
      </c>
      <c r="E284" s="141">
        <v>20148</v>
      </c>
      <c r="F284" s="141">
        <v>20175</v>
      </c>
      <c r="G284" s="142">
        <v>27</v>
      </c>
      <c r="H284" s="141">
        <v>495012</v>
      </c>
      <c r="I284" s="141">
        <v>495142</v>
      </c>
      <c r="J284" s="142">
        <v>130</v>
      </c>
      <c r="Q284" s="141">
        <v>15433</v>
      </c>
      <c r="R284" s="141">
        <v>15464</v>
      </c>
      <c r="S284" s="142">
        <v>31</v>
      </c>
      <c r="T284" s="141">
        <v>3926</v>
      </c>
      <c r="U284" s="141">
        <v>3928</v>
      </c>
      <c r="V284" s="142">
        <v>2</v>
      </c>
      <c r="W284" s="141">
        <v>3059</v>
      </c>
      <c r="X284" s="141">
        <v>3060</v>
      </c>
      <c r="Y284" s="142">
        <v>1</v>
      </c>
      <c r="Z284" s="141">
        <v>36738</v>
      </c>
      <c r="AA284" s="141">
        <v>36758</v>
      </c>
      <c r="AB284" s="142">
        <v>20</v>
      </c>
    </row>
    <row r="285" spans="1:28">
      <c r="A285" s="144">
        <v>45267</v>
      </c>
      <c r="B285" s="141">
        <f t="shared" si="6"/>
        <v>45480</v>
      </c>
      <c r="C285" s="141">
        <v>45601</v>
      </c>
      <c r="D285" s="142">
        <f t="shared" si="5"/>
        <v>121</v>
      </c>
      <c r="E285" s="141">
        <v>20175</v>
      </c>
      <c r="F285" s="141">
        <v>20212</v>
      </c>
      <c r="G285" s="142">
        <v>37</v>
      </c>
      <c r="H285" s="141">
        <v>495142</v>
      </c>
      <c r="I285" s="141">
        <v>495263</v>
      </c>
      <c r="J285" s="142">
        <v>121</v>
      </c>
      <c r="Q285" s="141">
        <v>15464</v>
      </c>
      <c r="R285" s="141">
        <v>15509</v>
      </c>
      <c r="S285" s="142">
        <v>45</v>
      </c>
      <c r="T285" s="141">
        <v>3928</v>
      </c>
      <c r="U285" s="141">
        <v>3931</v>
      </c>
      <c r="V285" s="142">
        <v>3</v>
      </c>
      <c r="W285" s="141">
        <v>3060</v>
      </c>
      <c r="X285" s="141">
        <v>3061</v>
      </c>
      <c r="Y285" s="142">
        <v>1</v>
      </c>
      <c r="Z285" s="141">
        <v>36758</v>
      </c>
      <c r="AA285" s="141">
        <v>36775</v>
      </c>
      <c r="AB285" s="142">
        <v>17</v>
      </c>
    </row>
    <row r="286" spans="1:28">
      <c r="A286" s="144">
        <v>45268</v>
      </c>
      <c r="B286" s="141">
        <f t="shared" si="6"/>
        <v>45601</v>
      </c>
      <c r="C286" s="141">
        <v>45728</v>
      </c>
      <c r="D286" s="142">
        <f t="shared" si="5"/>
        <v>127</v>
      </c>
      <c r="E286" s="141">
        <v>20212</v>
      </c>
      <c r="F286" s="141">
        <v>20269</v>
      </c>
      <c r="G286" s="142">
        <v>57</v>
      </c>
      <c r="H286" s="141">
        <v>495263</v>
      </c>
      <c r="I286" s="141">
        <v>495434</v>
      </c>
      <c r="J286" s="142">
        <v>171</v>
      </c>
      <c r="Q286" s="141">
        <v>15509</v>
      </c>
      <c r="R286" s="141">
        <v>15556</v>
      </c>
      <c r="S286" s="142">
        <v>47</v>
      </c>
      <c r="T286" s="141">
        <v>3931</v>
      </c>
      <c r="U286" s="141">
        <v>3934</v>
      </c>
      <c r="V286" s="142">
        <v>3</v>
      </c>
      <c r="W286" s="141">
        <v>3061</v>
      </c>
      <c r="X286" s="141">
        <v>3061</v>
      </c>
      <c r="Y286" s="142">
        <v>0</v>
      </c>
      <c r="Z286" s="141">
        <v>36775</v>
      </c>
      <c r="AA286" s="141">
        <v>36798</v>
      </c>
      <c r="AB286" s="142">
        <v>23</v>
      </c>
    </row>
    <row r="287" spans="1:28">
      <c r="A287" s="144">
        <v>45269</v>
      </c>
      <c r="B287" s="141">
        <f t="shared" si="6"/>
        <v>45728</v>
      </c>
      <c r="C287" s="141">
        <v>45851</v>
      </c>
      <c r="D287" s="142">
        <f t="shared" si="5"/>
        <v>123</v>
      </c>
      <c r="E287" s="141">
        <v>20269</v>
      </c>
      <c r="F287" s="141">
        <v>20299</v>
      </c>
      <c r="G287" s="142">
        <v>30</v>
      </c>
      <c r="H287" s="141">
        <v>495434</v>
      </c>
      <c r="I287" s="141">
        <v>495571</v>
      </c>
      <c r="J287" s="142">
        <v>137</v>
      </c>
      <c r="Q287" s="141">
        <v>15556</v>
      </c>
      <c r="R287" s="141">
        <v>15589</v>
      </c>
      <c r="S287" s="142">
        <v>33</v>
      </c>
      <c r="T287" s="141">
        <v>3934</v>
      </c>
      <c r="U287" s="141">
        <v>3936</v>
      </c>
      <c r="V287" s="142">
        <v>2</v>
      </c>
      <c r="W287" s="141">
        <v>3061</v>
      </c>
      <c r="X287" s="141">
        <v>3062</v>
      </c>
      <c r="Y287" s="142">
        <v>1</v>
      </c>
      <c r="Z287" s="141">
        <v>36798</v>
      </c>
      <c r="AA287" s="141">
        <v>36820</v>
      </c>
      <c r="AB287" s="142">
        <v>22</v>
      </c>
    </row>
    <row r="288" spans="1:28">
      <c r="A288" s="144">
        <v>45270</v>
      </c>
      <c r="B288" s="141">
        <f t="shared" si="6"/>
        <v>45851</v>
      </c>
      <c r="C288" s="141">
        <v>45946</v>
      </c>
      <c r="D288" s="142">
        <f t="shared" si="5"/>
        <v>95</v>
      </c>
      <c r="E288" s="141">
        <v>20299</v>
      </c>
      <c r="F288" s="141">
        <v>20319</v>
      </c>
      <c r="G288" s="142">
        <v>20</v>
      </c>
      <c r="H288" s="141">
        <v>495571</v>
      </c>
      <c r="I288" s="141">
        <v>495674</v>
      </c>
      <c r="J288" s="142">
        <v>103</v>
      </c>
      <c r="Q288" s="141">
        <v>15589</v>
      </c>
      <c r="R288" s="141">
        <v>15617</v>
      </c>
      <c r="S288" s="142">
        <v>28</v>
      </c>
      <c r="T288" s="141">
        <v>3936</v>
      </c>
      <c r="U288" s="141">
        <v>3941</v>
      </c>
      <c r="V288" s="142">
        <v>5</v>
      </c>
      <c r="W288" s="141">
        <v>3062</v>
      </c>
      <c r="X288" s="141">
        <v>3062</v>
      </c>
      <c r="Y288" s="142">
        <v>0</v>
      </c>
      <c r="Z288" s="141">
        <v>36820</v>
      </c>
      <c r="AA288" s="141">
        <v>36838</v>
      </c>
      <c r="AB288" s="142">
        <v>18</v>
      </c>
    </row>
    <row r="289" spans="1:28">
      <c r="A289" s="144">
        <v>45271</v>
      </c>
      <c r="B289" s="141">
        <f t="shared" si="6"/>
        <v>45946</v>
      </c>
      <c r="C289" s="141">
        <v>46040</v>
      </c>
      <c r="D289" s="142">
        <f t="shared" si="5"/>
        <v>94</v>
      </c>
      <c r="E289" s="141">
        <v>20319</v>
      </c>
      <c r="F289" s="141">
        <v>20356</v>
      </c>
      <c r="G289" s="142">
        <v>37</v>
      </c>
      <c r="H289" s="141">
        <v>495674</v>
      </c>
      <c r="I289" s="141">
        <v>495786</v>
      </c>
      <c r="J289" s="142">
        <v>112</v>
      </c>
      <c r="Q289" s="141">
        <v>15617</v>
      </c>
      <c r="R289" s="141">
        <v>15662</v>
      </c>
      <c r="S289" s="142">
        <v>45</v>
      </c>
      <c r="T289" s="141">
        <v>3941</v>
      </c>
      <c r="U289" s="141">
        <v>3943</v>
      </c>
      <c r="V289" s="142">
        <v>2</v>
      </c>
      <c r="W289" s="141">
        <v>3062</v>
      </c>
      <c r="X289" s="141">
        <v>3063</v>
      </c>
      <c r="Y289" s="142">
        <v>1</v>
      </c>
      <c r="Z289" s="141">
        <v>36838</v>
      </c>
      <c r="AA289" s="141">
        <v>36873</v>
      </c>
      <c r="AB289" s="142">
        <v>35</v>
      </c>
    </row>
    <row r="290" spans="1:28">
      <c r="A290" s="144">
        <v>45272</v>
      </c>
      <c r="B290" s="141">
        <f t="shared" si="6"/>
        <v>46040</v>
      </c>
      <c r="C290" s="141">
        <v>46160</v>
      </c>
      <c r="D290" s="142">
        <f t="shared" si="5"/>
        <v>120</v>
      </c>
      <c r="E290" s="141">
        <v>20356</v>
      </c>
      <c r="F290" s="141">
        <v>20404</v>
      </c>
      <c r="G290" s="142">
        <v>48</v>
      </c>
      <c r="H290" s="141">
        <v>495786</v>
      </c>
      <c r="I290" s="141">
        <v>495886</v>
      </c>
      <c r="J290" s="142">
        <v>100</v>
      </c>
      <c r="Q290" s="141">
        <v>15662</v>
      </c>
      <c r="R290" s="141">
        <v>15707</v>
      </c>
      <c r="S290" s="142">
        <v>45</v>
      </c>
      <c r="T290" s="141">
        <v>3943</v>
      </c>
      <c r="U290" s="141">
        <v>3946</v>
      </c>
      <c r="V290" s="142">
        <v>3</v>
      </c>
      <c r="W290" s="141">
        <v>3063</v>
      </c>
      <c r="X290" s="141">
        <v>3063</v>
      </c>
      <c r="Y290" s="142">
        <v>0</v>
      </c>
      <c r="Z290" s="141">
        <v>36873</v>
      </c>
      <c r="AA290" s="141">
        <v>36887</v>
      </c>
      <c r="AB290" s="142">
        <v>14</v>
      </c>
    </row>
    <row r="291" spans="1:28">
      <c r="A291" s="144">
        <v>45273</v>
      </c>
      <c r="B291" s="141">
        <f t="shared" si="6"/>
        <v>46160</v>
      </c>
      <c r="C291" s="141">
        <v>46203</v>
      </c>
      <c r="D291" s="142">
        <f t="shared" si="5"/>
        <v>43</v>
      </c>
      <c r="E291" s="141">
        <v>20404</v>
      </c>
      <c r="F291" s="141">
        <v>20428</v>
      </c>
      <c r="G291" s="142">
        <v>24</v>
      </c>
      <c r="H291" s="141">
        <v>495886</v>
      </c>
      <c r="I291" s="141">
        <v>496006</v>
      </c>
      <c r="J291" s="142">
        <v>120</v>
      </c>
      <c r="Q291" s="141">
        <v>15707</v>
      </c>
      <c r="R291" s="141">
        <v>15753</v>
      </c>
      <c r="S291" s="142">
        <v>46</v>
      </c>
      <c r="T291" s="141">
        <v>3946</v>
      </c>
      <c r="U291" s="141">
        <v>3949</v>
      </c>
      <c r="V291" s="142">
        <v>3</v>
      </c>
      <c r="W291" s="141">
        <v>3063</v>
      </c>
      <c r="X291" s="141">
        <v>3065</v>
      </c>
      <c r="Y291" s="142">
        <v>2</v>
      </c>
      <c r="Z291" s="141">
        <v>36887</v>
      </c>
      <c r="AA291" s="141">
        <v>36895</v>
      </c>
      <c r="AB291" s="142">
        <v>8</v>
      </c>
    </row>
    <row r="292" spans="1:28">
      <c r="A292" s="144">
        <v>45274</v>
      </c>
      <c r="B292" s="141">
        <f t="shared" si="6"/>
        <v>46203</v>
      </c>
      <c r="C292" s="141">
        <v>46310</v>
      </c>
      <c r="D292" s="142">
        <f t="shared" si="5"/>
        <v>107</v>
      </c>
      <c r="E292" s="141">
        <v>20428</v>
      </c>
      <c r="F292" s="141">
        <v>20461</v>
      </c>
      <c r="G292" s="142">
        <v>33</v>
      </c>
      <c r="H292" s="141">
        <v>496006</v>
      </c>
      <c r="I292" s="141">
        <v>496017</v>
      </c>
      <c r="J292" s="142">
        <v>11</v>
      </c>
      <c r="Q292" s="141">
        <v>15753</v>
      </c>
      <c r="R292" s="141">
        <v>15786</v>
      </c>
      <c r="S292" s="142">
        <v>33</v>
      </c>
      <c r="T292" s="141">
        <v>3949</v>
      </c>
      <c r="U292" s="141">
        <v>3951</v>
      </c>
      <c r="V292" s="142">
        <v>2</v>
      </c>
      <c r="W292" s="141">
        <v>3065</v>
      </c>
      <c r="X292" s="141">
        <v>3066</v>
      </c>
      <c r="Y292" s="142">
        <v>1</v>
      </c>
      <c r="Z292" s="141">
        <v>36895</v>
      </c>
      <c r="AA292" s="141">
        <v>36915</v>
      </c>
      <c r="AB292" s="142">
        <v>20</v>
      </c>
    </row>
    <row r="293" spans="1:28">
      <c r="A293" s="144">
        <v>45275</v>
      </c>
      <c r="B293" s="141">
        <f t="shared" si="6"/>
        <v>46310</v>
      </c>
      <c r="C293" s="141">
        <v>46426</v>
      </c>
      <c r="D293" s="142">
        <f t="shared" si="5"/>
        <v>116</v>
      </c>
      <c r="E293" s="141">
        <v>20461</v>
      </c>
      <c r="F293" s="141">
        <v>20506</v>
      </c>
      <c r="G293" s="142">
        <v>45</v>
      </c>
      <c r="H293" s="141">
        <v>496017</v>
      </c>
      <c r="I293" s="141">
        <v>496199</v>
      </c>
      <c r="J293" s="142">
        <v>182</v>
      </c>
      <c r="Q293" s="141">
        <v>15786</v>
      </c>
      <c r="R293" s="141">
        <v>15825</v>
      </c>
      <c r="S293" s="142">
        <v>39</v>
      </c>
      <c r="T293" s="141">
        <v>3951</v>
      </c>
      <c r="U293" s="141">
        <v>3954</v>
      </c>
      <c r="V293" s="142">
        <v>3</v>
      </c>
      <c r="W293" s="141">
        <v>3066</v>
      </c>
      <c r="X293" s="141">
        <v>3067</v>
      </c>
      <c r="Y293" s="142">
        <v>1</v>
      </c>
      <c r="Z293" s="141">
        <v>36915</v>
      </c>
      <c r="AA293" s="141">
        <v>36940</v>
      </c>
      <c r="AB293" s="142">
        <v>25</v>
      </c>
    </row>
    <row r="294" spans="1:28">
      <c r="A294" s="144">
        <v>45276</v>
      </c>
      <c r="B294" s="141">
        <f t="shared" si="6"/>
        <v>46426</v>
      </c>
      <c r="C294" s="141">
        <v>46536</v>
      </c>
      <c r="D294" s="142">
        <f t="shared" si="5"/>
        <v>110</v>
      </c>
      <c r="E294" s="141">
        <v>20506</v>
      </c>
      <c r="F294" s="141">
        <v>20540</v>
      </c>
      <c r="G294" s="142">
        <v>34</v>
      </c>
      <c r="H294" s="141">
        <v>496199</v>
      </c>
      <c r="I294" s="141">
        <v>496360</v>
      </c>
      <c r="J294" s="142">
        <v>161</v>
      </c>
      <c r="Q294" s="141">
        <v>15825</v>
      </c>
      <c r="R294" s="141">
        <v>15865</v>
      </c>
      <c r="S294" s="142">
        <v>40</v>
      </c>
      <c r="T294" s="141">
        <v>3954</v>
      </c>
      <c r="U294" s="141">
        <v>3955</v>
      </c>
      <c r="V294" s="142">
        <v>1</v>
      </c>
      <c r="W294" s="141">
        <v>3067</v>
      </c>
      <c r="X294" s="141">
        <v>3067</v>
      </c>
      <c r="Y294" s="142">
        <v>0</v>
      </c>
      <c r="Z294" s="141">
        <v>36940</v>
      </c>
      <c r="AA294" s="141">
        <v>36968</v>
      </c>
      <c r="AB294" s="142">
        <v>28</v>
      </c>
    </row>
    <row r="295" spans="1:28">
      <c r="A295" s="144">
        <v>45277</v>
      </c>
      <c r="B295" s="141">
        <f t="shared" si="6"/>
        <v>46536</v>
      </c>
      <c r="C295" s="141">
        <v>46633</v>
      </c>
      <c r="D295" s="142">
        <f t="shared" si="5"/>
        <v>97</v>
      </c>
      <c r="E295" s="141">
        <v>20540</v>
      </c>
      <c r="F295" s="141">
        <v>20565</v>
      </c>
      <c r="G295" s="142">
        <v>25</v>
      </c>
      <c r="H295" s="141">
        <v>496360</v>
      </c>
      <c r="I295" s="141">
        <v>496450</v>
      </c>
      <c r="J295" s="142">
        <v>90</v>
      </c>
      <c r="Q295" s="141">
        <v>15865</v>
      </c>
      <c r="R295" s="141">
        <v>15900</v>
      </c>
      <c r="S295" s="142">
        <v>35</v>
      </c>
      <c r="T295" s="141">
        <v>3955</v>
      </c>
      <c r="U295" s="141">
        <v>3960</v>
      </c>
      <c r="V295" s="142">
        <v>5</v>
      </c>
      <c r="W295" s="141">
        <v>3067</v>
      </c>
      <c r="X295" s="141">
        <v>3068</v>
      </c>
      <c r="Y295" s="142">
        <v>1</v>
      </c>
      <c r="Z295" s="141">
        <v>36968</v>
      </c>
      <c r="AA295" s="141">
        <v>36976</v>
      </c>
      <c r="AB295" s="142">
        <v>8</v>
      </c>
    </row>
    <row r="296" spans="1:28">
      <c r="A296" s="144">
        <v>45278</v>
      </c>
      <c r="B296" s="141">
        <f t="shared" si="6"/>
        <v>46633</v>
      </c>
      <c r="C296" s="141">
        <v>46674</v>
      </c>
      <c r="D296" s="142">
        <f t="shared" si="5"/>
        <v>41</v>
      </c>
      <c r="E296" s="141">
        <v>20565</v>
      </c>
      <c r="F296" s="141">
        <v>20601</v>
      </c>
      <c r="G296" s="142">
        <v>36</v>
      </c>
      <c r="H296" s="141">
        <v>496450</v>
      </c>
      <c r="I296" s="141">
        <v>496555</v>
      </c>
      <c r="J296" s="142">
        <v>105</v>
      </c>
      <c r="Q296" s="141">
        <v>15900</v>
      </c>
      <c r="R296" s="141">
        <v>15951</v>
      </c>
      <c r="S296" s="142">
        <v>51</v>
      </c>
      <c r="T296" s="141">
        <v>3960</v>
      </c>
      <c r="U296" s="141">
        <v>3963</v>
      </c>
      <c r="V296" s="142">
        <v>3</v>
      </c>
      <c r="W296" s="141">
        <v>3068</v>
      </c>
      <c r="X296" s="141">
        <v>3069</v>
      </c>
      <c r="Y296" s="142">
        <v>1</v>
      </c>
      <c r="Z296" s="141">
        <v>36976</v>
      </c>
      <c r="AA296" s="141">
        <v>37008</v>
      </c>
      <c r="AB296" s="142">
        <v>32</v>
      </c>
    </row>
    <row r="297" spans="1:28">
      <c r="A297" s="144">
        <v>45279</v>
      </c>
      <c r="B297" s="141">
        <f t="shared" si="6"/>
        <v>46674</v>
      </c>
      <c r="C297" s="141">
        <v>46799</v>
      </c>
      <c r="D297" s="142">
        <f t="shared" si="5"/>
        <v>125</v>
      </c>
      <c r="E297" s="141">
        <v>20601</v>
      </c>
      <c r="F297" s="141">
        <v>20633</v>
      </c>
      <c r="G297" s="142">
        <v>32</v>
      </c>
      <c r="H297" s="141">
        <v>496555</v>
      </c>
      <c r="I297" s="141">
        <v>496645</v>
      </c>
      <c r="J297" s="142">
        <v>90</v>
      </c>
      <c r="Q297" s="141">
        <v>15951</v>
      </c>
      <c r="R297" s="141">
        <v>15984</v>
      </c>
      <c r="S297" s="142">
        <v>33</v>
      </c>
      <c r="T297" s="141">
        <v>3963</v>
      </c>
      <c r="U297" s="141">
        <v>3966</v>
      </c>
      <c r="V297" s="142">
        <v>3</v>
      </c>
      <c r="W297" s="141">
        <v>3069</v>
      </c>
      <c r="X297" s="141">
        <v>3074</v>
      </c>
      <c r="Y297" s="142">
        <v>5</v>
      </c>
      <c r="Z297" s="141">
        <v>37008</v>
      </c>
      <c r="AA297" s="141">
        <v>37032</v>
      </c>
      <c r="AB297" s="142">
        <v>24</v>
      </c>
    </row>
    <row r="298" spans="1:28">
      <c r="A298" s="144">
        <v>45280</v>
      </c>
      <c r="B298" s="141">
        <f t="shared" si="6"/>
        <v>46799</v>
      </c>
      <c r="C298" s="141">
        <v>46925</v>
      </c>
      <c r="D298" s="142">
        <f t="shared" si="5"/>
        <v>126</v>
      </c>
      <c r="E298" s="141">
        <v>20633</v>
      </c>
      <c r="F298" s="141">
        <v>20677</v>
      </c>
      <c r="G298" s="142">
        <v>44</v>
      </c>
      <c r="H298" s="141">
        <v>496645</v>
      </c>
      <c r="I298" s="141">
        <v>496797</v>
      </c>
      <c r="J298" s="142">
        <v>152</v>
      </c>
      <c r="Q298" s="141">
        <v>15984</v>
      </c>
      <c r="R298" s="141">
        <v>16039</v>
      </c>
      <c r="S298" s="142">
        <v>55</v>
      </c>
      <c r="T298" s="141">
        <v>3966</v>
      </c>
      <c r="U298" s="141">
        <v>3968</v>
      </c>
      <c r="V298" s="142">
        <v>2</v>
      </c>
      <c r="W298" s="141">
        <v>3074</v>
      </c>
      <c r="X298" s="141">
        <v>3075</v>
      </c>
      <c r="Y298" s="142">
        <v>1</v>
      </c>
      <c r="Z298" s="141">
        <v>37032</v>
      </c>
      <c r="AA298" s="141">
        <v>37064</v>
      </c>
      <c r="AB298" s="142">
        <v>32</v>
      </c>
    </row>
    <row r="299" spans="1:28">
      <c r="A299" s="144">
        <v>45281</v>
      </c>
      <c r="B299" s="141">
        <f t="shared" si="6"/>
        <v>46925</v>
      </c>
      <c r="C299" s="141">
        <v>47077</v>
      </c>
      <c r="D299" s="142">
        <f t="shared" si="5"/>
        <v>152</v>
      </c>
      <c r="E299" s="141">
        <v>20677</v>
      </c>
      <c r="F299" s="141">
        <v>20736</v>
      </c>
      <c r="G299" s="142">
        <v>59</v>
      </c>
      <c r="H299" s="141">
        <v>496797</v>
      </c>
      <c r="I299" s="141">
        <v>496890</v>
      </c>
      <c r="J299" s="142">
        <v>93</v>
      </c>
      <c r="Q299" s="141">
        <v>16039</v>
      </c>
      <c r="R299" s="141">
        <v>16072</v>
      </c>
      <c r="S299" s="142">
        <v>33</v>
      </c>
      <c r="T299" s="141">
        <v>3968</v>
      </c>
      <c r="U299" s="141">
        <v>3971</v>
      </c>
      <c r="V299" s="142">
        <v>3</v>
      </c>
      <c r="W299" s="141">
        <v>3075</v>
      </c>
      <c r="X299" s="141">
        <v>3076</v>
      </c>
      <c r="Y299" s="142">
        <v>1</v>
      </c>
      <c r="Z299" s="141">
        <v>37064</v>
      </c>
      <c r="AA299" s="141">
        <v>37096</v>
      </c>
      <c r="AB299" s="142">
        <v>32</v>
      </c>
    </row>
    <row r="300" spans="1:28">
      <c r="A300" s="144">
        <v>45282</v>
      </c>
      <c r="B300" s="141">
        <f t="shared" si="6"/>
        <v>47077</v>
      </c>
      <c r="C300" s="141">
        <v>47271</v>
      </c>
      <c r="D300" s="142">
        <f t="shared" si="5"/>
        <v>194</v>
      </c>
      <c r="E300" s="141">
        <v>20736</v>
      </c>
      <c r="F300" s="141">
        <v>20791</v>
      </c>
      <c r="G300" s="142">
        <v>55</v>
      </c>
      <c r="H300" s="141">
        <v>496890</v>
      </c>
      <c r="I300" s="141">
        <v>497046</v>
      </c>
      <c r="J300" s="142">
        <v>156</v>
      </c>
      <c r="Q300" s="141">
        <v>16072</v>
      </c>
      <c r="R300" s="141">
        <v>16118</v>
      </c>
      <c r="S300" s="142">
        <v>46</v>
      </c>
      <c r="T300" s="141">
        <v>3971</v>
      </c>
      <c r="U300" s="141">
        <v>3972</v>
      </c>
      <c r="V300" s="142">
        <v>1</v>
      </c>
      <c r="W300" s="141">
        <v>3076</v>
      </c>
      <c r="X300" s="141">
        <v>3078</v>
      </c>
      <c r="Y300" s="142">
        <v>2</v>
      </c>
      <c r="Z300" s="141">
        <v>37096</v>
      </c>
      <c r="AA300" s="141">
        <v>37137</v>
      </c>
      <c r="AB300" s="142">
        <v>41</v>
      </c>
    </row>
    <row r="301" spans="1:28">
      <c r="A301" s="144">
        <v>45283</v>
      </c>
      <c r="B301" s="141">
        <f t="shared" si="6"/>
        <v>47271</v>
      </c>
      <c r="C301" s="141">
        <v>47424</v>
      </c>
      <c r="D301" s="142">
        <f t="shared" si="5"/>
        <v>153</v>
      </c>
      <c r="E301" s="141">
        <v>20791</v>
      </c>
      <c r="F301" s="141">
        <v>20841</v>
      </c>
      <c r="G301" s="142">
        <v>50</v>
      </c>
      <c r="H301" s="141">
        <v>497046</v>
      </c>
      <c r="I301" s="141">
        <v>497218</v>
      </c>
      <c r="J301" s="142">
        <v>172</v>
      </c>
      <c r="Q301" s="141">
        <v>16118</v>
      </c>
      <c r="R301" s="141">
        <v>16160</v>
      </c>
      <c r="S301" s="142">
        <v>42</v>
      </c>
      <c r="T301" s="141">
        <v>3972</v>
      </c>
      <c r="U301" s="141">
        <v>3974</v>
      </c>
      <c r="V301" s="142">
        <v>2</v>
      </c>
      <c r="W301" s="141">
        <v>3078</v>
      </c>
      <c r="X301" s="141">
        <v>3078</v>
      </c>
      <c r="Y301" s="142">
        <v>0</v>
      </c>
      <c r="Z301" s="141">
        <v>37137</v>
      </c>
      <c r="AA301" s="141">
        <v>37169</v>
      </c>
      <c r="AB301" s="142">
        <v>32</v>
      </c>
    </row>
    <row r="302" spans="1:28">
      <c r="A302" s="144">
        <v>45284</v>
      </c>
      <c r="B302" s="141">
        <f t="shared" si="6"/>
        <v>47424</v>
      </c>
      <c r="C302" s="141">
        <v>47524</v>
      </c>
      <c r="D302" s="142">
        <f t="shared" si="5"/>
        <v>100</v>
      </c>
      <c r="E302" s="141">
        <v>20841</v>
      </c>
      <c r="F302" s="141">
        <v>20874</v>
      </c>
      <c r="G302" s="142">
        <v>33</v>
      </c>
      <c r="H302" s="141">
        <v>497218</v>
      </c>
      <c r="I302" s="141">
        <v>497267</v>
      </c>
      <c r="J302" s="142">
        <v>49</v>
      </c>
      <c r="Q302" s="141">
        <v>16160</v>
      </c>
      <c r="R302" s="141">
        <v>16199</v>
      </c>
      <c r="S302" s="142">
        <v>39</v>
      </c>
      <c r="T302" s="141">
        <v>3974</v>
      </c>
      <c r="U302" s="141">
        <v>3976</v>
      </c>
      <c r="V302" s="142">
        <v>2</v>
      </c>
      <c r="W302" s="141">
        <v>3078</v>
      </c>
      <c r="X302" s="141">
        <v>3079</v>
      </c>
      <c r="Y302" s="142">
        <v>1</v>
      </c>
      <c r="Z302" s="141">
        <v>37169</v>
      </c>
      <c r="AA302" s="141">
        <v>37217</v>
      </c>
      <c r="AB302" s="142">
        <v>48</v>
      </c>
    </row>
    <row r="303" spans="1:28">
      <c r="A303" s="144">
        <v>45285</v>
      </c>
      <c r="B303" s="141">
        <f t="shared" si="6"/>
        <v>47524</v>
      </c>
      <c r="C303" s="141">
        <v>47682</v>
      </c>
      <c r="D303" s="142">
        <f t="shared" si="5"/>
        <v>158</v>
      </c>
      <c r="E303" s="141">
        <v>20874</v>
      </c>
      <c r="F303" s="141">
        <v>20912</v>
      </c>
      <c r="G303" s="142">
        <v>38</v>
      </c>
      <c r="H303" s="141">
        <v>497267</v>
      </c>
      <c r="I303" s="141">
        <v>497338</v>
      </c>
      <c r="J303" s="142">
        <v>71</v>
      </c>
      <c r="Q303" s="141">
        <v>16199</v>
      </c>
      <c r="R303" s="141">
        <v>16232</v>
      </c>
      <c r="S303" s="142">
        <v>33</v>
      </c>
      <c r="T303" s="141">
        <v>3976</v>
      </c>
      <c r="U303" s="141">
        <v>3978</v>
      </c>
      <c r="V303" s="142">
        <v>2</v>
      </c>
      <c r="W303" s="141">
        <v>3079</v>
      </c>
      <c r="X303" s="141">
        <v>3080</v>
      </c>
      <c r="Y303" s="142">
        <v>1</v>
      </c>
      <c r="Z303" s="141">
        <v>37217</v>
      </c>
      <c r="AA303" s="141">
        <v>37273</v>
      </c>
      <c r="AB303" s="142">
        <v>56</v>
      </c>
    </row>
    <row r="304" spans="1:28">
      <c r="A304" s="144">
        <v>45286</v>
      </c>
      <c r="B304" s="141">
        <f t="shared" si="6"/>
        <v>47682</v>
      </c>
      <c r="C304" s="141">
        <v>47816</v>
      </c>
      <c r="D304" s="142">
        <f t="shared" si="5"/>
        <v>134</v>
      </c>
      <c r="E304" s="141">
        <v>20912</v>
      </c>
      <c r="F304" s="141">
        <v>20953</v>
      </c>
      <c r="G304" s="142">
        <v>41</v>
      </c>
      <c r="H304" s="141">
        <v>497338</v>
      </c>
      <c r="I304" s="141">
        <v>497430</v>
      </c>
      <c r="J304" s="142">
        <v>92</v>
      </c>
      <c r="Q304" s="141">
        <v>16232</v>
      </c>
      <c r="R304" s="141">
        <v>16278</v>
      </c>
      <c r="S304" s="142">
        <v>46</v>
      </c>
      <c r="T304" s="141">
        <v>3978</v>
      </c>
      <c r="U304" s="141">
        <v>3987</v>
      </c>
      <c r="V304" s="142">
        <v>9</v>
      </c>
      <c r="W304" s="141">
        <v>3080</v>
      </c>
      <c r="X304" s="141">
        <v>3082</v>
      </c>
      <c r="Y304" s="142">
        <v>2</v>
      </c>
      <c r="Z304" s="141">
        <v>37273</v>
      </c>
      <c r="AA304" s="141">
        <v>37307</v>
      </c>
      <c r="AB304" s="142">
        <v>34</v>
      </c>
    </row>
    <row r="305" spans="1:28">
      <c r="A305" s="144">
        <v>45287</v>
      </c>
      <c r="B305" s="141">
        <f t="shared" si="6"/>
        <v>47816</v>
      </c>
      <c r="C305" s="141">
        <v>47923</v>
      </c>
      <c r="D305" s="142">
        <f t="shared" si="5"/>
        <v>107</v>
      </c>
      <c r="E305" s="141">
        <v>20953</v>
      </c>
      <c r="F305" s="141">
        <v>21002</v>
      </c>
      <c r="G305" s="142">
        <v>49</v>
      </c>
      <c r="H305" s="141">
        <v>497430</v>
      </c>
      <c r="I305" s="141">
        <v>497552</v>
      </c>
      <c r="J305" s="142">
        <v>122</v>
      </c>
      <c r="Q305" s="141">
        <v>16278</v>
      </c>
      <c r="R305" s="141">
        <v>16300</v>
      </c>
      <c r="S305" s="142">
        <v>22</v>
      </c>
      <c r="T305" s="141">
        <v>3987</v>
      </c>
      <c r="U305" s="141">
        <v>3989</v>
      </c>
      <c r="V305" s="142">
        <v>2</v>
      </c>
      <c r="W305" s="141">
        <v>3082</v>
      </c>
      <c r="X305" s="141">
        <v>3084</v>
      </c>
      <c r="Y305" s="142">
        <v>2</v>
      </c>
      <c r="Z305" s="141">
        <v>37307</v>
      </c>
      <c r="AA305" s="141">
        <v>37345</v>
      </c>
      <c r="AB305" s="142">
        <v>38</v>
      </c>
    </row>
    <row r="306" spans="1:28">
      <c r="A306" s="144">
        <v>45288</v>
      </c>
      <c r="B306" s="141">
        <f t="shared" si="6"/>
        <v>47923</v>
      </c>
      <c r="C306" s="141">
        <v>47952</v>
      </c>
      <c r="D306" s="142">
        <f t="shared" si="5"/>
        <v>29</v>
      </c>
      <c r="E306" s="141">
        <v>21002</v>
      </c>
      <c r="F306" s="141">
        <v>21030</v>
      </c>
      <c r="G306" s="142">
        <v>28</v>
      </c>
      <c r="H306" s="141">
        <v>497552</v>
      </c>
      <c r="I306" s="141">
        <v>497666</v>
      </c>
      <c r="J306" s="142">
        <v>114</v>
      </c>
      <c r="Q306" s="141">
        <v>16300</v>
      </c>
      <c r="R306" s="141">
        <v>16325</v>
      </c>
      <c r="S306" s="142">
        <v>25</v>
      </c>
      <c r="T306" s="141">
        <v>3989</v>
      </c>
      <c r="U306" s="141">
        <v>3991</v>
      </c>
      <c r="V306" s="142">
        <v>2</v>
      </c>
      <c r="W306" s="141">
        <v>3084</v>
      </c>
      <c r="X306" s="141">
        <v>3084</v>
      </c>
      <c r="Y306" s="142">
        <v>0</v>
      </c>
      <c r="Z306" s="141">
        <v>37345</v>
      </c>
      <c r="AA306" s="141">
        <v>37387</v>
      </c>
      <c r="AB306" s="142">
        <v>42</v>
      </c>
    </row>
    <row r="307" spans="1:28">
      <c r="A307" s="144">
        <v>45289</v>
      </c>
      <c r="B307" s="141">
        <f t="shared" si="6"/>
        <v>47952</v>
      </c>
      <c r="C307" s="141">
        <v>48033</v>
      </c>
      <c r="D307" s="142">
        <f t="shared" si="5"/>
        <v>81</v>
      </c>
      <c r="E307" s="141">
        <v>21030</v>
      </c>
      <c r="F307" s="141">
        <v>21077</v>
      </c>
      <c r="G307" s="142">
        <v>47</v>
      </c>
      <c r="H307" s="141">
        <v>497666</v>
      </c>
      <c r="I307" s="141">
        <v>497775</v>
      </c>
      <c r="J307" s="142">
        <v>109</v>
      </c>
      <c r="Q307" s="141">
        <v>16325</v>
      </c>
      <c r="R307" s="141">
        <v>16383</v>
      </c>
      <c r="S307" s="142">
        <v>58</v>
      </c>
      <c r="T307" s="141">
        <v>3991</v>
      </c>
      <c r="U307" s="141">
        <v>3994</v>
      </c>
      <c r="V307" s="142">
        <v>3</v>
      </c>
      <c r="W307" s="141">
        <v>3084</v>
      </c>
      <c r="X307" s="141">
        <v>3085</v>
      </c>
      <c r="Y307" s="142">
        <v>1</v>
      </c>
      <c r="Z307" s="141">
        <v>37387</v>
      </c>
      <c r="AA307" s="141">
        <v>37437</v>
      </c>
      <c r="AB307" s="142">
        <v>50</v>
      </c>
    </row>
    <row r="308" spans="1:28">
      <c r="A308" s="144">
        <v>45290</v>
      </c>
      <c r="B308" s="141">
        <f t="shared" si="6"/>
        <v>48033</v>
      </c>
      <c r="C308" s="141">
        <v>48185</v>
      </c>
      <c r="D308" s="142">
        <f t="shared" si="5"/>
        <v>152</v>
      </c>
      <c r="E308" s="141">
        <v>21077</v>
      </c>
      <c r="F308" s="141">
        <v>21115</v>
      </c>
      <c r="G308" s="142">
        <v>38</v>
      </c>
      <c r="H308" s="141">
        <v>497775</v>
      </c>
      <c r="I308" s="141">
        <v>497857</v>
      </c>
      <c r="J308" s="142">
        <v>82</v>
      </c>
      <c r="Q308" s="141">
        <v>16383</v>
      </c>
      <c r="R308" s="141">
        <v>16416</v>
      </c>
      <c r="S308" s="142">
        <v>33</v>
      </c>
      <c r="T308" s="141">
        <v>3994</v>
      </c>
      <c r="U308" s="141">
        <v>4000</v>
      </c>
      <c r="V308" s="142">
        <v>6</v>
      </c>
      <c r="W308" s="141">
        <v>3085</v>
      </c>
      <c r="X308" s="141">
        <v>3086</v>
      </c>
      <c r="Y308" s="142">
        <v>1</v>
      </c>
      <c r="Z308" s="141">
        <v>37437</v>
      </c>
      <c r="AA308" s="141">
        <v>37484</v>
      </c>
      <c r="AB308" s="142">
        <v>47</v>
      </c>
    </row>
    <row r="309" spans="1:28">
      <c r="A309" s="144">
        <v>45291</v>
      </c>
      <c r="B309" s="141">
        <f t="shared" si="6"/>
        <v>48185</v>
      </c>
      <c r="C309" s="141">
        <v>48345</v>
      </c>
      <c r="D309" s="142">
        <f t="shared" si="5"/>
        <v>160</v>
      </c>
      <c r="E309" s="141">
        <v>21115</v>
      </c>
      <c r="F309" s="141">
        <v>21134</v>
      </c>
      <c r="G309" s="142">
        <v>19</v>
      </c>
      <c r="H309" s="141">
        <v>497857</v>
      </c>
      <c r="I309" s="141">
        <v>497972</v>
      </c>
      <c r="J309" s="142">
        <v>115</v>
      </c>
      <c r="Q309" s="141">
        <v>16416</v>
      </c>
      <c r="R309" s="141">
        <v>16451</v>
      </c>
      <c r="S309" s="142">
        <v>35</v>
      </c>
      <c r="T309" s="141">
        <v>4000</v>
      </c>
      <c r="U309" s="141">
        <v>4002</v>
      </c>
      <c r="V309" s="142">
        <v>2</v>
      </c>
      <c r="W309" s="141">
        <v>3086</v>
      </c>
      <c r="X309" s="141">
        <v>3087</v>
      </c>
      <c r="Y309" s="142">
        <v>1</v>
      </c>
      <c r="Z309" s="141">
        <v>37484</v>
      </c>
      <c r="AA309" s="141">
        <v>37519</v>
      </c>
      <c r="AB309" s="142">
        <v>35</v>
      </c>
    </row>
    <row r="310" spans="1:28">
      <c r="A310" s="144">
        <v>45292</v>
      </c>
      <c r="B310" s="141">
        <f t="shared" si="6"/>
        <v>48345</v>
      </c>
      <c r="C310" s="141">
        <v>48503</v>
      </c>
      <c r="D310" s="142">
        <f t="shared" si="5"/>
        <v>158</v>
      </c>
      <c r="E310" s="141">
        <v>21134</v>
      </c>
      <c r="F310" s="141">
        <v>21155</v>
      </c>
      <c r="G310" s="142">
        <v>21</v>
      </c>
      <c r="H310" s="141">
        <v>497972</v>
      </c>
      <c r="I310" s="141">
        <v>498054</v>
      </c>
      <c r="J310" s="142">
        <v>82</v>
      </c>
      <c r="Q310" s="141">
        <v>16451</v>
      </c>
      <c r="R310" s="141">
        <v>16492</v>
      </c>
      <c r="S310" s="142">
        <v>41</v>
      </c>
      <c r="T310" s="141">
        <v>4002</v>
      </c>
      <c r="U310" s="141">
        <v>4004</v>
      </c>
      <c r="V310" s="142">
        <v>2</v>
      </c>
      <c r="W310" s="141">
        <v>3087</v>
      </c>
      <c r="X310" s="141">
        <v>3088</v>
      </c>
      <c r="Y310" s="142">
        <v>1</v>
      </c>
      <c r="Z310" s="141">
        <v>37519</v>
      </c>
      <c r="AA310" s="141">
        <v>37555</v>
      </c>
      <c r="AB310" s="142">
        <v>36</v>
      </c>
    </row>
    <row r="311" spans="1:28">
      <c r="A311" s="144">
        <v>45293</v>
      </c>
      <c r="B311" s="141">
        <f t="shared" si="6"/>
        <v>48503</v>
      </c>
      <c r="C311" s="141">
        <v>48658</v>
      </c>
      <c r="D311" s="142">
        <f t="shared" si="5"/>
        <v>155</v>
      </c>
      <c r="E311" s="141">
        <v>21155</v>
      </c>
      <c r="F311" s="141">
        <v>21198</v>
      </c>
      <c r="G311" s="142">
        <v>43</v>
      </c>
      <c r="H311" s="141">
        <v>498054</v>
      </c>
      <c r="I311" s="141">
        <v>498199</v>
      </c>
      <c r="J311" s="142">
        <v>145</v>
      </c>
      <c r="Q311" s="141">
        <v>16492</v>
      </c>
      <c r="R311" s="141">
        <v>16529</v>
      </c>
      <c r="S311" s="142">
        <v>37</v>
      </c>
      <c r="T311" s="141">
        <v>4004</v>
      </c>
      <c r="U311" s="141">
        <v>4009</v>
      </c>
      <c r="V311" s="142">
        <v>5</v>
      </c>
      <c r="W311" s="141">
        <v>3088</v>
      </c>
      <c r="X311" s="141">
        <v>3090</v>
      </c>
      <c r="Y311" s="142">
        <v>2</v>
      </c>
      <c r="Z311" s="141">
        <v>37555</v>
      </c>
      <c r="AA311" s="141">
        <v>37577</v>
      </c>
      <c r="AB311" s="142">
        <v>22</v>
      </c>
    </row>
    <row r="312" spans="1:28">
      <c r="A312" s="144">
        <v>45294</v>
      </c>
      <c r="B312" s="141">
        <f t="shared" si="6"/>
        <v>48658</v>
      </c>
      <c r="C312" s="141">
        <v>48819</v>
      </c>
      <c r="D312" s="142">
        <f t="shared" si="5"/>
        <v>161</v>
      </c>
      <c r="E312" s="141">
        <v>21198</v>
      </c>
      <c r="F312" s="141">
        <v>21218</v>
      </c>
      <c r="G312" s="142">
        <v>20</v>
      </c>
      <c r="H312" s="141">
        <v>498199</v>
      </c>
      <c r="I312" s="141">
        <v>498346</v>
      </c>
      <c r="J312" s="142">
        <v>147</v>
      </c>
      <c r="Q312" s="141">
        <v>16529</v>
      </c>
      <c r="R312" s="141">
        <v>16578</v>
      </c>
      <c r="S312" s="142">
        <v>49</v>
      </c>
      <c r="T312" s="141">
        <v>4009</v>
      </c>
      <c r="U312" s="141">
        <v>4012</v>
      </c>
      <c r="V312" s="142">
        <v>3</v>
      </c>
      <c r="W312" s="141">
        <v>3090</v>
      </c>
      <c r="X312" s="141">
        <v>3091</v>
      </c>
      <c r="Y312" s="142">
        <v>1</v>
      </c>
      <c r="Z312" s="141">
        <v>37577</v>
      </c>
      <c r="AA312" s="141">
        <v>37607</v>
      </c>
      <c r="AB312" s="142">
        <v>30</v>
      </c>
    </row>
    <row r="313" spans="1:28">
      <c r="A313" s="144">
        <v>45295</v>
      </c>
      <c r="B313" s="141">
        <f t="shared" si="6"/>
        <v>48819</v>
      </c>
      <c r="C313" s="141">
        <v>48974</v>
      </c>
      <c r="D313" s="142">
        <f t="shared" si="5"/>
        <v>155</v>
      </c>
      <c r="E313" s="141">
        <v>21218</v>
      </c>
      <c r="F313" s="141">
        <v>21247</v>
      </c>
      <c r="G313" s="142">
        <v>29</v>
      </c>
      <c r="H313" s="141">
        <v>498346</v>
      </c>
      <c r="I313" s="141">
        <v>498442</v>
      </c>
      <c r="J313" s="142">
        <v>96</v>
      </c>
      <c r="Q313" s="141">
        <v>16578</v>
      </c>
      <c r="R313" s="141">
        <v>16621</v>
      </c>
      <c r="S313" s="142">
        <v>43</v>
      </c>
      <c r="T313" s="141">
        <v>4012</v>
      </c>
      <c r="U313" s="141">
        <v>4014</v>
      </c>
      <c r="V313" s="142">
        <v>2</v>
      </c>
      <c r="W313" s="141">
        <v>3091</v>
      </c>
      <c r="X313" s="141">
        <v>3093</v>
      </c>
      <c r="Y313" s="142">
        <v>2</v>
      </c>
      <c r="Z313" s="141">
        <v>37607</v>
      </c>
      <c r="AA313" s="141">
        <v>37621</v>
      </c>
      <c r="AB313" s="142">
        <v>14</v>
      </c>
    </row>
    <row r="314" spans="1:28">
      <c r="A314" s="144">
        <v>45296</v>
      </c>
      <c r="B314" s="141">
        <f t="shared" si="6"/>
        <v>48974</v>
      </c>
      <c r="C314" s="141">
        <v>49147</v>
      </c>
      <c r="D314" s="142">
        <f t="shared" si="5"/>
        <v>173</v>
      </c>
      <c r="E314" s="141">
        <v>21247</v>
      </c>
      <c r="F314" s="141">
        <v>21292</v>
      </c>
      <c r="G314" s="142">
        <v>45</v>
      </c>
      <c r="H314" s="141">
        <v>498442</v>
      </c>
      <c r="I314" s="141">
        <v>498554</v>
      </c>
      <c r="J314" s="142">
        <v>112</v>
      </c>
      <c r="Q314" s="141">
        <v>16621</v>
      </c>
      <c r="R314" s="141">
        <v>16665</v>
      </c>
      <c r="S314" s="142">
        <v>44</v>
      </c>
      <c r="T314" s="141">
        <v>4014</v>
      </c>
      <c r="U314" s="141">
        <v>4017</v>
      </c>
      <c r="V314" s="142">
        <v>3</v>
      </c>
      <c r="W314" s="141">
        <v>3093</v>
      </c>
      <c r="X314" s="141">
        <v>3095</v>
      </c>
      <c r="Y314" s="142">
        <v>2</v>
      </c>
      <c r="Z314" s="141">
        <v>37621</v>
      </c>
      <c r="AA314" s="141">
        <v>37648</v>
      </c>
      <c r="AB314" s="142">
        <v>27</v>
      </c>
    </row>
    <row r="315" spans="1:28">
      <c r="A315" s="144">
        <v>45297</v>
      </c>
      <c r="B315" s="141">
        <f t="shared" si="6"/>
        <v>49147</v>
      </c>
      <c r="C315" s="141">
        <v>49286</v>
      </c>
      <c r="D315" s="142">
        <f t="shared" si="5"/>
        <v>139</v>
      </c>
      <c r="E315" s="141">
        <v>21292</v>
      </c>
      <c r="F315" s="141">
        <v>21314</v>
      </c>
      <c r="G315" s="142">
        <v>22</v>
      </c>
      <c r="H315" s="141">
        <v>498554</v>
      </c>
      <c r="I315" s="141">
        <v>498664</v>
      </c>
      <c r="J315" s="142">
        <v>110</v>
      </c>
      <c r="Q315" s="141">
        <v>16665</v>
      </c>
      <c r="R315" s="141">
        <v>16697</v>
      </c>
      <c r="S315" s="142">
        <v>32</v>
      </c>
      <c r="T315" s="141">
        <v>4017</v>
      </c>
      <c r="U315" s="141">
        <v>4019</v>
      </c>
      <c r="V315" s="142">
        <v>2</v>
      </c>
      <c r="W315" s="141">
        <v>3095</v>
      </c>
      <c r="X315" s="141">
        <v>3095</v>
      </c>
      <c r="Y315" s="142">
        <v>0</v>
      </c>
      <c r="Z315" s="141">
        <v>37648</v>
      </c>
      <c r="AA315" s="141">
        <v>37665</v>
      </c>
      <c r="AB315" s="142">
        <v>17</v>
      </c>
    </row>
    <row r="316" spans="1:28">
      <c r="A316" s="144">
        <v>45298</v>
      </c>
      <c r="B316" s="141">
        <f t="shared" si="6"/>
        <v>49286</v>
      </c>
      <c r="C316" s="141">
        <v>49497</v>
      </c>
      <c r="D316" s="142">
        <f t="shared" si="5"/>
        <v>211</v>
      </c>
      <c r="E316" s="141">
        <v>21314</v>
      </c>
      <c r="F316" s="141">
        <v>21344</v>
      </c>
      <c r="G316" s="142">
        <v>30</v>
      </c>
      <c r="H316" s="141">
        <v>498664</v>
      </c>
      <c r="I316" s="141">
        <v>498749</v>
      </c>
      <c r="J316" s="142">
        <v>85</v>
      </c>
      <c r="Q316" s="141">
        <v>16697</v>
      </c>
      <c r="R316" s="141">
        <v>16734</v>
      </c>
      <c r="S316" s="142">
        <v>37</v>
      </c>
      <c r="T316" s="141">
        <v>4019</v>
      </c>
      <c r="U316" s="141">
        <v>4026</v>
      </c>
      <c r="V316" s="142">
        <v>7</v>
      </c>
      <c r="W316" s="141">
        <v>3095</v>
      </c>
      <c r="X316" s="141">
        <v>3096</v>
      </c>
      <c r="Y316" s="142">
        <v>1</v>
      </c>
      <c r="Z316" s="141">
        <v>37665</v>
      </c>
      <c r="AA316" s="141">
        <v>37690</v>
      </c>
      <c r="AB316" s="142">
        <v>25</v>
      </c>
    </row>
    <row r="317" spans="1:28">
      <c r="A317" s="144">
        <v>45299</v>
      </c>
      <c r="B317" s="141">
        <f t="shared" si="6"/>
        <v>49497</v>
      </c>
      <c r="C317" s="141">
        <v>49687</v>
      </c>
      <c r="D317" s="142">
        <f t="shared" si="5"/>
        <v>190</v>
      </c>
      <c r="E317" s="141">
        <v>21344</v>
      </c>
      <c r="F317" s="141">
        <v>21373</v>
      </c>
      <c r="G317" s="142">
        <v>29</v>
      </c>
      <c r="H317" s="141">
        <v>498749</v>
      </c>
      <c r="I317" s="141">
        <v>498824</v>
      </c>
      <c r="J317" s="142">
        <v>75</v>
      </c>
      <c r="Q317" s="141">
        <v>16734</v>
      </c>
      <c r="R317" s="141">
        <v>16777</v>
      </c>
      <c r="S317" s="142">
        <v>43</v>
      </c>
      <c r="T317" s="141">
        <v>4026</v>
      </c>
      <c r="U317" s="141">
        <v>4029</v>
      </c>
      <c r="V317" s="142">
        <v>3</v>
      </c>
      <c r="W317" s="141">
        <v>3096</v>
      </c>
      <c r="X317" s="141">
        <v>3099</v>
      </c>
      <c r="Y317" s="142">
        <v>3</v>
      </c>
      <c r="Z317" s="141">
        <v>37690</v>
      </c>
      <c r="AA317" s="141">
        <v>37728</v>
      </c>
      <c r="AB317" s="142">
        <v>38</v>
      </c>
    </row>
    <row r="318" spans="1:28">
      <c r="A318" s="144">
        <v>45300</v>
      </c>
      <c r="B318" s="141">
        <f t="shared" si="6"/>
        <v>49687</v>
      </c>
      <c r="C318" s="141">
        <v>49815</v>
      </c>
      <c r="D318" s="142">
        <f t="shared" si="5"/>
        <v>128</v>
      </c>
      <c r="E318" s="141">
        <v>21373</v>
      </c>
      <c r="F318" s="141">
        <v>21442</v>
      </c>
      <c r="G318" s="142">
        <v>69</v>
      </c>
      <c r="H318" s="141">
        <v>498824</v>
      </c>
      <c r="I318" s="141">
        <v>498970</v>
      </c>
      <c r="J318" s="142">
        <v>146</v>
      </c>
      <c r="Q318" s="141">
        <v>16777</v>
      </c>
      <c r="R318" s="141">
        <v>16819</v>
      </c>
      <c r="S318" s="142">
        <v>42</v>
      </c>
      <c r="T318" s="141">
        <v>4029</v>
      </c>
      <c r="U318" s="141">
        <v>4032</v>
      </c>
      <c r="V318" s="142">
        <v>3</v>
      </c>
      <c r="W318" s="141">
        <v>3099</v>
      </c>
      <c r="X318" s="141">
        <v>3100</v>
      </c>
      <c r="Y318" s="142">
        <v>1</v>
      </c>
      <c r="Z318" s="141">
        <v>37728</v>
      </c>
      <c r="AA318" s="141">
        <v>37764</v>
      </c>
      <c r="AB318" s="142">
        <v>36</v>
      </c>
    </row>
    <row r="319" spans="1:28">
      <c r="A319" s="144">
        <v>45301</v>
      </c>
      <c r="B319" s="141">
        <f t="shared" si="6"/>
        <v>49815</v>
      </c>
      <c r="C319" s="141">
        <v>49912</v>
      </c>
      <c r="D319" s="142">
        <f t="shared" si="5"/>
        <v>97</v>
      </c>
      <c r="E319" s="141">
        <v>21442</v>
      </c>
      <c r="F319" s="141">
        <v>21487</v>
      </c>
      <c r="G319" s="142">
        <v>45</v>
      </c>
      <c r="H319" s="141">
        <v>498970</v>
      </c>
      <c r="I319" s="141">
        <v>499070</v>
      </c>
      <c r="J319" s="142">
        <v>100</v>
      </c>
      <c r="Q319" s="141">
        <v>16819</v>
      </c>
      <c r="R319" s="141">
        <v>16860</v>
      </c>
      <c r="S319" s="142">
        <v>41</v>
      </c>
      <c r="T319" s="141">
        <v>4032</v>
      </c>
      <c r="U319" s="141">
        <v>4034</v>
      </c>
      <c r="V319" s="142">
        <v>2</v>
      </c>
      <c r="W319" s="141">
        <v>3100</v>
      </c>
      <c r="X319" s="141">
        <v>3101</v>
      </c>
      <c r="Y319" s="142">
        <v>1</v>
      </c>
      <c r="Z319" s="141">
        <v>37764</v>
      </c>
      <c r="AA319" s="141">
        <v>37794</v>
      </c>
      <c r="AB319" s="142">
        <v>30</v>
      </c>
    </row>
    <row r="320" spans="1:28">
      <c r="A320" s="144">
        <v>45302</v>
      </c>
      <c r="B320" s="141">
        <f t="shared" si="6"/>
        <v>49912</v>
      </c>
      <c r="C320" s="141">
        <v>50034</v>
      </c>
      <c r="D320" s="142">
        <f t="shared" si="5"/>
        <v>122</v>
      </c>
      <c r="E320" s="141">
        <v>21487</v>
      </c>
      <c r="F320" s="141">
        <v>21517</v>
      </c>
      <c r="G320" s="142">
        <v>30</v>
      </c>
      <c r="H320" s="141">
        <v>499070</v>
      </c>
      <c r="I320" s="141">
        <v>499180</v>
      </c>
      <c r="J320" s="142">
        <v>110</v>
      </c>
      <c r="Q320" s="141">
        <v>16860</v>
      </c>
      <c r="R320" s="141">
        <v>16896</v>
      </c>
      <c r="S320" s="142">
        <v>36</v>
      </c>
      <c r="T320" s="141">
        <v>4034</v>
      </c>
      <c r="U320" s="141">
        <v>4037</v>
      </c>
      <c r="V320" s="142">
        <v>3</v>
      </c>
      <c r="W320" s="141">
        <v>3101</v>
      </c>
      <c r="X320" s="141">
        <v>3103</v>
      </c>
      <c r="Y320" s="142">
        <v>2</v>
      </c>
      <c r="Z320" s="141">
        <v>37794</v>
      </c>
      <c r="AA320" s="141">
        <v>37827</v>
      </c>
      <c r="AB320" s="142">
        <v>33</v>
      </c>
    </row>
    <row r="321" spans="1:28">
      <c r="A321" s="144">
        <v>45303</v>
      </c>
      <c r="B321" s="141">
        <f t="shared" si="6"/>
        <v>50034</v>
      </c>
      <c r="C321" s="141">
        <v>50168</v>
      </c>
      <c r="D321" s="142">
        <f t="shared" si="5"/>
        <v>134</v>
      </c>
      <c r="E321" s="141">
        <v>21517</v>
      </c>
      <c r="F321" s="141">
        <v>21563</v>
      </c>
      <c r="G321" s="142">
        <v>46</v>
      </c>
      <c r="H321" s="141">
        <v>499180</v>
      </c>
      <c r="I321" s="141">
        <v>499321</v>
      </c>
      <c r="J321" s="142">
        <v>141</v>
      </c>
      <c r="Q321" s="141">
        <v>16896</v>
      </c>
      <c r="R321" s="141">
        <v>16940</v>
      </c>
      <c r="S321" s="142">
        <v>44</v>
      </c>
      <c r="T321" s="141">
        <v>4037</v>
      </c>
      <c r="U321" s="141">
        <v>4039</v>
      </c>
      <c r="V321" s="142">
        <v>2</v>
      </c>
      <c r="W321" s="141">
        <v>3103</v>
      </c>
      <c r="X321" s="141">
        <v>3105</v>
      </c>
      <c r="Y321" s="142">
        <v>2</v>
      </c>
      <c r="Z321" s="141">
        <v>37827</v>
      </c>
      <c r="AA321" s="141">
        <v>37844</v>
      </c>
      <c r="AB321" s="142">
        <v>17</v>
      </c>
    </row>
    <row r="322" spans="1:28">
      <c r="A322" s="144">
        <v>45304</v>
      </c>
      <c r="B322" s="141">
        <f t="shared" si="6"/>
        <v>50168</v>
      </c>
      <c r="C322" s="141">
        <v>50277</v>
      </c>
      <c r="D322" s="142">
        <f t="shared" si="5"/>
        <v>109</v>
      </c>
      <c r="E322" s="141">
        <v>21563</v>
      </c>
      <c r="F322" s="141">
        <v>21587</v>
      </c>
      <c r="G322" s="142">
        <v>24</v>
      </c>
      <c r="H322" s="141">
        <v>499321</v>
      </c>
      <c r="I322" s="141">
        <v>499410</v>
      </c>
      <c r="J322" s="142">
        <v>89</v>
      </c>
      <c r="Q322" s="141">
        <v>16940</v>
      </c>
      <c r="R322" s="141">
        <v>16978</v>
      </c>
      <c r="S322" s="142">
        <v>38</v>
      </c>
      <c r="T322" s="141">
        <v>4039</v>
      </c>
      <c r="U322" s="141">
        <v>4041</v>
      </c>
      <c r="V322" s="142">
        <v>2</v>
      </c>
      <c r="W322" s="141">
        <v>3105</v>
      </c>
      <c r="X322" s="141">
        <v>3106</v>
      </c>
      <c r="Y322" s="142">
        <v>1</v>
      </c>
      <c r="Z322" s="141">
        <v>37844</v>
      </c>
      <c r="AA322" s="141">
        <v>37876</v>
      </c>
      <c r="AB322" s="142">
        <v>32</v>
      </c>
    </row>
    <row r="323" spans="1:28">
      <c r="A323" s="144">
        <v>45305</v>
      </c>
      <c r="B323" s="141">
        <f t="shared" si="6"/>
        <v>50277</v>
      </c>
      <c r="C323" s="141">
        <v>50376</v>
      </c>
      <c r="D323" s="142">
        <f t="shared" ref="D323:D386" si="7">C323-B323</f>
        <v>99</v>
      </c>
      <c r="E323" s="141">
        <v>21587</v>
      </c>
      <c r="F323" s="141">
        <v>21611</v>
      </c>
      <c r="G323" s="142">
        <v>24</v>
      </c>
      <c r="H323" s="141">
        <v>499410</v>
      </c>
      <c r="I323" s="141">
        <v>499545</v>
      </c>
      <c r="J323" s="142">
        <v>135</v>
      </c>
      <c r="Q323" s="141">
        <v>16978</v>
      </c>
      <c r="R323" s="141">
        <v>17004</v>
      </c>
      <c r="S323" s="142">
        <v>26</v>
      </c>
      <c r="T323" s="141">
        <v>4041</v>
      </c>
      <c r="U323" s="141">
        <v>4045</v>
      </c>
      <c r="V323" s="142">
        <v>4</v>
      </c>
      <c r="W323" s="141">
        <v>3106</v>
      </c>
      <c r="X323" s="141">
        <v>3107</v>
      </c>
      <c r="Y323" s="142">
        <v>1</v>
      </c>
      <c r="Z323" s="141">
        <v>37876</v>
      </c>
      <c r="AA323" s="141">
        <v>37887</v>
      </c>
      <c r="AB323" s="142">
        <v>11</v>
      </c>
    </row>
    <row r="324" spans="1:28">
      <c r="A324" s="144">
        <v>45306</v>
      </c>
      <c r="B324" s="141">
        <f t="shared" si="6"/>
        <v>50376</v>
      </c>
      <c r="C324" s="141">
        <v>50494</v>
      </c>
      <c r="D324" s="142">
        <f t="shared" si="7"/>
        <v>118</v>
      </c>
      <c r="E324" s="141">
        <v>21611</v>
      </c>
      <c r="F324" s="141">
        <v>21640</v>
      </c>
      <c r="G324" s="142">
        <v>29</v>
      </c>
      <c r="H324" s="141">
        <v>499545</v>
      </c>
      <c r="I324" s="141">
        <v>499651</v>
      </c>
      <c r="J324" s="142">
        <v>106</v>
      </c>
      <c r="Q324" s="141">
        <v>17004</v>
      </c>
      <c r="R324" s="141">
        <v>17044</v>
      </c>
      <c r="S324" s="142">
        <v>40</v>
      </c>
      <c r="T324" s="141">
        <v>4045</v>
      </c>
      <c r="U324" s="141">
        <v>4048</v>
      </c>
      <c r="V324" s="142">
        <v>3</v>
      </c>
      <c r="W324" s="141">
        <v>3107</v>
      </c>
      <c r="X324" s="141">
        <v>3110</v>
      </c>
      <c r="Y324" s="142">
        <v>3</v>
      </c>
      <c r="Z324" s="141">
        <v>37887</v>
      </c>
      <c r="AA324" s="141">
        <v>37905</v>
      </c>
      <c r="AB324" s="142">
        <v>18</v>
      </c>
    </row>
    <row r="325" spans="1:28">
      <c r="A325" s="144">
        <v>45307</v>
      </c>
      <c r="B325" s="141">
        <f t="shared" si="6"/>
        <v>50494</v>
      </c>
      <c r="C325" s="141">
        <v>50634</v>
      </c>
      <c r="D325" s="142">
        <f t="shared" si="7"/>
        <v>140</v>
      </c>
      <c r="E325" s="141">
        <v>21640</v>
      </c>
      <c r="F325" s="141">
        <v>21678</v>
      </c>
      <c r="G325" s="142">
        <v>38</v>
      </c>
      <c r="H325" s="141">
        <v>499651</v>
      </c>
      <c r="I325" s="141">
        <v>499753</v>
      </c>
      <c r="J325" s="142">
        <v>102</v>
      </c>
      <c r="Q325" s="141">
        <v>17044</v>
      </c>
      <c r="R325" s="141">
        <v>17077</v>
      </c>
      <c r="S325" s="142">
        <v>33</v>
      </c>
      <c r="T325" s="141">
        <v>4048</v>
      </c>
      <c r="U325" s="141">
        <v>4050</v>
      </c>
      <c r="V325" s="142">
        <v>2</v>
      </c>
      <c r="W325" s="141">
        <v>3110</v>
      </c>
      <c r="X325" s="141">
        <v>3112</v>
      </c>
      <c r="Y325" s="142">
        <v>2</v>
      </c>
      <c r="Z325" s="141">
        <v>37905</v>
      </c>
      <c r="AA325" s="141">
        <v>37920</v>
      </c>
      <c r="AB325" s="142">
        <v>15</v>
      </c>
    </row>
    <row r="326" spans="1:28">
      <c r="A326" s="144">
        <v>45308</v>
      </c>
      <c r="B326" s="141">
        <f t="shared" si="6"/>
        <v>50634</v>
      </c>
      <c r="C326" s="141">
        <v>50765</v>
      </c>
      <c r="D326" s="142">
        <f t="shared" si="7"/>
        <v>131</v>
      </c>
      <c r="E326" s="141">
        <v>21678</v>
      </c>
      <c r="F326" s="141">
        <v>21713</v>
      </c>
      <c r="G326" s="142">
        <v>35</v>
      </c>
      <c r="H326" s="141">
        <v>499753</v>
      </c>
      <c r="I326" s="141">
        <v>499887</v>
      </c>
      <c r="J326" s="142">
        <v>134</v>
      </c>
      <c r="Q326" s="141">
        <v>17077</v>
      </c>
      <c r="R326" s="141">
        <v>17120</v>
      </c>
      <c r="S326" s="142">
        <v>43</v>
      </c>
      <c r="T326" s="141">
        <v>4050</v>
      </c>
      <c r="U326" s="141">
        <v>4053</v>
      </c>
      <c r="V326" s="142">
        <v>3</v>
      </c>
      <c r="W326" s="141">
        <v>3112</v>
      </c>
      <c r="X326" s="141">
        <v>3113</v>
      </c>
      <c r="Y326" s="142">
        <v>1</v>
      </c>
      <c r="Z326" s="141">
        <v>37920</v>
      </c>
      <c r="AA326" s="141">
        <v>37939</v>
      </c>
      <c r="AB326" s="142">
        <v>19</v>
      </c>
    </row>
    <row r="327" spans="1:28">
      <c r="A327" s="144">
        <v>45309</v>
      </c>
      <c r="B327" s="141">
        <f t="shared" si="6"/>
        <v>50765</v>
      </c>
      <c r="C327" s="141">
        <v>50886</v>
      </c>
      <c r="D327" s="142">
        <f t="shared" si="7"/>
        <v>121</v>
      </c>
      <c r="E327" s="141">
        <v>21713</v>
      </c>
      <c r="F327" s="141">
        <v>21742</v>
      </c>
      <c r="G327" s="142">
        <v>29</v>
      </c>
      <c r="H327" s="141">
        <v>499887</v>
      </c>
      <c r="I327" s="141">
        <v>499964</v>
      </c>
      <c r="J327" s="142">
        <v>77</v>
      </c>
      <c r="Q327" s="141">
        <v>17120</v>
      </c>
      <c r="R327" s="141">
        <v>17144</v>
      </c>
      <c r="S327" s="142">
        <v>24</v>
      </c>
      <c r="T327" s="141">
        <v>4053</v>
      </c>
      <c r="U327" s="141">
        <v>4054</v>
      </c>
      <c r="V327" s="142">
        <v>1</v>
      </c>
      <c r="W327" s="141">
        <v>3113</v>
      </c>
      <c r="X327" s="141">
        <v>3114</v>
      </c>
      <c r="Y327" s="142">
        <v>1</v>
      </c>
      <c r="Z327" s="141">
        <v>37939</v>
      </c>
      <c r="AA327" s="141">
        <v>37957</v>
      </c>
      <c r="AB327" s="142">
        <v>18</v>
      </c>
    </row>
    <row r="328" spans="1:28">
      <c r="A328" s="144">
        <v>45310</v>
      </c>
      <c r="B328" s="141">
        <f t="shared" si="6"/>
        <v>50886</v>
      </c>
      <c r="C328" s="141">
        <v>51036</v>
      </c>
      <c r="D328" s="142">
        <f t="shared" si="7"/>
        <v>150</v>
      </c>
      <c r="E328" s="141">
        <v>21742</v>
      </c>
      <c r="F328" s="141">
        <v>21752</v>
      </c>
      <c r="G328" s="142">
        <v>10</v>
      </c>
      <c r="H328" s="141">
        <v>499964</v>
      </c>
      <c r="I328" s="141">
        <v>500065</v>
      </c>
      <c r="J328" s="142">
        <v>101</v>
      </c>
      <c r="Q328" s="141">
        <v>17144</v>
      </c>
      <c r="R328" s="141">
        <v>17178</v>
      </c>
      <c r="S328" s="142">
        <v>34</v>
      </c>
      <c r="T328" s="141">
        <v>4054</v>
      </c>
      <c r="U328" s="141">
        <v>4057</v>
      </c>
      <c r="V328" s="142">
        <v>3</v>
      </c>
      <c r="W328" s="141">
        <v>3114</v>
      </c>
      <c r="X328" s="141">
        <v>3114</v>
      </c>
      <c r="Y328" s="142">
        <v>0</v>
      </c>
      <c r="Z328" s="141">
        <v>37957</v>
      </c>
      <c r="AA328" s="141">
        <v>37977</v>
      </c>
      <c r="AB328" s="142">
        <v>20</v>
      </c>
    </row>
    <row r="329" spans="1:28">
      <c r="A329" s="144">
        <v>45311</v>
      </c>
      <c r="B329" s="141">
        <f t="shared" si="6"/>
        <v>51036</v>
      </c>
      <c r="C329" s="141">
        <v>51192</v>
      </c>
      <c r="D329" s="142">
        <f t="shared" si="7"/>
        <v>156</v>
      </c>
      <c r="E329" s="141">
        <v>21752</v>
      </c>
      <c r="F329" s="141">
        <v>21790</v>
      </c>
      <c r="G329" s="142">
        <v>38</v>
      </c>
      <c r="H329" s="141">
        <v>500065</v>
      </c>
      <c r="I329" s="141">
        <v>500153</v>
      </c>
      <c r="J329" s="142">
        <v>88</v>
      </c>
      <c r="Q329" s="141">
        <v>17178</v>
      </c>
      <c r="R329" s="141">
        <v>17228</v>
      </c>
      <c r="S329" s="142">
        <v>50</v>
      </c>
      <c r="T329" s="141">
        <v>4057</v>
      </c>
      <c r="U329" s="141">
        <v>4059</v>
      </c>
      <c r="V329" s="142">
        <v>2</v>
      </c>
      <c r="W329" s="141">
        <v>3114</v>
      </c>
      <c r="X329" s="141">
        <v>3115</v>
      </c>
      <c r="Y329" s="142">
        <v>1</v>
      </c>
      <c r="Z329" s="141">
        <v>37977</v>
      </c>
      <c r="AA329" s="141">
        <v>37994</v>
      </c>
      <c r="AB329" s="142">
        <v>17</v>
      </c>
    </row>
    <row r="330" spans="1:28">
      <c r="A330" s="144">
        <v>45312</v>
      </c>
      <c r="B330" s="141">
        <f t="shared" si="6"/>
        <v>51192</v>
      </c>
      <c r="C330" s="141">
        <v>51319</v>
      </c>
      <c r="D330" s="142">
        <f t="shared" si="7"/>
        <v>127</v>
      </c>
      <c r="E330" s="141">
        <v>21790</v>
      </c>
      <c r="F330" s="141">
        <v>21807</v>
      </c>
      <c r="G330" s="142">
        <v>17</v>
      </c>
      <c r="H330" s="141">
        <v>500153</v>
      </c>
      <c r="I330" s="141">
        <v>500232</v>
      </c>
      <c r="J330" s="142">
        <v>79</v>
      </c>
      <c r="Q330" s="141">
        <v>17228</v>
      </c>
      <c r="R330" s="141">
        <v>17261</v>
      </c>
      <c r="S330" s="142">
        <v>33</v>
      </c>
      <c r="T330" s="141">
        <v>4059</v>
      </c>
      <c r="U330" s="141">
        <v>4061</v>
      </c>
      <c r="V330" s="142">
        <v>2</v>
      </c>
      <c r="W330" s="141">
        <v>3115</v>
      </c>
      <c r="X330" s="141">
        <v>3117</v>
      </c>
      <c r="Y330" s="142">
        <v>2</v>
      </c>
      <c r="Z330" s="141">
        <v>37994</v>
      </c>
      <c r="AA330" s="141">
        <v>38006</v>
      </c>
      <c r="AB330" s="142">
        <v>12</v>
      </c>
    </row>
    <row r="331" spans="1:28">
      <c r="A331" s="144">
        <v>45313</v>
      </c>
      <c r="B331" s="141">
        <f t="shared" si="6"/>
        <v>51319</v>
      </c>
      <c r="C331" s="141">
        <v>51467</v>
      </c>
      <c r="D331" s="142">
        <f t="shared" si="7"/>
        <v>148</v>
      </c>
      <c r="E331" s="141">
        <v>21807</v>
      </c>
      <c r="F331" s="141">
        <v>21810</v>
      </c>
      <c r="G331" s="142">
        <v>3</v>
      </c>
      <c r="H331" s="141">
        <v>500232</v>
      </c>
      <c r="I331" s="141">
        <v>500333</v>
      </c>
      <c r="J331" s="142">
        <v>101</v>
      </c>
      <c r="Q331" s="141">
        <v>17261</v>
      </c>
      <c r="R331" s="141">
        <v>17304</v>
      </c>
      <c r="S331" s="142">
        <v>43</v>
      </c>
      <c r="T331" s="141">
        <v>4061</v>
      </c>
      <c r="U331" s="141">
        <v>4069</v>
      </c>
      <c r="V331" s="142">
        <v>8</v>
      </c>
      <c r="W331" s="141">
        <v>3117</v>
      </c>
      <c r="X331" s="141">
        <v>3117</v>
      </c>
      <c r="Y331" s="142">
        <v>0</v>
      </c>
      <c r="Z331" s="141">
        <v>38006</v>
      </c>
      <c r="AA331" s="141">
        <v>38006</v>
      </c>
      <c r="AB331" s="142">
        <v>0</v>
      </c>
    </row>
    <row r="332" spans="1:28">
      <c r="A332" s="144">
        <v>45314</v>
      </c>
      <c r="B332" s="141">
        <f t="shared" si="6"/>
        <v>51467</v>
      </c>
      <c r="C332" s="141">
        <v>51504</v>
      </c>
      <c r="D332" s="142">
        <f t="shared" si="7"/>
        <v>37</v>
      </c>
      <c r="E332" s="141">
        <v>21810</v>
      </c>
      <c r="F332" s="141">
        <v>21843</v>
      </c>
      <c r="G332" s="142">
        <v>33</v>
      </c>
      <c r="H332" s="141">
        <v>500333</v>
      </c>
      <c r="I332" s="141">
        <v>500417</v>
      </c>
      <c r="J332" s="142">
        <v>84</v>
      </c>
      <c r="Q332" s="141">
        <v>17304</v>
      </c>
      <c r="R332" s="141">
        <v>17341</v>
      </c>
      <c r="S332" s="142">
        <v>37</v>
      </c>
      <c r="T332" s="141">
        <v>4069</v>
      </c>
      <c r="U332" s="141">
        <v>4071</v>
      </c>
      <c r="V332" s="142">
        <v>2</v>
      </c>
      <c r="W332" s="141">
        <v>3117</v>
      </c>
      <c r="X332" s="141">
        <v>3120</v>
      </c>
      <c r="Y332" s="142">
        <v>3</v>
      </c>
      <c r="Z332" s="141">
        <v>38006</v>
      </c>
      <c r="AA332" s="141">
        <v>38033</v>
      </c>
      <c r="AB332" s="142">
        <v>27</v>
      </c>
    </row>
    <row r="333" spans="1:28">
      <c r="A333" s="144">
        <v>45315</v>
      </c>
      <c r="B333" s="141">
        <f t="shared" ref="B333:B396" si="8">C332</f>
        <v>51504</v>
      </c>
      <c r="C333" s="141">
        <v>51665</v>
      </c>
      <c r="D333" s="142">
        <f t="shared" si="7"/>
        <v>161</v>
      </c>
      <c r="E333" s="141">
        <v>21843</v>
      </c>
      <c r="F333" s="141">
        <v>21850</v>
      </c>
      <c r="G333" s="142">
        <v>7</v>
      </c>
      <c r="H333" s="141">
        <v>500417</v>
      </c>
      <c r="I333" s="141">
        <v>500518</v>
      </c>
      <c r="J333" s="142">
        <v>101</v>
      </c>
      <c r="Q333" s="141">
        <v>17341</v>
      </c>
      <c r="R333" s="141">
        <v>17378</v>
      </c>
      <c r="S333" s="142">
        <v>37</v>
      </c>
      <c r="T333" s="141">
        <v>4071</v>
      </c>
      <c r="U333" s="141">
        <v>4072</v>
      </c>
      <c r="V333" s="142">
        <v>1</v>
      </c>
      <c r="W333" s="141">
        <v>3120</v>
      </c>
      <c r="X333" s="141">
        <v>3121</v>
      </c>
      <c r="Y333" s="142">
        <v>1</v>
      </c>
      <c r="Z333" s="141">
        <v>38033</v>
      </c>
      <c r="AA333" s="141">
        <v>38041</v>
      </c>
      <c r="AB333" s="142">
        <v>8</v>
      </c>
    </row>
    <row r="334" spans="1:28">
      <c r="A334" s="144">
        <v>45316</v>
      </c>
      <c r="B334" s="141">
        <f t="shared" si="8"/>
        <v>51665</v>
      </c>
      <c r="C334" s="141">
        <v>51814</v>
      </c>
      <c r="D334" s="142">
        <f t="shared" si="7"/>
        <v>149</v>
      </c>
      <c r="E334" s="141">
        <v>21850</v>
      </c>
      <c r="F334" s="141">
        <v>21882</v>
      </c>
      <c r="G334" s="142">
        <v>32</v>
      </c>
      <c r="H334" s="141">
        <v>500518</v>
      </c>
      <c r="I334" s="141">
        <v>500669</v>
      </c>
      <c r="J334" s="142">
        <v>151</v>
      </c>
      <c r="Q334" s="141">
        <v>17378</v>
      </c>
      <c r="R334" s="141">
        <v>17424</v>
      </c>
      <c r="S334" s="142">
        <v>46</v>
      </c>
      <c r="T334" s="141">
        <v>4072</v>
      </c>
      <c r="U334" s="141">
        <v>4077</v>
      </c>
      <c r="V334" s="142">
        <v>5</v>
      </c>
      <c r="W334" s="141">
        <v>3121</v>
      </c>
      <c r="X334" s="141">
        <v>3127</v>
      </c>
      <c r="Y334" s="142">
        <v>6</v>
      </c>
      <c r="Z334" s="141">
        <v>38041</v>
      </c>
      <c r="AA334" s="141">
        <v>38047</v>
      </c>
      <c r="AB334" s="142">
        <v>6</v>
      </c>
    </row>
    <row r="335" spans="1:28">
      <c r="A335" s="144">
        <v>45317</v>
      </c>
      <c r="B335" s="141">
        <f t="shared" si="8"/>
        <v>51814</v>
      </c>
      <c r="C335" s="141">
        <v>51968</v>
      </c>
      <c r="D335" s="142">
        <f t="shared" si="7"/>
        <v>154</v>
      </c>
      <c r="E335" s="141">
        <v>21882</v>
      </c>
      <c r="F335" s="141">
        <v>21894</v>
      </c>
      <c r="G335" s="142">
        <v>12</v>
      </c>
      <c r="H335" s="141">
        <v>500669</v>
      </c>
      <c r="I335" s="141">
        <v>500792</v>
      </c>
      <c r="J335" s="142">
        <v>123</v>
      </c>
      <c r="Q335" s="141">
        <v>17424</v>
      </c>
      <c r="R335" s="141">
        <v>17444</v>
      </c>
      <c r="S335" s="142">
        <v>20</v>
      </c>
      <c r="T335" s="141">
        <v>4077</v>
      </c>
      <c r="U335" s="141">
        <v>4079</v>
      </c>
      <c r="V335" s="142">
        <v>2</v>
      </c>
      <c r="W335" s="141">
        <v>3127</v>
      </c>
      <c r="X335" s="141">
        <v>3128</v>
      </c>
      <c r="Y335" s="142">
        <v>1</v>
      </c>
      <c r="Z335" s="141">
        <v>38047</v>
      </c>
      <c r="AA335" s="141">
        <v>38064</v>
      </c>
      <c r="AB335" s="142">
        <v>17</v>
      </c>
    </row>
    <row r="336" spans="1:28">
      <c r="A336" s="144">
        <v>45318</v>
      </c>
      <c r="B336" s="141">
        <f t="shared" si="8"/>
        <v>51968</v>
      </c>
      <c r="C336" s="141">
        <v>52119</v>
      </c>
      <c r="D336" s="142">
        <f t="shared" si="7"/>
        <v>151</v>
      </c>
      <c r="E336" s="141">
        <v>21894</v>
      </c>
      <c r="F336" s="141">
        <v>21911</v>
      </c>
      <c r="G336" s="142">
        <v>17</v>
      </c>
      <c r="H336" s="141">
        <v>500792</v>
      </c>
      <c r="I336" s="141">
        <v>500933</v>
      </c>
      <c r="J336" s="142">
        <v>141</v>
      </c>
      <c r="Q336" s="141">
        <v>17444</v>
      </c>
      <c r="R336" s="141">
        <v>17456</v>
      </c>
      <c r="S336" s="142">
        <v>12</v>
      </c>
      <c r="T336" s="141">
        <v>4079</v>
      </c>
      <c r="U336" s="141">
        <v>4084</v>
      </c>
      <c r="V336" s="142">
        <v>5</v>
      </c>
      <c r="W336" s="141">
        <v>3128</v>
      </c>
      <c r="X336" s="141">
        <v>3128</v>
      </c>
      <c r="Y336" s="142">
        <v>0</v>
      </c>
      <c r="Z336" s="141">
        <v>38064</v>
      </c>
      <c r="AA336" s="141">
        <v>38074</v>
      </c>
      <c r="AB336" s="142">
        <v>10</v>
      </c>
    </row>
    <row r="337" spans="1:28">
      <c r="A337" s="144">
        <v>45319</v>
      </c>
      <c r="B337" s="141">
        <f t="shared" si="8"/>
        <v>52119</v>
      </c>
      <c r="C337" s="141">
        <v>52232</v>
      </c>
      <c r="D337" s="142">
        <f t="shared" si="7"/>
        <v>113</v>
      </c>
      <c r="E337" s="141">
        <v>21911</v>
      </c>
      <c r="F337" s="141">
        <v>21919</v>
      </c>
      <c r="G337" s="142">
        <v>8</v>
      </c>
      <c r="H337" s="141">
        <v>500933</v>
      </c>
      <c r="I337" s="141">
        <v>501023</v>
      </c>
      <c r="J337" s="142">
        <v>90</v>
      </c>
      <c r="Q337" s="141">
        <v>17456</v>
      </c>
      <c r="R337" s="141">
        <v>17525</v>
      </c>
      <c r="S337" s="142">
        <v>69</v>
      </c>
      <c r="T337" s="141">
        <v>4084</v>
      </c>
      <c r="U337" s="141">
        <v>4088</v>
      </c>
      <c r="V337" s="142">
        <v>4</v>
      </c>
      <c r="W337" s="141">
        <v>3128</v>
      </c>
      <c r="X337" s="141">
        <v>3129</v>
      </c>
      <c r="Y337" s="142">
        <v>1</v>
      </c>
      <c r="Z337" s="141">
        <v>38074</v>
      </c>
      <c r="AA337" s="141">
        <v>38086</v>
      </c>
      <c r="AB337" s="142">
        <v>12</v>
      </c>
    </row>
    <row r="338" spans="1:28">
      <c r="A338" s="144">
        <v>45320</v>
      </c>
      <c r="B338" s="141">
        <f t="shared" si="8"/>
        <v>52232</v>
      </c>
      <c r="C338" s="141">
        <v>52395</v>
      </c>
      <c r="D338" s="142">
        <f t="shared" si="7"/>
        <v>163</v>
      </c>
      <c r="E338" s="141">
        <v>21919</v>
      </c>
      <c r="F338" s="141">
        <v>21919</v>
      </c>
      <c r="G338" s="142">
        <v>0</v>
      </c>
      <c r="H338" s="141">
        <v>501023</v>
      </c>
      <c r="I338" s="141">
        <v>501171</v>
      </c>
      <c r="J338" s="142">
        <v>148</v>
      </c>
      <c r="Q338" s="141">
        <v>17525</v>
      </c>
      <c r="R338" s="141">
        <v>17579</v>
      </c>
      <c r="S338" s="142">
        <v>54</v>
      </c>
      <c r="T338" s="141">
        <v>4088</v>
      </c>
      <c r="U338" s="141">
        <v>4091</v>
      </c>
      <c r="V338" s="142">
        <v>3</v>
      </c>
      <c r="W338" s="141">
        <v>3129</v>
      </c>
      <c r="X338" s="141">
        <v>3130</v>
      </c>
      <c r="Y338" s="142">
        <v>1</v>
      </c>
      <c r="Z338" s="141">
        <v>38086</v>
      </c>
      <c r="AA338" s="141">
        <v>38096</v>
      </c>
      <c r="AB338" s="142">
        <v>10</v>
      </c>
    </row>
    <row r="339" spans="1:28">
      <c r="A339" s="144">
        <v>45321</v>
      </c>
      <c r="B339" s="141">
        <f t="shared" si="8"/>
        <v>52395</v>
      </c>
      <c r="C339" s="141">
        <v>52534</v>
      </c>
      <c r="D339" s="142">
        <f t="shared" si="7"/>
        <v>139</v>
      </c>
      <c r="E339" s="141">
        <v>21919</v>
      </c>
      <c r="F339" s="141">
        <v>21919</v>
      </c>
      <c r="G339" s="142">
        <v>0</v>
      </c>
      <c r="H339" s="141">
        <v>501171</v>
      </c>
      <c r="I339" s="141">
        <v>501265</v>
      </c>
      <c r="J339" s="142">
        <v>94</v>
      </c>
      <c r="Q339" s="141">
        <v>17579</v>
      </c>
      <c r="R339" s="141">
        <v>17679</v>
      </c>
      <c r="S339" s="142">
        <v>100</v>
      </c>
      <c r="T339" s="141">
        <v>4091</v>
      </c>
      <c r="U339" s="141">
        <v>4092</v>
      </c>
      <c r="V339" s="142">
        <v>1</v>
      </c>
      <c r="W339" s="141">
        <v>3130</v>
      </c>
      <c r="X339" s="141">
        <v>3132</v>
      </c>
      <c r="Y339" s="142">
        <v>2</v>
      </c>
      <c r="Z339" s="141">
        <v>38096</v>
      </c>
      <c r="AA339" s="141">
        <v>38105</v>
      </c>
      <c r="AB339" s="142">
        <v>9</v>
      </c>
    </row>
    <row r="340" spans="1:28">
      <c r="A340" s="144">
        <v>45322</v>
      </c>
      <c r="B340" s="141">
        <f t="shared" si="8"/>
        <v>52534</v>
      </c>
      <c r="C340" s="141">
        <v>52701</v>
      </c>
      <c r="D340" s="142">
        <f t="shared" si="7"/>
        <v>167</v>
      </c>
      <c r="E340" s="141">
        <v>21919</v>
      </c>
      <c r="F340" s="141">
        <v>21940</v>
      </c>
      <c r="G340" s="142">
        <v>21</v>
      </c>
      <c r="H340" s="141">
        <v>501265</v>
      </c>
      <c r="I340" s="141">
        <v>501386</v>
      </c>
      <c r="J340" s="142">
        <v>121</v>
      </c>
      <c r="Q340" s="141">
        <v>17679</v>
      </c>
      <c r="R340" s="141">
        <v>17684</v>
      </c>
      <c r="S340" s="142">
        <v>5</v>
      </c>
      <c r="T340" s="141">
        <v>4092</v>
      </c>
      <c r="U340" s="141">
        <v>4095</v>
      </c>
      <c r="V340" s="142">
        <v>3</v>
      </c>
      <c r="W340" s="141">
        <v>3132</v>
      </c>
      <c r="X340" s="141">
        <v>3133</v>
      </c>
      <c r="Y340" s="142">
        <v>1</v>
      </c>
      <c r="Z340" s="141">
        <v>38105</v>
      </c>
      <c r="AA340" s="141">
        <v>38134</v>
      </c>
      <c r="AB340" s="142">
        <v>29</v>
      </c>
    </row>
    <row r="341" spans="1:28">
      <c r="A341" s="144">
        <v>45323</v>
      </c>
      <c r="B341" s="141">
        <f t="shared" si="8"/>
        <v>52701</v>
      </c>
      <c r="C341" s="141">
        <v>52846</v>
      </c>
      <c r="D341" s="142">
        <f t="shared" si="7"/>
        <v>145</v>
      </c>
      <c r="E341" s="141">
        <v>21940</v>
      </c>
      <c r="F341" s="141">
        <v>21968</v>
      </c>
      <c r="G341" s="142">
        <v>28</v>
      </c>
      <c r="H341" s="141">
        <v>501386</v>
      </c>
      <c r="I341" s="141">
        <v>501469</v>
      </c>
      <c r="J341" s="142">
        <v>83</v>
      </c>
      <c r="Q341" s="141">
        <v>17684</v>
      </c>
      <c r="R341" s="141">
        <v>17693</v>
      </c>
      <c r="S341" s="142">
        <v>9</v>
      </c>
      <c r="T341" s="141">
        <v>4095</v>
      </c>
      <c r="U341" s="141">
        <v>4097</v>
      </c>
      <c r="V341" s="142">
        <v>2</v>
      </c>
      <c r="W341" s="141">
        <v>3133</v>
      </c>
      <c r="X341" s="141">
        <v>3134</v>
      </c>
      <c r="Y341" s="142">
        <v>1</v>
      </c>
      <c r="Z341" s="141">
        <v>38134</v>
      </c>
      <c r="AA341" s="141">
        <v>38147</v>
      </c>
      <c r="AB341" s="142">
        <v>13</v>
      </c>
    </row>
    <row r="342" spans="1:28">
      <c r="A342" s="144">
        <v>45324</v>
      </c>
      <c r="B342" s="141">
        <f t="shared" si="8"/>
        <v>52846</v>
      </c>
      <c r="C342" s="141">
        <v>53016</v>
      </c>
      <c r="D342" s="142">
        <f t="shared" si="7"/>
        <v>170</v>
      </c>
      <c r="E342" s="141">
        <v>21968</v>
      </c>
      <c r="F342" s="141">
        <v>21968</v>
      </c>
      <c r="G342" s="142">
        <v>0</v>
      </c>
      <c r="H342" s="141">
        <v>501469</v>
      </c>
      <c r="I342" s="141">
        <v>501717</v>
      </c>
      <c r="J342" s="142">
        <v>248</v>
      </c>
      <c r="Q342" s="141">
        <v>17693</v>
      </c>
      <c r="R342" s="141">
        <v>17731</v>
      </c>
      <c r="S342" s="142">
        <v>38</v>
      </c>
      <c r="T342" s="141">
        <v>4097</v>
      </c>
      <c r="U342" s="141">
        <v>4100</v>
      </c>
      <c r="V342" s="142">
        <v>3</v>
      </c>
      <c r="W342" s="141">
        <v>3134</v>
      </c>
      <c r="X342" s="141">
        <v>3135</v>
      </c>
      <c r="Y342" s="142">
        <v>1</v>
      </c>
      <c r="Z342" s="141">
        <v>38147</v>
      </c>
      <c r="AA342" s="141">
        <v>38199</v>
      </c>
      <c r="AB342" s="142">
        <v>52</v>
      </c>
    </row>
    <row r="343" spans="1:28">
      <c r="A343" s="144">
        <v>45325</v>
      </c>
      <c r="B343" s="141">
        <f t="shared" si="8"/>
        <v>53016</v>
      </c>
      <c r="C343" s="141">
        <v>53177</v>
      </c>
      <c r="D343" s="142">
        <f t="shared" si="7"/>
        <v>161</v>
      </c>
      <c r="E343" s="141">
        <v>21968</v>
      </c>
      <c r="F343" s="141">
        <v>21968</v>
      </c>
      <c r="G343" s="142">
        <v>0</v>
      </c>
      <c r="H343" s="141">
        <v>501717</v>
      </c>
      <c r="I343" s="141">
        <v>501809</v>
      </c>
      <c r="J343" s="142">
        <v>92</v>
      </c>
      <c r="Q343" s="141">
        <v>17731</v>
      </c>
      <c r="R343" s="141">
        <v>17771</v>
      </c>
      <c r="S343" s="142">
        <v>40</v>
      </c>
      <c r="T343" s="141">
        <v>4100</v>
      </c>
      <c r="U343" s="141">
        <v>4107</v>
      </c>
      <c r="V343" s="142">
        <v>7</v>
      </c>
      <c r="W343" s="141">
        <v>3135</v>
      </c>
      <c r="X343" s="141">
        <v>3136</v>
      </c>
      <c r="Y343" s="142">
        <v>1</v>
      </c>
      <c r="Z343" s="141">
        <v>38199</v>
      </c>
      <c r="AA343" s="141">
        <v>38207</v>
      </c>
      <c r="AB343" s="142">
        <v>8</v>
      </c>
    </row>
    <row r="344" spans="1:28">
      <c r="A344" s="144">
        <v>45326</v>
      </c>
      <c r="B344" s="141">
        <f t="shared" si="8"/>
        <v>53177</v>
      </c>
      <c r="C344" s="141">
        <v>53288</v>
      </c>
      <c r="D344" s="142">
        <f t="shared" si="7"/>
        <v>111</v>
      </c>
      <c r="E344" s="141">
        <v>21968</v>
      </c>
      <c r="F344" s="141">
        <v>21968</v>
      </c>
      <c r="G344" s="142">
        <v>0</v>
      </c>
      <c r="H344" s="141">
        <v>501809</v>
      </c>
      <c r="I344" s="141">
        <v>501943</v>
      </c>
      <c r="J344" s="142">
        <v>134</v>
      </c>
      <c r="Q344" s="141">
        <v>17771</v>
      </c>
      <c r="R344" s="141">
        <v>17808</v>
      </c>
      <c r="S344" s="142">
        <v>37</v>
      </c>
      <c r="T344" s="141">
        <v>4107</v>
      </c>
      <c r="U344" s="141">
        <v>4113</v>
      </c>
      <c r="V344" s="142">
        <v>6</v>
      </c>
      <c r="W344" s="141">
        <v>3136</v>
      </c>
      <c r="X344" s="141">
        <v>3138</v>
      </c>
      <c r="Y344" s="142">
        <v>2</v>
      </c>
      <c r="Z344" s="141">
        <v>38207</v>
      </c>
      <c r="AA344" s="141">
        <v>38230</v>
      </c>
      <c r="AB344" s="142">
        <v>23</v>
      </c>
    </row>
    <row r="345" spans="1:28">
      <c r="A345" s="144">
        <v>45327</v>
      </c>
      <c r="B345" s="141">
        <f t="shared" si="8"/>
        <v>53288</v>
      </c>
      <c r="C345" s="141">
        <v>53382</v>
      </c>
      <c r="D345" s="142">
        <f t="shared" si="7"/>
        <v>94</v>
      </c>
      <c r="E345" s="141">
        <v>21968</v>
      </c>
      <c r="F345" s="141">
        <v>21968</v>
      </c>
      <c r="G345" s="142">
        <v>0</v>
      </c>
      <c r="H345" s="141">
        <v>501943</v>
      </c>
      <c r="I345" s="141">
        <v>502043</v>
      </c>
      <c r="J345" s="142">
        <v>100</v>
      </c>
      <c r="Q345" s="141">
        <v>17808</v>
      </c>
      <c r="R345" s="141">
        <v>17849</v>
      </c>
      <c r="S345" s="142">
        <v>41</v>
      </c>
      <c r="T345" s="141">
        <v>4113</v>
      </c>
      <c r="U345" s="141">
        <v>4116</v>
      </c>
      <c r="V345" s="142">
        <v>3</v>
      </c>
      <c r="W345" s="141">
        <v>3138</v>
      </c>
      <c r="X345" s="141">
        <v>3141</v>
      </c>
      <c r="Y345" s="142">
        <v>3</v>
      </c>
      <c r="Z345" s="141">
        <v>38230</v>
      </c>
      <c r="AA345" s="141">
        <v>38252</v>
      </c>
      <c r="AB345" s="142">
        <v>22</v>
      </c>
    </row>
    <row r="346" spans="1:28">
      <c r="A346" s="144">
        <v>45328</v>
      </c>
      <c r="B346" s="141">
        <f t="shared" si="8"/>
        <v>53382</v>
      </c>
      <c r="C346" s="141">
        <v>53483</v>
      </c>
      <c r="D346" s="142">
        <f t="shared" si="7"/>
        <v>101</v>
      </c>
      <c r="E346" s="141">
        <v>21968</v>
      </c>
      <c r="F346" s="141">
        <v>21968</v>
      </c>
      <c r="G346" s="142">
        <v>0</v>
      </c>
      <c r="H346" s="141">
        <v>502043</v>
      </c>
      <c r="I346" s="141">
        <v>502168</v>
      </c>
      <c r="J346" s="142">
        <v>125</v>
      </c>
      <c r="Q346" s="141">
        <v>17849</v>
      </c>
      <c r="R346" s="141">
        <v>17899</v>
      </c>
      <c r="S346" s="142">
        <v>50</v>
      </c>
      <c r="T346" s="141">
        <v>4116</v>
      </c>
      <c r="U346" s="141">
        <v>4118</v>
      </c>
      <c r="V346" s="142">
        <v>2</v>
      </c>
      <c r="W346" s="141">
        <v>3141</v>
      </c>
      <c r="X346" s="141">
        <v>3142</v>
      </c>
      <c r="Y346" s="142">
        <v>1</v>
      </c>
      <c r="Z346" s="141">
        <v>38252</v>
      </c>
      <c r="AA346" s="141">
        <v>38293</v>
      </c>
      <c r="AB346" s="142">
        <v>41</v>
      </c>
    </row>
    <row r="347" spans="1:28">
      <c r="A347" s="144">
        <v>45329</v>
      </c>
      <c r="B347" s="141">
        <f t="shared" si="8"/>
        <v>53483</v>
      </c>
      <c r="C347" s="141">
        <v>53586</v>
      </c>
      <c r="D347" s="142">
        <f t="shared" si="7"/>
        <v>103</v>
      </c>
      <c r="E347" s="141">
        <v>21968</v>
      </c>
      <c r="F347" s="141">
        <v>21968</v>
      </c>
      <c r="G347" s="142">
        <v>0</v>
      </c>
      <c r="H347" s="141">
        <v>502168</v>
      </c>
      <c r="I347" s="141">
        <v>502289</v>
      </c>
      <c r="J347" s="142">
        <v>121</v>
      </c>
      <c r="Q347" s="141">
        <v>17899</v>
      </c>
      <c r="R347" s="141">
        <v>17943</v>
      </c>
      <c r="S347" s="142">
        <v>44</v>
      </c>
      <c r="T347" s="141">
        <v>4118</v>
      </c>
      <c r="U347" s="141">
        <v>4120</v>
      </c>
      <c r="V347" s="142">
        <v>2</v>
      </c>
      <c r="W347" s="141">
        <v>3142</v>
      </c>
      <c r="X347" s="141">
        <v>3143</v>
      </c>
      <c r="Y347" s="142">
        <v>1</v>
      </c>
      <c r="Z347" s="141">
        <v>38293</v>
      </c>
      <c r="AA347" s="141">
        <v>38312</v>
      </c>
      <c r="AB347" s="142">
        <v>19</v>
      </c>
    </row>
    <row r="348" spans="1:28">
      <c r="A348" s="144">
        <v>45330</v>
      </c>
      <c r="B348" s="141">
        <f t="shared" si="8"/>
        <v>53586</v>
      </c>
      <c r="C348" s="141">
        <v>53693</v>
      </c>
      <c r="D348" s="142">
        <f t="shared" si="7"/>
        <v>107</v>
      </c>
      <c r="E348" s="141">
        <v>21968</v>
      </c>
      <c r="F348" s="141">
        <v>21968</v>
      </c>
      <c r="G348" s="142">
        <v>0</v>
      </c>
      <c r="H348" s="141">
        <v>502289</v>
      </c>
      <c r="I348" s="141">
        <v>502388</v>
      </c>
      <c r="J348" s="142">
        <v>99</v>
      </c>
      <c r="Q348" s="141">
        <v>17943</v>
      </c>
      <c r="R348" s="141">
        <v>17975</v>
      </c>
      <c r="S348" s="142">
        <v>32</v>
      </c>
      <c r="T348" s="141">
        <v>4120</v>
      </c>
      <c r="U348" s="141">
        <v>4124</v>
      </c>
      <c r="V348" s="142">
        <v>4</v>
      </c>
      <c r="W348" s="141">
        <v>3143</v>
      </c>
      <c r="X348" s="141">
        <v>3145</v>
      </c>
      <c r="Y348" s="142">
        <v>2</v>
      </c>
      <c r="Z348" s="141">
        <v>38312</v>
      </c>
      <c r="AA348" s="141">
        <v>38355</v>
      </c>
      <c r="AB348" s="142">
        <v>43</v>
      </c>
    </row>
    <row r="349" spans="1:28">
      <c r="A349" s="144">
        <v>45331</v>
      </c>
      <c r="B349" s="141">
        <f t="shared" si="8"/>
        <v>53693</v>
      </c>
      <c r="C349" s="141">
        <v>53804</v>
      </c>
      <c r="D349" s="142">
        <f t="shared" si="7"/>
        <v>111</v>
      </c>
      <c r="E349" s="141">
        <v>21968</v>
      </c>
      <c r="F349" s="141">
        <v>21968</v>
      </c>
      <c r="G349" s="142">
        <v>0</v>
      </c>
      <c r="H349" s="141">
        <v>502388</v>
      </c>
      <c r="I349" s="141">
        <v>502500</v>
      </c>
      <c r="J349" s="142">
        <v>112</v>
      </c>
      <c r="Q349" s="141">
        <v>17975</v>
      </c>
      <c r="R349" s="141">
        <v>18007</v>
      </c>
      <c r="S349" s="142">
        <v>32</v>
      </c>
      <c r="T349" s="141">
        <v>4124</v>
      </c>
      <c r="U349" s="141">
        <v>4129</v>
      </c>
      <c r="V349" s="142">
        <v>5</v>
      </c>
      <c r="W349" s="141">
        <v>3145</v>
      </c>
      <c r="X349" s="141">
        <v>3146</v>
      </c>
      <c r="Y349" s="142">
        <v>1</v>
      </c>
      <c r="Z349" s="141">
        <v>38355</v>
      </c>
      <c r="AA349" s="141">
        <v>38372</v>
      </c>
      <c r="AB349" s="142">
        <v>17</v>
      </c>
    </row>
    <row r="350" spans="1:28">
      <c r="A350" s="144">
        <v>45332</v>
      </c>
      <c r="B350" s="141">
        <f t="shared" si="8"/>
        <v>53804</v>
      </c>
      <c r="C350" s="141">
        <v>53914</v>
      </c>
      <c r="D350" s="142">
        <f t="shared" si="7"/>
        <v>110</v>
      </c>
      <c r="E350" s="141">
        <v>21968</v>
      </c>
      <c r="F350" s="141">
        <v>21968</v>
      </c>
      <c r="G350" s="142">
        <v>0</v>
      </c>
      <c r="H350" s="141">
        <v>502500</v>
      </c>
      <c r="I350" s="141">
        <v>502619</v>
      </c>
      <c r="J350" s="142">
        <v>119</v>
      </c>
      <c r="Q350" s="141">
        <v>18007</v>
      </c>
      <c r="R350" s="141">
        <v>18047</v>
      </c>
      <c r="S350" s="142">
        <v>40</v>
      </c>
      <c r="T350" s="141">
        <v>4129</v>
      </c>
      <c r="U350" s="141">
        <v>4133</v>
      </c>
      <c r="V350" s="142">
        <v>4</v>
      </c>
      <c r="W350" s="141">
        <v>3146</v>
      </c>
      <c r="X350" s="141">
        <v>3147</v>
      </c>
      <c r="Y350" s="142">
        <v>1</v>
      </c>
      <c r="Z350" s="141">
        <v>38372</v>
      </c>
      <c r="AA350" s="141">
        <v>38379</v>
      </c>
      <c r="AB350" s="142">
        <v>7</v>
      </c>
    </row>
    <row r="351" spans="1:28">
      <c r="A351" s="144">
        <v>45333</v>
      </c>
      <c r="B351" s="141">
        <f t="shared" si="8"/>
        <v>53914</v>
      </c>
      <c r="C351" s="141">
        <v>53999</v>
      </c>
      <c r="D351" s="142">
        <f t="shared" si="7"/>
        <v>85</v>
      </c>
      <c r="E351" s="141">
        <v>21968</v>
      </c>
      <c r="F351" s="141">
        <v>21968</v>
      </c>
      <c r="G351" s="142">
        <v>0</v>
      </c>
      <c r="H351" s="141">
        <v>502619</v>
      </c>
      <c r="I351" s="141">
        <v>502723</v>
      </c>
      <c r="J351" s="142">
        <v>104</v>
      </c>
      <c r="Q351" s="141">
        <v>18047</v>
      </c>
      <c r="R351" s="141">
        <v>18082</v>
      </c>
      <c r="S351" s="142">
        <v>35</v>
      </c>
      <c r="T351" s="141">
        <v>4133</v>
      </c>
      <c r="U351" s="141">
        <v>4135</v>
      </c>
      <c r="V351" s="142">
        <v>2</v>
      </c>
      <c r="W351" s="141">
        <v>3147</v>
      </c>
      <c r="X351" s="141">
        <v>3148</v>
      </c>
      <c r="Y351" s="142">
        <v>1</v>
      </c>
      <c r="Z351" s="141">
        <v>38379</v>
      </c>
      <c r="AA351" s="141">
        <v>38385</v>
      </c>
      <c r="AB351" s="142">
        <v>6</v>
      </c>
    </row>
    <row r="352" spans="1:28">
      <c r="A352" s="144">
        <v>45334</v>
      </c>
      <c r="B352" s="141">
        <f t="shared" si="8"/>
        <v>53999</v>
      </c>
      <c r="C352" s="141">
        <v>54108</v>
      </c>
      <c r="D352" s="142">
        <f t="shared" si="7"/>
        <v>109</v>
      </c>
      <c r="E352" s="141">
        <v>21968</v>
      </c>
      <c r="F352" s="141">
        <v>21968</v>
      </c>
      <c r="G352" s="142">
        <v>0</v>
      </c>
      <c r="H352" s="141">
        <v>502723</v>
      </c>
      <c r="I352" s="141">
        <v>502811</v>
      </c>
      <c r="J352" s="142">
        <v>88</v>
      </c>
      <c r="Q352" s="141">
        <v>18082</v>
      </c>
      <c r="R352" s="141">
        <v>18127</v>
      </c>
      <c r="S352" s="142">
        <v>45</v>
      </c>
      <c r="T352" s="141">
        <v>4135</v>
      </c>
      <c r="U352" s="141">
        <v>4137</v>
      </c>
      <c r="V352" s="142">
        <v>2</v>
      </c>
      <c r="W352" s="141">
        <v>3148</v>
      </c>
      <c r="X352" s="141">
        <v>3150</v>
      </c>
      <c r="Y352" s="142">
        <v>2</v>
      </c>
      <c r="Z352" s="141">
        <v>38385</v>
      </c>
      <c r="AA352" s="141">
        <v>38407</v>
      </c>
      <c r="AB352" s="142">
        <v>22</v>
      </c>
    </row>
    <row r="353" spans="1:28">
      <c r="A353" s="144">
        <v>45335</v>
      </c>
      <c r="B353" s="141">
        <f t="shared" si="8"/>
        <v>54108</v>
      </c>
      <c r="C353" s="141">
        <v>54332</v>
      </c>
      <c r="D353" s="142">
        <f t="shared" si="7"/>
        <v>224</v>
      </c>
      <c r="E353" s="141">
        <v>21968</v>
      </c>
      <c r="F353" s="141">
        <v>21968</v>
      </c>
      <c r="G353" s="142">
        <v>0</v>
      </c>
      <c r="H353" s="141">
        <v>502811</v>
      </c>
      <c r="I353" s="141">
        <v>503060</v>
      </c>
      <c r="J353" s="142">
        <v>249</v>
      </c>
      <c r="Q353" s="141">
        <v>18127</v>
      </c>
      <c r="R353" s="141">
        <v>18169</v>
      </c>
      <c r="S353" s="142">
        <v>42</v>
      </c>
      <c r="T353" s="141">
        <v>4137</v>
      </c>
      <c r="U353" s="141">
        <v>4138</v>
      </c>
      <c r="V353" s="142">
        <v>1</v>
      </c>
      <c r="W353" s="141">
        <v>3150</v>
      </c>
      <c r="X353" s="141">
        <v>3151</v>
      </c>
      <c r="Y353" s="142">
        <v>1</v>
      </c>
      <c r="Z353" s="141">
        <v>38407</v>
      </c>
      <c r="AA353" s="141">
        <v>38466</v>
      </c>
      <c r="AB353" s="142">
        <v>59</v>
      </c>
    </row>
    <row r="354" spans="1:28">
      <c r="A354" s="144">
        <v>45336</v>
      </c>
      <c r="B354" s="141">
        <f t="shared" si="8"/>
        <v>54332</v>
      </c>
      <c r="C354" s="141">
        <v>54475</v>
      </c>
      <c r="D354" s="142">
        <f t="shared" si="7"/>
        <v>143</v>
      </c>
      <c r="E354" s="141">
        <v>21968</v>
      </c>
      <c r="F354" s="141">
        <v>21968</v>
      </c>
      <c r="G354" s="142">
        <v>0</v>
      </c>
      <c r="H354" s="141">
        <v>503060</v>
      </c>
      <c r="I354" s="141">
        <v>503193</v>
      </c>
      <c r="J354" s="142">
        <v>133</v>
      </c>
      <c r="Q354" s="141">
        <v>18169</v>
      </c>
      <c r="R354" s="141">
        <v>18207</v>
      </c>
      <c r="S354" s="142">
        <v>38</v>
      </c>
      <c r="T354" s="141">
        <v>4138</v>
      </c>
      <c r="U354" s="141">
        <v>4139</v>
      </c>
      <c r="V354" s="142">
        <v>1</v>
      </c>
      <c r="W354" s="141">
        <v>3151</v>
      </c>
      <c r="X354" s="141">
        <v>3152</v>
      </c>
      <c r="Y354" s="142">
        <v>1</v>
      </c>
      <c r="Z354" s="141">
        <v>38466</v>
      </c>
      <c r="AA354" s="141">
        <v>38499</v>
      </c>
      <c r="AB354" s="142">
        <v>33</v>
      </c>
    </row>
    <row r="355" spans="1:28">
      <c r="A355" s="144">
        <v>45337</v>
      </c>
      <c r="B355" s="141">
        <f t="shared" si="8"/>
        <v>54475</v>
      </c>
      <c r="C355" s="141">
        <v>54611</v>
      </c>
      <c r="D355" s="142">
        <f t="shared" si="7"/>
        <v>136</v>
      </c>
      <c r="E355" s="141">
        <v>21968</v>
      </c>
      <c r="F355" s="141">
        <v>21968</v>
      </c>
      <c r="G355" s="142">
        <v>0</v>
      </c>
      <c r="H355" s="141">
        <v>503193</v>
      </c>
      <c r="I355" s="141">
        <v>503332</v>
      </c>
      <c r="J355" s="142">
        <v>139</v>
      </c>
      <c r="Q355" s="141">
        <v>18207</v>
      </c>
      <c r="R355" s="141">
        <v>18242</v>
      </c>
      <c r="S355" s="142">
        <v>35</v>
      </c>
      <c r="T355" s="141">
        <v>4139</v>
      </c>
      <c r="U355" s="141">
        <v>4142</v>
      </c>
      <c r="V355" s="142">
        <v>3</v>
      </c>
      <c r="W355" s="141">
        <v>3152</v>
      </c>
      <c r="X355" s="141">
        <v>3154</v>
      </c>
      <c r="Y355" s="142">
        <v>2</v>
      </c>
      <c r="Z355" s="141">
        <v>38499</v>
      </c>
      <c r="AA355" s="141">
        <v>38533</v>
      </c>
      <c r="AB355" s="142">
        <v>34</v>
      </c>
    </row>
    <row r="356" spans="1:28">
      <c r="A356" s="144">
        <v>45338</v>
      </c>
      <c r="B356" s="141">
        <f t="shared" si="8"/>
        <v>54611</v>
      </c>
      <c r="C356" s="141">
        <v>54663</v>
      </c>
      <c r="D356" s="142">
        <f t="shared" si="7"/>
        <v>52</v>
      </c>
      <c r="E356" s="141">
        <v>21968</v>
      </c>
      <c r="F356" s="141">
        <v>21968</v>
      </c>
      <c r="G356" s="142">
        <v>0</v>
      </c>
      <c r="H356" s="141">
        <v>503332</v>
      </c>
      <c r="I356" s="141">
        <v>503372</v>
      </c>
      <c r="J356" s="142">
        <v>40</v>
      </c>
      <c r="Q356" s="141">
        <v>18242</v>
      </c>
      <c r="R356" s="141">
        <v>18288</v>
      </c>
      <c r="S356" s="142">
        <v>46</v>
      </c>
      <c r="T356" s="141">
        <v>4142</v>
      </c>
      <c r="U356" s="141">
        <v>4144</v>
      </c>
      <c r="V356" s="142">
        <v>2</v>
      </c>
      <c r="W356" s="141">
        <v>3154</v>
      </c>
      <c r="X356" s="141">
        <v>3155</v>
      </c>
      <c r="Y356" s="142">
        <v>1</v>
      </c>
      <c r="Z356" s="141">
        <v>38533</v>
      </c>
      <c r="AA356" s="141">
        <v>38552</v>
      </c>
      <c r="AB356" s="142">
        <v>19</v>
      </c>
    </row>
    <row r="357" spans="1:28">
      <c r="A357" s="144">
        <v>45339</v>
      </c>
      <c r="B357" s="141">
        <f t="shared" si="8"/>
        <v>54663</v>
      </c>
      <c r="C357" s="141">
        <v>54743</v>
      </c>
      <c r="D357" s="142">
        <f t="shared" si="7"/>
        <v>80</v>
      </c>
      <c r="E357" s="141">
        <v>21968</v>
      </c>
      <c r="F357" s="141">
        <v>21968</v>
      </c>
      <c r="G357" s="142">
        <v>0</v>
      </c>
      <c r="H357" s="141">
        <v>503372</v>
      </c>
      <c r="I357" s="141">
        <v>503441</v>
      </c>
      <c r="J357" s="142">
        <v>69</v>
      </c>
      <c r="Q357" s="141">
        <v>18288</v>
      </c>
      <c r="R357" s="141">
        <v>18328</v>
      </c>
      <c r="S357" s="142">
        <v>40</v>
      </c>
      <c r="T357" s="141">
        <v>4144</v>
      </c>
      <c r="U357" s="141">
        <v>4146</v>
      </c>
      <c r="V357" s="142">
        <v>2</v>
      </c>
      <c r="W357" s="141">
        <v>3155</v>
      </c>
      <c r="X357" s="141">
        <v>3155</v>
      </c>
      <c r="Y357" s="142">
        <v>0</v>
      </c>
      <c r="Z357" s="141">
        <v>38552</v>
      </c>
      <c r="AA357" s="141">
        <v>38585</v>
      </c>
      <c r="AB357" s="142">
        <v>33</v>
      </c>
    </row>
    <row r="358" spans="1:28">
      <c r="A358" s="144">
        <v>45340</v>
      </c>
      <c r="B358" s="141">
        <f t="shared" si="8"/>
        <v>54743</v>
      </c>
      <c r="C358" s="141">
        <v>54861</v>
      </c>
      <c r="D358" s="142">
        <f t="shared" si="7"/>
        <v>118</v>
      </c>
      <c r="E358" s="141">
        <v>21968</v>
      </c>
      <c r="F358" s="141">
        <v>21968</v>
      </c>
      <c r="G358" s="142">
        <v>0</v>
      </c>
      <c r="H358" s="141">
        <v>503441</v>
      </c>
      <c r="I358" s="141">
        <v>503581</v>
      </c>
      <c r="J358" s="142">
        <v>140</v>
      </c>
      <c r="Q358" s="141">
        <v>18328</v>
      </c>
      <c r="R358" s="141">
        <v>18399</v>
      </c>
      <c r="S358" s="142">
        <v>71</v>
      </c>
      <c r="T358" s="141">
        <v>4146</v>
      </c>
      <c r="U358" s="141">
        <v>4148</v>
      </c>
      <c r="V358" s="142">
        <v>2</v>
      </c>
      <c r="W358" s="141">
        <v>3155</v>
      </c>
      <c r="X358" s="141">
        <v>3156</v>
      </c>
      <c r="Y358" s="142">
        <v>1</v>
      </c>
      <c r="Z358" s="141">
        <v>38585</v>
      </c>
      <c r="AA358" s="141">
        <v>38602</v>
      </c>
      <c r="AB358" s="142">
        <v>17</v>
      </c>
    </row>
    <row r="359" spans="1:28">
      <c r="A359" s="144">
        <v>45341</v>
      </c>
      <c r="B359" s="141">
        <f t="shared" si="8"/>
        <v>54861</v>
      </c>
      <c r="C359" s="141">
        <v>54999</v>
      </c>
      <c r="D359" s="142">
        <f t="shared" si="7"/>
        <v>138</v>
      </c>
      <c r="E359" s="141">
        <v>21968</v>
      </c>
      <c r="F359" s="141">
        <v>21968</v>
      </c>
      <c r="G359" s="142">
        <v>0</v>
      </c>
      <c r="H359" s="141">
        <v>503581</v>
      </c>
      <c r="I359" s="141">
        <v>503701</v>
      </c>
      <c r="J359" s="142">
        <v>120</v>
      </c>
      <c r="Q359" s="141">
        <v>18399</v>
      </c>
      <c r="R359" s="141">
        <v>18456</v>
      </c>
      <c r="S359" s="142">
        <v>57</v>
      </c>
      <c r="T359" s="141">
        <v>4148</v>
      </c>
      <c r="U359" s="141">
        <v>4166</v>
      </c>
      <c r="V359" s="142">
        <v>18</v>
      </c>
      <c r="W359" s="141">
        <v>3156</v>
      </c>
      <c r="X359" s="141">
        <v>3160</v>
      </c>
      <c r="Y359" s="142">
        <v>4</v>
      </c>
      <c r="Z359" s="141">
        <v>38602</v>
      </c>
      <c r="AA359" s="141">
        <v>38620</v>
      </c>
      <c r="AB359" s="142">
        <v>18</v>
      </c>
    </row>
    <row r="360" spans="1:28">
      <c r="A360" s="144">
        <v>45342</v>
      </c>
      <c r="B360" s="141">
        <f t="shared" si="8"/>
        <v>54999</v>
      </c>
      <c r="C360" s="141">
        <v>55121</v>
      </c>
      <c r="D360" s="142">
        <f t="shared" si="7"/>
        <v>122</v>
      </c>
      <c r="E360" s="141">
        <v>21968</v>
      </c>
      <c r="F360" s="141">
        <v>21968</v>
      </c>
      <c r="G360" s="142">
        <v>0</v>
      </c>
      <c r="H360" s="141">
        <v>503701</v>
      </c>
      <c r="I360" s="141">
        <v>503810</v>
      </c>
      <c r="J360" s="142">
        <v>109</v>
      </c>
      <c r="Q360" s="141">
        <v>18456</v>
      </c>
      <c r="R360" s="141">
        <v>18501</v>
      </c>
      <c r="S360" s="142">
        <v>45</v>
      </c>
      <c r="T360" s="141">
        <v>4166</v>
      </c>
      <c r="U360" s="141">
        <v>4169</v>
      </c>
      <c r="V360" s="142">
        <v>3</v>
      </c>
      <c r="W360" s="141">
        <v>3160</v>
      </c>
      <c r="X360" s="141">
        <v>3161</v>
      </c>
      <c r="Y360" s="142">
        <v>1</v>
      </c>
      <c r="Z360" s="141">
        <v>38620</v>
      </c>
      <c r="AA360" s="141">
        <v>38639</v>
      </c>
      <c r="AB360" s="142">
        <v>19</v>
      </c>
    </row>
    <row r="361" spans="1:28">
      <c r="A361" s="144">
        <v>45343</v>
      </c>
      <c r="B361" s="141">
        <f t="shared" si="8"/>
        <v>55121</v>
      </c>
      <c r="C361" s="141">
        <v>55255</v>
      </c>
      <c r="D361" s="142">
        <f t="shared" si="7"/>
        <v>134</v>
      </c>
      <c r="E361" s="141">
        <v>21968</v>
      </c>
      <c r="F361" s="141">
        <v>21968</v>
      </c>
      <c r="G361" s="142">
        <v>0</v>
      </c>
      <c r="H361" s="141">
        <v>503810</v>
      </c>
      <c r="I361" s="141">
        <v>503947</v>
      </c>
      <c r="J361" s="142">
        <v>137</v>
      </c>
      <c r="Q361" s="141">
        <v>18501</v>
      </c>
      <c r="R361" s="141">
        <v>18529</v>
      </c>
      <c r="S361" s="142">
        <v>28</v>
      </c>
      <c r="T361" s="141">
        <v>4169</v>
      </c>
      <c r="U361" s="141">
        <v>4172</v>
      </c>
      <c r="V361" s="142">
        <v>3</v>
      </c>
      <c r="W361" s="141">
        <v>3161</v>
      </c>
      <c r="X361" s="141">
        <v>3161</v>
      </c>
      <c r="Y361" s="142">
        <v>0</v>
      </c>
      <c r="Z361" s="141">
        <v>38639</v>
      </c>
      <c r="AA361" s="141">
        <v>38651</v>
      </c>
      <c r="AB361" s="142">
        <v>12</v>
      </c>
    </row>
    <row r="362" spans="1:28">
      <c r="A362" s="144">
        <v>45344</v>
      </c>
      <c r="B362" s="141">
        <f t="shared" si="8"/>
        <v>55255</v>
      </c>
      <c r="C362" s="141">
        <v>55367</v>
      </c>
      <c r="D362" s="142">
        <f t="shared" si="7"/>
        <v>112</v>
      </c>
      <c r="E362" s="141">
        <v>21968</v>
      </c>
      <c r="F362" s="141">
        <v>21968</v>
      </c>
      <c r="G362" s="142">
        <v>0</v>
      </c>
      <c r="H362" s="141">
        <v>503947</v>
      </c>
      <c r="I362" s="141">
        <v>504054</v>
      </c>
      <c r="J362" s="142">
        <v>107</v>
      </c>
      <c r="Q362" s="141">
        <v>18529</v>
      </c>
      <c r="R362" s="141">
        <v>18549</v>
      </c>
      <c r="S362" s="142">
        <v>20</v>
      </c>
      <c r="T362" s="141">
        <v>4172</v>
      </c>
      <c r="U362" s="141">
        <v>4176</v>
      </c>
      <c r="V362" s="142">
        <v>4</v>
      </c>
      <c r="W362" s="141">
        <v>3161</v>
      </c>
      <c r="X362" s="141">
        <v>3166</v>
      </c>
      <c r="Y362" s="142">
        <v>5</v>
      </c>
      <c r="Z362" s="141">
        <v>38651</v>
      </c>
      <c r="AA362" s="141">
        <v>38669</v>
      </c>
      <c r="AB362" s="142">
        <v>18</v>
      </c>
    </row>
    <row r="363" spans="1:28">
      <c r="A363" s="144">
        <v>45345</v>
      </c>
      <c r="B363" s="141">
        <f t="shared" si="8"/>
        <v>55367</v>
      </c>
      <c r="C363" s="141">
        <v>55494</v>
      </c>
      <c r="D363" s="142">
        <f t="shared" si="7"/>
        <v>127</v>
      </c>
      <c r="E363" s="141">
        <v>21968</v>
      </c>
      <c r="F363" s="141">
        <v>21968</v>
      </c>
      <c r="G363" s="142">
        <v>0</v>
      </c>
      <c r="H363" s="141">
        <v>504054</v>
      </c>
      <c r="I363" s="141">
        <v>504178</v>
      </c>
      <c r="J363" s="142">
        <v>124</v>
      </c>
      <c r="Q363" s="141">
        <v>18549</v>
      </c>
      <c r="R363" s="141">
        <v>18589</v>
      </c>
      <c r="S363" s="142">
        <v>40</v>
      </c>
      <c r="T363" s="141">
        <v>4176</v>
      </c>
      <c r="U363" s="141">
        <v>4180</v>
      </c>
      <c r="V363" s="142">
        <v>4</v>
      </c>
      <c r="W363" s="141">
        <v>3166</v>
      </c>
      <c r="X363" s="141">
        <v>3167</v>
      </c>
      <c r="Y363" s="142">
        <v>1</v>
      </c>
      <c r="Z363" s="141">
        <v>38669</v>
      </c>
      <c r="AA363" s="141">
        <v>38693</v>
      </c>
      <c r="AB363" s="142">
        <v>24</v>
      </c>
    </row>
    <row r="364" spans="1:28">
      <c r="A364" s="144">
        <v>45346</v>
      </c>
      <c r="B364" s="141">
        <f t="shared" si="8"/>
        <v>55494</v>
      </c>
      <c r="C364" s="141">
        <v>55611</v>
      </c>
      <c r="D364" s="142">
        <f t="shared" si="7"/>
        <v>117</v>
      </c>
      <c r="E364" s="141">
        <v>21968</v>
      </c>
      <c r="F364" s="141">
        <v>21968</v>
      </c>
      <c r="G364" s="142">
        <v>0</v>
      </c>
      <c r="H364" s="141">
        <v>504178</v>
      </c>
      <c r="I364" s="141">
        <v>504260</v>
      </c>
      <c r="J364" s="142">
        <v>82</v>
      </c>
      <c r="Q364" s="141">
        <v>18589</v>
      </c>
      <c r="R364" s="141">
        <v>18621</v>
      </c>
      <c r="S364" s="142">
        <v>32</v>
      </c>
      <c r="T364" s="141">
        <v>4180</v>
      </c>
      <c r="U364" s="141">
        <v>4183</v>
      </c>
      <c r="V364" s="142">
        <v>3</v>
      </c>
      <c r="W364" s="141">
        <v>3167</v>
      </c>
      <c r="X364" s="141">
        <v>3167</v>
      </c>
      <c r="Y364" s="142">
        <v>0</v>
      </c>
      <c r="Z364" s="141">
        <v>38693</v>
      </c>
      <c r="AA364" s="141">
        <v>38722</v>
      </c>
      <c r="AB364" s="142">
        <v>29</v>
      </c>
    </row>
    <row r="365" spans="1:28">
      <c r="A365" s="144">
        <v>45347</v>
      </c>
      <c r="B365" s="141">
        <f t="shared" si="8"/>
        <v>55611</v>
      </c>
      <c r="C365" s="141">
        <v>55746</v>
      </c>
      <c r="D365" s="142">
        <f t="shared" si="7"/>
        <v>135</v>
      </c>
      <c r="E365" s="141">
        <v>21968</v>
      </c>
      <c r="F365" s="141">
        <v>21968</v>
      </c>
      <c r="G365" s="142">
        <v>0</v>
      </c>
      <c r="H365" s="141">
        <v>504260</v>
      </c>
      <c r="I365" s="141">
        <v>504342</v>
      </c>
      <c r="J365" s="142">
        <v>82</v>
      </c>
      <c r="Q365" s="141">
        <v>18621</v>
      </c>
      <c r="R365" s="141">
        <v>18662</v>
      </c>
      <c r="S365" s="142">
        <v>41</v>
      </c>
      <c r="T365" s="141">
        <v>4183</v>
      </c>
      <c r="U365" s="141">
        <v>4189</v>
      </c>
      <c r="V365" s="142">
        <v>6</v>
      </c>
      <c r="W365" s="141">
        <v>3167</v>
      </c>
      <c r="X365" s="141">
        <v>3167</v>
      </c>
      <c r="Y365" s="142">
        <v>0</v>
      </c>
      <c r="Z365" s="141">
        <v>38722</v>
      </c>
      <c r="AA365" s="141">
        <v>38739</v>
      </c>
      <c r="AB365" s="142">
        <v>17</v>
      </c>
    </row>
    <row r="366" spans="1:28">
      <c r="A366" s="144">
        <v>45348</v>
      </c>
      <c r="B366" s="141">
        <f t="shared" si="8"/>
        <v>55746</v>
      </c>
      <c r="C366" s="141">
        <v>55890</v>
      </c>
      <c r="D366" s="142">
        <f t="shared" si="7"/>
        <v>144</v>
      </c>
      <c r="E366" s="141">
        <v>21968</v>
      </c>
      <c r="F366" s="141">
        <v>21968</v>
      </c>
      <c r="G366" s="142">
        <v>0</v>
      </c>
      <c r="H366" s="141">
        <v>504342</v>
      </c>
      <c r="I366" s="141">
        <v>504525</v>
      </c>
      <c r="J366" s="142">
        <v>183</v>
      </c>
      <c r="Q366" s="141">
        <v>18662</v>
      </c>
      <c r="R366" s="141">
        <v>18702</v>
      </c>
      <c r="S366" s="142">
        <v>40</v>
      </c>
      <c r="T366" s="141">
        <v>4189</v>
      </c>
      <c r="U366" s="141">
        <v>4190</v>
      </c>
      <c r="V366" s="142">
        <v>1</v>
      </c>
      <c r="W366" s="141">
        <v>3167</v>
      </c>
      <c r="X366" s="141">
        <v>3167</v>
      </c>
      <c r="Y366" s="142">
        <v>0</v>
      </c>
      <c r="Z366" s="141">
        <v>38739</v>
      </c>
      <c r="AA366" s="141">
        <v>38756</v>
      </c>
      <c r="AB366" s="142">
        <v>17</v>
      </c>
    </row>
    <row r="367" spans="1:28">
      <c r="A367" s="144">
        <v>45349</v>
      </c>
      <c r="B367" s="141">
        <f t="shared" si="8"/>
        <v>55890</v>
      </c>
      <c r="C367" s="141">
        <v>56043</v>
      </c>
      <c r="D367" s="142">
        <f t="shared" si="7"/>
        <v>153</v>
      </c>
      <c r="E367" s="141">
        <v>21968</v>
      </c>
      <c r="F367" s="141">
        <v>21968</v>
      </c>
      <c r="G367" s="142">
        <v>0</v>
      </c>
      <c r="H367" s="141">
        <v>504525</v>
      </c>
      <c r="I367" s="141">
        <v>504638</v>
      </c>
      <c r="J367" s="142">
        <v>113</v>
      </c>
      <c r="Q367" s="141">
        <v>18702</v>
      </c>
      <c r="R367" s="141">
        <v>18744</v>
      </c>
      <c r="S367" s="142">
        <v>42</v>
      </c>
      <c r="T367" s="141">
        <v>4190</v>
      </c>
      <c r="U367" s="141">
        <v>4195</v>
      </c>
      <c r="V367" s="142">
        <v>5</v>
      </c>
      <c r="W367" s="141">
        <v>3167</v>
      </c>
      <c r="X367" s="141">
        <v>3168</v>
      </c>
      <c r="Y367" s="142">
        <v>1</v>
      </c>
      <c r="Z367" s="141">
        <v>38756</v>
      </c>
      <c r="AA367" s="141">
        <v>38766</v>
      </c>
      <c r="AB367" s="142">
        <v>10</v>
      </c>
    </row>
    <row r="368" spans="1:28">
      <c r="A368" s="144">
        <v>45350</v>
      </c>
      <c r="B368" s="141">
        <f t="shared" si="8"/>
        <v>56043</v>
      </c>
      <c r="C368" s="141">
        <v>56150</v>
      </c>
      <c r="D368" s="142">
        <f t="shared" si="7"/>
        <v>107</v>
      </c>
      <c r="E368" s="141">
        <v>21968</v>
      </c>
      <c r="F368" s="141">
        <v>22018</v>
      </c>
      <c r="G368" s="142">
        <v>50</v>
      </c>
      <c r="H368" s="141">
        <v>504638</v>
      </c>
      <c r="I368" s="141">
        <v>504780</v>
      </c>
      <c r="J368" s="142">
        <v>142</v>
      </c>
      <c r="Q368" s="141">
        <v>18744</v>
      </c>
      <c r="R368" s="141">
        <v>18783</v>
      </c>
      <c r="S368" s="142">
        <v>39</v>
      </c>
      <c r="T368" s="141">
        <v>4195</v>
      </c>
      <c r="U368" s="141">
        <v>4198</v>
      </c>
      <c r="V368" s="142">
        <v>3</v>
      </c>
      <c r="W368" s="141">
        <v>3168</v>
      </c>
      <c r="X368" s="141">
        <v>3169</v>
      </c>
      <c r="Y368" s="142">
        <v>1</v>
      </c>
      <c r="Z368" s="141">
        <v>38766</v>
      </c>
      <c r="AA368" s="141">
        <v>38787</v>
      </c>
      <c r="AB368" s="142">
        <v>21</v>
      </c>
    </row>
    <row r="369" spans="1:28">
      <c r="A369" s="144">
        <v>45351</v>
      </c>
      <c r="B369" s="141">
        <f t="shared" si="8"/>
        <v>56150</v>
      </c>
      <c r="C369" s="141">
        <v>56253</v>
      </c>
      <c r="D369" s="142">
        <f t="shared" si="7"/>
        <v>103</v>
      </c>
      <c r="E369" s="141">
        <v>22018</v>
      </c>
      <c r="F369" s="141">
        <v>22032</v>
      </c>
      <c r="G369" s="142">
        <v>14</v>
      </c>
      <c r="H369" s="141">
        <v>504780</v>
      </c>
      <c r="I369" s="141">
        <v>504934</v>
      </c>
      <c r="J369" s="142">
        <v>154</v>
      </c>
      <c r="Q369" s="141">
        <v>18783</v>
      </c>
      <c r="R369" s="141">
        <v>18839</v>
      </c>
      <c r="S369" s="142">
        <v>56</v>
      </c>
      <c r="T369" s="141">
        <v>4198</v>
      </c>
      <c r="U369" s="141">
        <v>4201</v>
      </c>
      <c r="V369" s="142">
        <v>3</v>
      </c>
      <c r="W369" s="141">
        <v>3169</v>
      </c>
      <c r="X369" s="141">
        <v>3170</v>
      </c>
      <c r="Y369" s="142">
        <v>1</v>
      </c>
      <c r="Z369" s="141">
        <v>38787</v>
      </c>
      <c r="AA369" s="141">
        <v>38797</v>
      </c>
      <c r="AB369" s="142">
        <v>10</v>
      </c>
    </row>
    <row r="370" spans="1:28">
      <c r="A370" s="144">
        <v>45352</v>
      </c>
      <c r="B370" s="141">
        <f t="shared" si="8"/>
        <v>56253</v>
      </c>
      <c r="C370" s="141">
        <v>56354</v>
      </c>
      <c r="D370" s="142">
        <f t="shared" si="7"/>
        <v>101</v>
      </c>
      <c r="E370" s="141">
        <v>22032</v>
      </c>
      <c r="F370" s="141">
        <v>22067</v>
      </c>
      <c r="G370" s="142">
        <v>35</v>
      </c>
      <c r="H370" s="141">
        <v>504934</v>
      </c>
      <c r="I370" s="141">
        <v>505073</v>
      </c>
      <c r="J370" s="142">
        <v>139</v>
      </c>
      <c r="Q370" s="141">
        <v>18839</v>
      </c>
      <c r="R370" s="141">
        <v>18894</v>
      </c>
      <c r="S370" s="142">
        <v>55</v>
      </c>
      <c r="T370" s="141">
        <v>4201</v>
      </c>
      <c r="U370" s="141">
        <v>4205</v>
      </c>
      <c r="V370" s="142">
        <v>4</v>
      </c>
      <c r="W370" s="141">
        <v>3170</v>
      </c>
      <c r="X370" s="141">
        <v>3171</v>
      </c>
      <c r="Y370" s="142">
        <v>1</v>
      </c>
      <c r="Z370" s="141">
        <v>38797</v>
      </c>
      <c r="AA370" s="141">
        <v>38818</v>
      </c>
      <c r="AB370" s="142">
        <v>21</v>
      </c>
    </row>
    <row r="371" spans="1:28">
      <c r="A371" s="144">
        <v>45353</v>
      </c>
      <c r="B371" s="141">
        <f t="shared" si="8"/>
        <v>56354</v>
      </c>
      <c r="C371" s="141">
        <v>56459</v>
      </c>
      <c r="D371" s="142">
        <f t="shared" si="7"/>
        <v>105</v>
      </c>
      <c r="E371" s="141">
        <v>22067</v>
      </c>
      <c r="F371" s="141">
        <v>22114</v>
      </c>
      <c r="G371" s="142">
        <v>47</v>
      </c>
      <c r="H371" s="141">
        <v>505073</v>
      </c>
      <c r="I371" s="141">
        <v>505178</v>
      </c>
      <c r="J371" s="142">
        <v>105</v>
      </c>
      <c r="Q371" s="141">
        <v>18894</v>
      </c>
      <c r="R371" s="141">
        <v>18934</v>
      </c>
      <c r="S371" s="142">
        <v>40</v>
      </c>
      <c r="T371" s="141">
        <v>4205</v>
      </c>
      <c r="U371" s="141">
        <v>4207</v>
      </c>
      <c r="V371" s="142">
        <v>2</v>
      </c>
      <c r="W371" s="141">
        <v>3171</v>
      </c>
      <c r="X371" s="141">
        <v>3171</v>
      </c>
      <c r="Y371" s="142">
        <v>0</v>
      </c>
      <c r="Z371" s="141">
        <v>38818</v>
      </c>
      <c r="AA371" s="141">
        <v>38832</v>
      </c>
      <c r="AB371" s="142">
        <v>14</v>
      </c>
    </row>
    <row r="372" spans="1:28">
      <c r="A372" s="144">
        <v>45354</v>
      </c>
      <c r="B372" s="141">
        <f t="shared" si="8"/>
        <v>56459</v>
      </c>
      <c r="C372" s="141">
        <v>56551</v>
      </c>
      <c r="D372" s="142">
        <f t="shared" si="7"/>
        <v>92</v>
      </c>
      <c r="E372" s="141">
        <v>22114</v>
      </c>
      <c r="F372" s="141">
        <v>22159</v>
      </c>
      <c r="G372" s="142">
        <v>45</v>
      </c>
      <c r="H372" s="141">
        <v>505178</v>
      </c>
      <c r="I372" s="141">
        <v>505267</v>
      </c>
      <c r="J372" s="142">
        <v>89</v>
      </c>
      <c r="Q372" s="141">
        <v>18934</v>
      </c>
      <c r="R372" s="141">
        <v>18966</v>
      </c>
      <c r="S372" s="142">
        <v>32</v>
      </c>
      <c r="T372" s="141">
        <v>4207</v>
      </c>
      <c r="U372" s="141">
        <v>4220</v>
      </c>
      <c r="V372" s="142">
        <v>13</v>
      </c>
      <c r="W372" s="141">
        <v>3171</v>
      </c>
      <c r="X372" s="141">
        <v>3173</v>
      </c>
      <c r="Y372" s="142">
        <v>2</v>
      </c>
      <c r="Z372" s="141">
        <v>38832</v>
      </c>
      <c r="AA372" s="141">
        <v>38842</v>
      </c>
      <c r="AB372" s="142">
        <v>10</v>
      </c>
    </row>
    <row r="373" spans="1:28">
      <c r="A373" s="144">
        <v>45355</v>
      </c>
      <c r="B373" s="141">
        <f t="shared" si="8"/>
        <v>56551</v>
      </c>
      <c r="C373" s="141">
        <v>56749</v>
      </c>
      <c r="D373" s="142">
        <f t="shared" si="7"/>
        <v>198</v>
      </c>
      <c r="E373" s="141">
        <v>22159</v>
      </c>
      <c r="F373" s="141">
        <v>22202</v>
      </c>
      <c r="G373" s="142">
        <v>43</v>
      </c>
      <c r="H373" s="141">
        <v>505267</v>
      </c>
      <c r="I373" s="141">
        <v>505414</v>
      </c>
      <c r="J373" s="142">
        <v>147</v>
      </c>
      <c r="Q373" s="141">
        <v>18966</v>
      </c>
      <c r="R373" s="141">
        <v>19049</v>
      </c>
      <c r="S373" s="142">
        <v>83</v>
      </c>
      <c r="T373" s="141">
        <v>4220</v>
      </c>
      <c r="U373" s="141">
        <v>4223</v>
      </c>
      <c r="V373" s="142">
        <v>3</v>
      </c>
      <c r="W373" s="141">
        <v>3173</v>
      </c>
      <c r="X373" s="141">
        <v>3174</v>
      </c>
      <c r="Y373" s="142">
        <v>1</v>
      </c>
      <c r="Z373" s="141">
        <v>38842</v>
      </c>
      <c r="AA373" s="141">
        <v>38861</v>
      </c>
      <c r="AB373" s="142">
        <v>19</v>
      </c>
    </row>
    <row r="374" spans="1:28">
      <c r="A374" s="144">
        <v>45356</v>
      </c>
      <c r="B374" s="141">
        <f t="shared" si="8"/>
        <v>56749</v>
      </c>
      <c r="C374" s="141">
        <v>56839</v>
      </c>
      <c r="D374" s="142">
        <f t="shared" si="7"/>
        <v>90</v>
      </c>
      <c r="E374" s="141">
        <v>22202</v>
      </c>
      <c r="F374" s="141">
        <v>22237</v>
      </c>
      <c r="G374" s="142">
        <v>35</v>
      </c>
      <c r="H374" s="141">
        <v>505414</v>
      </c>
      <c r="I374" s="141">
        <v>505534</v>
      </c>
      <c r="J374" s="142">
        <v>120</v>
      </c>
      <c r="Q374" s="141">
        <v>19049</v>
      </c>
      <c r="R374" s="141">
        <v>19085</v>
      </c>
      <c r="S374" s="142">
        <v>36</v>
      </c>
      <c r="T374" s="141">
        <v>4223</v>
      </c>
      <c r="U374" s="141">
        <v>4227</v>
      </c>
      <c r="V374" s="142">
        <v>4</v>
      </c>
      <c r="W374" s="141">
        <v>3174</v>
      </c>
      <c r="X374" s="141">
        <v>3177</v>
      </c>
      <c r="Y374" s="142">
        <v>3</v>
      </c>
      <c r="Z374" s="141">
        <v>38861</v>
      </c>
      <c r="AA374" s="141">
        <v>38903</v>
      </c>
      <c r="AB374" s="142">
        <v>42</v>
      </c>
    </row>
    <row r="375" spans="1:28">
      <c r="A375" s="144">
        <v>45357</v>
      </c>
      <c r="B375" s="141">
        <f t="shared" si="8"/>
        <v>56839</v>
      </c>
      <c r="C375" s="141">
        <v>56940</v>
      </c>
      <c r="D375" s="142">
        <f t="shared" si="7"/>
        <v>101</v>
      </c>
      <c r="E375" s="141">
        <v>22237</v>
      </c>
      <c r="F375" s="141">
        <v>22282</v>
      </c>
      <c r="G375" s="142">
        <v>45</v>
      </c>
      <c r="H375" s="141">
        <v>505534</v>
      </c>
      <c r="I375" s="141">
        <v>505657</v>
      </c>
      <c r="J375" s="142">
        <v>123</v>
      </c>
      <c r="Q375" s="141">
        <v>19085</v>
      </c>
      <c r="R375" s="141">
        <v>19120</v>
      </c>
      <c r="S375" s="142">
        <v>35</v>
      </c>
      <c r="T375" s="141">
        <v>4227</v>
      </c>
      <c r="U375" s="141">
        <v>4229</v>
      </c>
      <c r="V375" s="142">
        <v>2</v>
      </c>
      <c r="W375" s="141">
        <v>3177</v>
      </c>
      <c r="X375" s="141">
        <v>3178</v>
      </c>
      <c r="Y375" s="142">
        <v>1</v>
      </c>
      <c r="Z375" s="141">
        <v>38903</v>
      </c>
      <c r="AA375" s="141">
        <v>38940</v>
      </c>
      <c r="AB375" s="142">
        <v>37</v>
      </c>
    </row>
    <row r="376" spans="1:28">
      <c r="A376" s="144">
        <v>45358</v>
      </c>
      <c r="B376" s="141">
        <f t="shared" si="8"/>
        <v>56940</v>
      </c>
      <c r="C376" s="141">
        <v>57061</v>
      </c>
      <c r="D376" s="142">
        <f t="shared" si="7"/>
        <v>121</v>
      </c>
      <c r="E376" s="141">
        <v>22282</v>
      </c>
      <c r="F376" s="141">
        <v>22300</v>
      </c>
      <c r="G376" s="142">
        <v>18</v>
      </c>
      <c r="H376" s="141">
        <v>505657</v>
      </c>
      <c r="I376" s="141">
        <v>505883</v>
      </c>
      <c r="J376" s="142">
        <v>226</v>
      </c>
      <c r="Q376" s="141">
        <v>19120</v>
      </c>
      <c r="R376" s="141">
        <v>19130</v>
      </c>
      <c r="S376" s="142">
        <v>10</v>
      </c>
      <c r="T376" s="141">
        <v>4229</v>
      </c>
      <c r="U376" s="141">
        <v>4233</v>
      </c>
      <c r="V376" s="142">
        <v>4</v>
      </c>
      <c r="W376" s="141">
        <v>3178</v>
      </c>
      <c r="X376" s="141">
        <v>3179</v>
      </c>
      <c r="Y376" s="142">
        <v>1</v>
      </c>
      <c r="Z376" s="141">
        <v>38940</v>
      </c>
      <c r="AA376" s="141">
        <v>38982</v>
      </c>
      <c r="AB376" s="142">
        <v>42</v>
      </c>
    </row>
    <row r="377" spans="1:28">
      <c r="A377" s="144">
        <v>45359</v>
      </c>
      <c r="B377" s="141">
        <f t="shared" si="8"/>
        <v>57061</v>
      </c>
      <c r="C377" s="141">
        <v>57115</v>
      </c>
      <c r="D377" s="142">
        <f t="shared" si="7"/>
        <v>54</v>
      </c>
      <c r="E377" s="141">
        <v>22300</v>
      </c>
      <c r="F377" s="141">
        <v>22315</v>
      </c>
      <c r="G377" s="142">
        <v>15</v>
      </c>
      <c r="H377" s="141">
        <v>505883</v>
      </c>
      <c r="I377" s="141">
        <v>505883</v>
      </c>
      <c r="J377" s="142">
        <v>0</v>
      </c>
      <c r="Q377" s="141">
        <v>19130</v>
      </c>
      <c r="R377" s="141">
        <v>19167</v>
      </c>
      <c r="S377" s="142">
        <v>37</v>
      </c>
      <c r="T377" s="141">
        <v>4233</v>
      </c>
      <c r="U377" s="141">
        <v>4236</v>
      </c>
      <c r="V377" s="142">
        <v>3</v>
      </c>
      <c r="W377" s="141">
        <v>3179</v>
      </c>
      <c r="X377" s="141">
        <v>3180</v>
      </c>
      <c r="Y377" s="142">
        <v>1</v>
      </c>
      <c r="Z377" s="141">
        <v>38982</v>
      </c>
      <c r="AA377" s="141">
        <v>39016</v>
      </c>
      <c r="AB377" s="142">
        <v>34</v>
      </c>
    </row>
    <row r="378" spans="1:28">
      <c r="A378" s="144">
        <v>45360</v>
      </c>
      <c r="B378" s="141">
        <f t="shared" si="8"/>
        <v>57115</v>
      </c>
      <c r="C378" s="141">
        <v>57175</v>
      </c>
      <c r="D378" s="142">
        <f t="shared" si="7"/>
        <v>60</v>
      </c>
      <c r="E378" s="141">
        <v>22315</v>
      </c>
      <c r="F378" s="141">
        <v>22342</v>
      </c>
      <c r="G378" s="142">
        <v>27</v>
      </c>
      <c r="H378" s="141">
        <v>505883</v>
      </c>
      <c r="I378" s="141">
        <v>505971</v>
      </c>
      <c r="J378" s="142">
        <v>88</v>
      </c>
      <c r="Q378" s="141">
        <v>19167</v>
      </c>
      <c r="R378" s="141">
        <v>19197</v>
      </c>
      <c r="S378" s="142">
        <v>30</v>
      </c>
      <c r="T378" s="141">
        <v>4236</v>
      </c>
      <c r="U378" s="141">
        <v>4238</v>
      </c>
      <c r="V378" s="142">
        <v>2</v>
      </c>
      <c r="W378" s="141">
        <v>3180</v>
      </c>
      <c r="X378" s="141">
        <v>3181</v>
      </c>
      <c r="Y378" s="142">
        <v>1</v>
      </c>
      <c r="Z378" s="141">
        <v>39016</v>
      </c>
      <c r="AA378" s="141">
        <v>39046</v>
      </c>
      <c r="AB378" s="142">
        <v>30</v>
      </c>
    </row>
    <row r="379" spans="1:28">
      <c r="A379" s="144">
        <v>45361</v>
      </c>
      <c r="B379" s="141">
        <f t="shared" si="8"/>
        <v>57175</v>
      </c>
      <c r="C379" s="141">
        <v>57264</v>
      </c>
      <c r="D379" s="142">
        <f t="shared" si="7"/>
        <v>89</v>
      </c>
      <c r="E379" s="141">
        <v>22342</v>
      </c>
      <c r="F379" s="141">
        <v>22384</v>
      </c>
      <c r="G379" s="142">
        <v>42</v>
      </c>
      <c r="H379" s="141">
        <v>505971</v>
      </c>
      <c r="I379" s="141">
        <v>506059</v>
      </c>
      <c r="J379" s="142">
        <v>88</v>
      </c>
      <c r="Q379" s="141">
        <v>19197</v>
      </c>
      <c r="R379" s="141">
        <v>19222</v>
      </c>
      <c r="S379" s="142">
        <v>25</v>
      </c>
      <c r="T379" s="141">
        <v>4238</v>
      </c>
      <c r="U379" s="141">
        <v>4244</v>
      </c>
      <c r="V379" s="142">
        <v>6</v>
      </c>
      <c r="W379" s="141">
        <v>3181</v>
      </c>
      <c r="X379" s="141">
        <v>3183</v>
      </c>
      <c r="Y379" s="142">
        <v>2</v>
      </c>
      <c r="Z379" s="141">
        <v>39046</v>
      </c>
      <c r="AA379" s="141">
        <v>39061</v>
      </c>
      <c r="AB379" s="142">
        <v>15</v>
      </c>
    </row>
    <row r="380" spans="1:28">
      <c r="A380" s="144">
        <v>45362</v>
      </c>
      <c r="B380" s="141">
        <f t="shared" si="8"/>
        <v>57264</v>
      </c>
      <c r="C380" s="141">
        <v>57365</v>
      </c>
      <c r="D380" s="142">
        <f t="shared" si="7"/>
        <v>101</v>
      </c>
      <c r="E380" s="141">
        <v>22384</v>
      </c>
      <c r="F380" s="141">
        <v>22411</v>
      </c>
      <c r="G380" s="142">
        <v>72</v>
      </c>
      <c r="H380" s="141">
        <v>506059</v>
      </c>
      <c r="I380" s="141">
        <v>506222</v>
      </c>
      <c r="J380" s="142">
        <v>163</v>
      </c>
      <c r="Q380" s="141">
        <v>19222</v>
      </c>
      <c r="R380" s="141">
        <v>19274</v>
      </c>
      <c r="S380" s="142">
        <v>52</v>
      </c>
      <c r="T380" s="141">
        <v>4244</v>
      </c>
      <c r="U380" s="141">
        <v>4248</v>
      </c>
      <c r="V380" s="142">
        <v>4</v>
      </c>
      <c r="W380" s="141">
        <v>3183</v>
      </c>
      <c r="X380" s="141">
        <v>3185</v>
      </c>
      <c r="Y380" s="142">
        <v>2</v>
      </c>
      <c r="Z380" s="141">
        <v>39061</v>
      </c>
      <c r="AA380" s="141">
        <v>39081</v>
      </c>
      <c r="AB380" s="142">
        <v>20</v>
      </c>
    </row>
    <row r="381" spans="1:28">
      <c r="A381" s="144">
        <v>45363</v>
      </c>
      <c r="B381" s="141">
        <f t="shared" si="8"/>
        <v>57365</v>
      </c>
      <c r="C381" s="141">
        <v>57469</v>
      </c>
      <c r="D381" s="142">
        <f t="shared" si="7"/>
        <v>104</v>
      </c>
      <c r="E381" s="141">
        <v>22411</v>
      </c>
      <c r="F381" s="141">
        <v>22437</v>
      </c>
      <c r="G381" s="142">
        <v>26</v>
      </c>
      <c r="H381" s="141">
        <v>506222</v>
      </c>
      <c r="I381" s="141">
        <v>506374</v>
      </c>
      <c r="J381" s="142">
        <v>152</v>
      </c>
      <c r="Q381" s="141">
        <v>19274</v>
      </c>
      <c r="R381" s="141">
        <v>19310</v>
      </c>
      <c r="S381" s="142">
        <v>36</v>
      </c>
      <c r="T381" s="141">
        <v>4248</v>
      </c>
      <c r="U381" s="141">
        <v>4250</v>
      </c>
      <c r="V381" s="142">
        <v>2</v>
      </c>
      <c r="W381" s="141">
        <v>3185</v>
      </c>
      <c r="X381" s="141">
        <v>3187</v>
      </c>
      <c r="Y381" s="142">
        <v>2</v>
      </c>
      <c r="Z381" s="141">
        <v>39081</v>
      </c>
      <c r="AA381" s="141">
        <v>39091</v>
      </c>
      <c r="AB381" s="142">
        <v>10</v>
      </c>
    </row>
    <row r="382" spans="1:28">
      <c r="A382" s="144">
        <v>45364</v>
      </c>
      <c r="B382" s="141">
        <f t="shared" si="8"/>
        <v>57469</v>
      </c>
      <c r="C382" s="141">
        <v>57578</v>
      </c>
      <c r="D382" s="142">
        <f t="shared" si="7"/>
        <v>109</v>
      </c>
      <c r="E382" s="141">
        <v>22437</v>
      </c>
      <c r="F382" s="141">
        <v>22475</v>
      </c>
      <c r="G382" s="142">
        <v>38</v>
      </c>
      <c r="H382" s="141">
        <v>506374</v>
      </c>
      <c r="I382" s="141">
        <v>506534</v>
      </c>
      <c r="J382" s="142">
        <v>160</v>
      </c>
      <c r="Q382" s="141">
        <v>19310</v>
      </c>
      <c r="R382" s="141">
        <v>19343</v>
      </c>
      <c r="S382" s="142">
        <v>33</v>
      </c>
      <c r="T382" s="141">
        <v>4250</v>
      </c>
      <c r="U382" s="141">
        <v>4252</v>
      </c>
      <c r="V382" s="142">
        <v>2</v>
      </c>
      <c r="W382" s="141">
        <v>3187</v>
      </c>
      <c r="X382" s="141">
        <v>3188</v>
      </c>
      <c r="Y382" s="142">
        <v>1</v>
      </c>
      <c r="Z382" s="141">
        <v>39091</v>
      </c>
      <c r="AA382" s="141">
        <v>39129</v>
      </c>
      <c r="AB382" s="142">
        <v>38</v>
      </c>
    </row>
    <row r="383" spans="1:28">
      <c r="A383" s="144">
        <v>45365</v>
      </c>
      <c r="B383" s="141">
        <f t="shared" si="8"/>
        <v>57578</v>
      </c>
      <c r="C383" s="141">
        <v>57687</v>
      </c>
      <c r="D383" s="142">
        <f t="shared" si="7"/>
        <v>109</v>
      </c>
      <c r="E383" s="141">
        <v>22475</v>
      </c>
      <c r="F383" s="141">
        <v>22515</v>
      </c>
      <c r="G383" s="142">
        <v>40</v>
      </c>
      <c r="H383" s="141">
        <v>506534</v>
      </c>
      <c r="I383" s="141">
        <v>506668</v>
      </c>
      <c r="J383" s="142">
        <v>134</v>
      </c>
      <c r="Q383" s="141">
        <v>19343</v>
      </c>
      <c r="R383" s="141">
        <v>19390</v>
      </c>
      <c r="S383" s="142">
        <v>47</v>
      </c>
      <c r="T383" s="141">
        <v>4252</v>
      </c>
      <c r="U383" s="141">
        <v>4256</v>
      </c>
      <c r="V383" s="142">
        <v>4</v>
      </c>
      <c r="W383" s="141">
        <v>3188</v>
      </c>
      <c r="X383" s="141">
        <v>3189</v>
      </c>
      <c r="Y383" s="142">
        <v>1</v>
      </c>
      <c r="Z383" s="141">
        <v>39129</v>
      </c>
      <c r="AA383" s="141">
        <v>39152</v>
      </c>
      <c r="AB383" s="142">
        <v>23</v>
      </c>
    </row>
    <row r="384" spans="1:28">
      <c r="A384" s="144">
        <v>45366</v>
      </c>
      <c r="B384" s="141">
        <f t="shared" si="8"/>
        <v>57687</v>
      </c>
      <c r="C384" s="141">
        <v>57804</v>
      </c>
      <c r="D384" s="142">
        <f t="shared" si="7"/>
        <v>117</v>
      </c>
      <c r="E384" s="141">
        <v>22515</v>
      </c>
      <c r="F384" s="141">
        <v>22578</v>
      </c>
      <c r="G384" s="142">
        <v>63</v>
      </c>
      <c r="H384" s="141">
        <v>506668</v>
      </c>
      <c r="I384" s="141">
        <v>506811</v>
      </c>
      <c r="J384" s="142">
        <v>143</v>
      </c>
      <c r="Q384" s="141">
        <v>19390</v>
      </c>
      <c r="R384" s="141">
        <v>19425</v>
      </c>
      <c r="S384" s="142">
        <v>35</v>
      </c>
      <c r="T384" s="141">
        <v>4256</v>
      </c>
      <c r="U384" s="141">
        <v>4259</v>
      </c>
      <c r="V384" s="142">
        <v>3</v>
      </c>
      <c r="W384" s="141">
        <v>3189</v>
      </c>
      <c r="X384" s="141">
        <v>3191</v>
      </c>
      <c r="Y384" s="142">
        <v>2</v>
      </c>
      <c r="Z384" s="141">
        <v>39152</v>
      </c>
      <c r="AA384" s="141">
        <v>39220</v>
      </c>
      <c r="AB384" s="142">
        <v>68</v>
      </c>
    </row>
    <row r="385" spans="1:28">
      <c r="A385" s="144">
        <v>45367</v>
      </c>
      <c r="B385" s="141">
        <f t="shared" si="8"/>
        <v>57804</v>
      </c>
      <c r="C385" s="141">
        <v>57922</v>
      </c>
      <c r="D385" s="142">
        <f t="shared" si="7"/>
        <v>118</v>
      </c>
      <c r="E385" s="141">
        <v>22578</v>
      </c>
      <c r="F385" s="141">
        <v>22626</v>
      </c>
      <c r="G385" s="142">
        <v>48</v>
      </c>
      <c r="H385" s="141">
        <v>506811</v>
      </c>
      <c r="I385" s="141">
        <v>506911</v>
      </c>
      <c r="J385" s="142">
        <v>100</v>
      </c>
      <c r="Q385" s="141">
        <v>19425</v>
      </c>
      <c r="R385" s="141">
        <v>19470</v>
      </c>
      <c r="S385" s="142">
        <v>45</v>
      </c>
      <c r="T385" s="141">
        <v>4259</v>
      </c>
      <c r="U385" s="141">
        <v>4262</v>
      </c>
      <c r="V385" s="142">
        <v>3</v>
      </c>
      <c r="W385" s="141">
        <v>3191</v>
      </c>
      <c r="X385" s="141">
        <v>3193</v>
      </c>
      <c r="Y385" s="142">
        <v>2</v>
      </c>
      <c r="Z385" s="141">
        <v>39220</v>
      </c>
      <c r="AA385" s="141">
        <v>39258</v>
      </c>
      <c r="AB385" s="142">
        <v>38</v>
      </c>
    </row>
    <row r="386" spans="1:28">
      <c r="A386" s="144">
        <v>45368</v>
      </c>
      <c r="B386" s="141">
        <f t="shared" si="8"/>
        <v>57922</v>
      </c>
      <c r="C386" s="141">
        <v>57997</v>
      </c>
      <c r="D386" s="142">
        <f t="shared" si="7"/>
        <v>75</v>
      </c>
      <c r="E386" s="141">
        <v>22626</v>
      </c>
      <c r="F386" s="141">
        <v>22679</v>
      </c>
      <c r="G386" s="142">
        <v>53</v>
      </c>
      <c r="H386" s="141">
        <v>506911</v>
      </c>
      <c r="I386" s="141">
        <v>507046</v>
      </c>
      <c r="J386" s="142">
        <v>135</v>
      </c>
      <c r="Q386" s="141">
        <v>19470</v>
      </c>
      <c r="R386" s="141">
        <v>19503</v>
      </c>
      <c r="S386" s="142">
        <v>33</v>
      </c>
      <c r="T386" s="141">
        <v>4262</v>
      </c>
      <c r="U386" s="141">
        <v>4266</v>
      </c>
      <c r="V386" s="142">
        <v>4</v>
      </c>
      <c r="W386" s="141">
        <v>3193</v>
      </c>
      <c r="X386" s="141">
        <v>3193</v>
      </c>
      <c r="Y386" s="142">
        <v>0</v>
      </c>
      <c r="Z386" s="141">
        <v>39258</v>
      </c>
      <c r="AA386" s="141">
        <v>39287</v>
      </c>
      <c r="AB386" s="142">
        <v>29</v>
      </c>
    </row>
    <row r="387" spans="1:28">
      <c r="A387" s="144">
        <v>45369</v>
      </c>
      <c r="B387" s="141">
        <f t="shared" si="8"/>
        <v>57997</v>
      </c>
      <c r="C387" s="141">
        <v>58085</v>
      </c>
      <c r="D387" s="142">
        <v>88</v>
      </c>
      <c r="E387" s="141">
        <v>22679</v>
      </c>
      <c r="F387" s="141">
        <v>22719</v>
      </c>
      <c r="G387" s="142">
        <v>40</v>
      </c>
      <c r="H387" s="141">
        <v>507046</v>
      </c>
      <c r="I387" s="141">
        <v>507163</v>
      </c>
      <c r="J387" s="142">
        <v>117</v>
      </c>
      <c r="Q387" s="141">
        <v>19503</v>
      </c>
      <c r="R387" s="141">
        <v>19549</v>
      </c>
      <c r="S387" s="142">
        <v>46</v>
      </c>
      <c r="T387" s="141">
        <v>4266</v>
      </c>
      <c r="U387" s="141">
        <v>4270</v>
      </c>
      <c r="V387" s="142">
        <v>4</v>
      </c>
      <c r="W387" s="141">
        <v>3193</v>
      </c>
      <c r="X387" s="141">
        <v>3195</v>
      </c>
      <c r="Y387" s="142">
        <v>2</v>
      </c>
      <c r="Z387" s="141">
        <v>39287</v>
      </c>
      <c r="AA387" s="141">
        <v>39309</v>
      </c>
      <c r="AB387" s="142">
        <v>22</v>
      </c>
    </row>
    <row r="388" spans="1:28">
      <c r="A388" s="144">
        <v>45370</v>
      </c>
      <c r="B388" s="141">
        <f t="shared" si="8"/>
        <v>58085</v>
      </c>
      <c r="C388" s="141">
        <v>58188</v>
      </c>
      <c r="D388" s="142">
        <f t="shared" ref="D388:D419" si="9">C388-B388</f>
        <v>103</v>
      </c>
      <c r="E388" s="141">
        <v>22719</v>
      </c>
      <c r="F388" s="141">
        <v>22774</v>
      </c>
      <c r="G388" s="142">
        <v>55</v>
      </c>
      <c r="H388" s="141">
        <v>507163</v>
      </c>
      <c r="I388" s="141">
        <v>507295</v>
      </c>
      <c r="J388" s="142">
        <v>132</v>
      </c>
      <c r="Q388" s="141">
        <v>19549</v>
      </c>
      <c r="R388" s="141">
        <v>19604</v>
      </c>
      <c r="S388" s="142">
        <v>55</v>
      </c>
      <c r="T388" s="141">
        <v>4270</v>
      </c>
      <c r="U388" s="141">
        <v>4273</v>
      </c>
      <c r="V388" s="142">
        <v>3</v>
      </c>
      <c r="W388" s="141">
        <v>3195</v>
      </c>
      <c r="X388" s="141">
        <v>3197</v>
      </c>
      <c r="Y388" s="142">
        <v>2</v>
      </c>
      <c r="Z388" s="141">
        <v>39309</v>
      </c>
      <c r="AA388" s="141">
        <v>39388</v>
      </c>
      <c r="AB388" s="142">
        <v>79</v>
      </c>
    </row>
    <row r="389" spans="1:28">
      <c r="A389" s="144">
        <v>45371</v>
      </c>
      <c r="B389" s="141">
        <f t="shared" si="8"/>
        <v>58188</v>
      </c>
      <c r="C389" s="141">
        <v>58279</v>
      </c>
      <c r="D389" s="142">
        <f t="shared" si="9"/>
        <v>91</v>
      </c>
      <c r="E389" s="141">
        <v>22774</v>
      </c>
      <c r="F389" s="141">
        <v>22832</v>
      </c>
      <c r="G389" s="142">
        <v>58</v>
      </c>
      <c r="H389" s="141">
        <v>507295</v>
      </c>
      <c r="I389" s="141">
        <v>507429</v>
      </c>
      <c r="J389" s="142">
        <v>134</v>
      </c>
      <c r="Q389" s="141">
        <v>19604</v>
      </c>
      <c r="R389" s="141">
        <v>19664</v>
      </c>
      <c r="S389" s="142">
        <v>60</v>
      </c>
      <c r="T389" s="141">
        <v>4273</v>
      </c>
      <c r="U389" s="141">
        <v>4281</v>
      </c>
      <c r="V389" s="142">
        <v>8</v>
      </c>
      <c r="W389" s="141">
        <v>3197</v>
      </c>
      <c r="X389" s="141">
        <v>3211</v>
      </c>
      <c r="Y389" s="142">
        <v>14</v>
      </c>
      <c r="Z389" s="141">
        <v>39388</v>
      </c>
      <c r="AA389" s="141">
        <v>39419</v>
      </c>
      <c r="AB389" s="142">
        <v>31</v>
      </c>
    </row>
    <row r="390" spans="1:28">
      <c r="A390" s="144">
        <v>45372</v>
      </c>
      <c r="B390" s="141">
        <f t="shared" si="8"/>
        <v>58279</v>
      </c>
      <c r="C390" s="141">
        <v>58367</v>
      </c>
      <c r="D390" s="142">
        <f t="shared" si="9"/>
        <v>88</v>
      </c>
      <c r="E390" s="141">
        <v>22832</v>
      </c>
      <c r="F390" s="141">
        <v>22892</v>
      </c>
      <c r="G390" s="142">
        <v>60</v>
      </c>
      <c r="H390" s="141">
        <v>507429</v>
      </c>
      <c r="I390" s="141">
        <v>507528</v>
      </c>
      <c r="J390" s="142">
        <v>99</v>
      </c>
      <c r="Q390" s="141">
        <v>19664</v>
      </c>
      <c r="R390" s="141">
        <v>19728</v>
      </c>
      <c r="S390" s="142">
        <v>64</v>
      </c>
      <c r="T390" s="141">
        <v>4281</v>
      </c>
      <c r="U390" s="141">
        <v>4284</v>
      </c>
      <c r="V390" s="142">
        <v>3</v>
      </c>
      <c r="W390" s="141">
        <v>3211</v>
      </c>
      <c r="X390" s="141">
        <v>3212</v>
      </c>
      <c r="Y390" s="142">
        <v>1</v>
      </c>
      <c r="Z390" s="141">
        <v>39419</v>
      </c>
      <c r="AA390" s="141">
        <v>39429</v>
      </c>
      <c r="AB390" s="142">
        <v>10</v>
      </c>
    </row>
    <row r="391" spans="1:28">
      <c r="A391" s="144">
        <v>45373</v>
      </c>
      <c r="B391" s="141">
        <f t="shared" si="8"/>
        <v>58367</v>
      </c>
      <c r="C391" s="141">
        <v>58458</v>
      </c>
      <c r="D391" s="142">
        <f t="shared" si="9"/>
        <v>91</v>
      </c>
      <c r="E391" s="141">
        <v>22892</v>
      </c>
      <c r="F391" s="141">
        <v>22906</v>
      </c>
      <c r="G391" s="142">
        <v>14</v>
      </c>
      <c r="H391" s="141">
        <v>507528</v>
      </c>
      <c r="I391" s="141">
        <v>507753</v>
      </c>
      <c r="J391" s="142">
        <v>225</v>
      </c>
      <c r="Q391" s="141">
        <v>19728</v>
      </c>
      <c r="R391" s="141">
        <v>19792</v>
      </c>
      <c r="S391" s="142">
        <v>64</v>
      </c>
      <c r="T391" s="141">
        <v>4284</v>
      </c>
      <c r="U391" s="141">
        <v>4289</v>
      </c>
      <c r="V391" s="142">
        <v>5</v>
      </c>
      <c r="W391" s="141">
        <v>3212</v>
      </c>
      <c r="X391" s="141">
        <v>3213</v>
      </c>
      <c r="Y391" s="142">
        <v>1</v>
      </c>
      <c r="Z391" s="141">
        <v>39429</v>
      </c>
      <c r="AA391" s="141">
        <v>39460</v>
      </c>
      <c r="AB391" s="142">
        <v>31</v>
      </c>
    </row>
    <row r="392" spans="1:28">
      <c r="A392" s="144">
        <v>45374</v>
      </c>
      <c r="B392" s="141">
        <f t="shared" si="8"/>
        <v>58458</v>
      </c>
      <c r="C392" s="141">
        <v>58553</v>
      </c>
      <c r="D392" s="142">
        <f t="shared" si="9"/>
        <v>95</v>
      </c>
      <c r="E392" s="141">
        <v>22906</v>
      </c>
      <c r="F392" s="141">
        <v>22941</v>
      </c>
      <c r="G392" s="142">
        <v>35</v>
      </c>
      <c r="H392" s="141">
        <v>507753</v>
      </c>
      <c r="I392" s="141">
        <v>507875</v>
      </c>
      <c r="J392" s="142">
        <v>122</v>
      </c>
      <c r="Q392" s="141">
        <v>19792</v>
      </c>
      <c r="R392" s="141">
        <v>19843</v>
      </c>
      <c r="S392" s="142">
        <v>51</v>
      </c>
      <c r="T392" s="141">
        <v>4289</v>
      </c>
      <c r="U392" s="141">
        <v>4293</v>
      </c>
      <c r="V392" s="142">
        <v>4</v>
      </c>
      <c r="W392" s="141">
        <v>3213</v>
      </c>
      <c r="X392" s="141">
        <v>3214</v>
      </c>
      <c r="Y392" s="142">
        <v>1</v>
      </c>
      <c r="Z392" s="141">
        <v>39460</v>
      </c>
      <c r="AA392" s="141">
        <v>39483</v>
      </c>
      <c r="AB392" s="142">
        <v>23</v>
      </c>
    </row>
    <row r="393" spans="1:28">
      <c r="A393" s="144">
        <v>45375</v>
      </c>
      <c r="B393" s="141">
        <f t="shared" si="8"/>
        <v>58553</v>
      </c>
      <c r="C393" s="141">
        <v>58661</v>
      </c>
      <c r="D393" s="142">
        <f t="shared" si="9"/>
        <v>108</v>
      </c>
      <c r="E393" s="141">
        <v>22941</v>
      </c>
      <c r="F393" s="141">
        <v>22963</v>
      </c>
      <c r="G393" s="142">
        <v>22</v>
      </c>
      <c r="H393" s="141">
        <v>507875</v>
      </c>
      <c r="I393" s="141">
        <v>508013</v>
      </c>
      <c r="J393" s="142">
        <v>138</v>
      </c>
      <c r="Q393" s="141">
        <v>19843</v>
      </c>
      <c r="R393" s="141">
        <v>19891</v>
      </c>
      <c r="S393" s="142">
        <v>48</v>
      </c>
      <c r="T393" s="141">
        <v>4293</v>
      </c>
      <c r="U393" s="141">
        <v>4297</v>
      </c>
      <c r="V393" s="142">
        <v>4</v>
      </c>
      <c r="W393" s="141">
        <v>3214</v>
      </c>
      <c r="X393" s="141">
        <v>3215</v>
      </c>
      <c r="Y393" s="142">
        <v>1</v>
      </c>
      <c r="Z393" s="141">
        <v>39483</v>
      </c>
      <c r="AA393" s="141">
        <v>39503</v>
      </c>
      <c r="AB393" s="142">
        <v>20</v>
      </c>
    </row>
    <row r="394" spans="1:28">
      <c r="A394" s="144">
        <v>45376</v>
      </c>
      <c r="B394" s="141">
        <f t="shared" si="8"/>
        <v>58661</v>
      </c>
      <c r="C394" s="141">
        <v>58720</v>
      </c>
      <c r="D394" s="142">
        <f t="shared" si="9"/>
        <v>59</v>
      </c>
      <c r="E394" s="141">
        <v>22963</v>
      </c>
      <c r="F394" s="141">
        <v>22993</v>
      </c>
      <c r="G394" s="142">
        <v>30</v>
      </c>
      <c r="H394" s="141">
        <v>508013</v>
      </c>
      <c r="I394" s="141">
        <v>508112</v>
      </c>
      <c r="J394" s="142">
        <v>99</v>
      </c>
      <c r="Q394" s="141">
        <v>19891</v>
      </c>
      <c r="R394" s="141">
        <v>19940</v>
      </c>
      <c r="S394" s="142">
        <v>49</v>
      </c>
      <c r="T394" s="141">
        <v>4297</v>
      </c>
      <c r="U394" s="141">
        <v>4302</v>
      </c>
      <c r="V394" s="142">
        <v>5</v>
      </c>
      <c r="W394" s="141">
        <v>3215</v>
      </c>
      <c r="X394" s="141">
        <v>3217</v>
      </c>
      <c r="Y394" s="142">
        <v>2</v>
      </c>
      <c r="Z394" s="141">
        <v>39503</v>
      </c>
      <c r="AA394" s="141">
        <v>39542</v>
      </c>
      <c r="AB394" s="142">
        <v>39</v>
      </c>
    </row>
    <row r="395" spans="1:28">
      <c r="A395" s="144">
        <v>45377</v>
      </c>
      <c r="B395" s="141">
        <f t="shared" si="8"/>
        <v>58720</v>
      </c>
      <c r="C395" s="141">
        <v>58808</v>
      </c>
      <c r="D395" s="142">
        <f t="shared" si="9"/>
        <v>88</v>
      </c>
      <c r="E395" s="141">
        <v>22993</v>
      </c>
      <c r="F395" s="141">
        <v>23044</v>
      </c>
      <c r="G395" s="142">
        <v>51</v>
      </c>
      <c r="H395" s="141">
        <v>508112</v>
      </c>
      <c r="I395" s="141">
        <v>508224</v>
      </c>
      <c r="J395" s="142">
        <v>112</v>
      </c>
      <c r="Q395" s="141">
        <v>19940</v>
      </c>
      <c r="R395" s="141">
        <v>19985</v>
      </c>
      <c r="S395" s="142">
        <v>45</v>
      </c>
      <c r="T395" s="141">
        <v>4302</v>
      </c>
      <c r="U395" s="141">
        <v>4307</v>
      </c>
      <c r="V395" s="142">
        <v>5</v>
      </c>
      <c r="W395" s="141">
        <v>3217</v>
      </c>
      <c r="X395" s="141">
        <v>3218</v>
      </c>
      <c r="Y395" s="142">
        <v>1</v>
      </c>
      <c r="Z395" s="141">
        <v>39542</v>
      </c>
      <c r="AA395" s="141">
        <v>39572</v>
      </c>
      <c r="AB395" s="142">
        <v>30</v>
      </c>
    </row>
    <row r="396" spans="1:28">
      <c r="A396" s="144">
        <v>45378</v>
      </c>
      <c r="B396" s="141">
        <f t="shared" si="8"/>
        <v>58808</v>
      </c>
      <c r="C396" s="141">
        <v>58891</v>
      </c>
      <c r="D396" s="142">
        <f t="shared" si="9"/>
        <v>83</v>
      </c>
      <c r="E396" s="141">
        <v>23044</v>
      </c>
      <c r="F396" s="141">
        <v>23066</v>
      </c>
      <c r="G396" s="142">
        <v>22</v>
      </c>
      <c r="H396" s="141">
        <v>508224</v>
      </c>
      <c r="I396" s="141">
        <v>508383</v>
      </c>
      <c r="J396" s="142">
        <v>159</v>
      </c>
      <c r="Q396" s="141">
        <v>19985</v>
      </c>
      <c r="R396" s="141">
        <v>20018</v>
      </c>
      <c r="S396" s="142">
        <v>33</v>
      </c>
      <c r="T396" s="141">
        <v>4307</v>
      </c>
      <c r="U396" s="141">
        <v>4311</v>
      </c>
      <c r="V396" s="142">
        <v>4</v>
      </c>
      <c r="W396" s="141">
        <v>3218</v>
      </c>
      <c r="X396" s="141">
        <v>3219</v>
      </c>
      <c r="Y396" s="142">
        <v>1</v>
      </c>
      <c r="Z396" s="141">
        <v>39572</v>
      </c>
      <c r="AA396" s="141">
        <v>39604</v>
      </c>
      <c r="AB396" s="142">
        <v>32</v>
      </c>
    </row>
    <row r="397" spans="1:28">
      <c r="A397" s="144">
        <v>45379</v>
      </c>
      <c r="B397" s="141">
        <f t="shared" ref="B397:B460" si="10">C396</f>
        <v>58891</v>
      </c>
      <c r="C397" s="141">
        <v>58979</v>
      </c>
      <c r="D397" s="142">
        <f t="shared" si="9"/>
        <v>88</v>
      </c>
      <c r="E397" s="141">
        <v>23066</v>
      </c>
      <c r="F397" s="141">
        <v>23109</v>
      </c>
      <c r="G397" s="142">
        <v>43</v>
      </c>
      <c r="H397" s="141">
        <v>508383</v>
      </c>
      <c r="I397" s="141">
        <v>508534</v>
      </c>
      <c r="J397" s="142">
        <v>151</v>
      </c>
      <c r="Q397" s="141">
        <v>20018</v>
      </c>
      <c r="R397" s="141">
        <v>20059</v>
      </c>
      <c r="S397" s="142">
        <v>41</v>
      </c>
      <c r="T397" s="141">
        <v>4311</v>
      </c>
      <c r="U397" s="141">
        <v>4316</v>
      </c>
      <c r="V397" s="142">
        <v>5</v>
      </c>
      <c r="W397" s="141">
        <v>3219</v>
      </c>
      <c r="X397" s="141">
        <v>3220</v>
      </c>
      <c r="Y397" s="142">
        <v>1</v>
      </c>
      <c r="Z397" s="141">
        <v>39604</v>
      </c>
      <c r="AA397" s="141">
        <v>39630</v>
      </c>
      <c r="AB397" s="142">
        <v>26</v>
      </c>
    </row>
    <row r="398" spans="1:28">
      <c r="A398" s="144">
        <v>45380</v>
      </c>
      <c r="B398" s="141">
        <f t="shared" si="10"/>
        <v>58979</v>
      </c>
      <c r="C398" s="141">
        <v>59067</v>
      </c>
      <c r="D398" s="142">
        <f t="shared" si="9"/>
        <v>88</v>
      </c>
      <c r="E398" s="141">
        <v>23109</v>
      </c>
      <c r="F398" s="141">
        <v>23151</v>
      </c>
      <c r="G398" s="142">
        <v>42</v>
      </c>
      <c r="H398" s="141">
        <v>508534</v>
      </c>
      <c r="I398" s="141">
        <v>508668</v>
      </c>
      <c r="J398" s="142">
        <v>134</v>
      </c>
      <c r="Q398" s="141">
        <v>20059</v>
      </c>
      <c r="R398" s="141">
        <v>20096</v>
      </c>
      <c r="S398" s="142">
        <v>37</v>
      </c>
      <c r="T398" s="141">
        <v>4316</v>
      </c>
      <c r="U398" s="141">
        <v>4319</v>
      </c>
      <c r="V398" s="142">
        <v>3</v>
      </c>
      <c r="W398" s="141">
        <v>3220</v>
      </c>
      <c r="X398" s="141">
        <v>3220</v>
      </c>
      <c r="Y398" s="142">
        <v>0</v>
      </c>
      <c r="Z398" s="141">
        <v>39630</v>
      </c>
      <c r="AA398" s="141">
        <v>39652</v>
      </c>
      <c r="AB398" s="142">
        <v>22</v>
      </c>
    </row>
    <row r="399" spans="1:28">
      <c r="A399" s="144">
        <v>45381</v>
      </c>
      <c r="B399" s="141">
        <f t="shared" si="10"/>
        <v>59067</v>
      </c>
      <c r="C399" s="141">
        <v>59160</v>
      </c>
      <c r="D399" s="142">
        <f t="shared" si="9"/>
        <v>93</v>
      </c>
      <c r="E399" s="141">
        <v>23151</v>
      </c>
      <c r="F399" s="141">
        <v>23185</v>
      </c>
      <c r="G399" s="142">
        <v>34</v>
      </c>
      <c r="H399" s="141">
        <v>508668</v>
      </c>
      <c r="I399" s="141">
        <v>508810</v>
      </c>
      <c r="J399" s="142">
        <v>142</v>
      </c>
      <c r="Q399" s="141">
        <v>20096</v>
      </c>
      <c r="R399" s="141">
        <v>20152</v>
      </c>
      <c r="S399" s="142">
        <v>56</v>
      </c>
      <c r="T399" s="141">
        <v>4319</v>
      </c>
      <c r="U399" s="141">
        <v>4324</v>
      </c>
      <c r="V399" s="142">
        <v>5</v>
      </c>
      <c r="W399" s="141">
        <v>3220</v>
      </c>
      <c r="X399" s="141">
        <v>3221</v>
      </c>
      <c r="Y399" s="142">
        <v>1</v>
      </c>
      <c r="Z399" s="141">
        <v>39652</v>
      </c>
      <c r="AA399" s="141">
        <v>39679</v>
      </c>
      <c r="AB399" s="142">
        <v>27</v>
      </c>
    </row>
    <row r="400" spans="1:28">
      <c r="A400" s="144">
        <v>45382</v>
      </c>
      <c r="B400" s="141">
        <f t="shared" si="10"/>
        <v>59160</v>
      </c>
      <c r="C400" s="141">
        <v>59230</v>
      </c>
      <c r="D400" s="142">
        <f t="shared" si="9"/>
        <v>70</v>
      </c>
      <c r="E400" s="141">
        <v>23185</v>
      </c>
      <c r="F400" s="141">
        <v>23235</v>
      </c>
      <c r="G400" s="142">
        <v>50</v>
      </c>
      <c r="H400" s="141">
        <v>508810</v>
      </c>
      <c r="I400" s="141">
        <v>508946</v>
      </c>
      <c r="J400" s="142">
        <v>136</v>
      </c>
      <c r="Q400" s="141">
        <v>20152</v>
      </c>
      <c r="R400" s="141">
        <v>20188</v>
      </c>
      <c r="S400" s="142">
        <v>36</v>
      </c>
      <c r="T400" s="141">
        <v>4324</v>
      </c>
      <c r="U400" s="141">
        <v>4329</v>
      </c>
      <c r="V400" s="142">
        <v>5</v>
      </c>
      <c r="W400" s="141">
        <v>3221</v>
      </c>
      <c r="X400" s="141">
        <v>3222</v>
      </c>
      <c r="Y400" s="142">
        <v>1</v>
      </c>
      <c r="Z400" s="141">
        <v>39679</v>
      </c>
      <c r="AA400" s="141">
        <v>39697</v>
      </c>
      <c r="AB400" s="142">
        <v>18</v>
      </c>
    </row>
    <row r="401" spans="1:28">
      <c r="A401" s="144">
        <v>45383</v>
      </c>
      <c r="B401" s="141">
        <f t="shared" si="10"/>
        <v>59230</v>
      </c>
      <c r="C401" s="141">
        <v>59312</v>
      </c>
      <c r="D401" s="142">
        <f t="shared" si="9"/>
        <v>82</v>
      </c>
      <c r="E401" s="141">
        <v>23235</v>
      </c>
      <c r="F401" s="141">
        <v>23273</v>
      </c>
      <c r="G401" s="142">
        <v>38</v>
      </c>
      <c r="H401" s="141">
        <v>508946</v>
      </c>
      <c r="I401" s="141">
        <v>509064</v>
      </c>
      <c r="J401" s="142">
        <v>118</v>
      </c>
      <c r="Q401" s="141">
        <v>20188</v>
      </c>
      <c r="R401" s="141">
        <v>20224</v>
      </c>
      <c r="S401" s="142">
        <v>36</v>
      </c>
      <c r="T401" s="141">
        <v>4329</v>
      </c>
      <c r="U401" s="141">
        <v>4333</v>
      </c>
      <c r="V401" s="142">
        <v>4</v>
      </c>
      <c r="W401" s="141">
        <v>3222</v>
      </c>
      <c r="X401" s="141">
        <v>3223</v>
      </c>
      <c r="Y401" s="142">
        <v>1</v>
      </c>
      <c r="Z401" s="141">
        <v>39697</v>
      </c>
      <c r="AA401" s="141">
        <v>39719</v>
      </c>
      <c r="AB401" s="142">
        <v>22</v>
      </c>
    </row>
    <row r="402" spans="1:28">
      <c r="A402" s="144">
        <v>45384</v>
      </c>
      <c r="B402" s="141">
        <f t="shared" si="10"/>
        <v>59312</v>
      </c>
      <c r="C402" s="141">
        <v>59404</v>
      </c>
      <c r="D402" s="142">
        <f t="shared" si="9"/>
        <v>92</v>
      </c>
      <c r="E402" s="141">
        <v>23273</v>
      </c>
      <c r="F402" s="141">
        <v>23299</v>
      </c>
      <c r="G402" s="142">
        <v>26</v>
      </c>
      <c r="H402" s="141">
        <v>509064</v>
      </c>
      <c r="I402" s="141">
        <v>509143</v>
      </c>
      <c r="J402" s="142">
        <v>79</v>
      </c>
      <c r="Q402" s="141">
        <v>20224</v>
      </c>
      <c r="R402" s="141">
        <v>20265</v>
      </c>
      <c r="S402" s="142">
        <v>41</v>
      </c>
      <c r="T402" s="141">
        <v>4333</v>
      </c>
      <c r="U402" s="141">
        <v>4338</v>
      </c>
      <c r="V402" s="142">
        <v>5</v>
      </c>
      <c r="W402" s="141">
        <v>3223</v>
      </c>
      <c r="X402" s="141">
        <v>3224</v>
      </c>
      <c r="Y402" s="142">
        <v>1</v>
      </c>
      <c r="Z402" s="141">
        <v>39719</v>
      </c>
      <c r="AA402" s="141">
        <v>39732</v>
      </c>
      <c r="AB402" s="142">
        <v>13</v>
      </c>
    </row>
    <row r="403" spans="1:28">
      <c r="A403" s="144">
        <v>45385</v>
      </c>
      <c r="B403" s="141">
        <f t="shared" si="10"/>
        <v>59404</v>
      </c>
      <c r="C403" s="141">
        <v>59493</v>
      </c>
      <c r="D403" s="142">
        <f t="shared" si="9"/>
        <v>89</v>
      </c>
      <c r="E403" s="141">
        <v>23299</v>
      </c>
      <c r="F403" s="141">
        <v>23313</v>
      </c>
      <c r="G403" s="142">
        <v>14</v>
      </c>
      <c r="H403" s="141">
        <v>509143</v>
      </c>
      <c r="I403" s="141">
        <v>509264</v>
      </c>
      <c r="J403" s="142">
        <v>121</v>
      </c>
      <c r="Q403" s="141">
        <v>20265</v>
      </c>
      <c r="R403" s="141">
        <v>20304</v>
      </c>
      <c r="S403" s="142">
        <v>39</v>
      </c>
      <c r="T403" s="141">
        <v>4338</v>
      </c>
      <c r="U403" s="141">
        <v>4345</v>
      </c>
      <c r="V403" s="142">
        <v>7</v>
      </c>
      <c r="W403" s="141">
        <v>3224</v>
      </c>
      <c r="X403" s="141">
        <v>3226</v>
      </c>
      <c r="Y403" s="142">
        <v>2</v>
      </c>
      <c r="Z403" s="141">
        <v>39732</v>
      </c>
      <c r="AA403" s="141">
        <v>39749</v>
      </c>
      <c r="AB403" s="142">
        <v>17</v>
      </c>
    </row>
    <row r="404" spans="1:28">
      <c r="A404" s="144">
        <v>45386</v>
      </c>
      <c r="B404" s="141">
        <f t="shared" si="10"/>
        <v>59493</v>
      </c>
      <c r="C404" s="141">
        <v>59566</v>
      </c>
      <c r="D404" s="142">
        <f t="shared" si="9"/>
        <v>73</v>
      </c>
      <c r="E404" s="141">
        <v>23313</v>
      </c>
      <c r="F404" s="141">
        <v>23325</v>
      </c>
      <c r="G404" s="142">
        <v>12</v>
      </c>
      <c r="H404" s="141">
        <v>509264</v>
      </c>
      <c r="I404" s="141">
        <v>509380</v>
      </c>
      <c r="J404" s="142">
        <v>116</v>
      </c>
      <c r="Q404" s="141">
        <v>20304</v>
      </c>
      <c r="R404" s="141">
        <v>20332</v>
      </c>
      <c r="S404" s="142">
        <v>28</v>
      </c>
      <c r="T404" s="141">
        <v>4345</v>
      </c>
      <c r="U404" s="141">
        <v>4349</v>
      </c>
      <c r="V404" s="142">
        <v>4</v>
      </c>
      <c r="W404" s="141">
        <v>3226</v>
      </c>
      <c r="X404" s="141">
        <v>3227</v>
      </c>
      <c r="Y404" s="142">
        <v>1</v>
      </c>
      <c r="Z404" s="141">
        <v>39749</v>
      </c>
      <c r="AA404" s="141">
        <v>39761</v>
      </c>
      <c r="AB404" s="142">
        <v>12</v>
      </c>
    </row>
    <row r="405" spans="1:28">
      <c r="A405" s="144">
        <v>45387</v>
      </c>
      <c r="B405" s="141">
        <f t="shared" si="10"/>
        <v>59566</v>
      </c>
      <c r="C405" s="141">
        <v>59647</v>
      </c>
      <c r="D405" s="142">
        <f t="shared" si="9"/>
        <v>81</v>
      </c>
      <c r="E405" s="141">
        <v>23325</v>
      </c>
      <c r="F405" s="141">
        <v>23361</v>
      </c>
      <c r="G405" s="142">
        <v>36</v>
      </c>
      <c r="H405" s="141">
        <v>509380</v>
      </c>
      <c r="I405" s="141">
        <v>509485</v>
      </c>
      <c r="J405" s="142">
        <v>105</v>
      </c>
      <c r="Q405" s="141">
        <v>20332</v>
      </c>
      <c r="R405" s="141">
        <v>20378</v>
      </c>
      <c r="S405" s="142">
        <v>46</v>
      </c>
      <c r="T405" s="141">
        <v>4349</v>
      </c>
      <c r="U405" s="141">
        <v>4354</v>
      </c>
      <c r="V405" s="142">
        <v>5</v>
      </c>
      <c r="W405" s="141">
        <v>3227</v>
      </c>
      <c r="X405" s="141">
        <v>3228</v>
      </c>
      <c r="Y405" s="142">
        <v>1</v>
      </c>
      <c r="Z405" s="141">
        <v>39761</v>
      </c>
      <c r="AA405" s="141">
        <v>39787</v>
      </c>
      <c r="AB405" s="142">
        <v>26</v>
      </c>
    </row>
    <row r="406" spans="1:28">
      <c r="A406" s="144">
        <v>45388</v>
      </c>
      <c r="B406" s="141">
        <f t="shared" si="10"/>
        <v>59647</v>
      </c>
      <c r="C406" s="141">
        <v>59733</v>
      </c>
      <c r="D406" s="142">
        <f t="shared" si="9"/>
        <v>86</v>
      </c>
      <c r="E406" s="141">
        <v>23361</v>
      </c>
      <c r="F406" s="141">
        <v>23373</v>
      </c>
      <c r="G406" s="142">
        <v>12</v>
      </c>
      <c r="H406" s="141">
        <v>509485</v>
      </c>
      <c r="I406" s="141">
        <v>509586</v>
      </c>
      <c r="J406" s="142">
        <v>101</v>
      </c>
      <c r="Q406" s="141">
        <v>20378</v>
      </c>
      <c r="R406" s="141">
        <v>20410</v>
      </c>
      <c r="S406" s="142">
        <v>32</v>
      </c>
      <c r="T406" s="141">
        <v>4354</v>
      </c>
      <c r="U406" s="141">
        <v>4358</v>
      </c>
      <c r="V406" s="142">
        <v>4</v>
      </c>
      <c r="W406" s="141">
        <v>3228</v>
      </c>
      <c r="X406" s="141">
        <v>3228</v>
      </c>
      <c r="Y406" s="142">
        <v>0</v>
      </c>
      <c r="Z406" s="141">
        <v>39787</v>
      </c>
      <c r="AA406" s="141">
        <v>39800</v>
      </c>
      <c r="AB406" s="142">
        <v>13</v>
      </c>
    </row>
    <row r="407" spans="1:28">
      <c r="A407" s="144">
        <v>45389</v>
      </c>
      <c r="B407" s="141">
        <f t="shared" si="10"/>
        <v>59733</v>
      </c>
      <c r="C407" s="141">
        <v>59796</v>
      </c>
      <c r="D407" s="142">
        <f t="shared" si="9"/>
        <v>63</v>
      </c>
      <c r="E407" s="141">
        <v>23373</v>
      </c>
      <c r="F407" s="141">
        <v>23387</v>
      </c>
      <c r="G407" s="142">
        <v>14</v>
      </c>
      <c r="H407" s="141">
        <v>509586</v>
      </c>
      <c r="I407" s="141">
        <v>509712</v>
      </c>
      <c r="J407" s="142">
        <v>126</v>
      </c>
      <c r="Q407" s="141">
        <v>20410</v>
      </c>
      <c r="R407" s="141">
        <v>20440</v>
      </c>
      <c r="S407" s="142">
        <v>30</v>
      </c>
      <c r="T407" s="141">
        <v>4358</v>
      </c>
      <c r="U407" s="141">
        <v>4359</v>
      </c>
      <c r="V407" s="142">
        <v>1</v>
      </c>
      <c r="W407" s="141">
        <v>3228</v>
      </c>
      <c r="X407" s="141">
        <v>3242</v>
      </c>
      <c r="Y407" s="142">
        <v>14</v>
      </c>
      <c r="Z407" s="141">
        <v>39800</v>
      </c>
      <c r="AA407" s="141">
        <v>39809</v>
      </c>
      <c r="AB407" s="142">
        <v>9</v>
      </c>
    </row>
    <row r="408" spans="1:28">
      <c r="A408" s="144">
        <v>45390</v>
      </c>
      <c r="B408" s="141">
        <f t="shared" si="10"/>
        <v>59796</v>
      </c>
      <c r="C408" s="141">
        <v>59880</v>
      </c>
      <c r="D408" s="142">
        <f t="shared" si="9"/>
        <v>84</v>
      </c>
      <c r="E408" s="141">
        <v>23387</v>
      </c>
      <c r="F408" s="141">
        <v>23417</v>
      </c>
      <c r="G408" s="142">
        <v>30</v>
      </c>
      <c r="H408" s="141">
        <v>509712</v>
      </c>
      <c r="I408" s="141">
        <v>509830</v>
      </c>
      <c r="J408" s="142">
        <v>118</v>
      </c>
      <c r="Q408" s="141">
        <v>20440</v>
      </c>
      <c r="R408" s="141">
        <v>20481</v>
      </c>
      <c r="S408" s="142">
        <v>41</v>
      </c>
      <c r="T408" s="141">
        <v>4359</v>
      </c>
      <c r="U408" s="141">
        <v>4363</v>
      </c>
      <c r="V408" s="142">
        <v>4</v>
      </c>
      <c r="W408" s="141">
        <v>3242</v>
      </c>
      <c r="X408" s="141">
        <v>3243</v>
      </c>
      <c r="Y408" s="142">
        <v>1</v>
      </c>
      <c r="Z408" s="141">
        <v>39809</v>
      </c>
      <c r="AA408" s="141">
        <v>39820</v>
      </c>
      <c r="AB408" s="142">
        <v>11</v>
      </c>
    </row>
    <row r="409" spans="1:28">
      <c r="A409" s="144">
        <v>45391</v>
      </c>
      <c r="B409" s="141">
        <f t="shared" si="10"/>
        <v>59880</v>
      </c>
      <c r="C409" s="141">
        <v>59965</v>
      </c>
      <c r="D409" s="142">
        <f t="shared" si="9"/>
        <v>85</v>
      </c>
      <c r="E409" s="141">
        <v>23417</v>
      </c>
      <c r="F409" s="141">
        <v>23436</v>
      </c>
      <c r="G409" s="142">
        <v>19</v>
      </c>
      <c r="H409" s="141">
        <v>509830</v>
      </c>
      <c r="I409" s="141">
        <v>509903</v>
      </c>
      <c r="J409" s="142">
        <v>73</v>
      </c>
      <c r="Q409" s="141">
        <v>20481</v>
      </c>
      <c r="R409" s="141">
        <v>20516</v>
      </c>
      <c r="S409" s="142">
        <v>35</v>
      </c>
      <c r="T409" s="141">
        <v>4363</v>
      </c>
      <c r="U409" s="141">
        <v>4368</v>
      </c>
      <c r="V409" s="142">
        <v>5</v>
      </c>
      <c r="W409" s="141">
        <v>3243</v>
      </c>
      <c r="X409" s="141">
        <v>3244</v>
      </c>
      <c r="Y409" s="142">
        <v>1</v>
      </c>
      <c r="Z409" s="141">
        <v>39820</v>
      </c>
      <c r="AA409" s="141">
        <v>39830</v>
      </c>
      <c r="AB409" s="142">
        <v>10</v>
      </c>
    </row>
    <row r="410" spans="1:28">
      <c r="A410" s="144">
        <v>45392</v>
      </c>
      <c r="B410" s="141">
        <f t="shared" si="10"/>
        <v>59965</v>
      </c>
      <c r="C410" s="141">
        <v>60050</v>
      </c>
      <c r="D410" s="142">
        <f t="shared" si="9"/>
        <v>85</v>
      </c>
      <c r="E410" s="141">
        <v>23436</v>
      </c>
      <c r="F410" s="141">
        <v>23474</v>
      </c>
      <c r="G410" s="142">
        <v>38</v>
      </c>
      <c r="H410" s="141">
        <v>509903</v>
      </c>
      <c r="I410" s="141">
        <v>510006</v>
      </c>
      <c r="J410" s="142">
        <v>103</v>
      </c>
      <c r="Q410" s="141">
        <v>20516</v>
      </c>
      <c r="R410" s="141">
        <v>20577</v>
      </c>
      <c r="S410" s="142">
        <v>61</v>
      </c>
      <c r="T410" s="141">
        <v>4368</v>
      </c>
      <c r="U410" s="141">
        <v>4371</v>
      </c>
      <c r="V410" s="142">
        <v>3</v>
      </c>
      <c r="W410" s="141">
        <v>3244</v>
      </c>
      <c r="X410" s="141">
        <v>3245</v>
      </c>
      <c r="Y410" s="142">
        <v>1</v>
      </c>
      <c r="Z410" s="141">
        <v>39830</v>
      </c>
      <c r="AA410" s="141">
        <v>39838</v>
      </c>
      <c r="AB410" s="142">
        <v>8</v>
      </c>
    </row>
    <row r="411" spans="1:28">
      <c r="A411" s="144">
        <v>45393</v>
      </c>
      <c r="B411" s="141">
        <f t="shared" si="10"/>
        <v>60050</v>
      </c>
      <c r="C411" s="141">
        <v>60168</v>
      </c>
      <c r="D411" s="142">
        <f t="shared" si="9"/>
        <v>118</v>
      </c>
      <c r="E411" s="141">
        <v>23474</v>
      </c>
      <c r="F411" s="141">
        <v>23499</v>
      </c>
      <c r="G411" s="142">
        <v>25</v>
      </c>
      <c r="H411" s="141">
        <v>510006</v>
      </c>
      <c r="I411" s="141">
        <v>510116</v>
      </c>
      <c r="J411" s="142">
        <v>110</v>
      </c>
      <c r="Q411" s="141">
        <v>20577</v>
      </c>
      <c r="R411" s="141">
        <v>20635</v>
      </c>
      <c r="S411" s="142">
        <v>58</v>
      </c>
      <c r="T411" s="141">
        <v>4371</v>
      </c>
      <c r="U411" s="141">
        <v>4373</v>
      </c>
      <c r="V411" s="142">
        <v>2</v>
      </c>
      <c r="W411" s="141">
        <v>3245</v>
      </c>
      <c r="X411" s="141">
        <v>3246</v>
      </c>
      <c r="Y411" s="142">
        <v>1</v>
      </c>
      <c r="Z411" s="141">
        <v>39838</v>
      </c>
      <c r="AA411" s="141">
        <v>39852</v>
      </c>
      <c r="AB411" s="142">
        <v>14</v>
      </c>
    </row>
    <row r="412" spans="1:28">
      <c r="A412" s="144">
        <v>45394</v>
      </c>
      <c r="B412" s="141">
        <f t="shared" si="10"/>
        <v>60168</v>
      </c>
      <c r="C412" s="141">
        <v>60264</v>
      </c>
      <c r="D412" s="142">
        <f t="shared" si="9"/>
        <v>96</v>
      </c>
      <c r="E412" s="141">
        <v>23499</v>
      </c>
      <c r="F412" s="141">
        <v>23540</v>
      </c>
      <c r="G412" s="142">
        <v>41</v>
      </c>
      <c r="H412" s="141">
        <v>510116</v>
      </c>
      <c r="I412" s="141">
        <v>510219</v>
      </c>
      <c r="J412" s="142">
        <v>103</v>
      </c>
      <c r="Q412" s="141">
        <v>20635</v>
      </c>
      <c r="R412" s="141">
        <v>20710</v>
      </c>
      <c r="S412" s="142">
        <v>75</v>
      </c>
      <c r="T412" s="141">
        <v>4373</v>
      </c>
      <c r="U412" s="141">
        <v>4376</v>
      </c>
      <c r="V412" s="142">
        <v>3</v>
      </c>
      <c r="W412" s="141">
        <v>3246</v>
      </c>
      <c r="X412" s="141">
        <v>3247</v>
      </c>
      <c r="Y412" s="142">
        <v>1</v>
      </c>
      <c r="Z412" s="141">
        <v>39852</v>
      </c>
      <c r="AA412" s="141">
        <v>39862</v>
      </c>
      <c r="AB412" s="142">
        <v>10</v>
      </c>
    </row>
    <row r="413" spans="1:28">
      <c r="A413" s="144">
        <v>45395</v>
      </c>
      <c r="B413" s="141">
        <f t="shared" si="10"/>
        <v>60264</v>
      </c>
      <c r="C413" s="141">
        <v>60349</v>
      </c>
      <c r="D413" s="142">
        <f t="shared" si="9"/>
        <v>85</v>
      </c>
      <c r="E413" s="141">
        <v>23540</v>
      </c>
      <c r="F413" s="141">
        <v>23557</v>
      </c>
      <c r="G413" s="142">
        <v>17</v>
      </c>
      <c r="H413" s="141">
        <v>510219</v>
      </c>
      <c r="I413" s="141">
        <v>510301</v>
      </c>
      <c r="J413" s="142">
        <v>82</v>
      </c>
      <c r="Q413" s="141">
        <v>20710</v>
      </c>
      <c r="R413" s="141">
        <v>20771</v>
      </c>
      <c r="S413" s="142">
        <v>61</v>
      </c>
      <c r="T413" s="141">
        <v>4376</v>
      </c>
      <c r="U413" s="141">
        <v>4379</v>
      </c>
      <c r="V413" s="142">
        <v>3</v>
      </c>
      <c r="W413" s="141">
        <v>3247</v>
      </c>
      <c r="X413" s="141">
        <v>3248</v>
      </c>
      <c r="Y413" s="142">
        <v>1</v>
      </c>
      <c r="Z413" s="141">
        <v>39862</v>
      </c>
      <c r="AA413" s="141">
        <v>39873</v>
      </c>
      <c r="AB413" s="142">
        <v>11</v>
      </c>
    </row>
    <row r="414" spans="1:28">
      <c r="A414" s="144">
        <v>45396</v>
      </c>
      <c r="B414" s="141">
        <f t="shared" si="10"/>
        <v>60349</v>
      </c>
      <c r="C414" s="141">
        <v>60448</v>
      </c>
      <c r="D414" s="142">
        <f t="shared" si="9"/>
        <v>99</v>
      </c>
      <c r="E414" s="141">
        <v>23557</v>
      </c>
      <c r="F414" s="141">
        <v>23587</v>
      </c>
      <c r="G414" s="142">
        <v>30</v>
      </c>
      <c r="H414" s="141">
        <v>510301</v>
      </c>
      <c r="I414" s="141">
        <v>510419</v>
      </c>
      <c r="J414" s="142">
        <v>118</v>
      </c>
      <c r="Q414" s="141">
        <v>20771</v>
      </c>
      <c r="R414" s="141">
        <v>20833</v>
      </c>
      <c r="S414" s="142">
        <v>62</v>
      </c>
      <c r="T414" s="141">
        <v>4379</v>
      </c>
      <c r="U414" s="141">
        <v>4387</v>
      </c>
      <c r="V414" s="142">
        <v>8</v>
      </c>
      <c r="W414" s="141">
        <v>3248</v>
      </c>
      <c r="X414" s="141">
        <v>3249</v>
      </c>
      <c r="Y414" s="142">
        <v>1</v>
      </c>
      <c r="Z414" s="141">
        <v>39873</v>
      </c>
      <c r="AA414" s="141">
        <v>39886</v>
      </c>
      <c r="AB414" s="142">
        <v>13</v>
      </c>
    </row>
    <row r="415" spans="1:28">
      <c r="A415" s="144">
        <v>45397</v>
      </c>
      <c r="B415" s="141">
        <f t="shared" si="10"/>
        <v>60448</v>
      </c>
      <c r="C415" s="141">
        <v>60550</v>
      </c>
      <c r="D415" s="142">
        <f t="shared" si="9"/>
        <v>102</v>
      </c>
      <c r="E415" s="141">
        <v>23587</v>
      </c>
      <c r="F415" s="141">
        <v>23613</v>
      </c>
      <c r="G415" s="142">
        <v>26</v>
      </c>
      <c r="H415" s="141">
        <v>510419</v>
      </c>
      <c r="I415" s="141">
        <v>510569</v>
      </c>
      <c r="J415" s="142">
        <v>150</v>
      </c>
      <c r="Q415" s="141">
        <v>20833</v>
      </c>
      <c r="R415" s="141">
        <v>20915</v>
      </c>
      <c r="S415" s="142">
        <v>82</v>
      </c>
      <c r="T415" s="141">
        <v>4387</v>
      </c>
      <c r="U415" s="141">
        <v>4392</v>
      </c>
      <c r="V415" s="142">
        <v>5</v>
      </c>
      <c r="W415" s="141">
        <v>3249</v>
      </c>
      <c r="X415" s="141">
        <v>3250</v>
      </c>
      <c r="Y415" s="142">
        <v>1</v>
      </c>
      <c r="Z415" s="141">
        <v>39886</v>
      </c>
      <c r="AA415" s="141">
        <v>39893</v>
      </c>
      <c r="AB415" s="142">
        <v>7</v>
      </c>
    </row>
    <row r="416" spans="1:28">
      <c r="A416" s="144">
        <v>45398</v>
      </c>
      <c r="B416" s="141">
        <f t="shared" si="10"/>
        <v>60550</v>
      </c>
      <c r="C416" s="141">
        <v>60656</v>
      </c>
      <c r="D416" s="142">
        <f t="shared" si="9"/>
        <v>106</v>
      </c>
      <c r="E416" s="141">
        <v>23613</v>
      </c>
      <c r="F416" s="141">
        <v>23638</v>
      </c>
      <c r="G416" s="142">
        <v>25</v>
      </c>
      <c r="H416" s="141">
        <v>510569</v>
      </c>
      <c r="I416" s="141">
        <v>510728</v>
      </c>
      <c r="J416" s="142">
        <v>159</v>
      </c>
      <c r="Q416" s="141">
        <v>20915</v>
      </c>
      <c r="R416" s="141">
        <v>20963</v>
      </c>
      <c r="S416" s="142">
        <v>48</v>
      </c>
      <c r="T416" s="141">
        <v>4392</v>
      </c>
      <c r="U416" s="141">
        <v>4398</v>
      </c>
      <c r="V416" s="142">
        <v>6</v>
      </c>
      <c r="W416" s="141">
        <v>3250</v>
      </c>
      <c r="X416" s="141">
        <v>3251</v>
      </c>
      <c r="Y416" s="142">
        <v>1</v>
      </c>
      <c r="Z416" s="141">
        <v>39893</v>
      </c>
      <c r="AA416" s="141">
        <v>39904</v>
      </c>
      <c r="AB416" s="142">
        <v>11</v>
      </c>
    </row>
    <row r="417" spans="1:28">
      <c r="A417" s="144">
        <v>45399</v>
      </c>
      <c r="B417" s="141">
        <f t="shared" si="10"/>
        <v>60656</v>
      </c>
      <c r="C417" s="141">
        <v>60750</v>
      </c>
      <c r="D417" s="142">
        <f t="shared" si="9"/>
        <v>94</v>
      </c>
      <c r="E417" s="141">
        <v>23638</v>
      </c>
      <c r="F417" s="141">
        <v>23665</v>
      </c>
      <c r="G417" s="142">
        <v>27</v>
      </c>
      <c r="H417" s="141">
        <v>510728</v>
      </c>
      <c r="I417" s="141">
        <v>510825</v>
      </c>
      <c r="J417" s="142">
        <v>97</v>
      </c>
      <c r="Q417" s="141">
        <v>20963</v>
      </c>
      <c r="R417" s="141">
        <v>21005</v>
      </c>
      <c r="S417" s="142">
        <v>42</v>
      </c>
      <c r="T417" s="141">
        <v>4398</v>
      </c>
      <c r="U417" s="141">
        <v>4405</v>
      </c>
      <c r="V417" s="142">
        <v>7</v>
      </c>
      <c r="W417" s="141">
        <v>3251</v>
      </c>
      <c r="X417" s="141">
        <v>3252</v>
      </c>
      <c r="Y417" s="142">
        <v>1</v>
      </c>
      <c r="Z417" s="141">
        <v>39904</v>
      </c>
      <c r="AA417" s="141">
        <v>39918</v>
      </c>
      <c r="AB417" s="142">
        <v>14</v>
      </c>
    </row>
    <row r="418" spans="1:28">
      <c r="A418" s="144">
        <v>45400</v>
      </c>
      <c r="B418" s="141">
        <f t="shared" si="10"/>
        <v>60750</v>
      </c>
      <c r="C418" s="141">
        <v>60847</v>
      </c>
      <c r="D418" s="142">
        <f t="shared" si="9"/>
        <v>97</v>
      </c>
      <c r="E418" s="141">
        <v>23665</v>
      </c>
      <c r="F418" s="141">
        <v>23687</v>
      </c>
      <c r="G418" s="142">
        <v>22</v>
      </c>
      <c r="H418" s="141">
        <v>510825</v>
      </c>
      <c r="I418" s="141">
        <v>510928</v>
      </c>
      <c r="J418" s="142">
        <v>103</v>
      </c>
      <c r="Q418" s="141">
        <v>21005</v>
      </c>
      <c r="R418" s="141">
        <v>21039</v>
      </c>
      <c r="S418" s="142">
        <v>34</v>
      </c>
      <c r="T418" s="141">
        <v>4405</v>
      </c>
      <c r="U418" s="141">
        <v>4409</v>
      </c>
      <c r="V418" s="142">
        <v>4</v>
      </c>
      <c r="W418" s="141">
        <v>3252</v>
      </c>
      <c r="X418" s="141">
        <v>3253</v>
      </c>
      <c r="Y418" s="142">
        <v>1</v>
      </c>
      <c r="Z418" s="141">
        <v>39918</v>
      </c>
      <c r="AA418" s="141">
        <v>39926</v>
      </c>
      <c r="AB418" s="142">
        <v>8</v>
      </c>
    </row>
    <row r="419" spans="1:28">
      <c r="A419" s="144">
        <v>45401</v>
      </c>
      <c r="B419" s="141">
        <f t="shared" si="10"/>
        <v>60847</v>
      </c>
      <c r="C419" s="141">
        <v>60946</v>
      </c>
      <c r="D419" s="142">
        <f t="shared" si="9"/>
        <v>99</v>
      </c>
      <c r="E419" s="141">
        <v>23687</v>
      </c>
      <c r="F419" s="141">
        <v>23760</v>
      </c>
      <c r="G419" s="142">
        <v>73</v>
      </c>
      <c r="H419" s="141">
        <v>510928</v>
      </c>
      <c r="I419" s="141">
        <v>511066</v>
      </c>
      <c r="J419" s="142">
        <v>138</v>
      </c>
      <c r="Q419" s="141">
        <v>21039</v>
      </c>
      <c r="R419" s="141">
        <v>21083</v>
      </c>
      <c r="S419" s="142">
        <v>44</v>
      </c>
      <c r="T419" s="141">
        <v>4409</v>
      </c>
      <c r="U419" s="141">
        <v>4413</v>
      </c>
      <c r="V419" s="142">
        <v>4</v>
      </c>
      <c r="W419" s="141">
        <v>3253</v>
      </c>
      <c r="X419" s="141">
        <v>3254</v>
      </c>
      <c r="Y419" s="142">
        <v>1</v>
      </c>
      <c r="Z419" s="141">
        <v>39926</v>
      </c>
      <c r="AA419" s="141">
        <v>39935</v>
      </c>
      <c r="AB419" s="142">
        <v>9</v>
      </c>
    </row>
    <row r="420" spans="1:28">
      <c r="A420" s="144">
        <v>45402</v>
      </c>
      <c r="B420" s="141">
        <f t="shared" si="10"/>
        <v>60946</v>
      </c>
      <c r="C420" s="141">
        <v>61058</v>
      </c>
      <c r="D420" s="142">
        <f t="shared" ref="D420:D451" si="11">C420-B420</f>
        <v>112</v>
      </c>
      <c r="E420" s="141">
        <v>23760</v>
      </c>
      <c r="F420" s="141">
        <v>23783</v>
      </c>
      <c r="G420" s="142">
        <v>23</v>
      </c>
      <c r="H420" s="141">
        <v>511066</v>
      </c>
      <c r="I420" s="141">
        <v>511175</v>
      </c>
      <c r="J420" s="142">
        <v>109</v>
      </c>
      <c r="Q420" s="141">
        <v>21083</v>
      </c>
      <c r="R420" s="141">
        <v>21121</v>
      </c>
      <c r="S420" s="142">
        <v>38</v>
      </c>
      <c r="T420" s="141">
        <v>4413</v>
      </c>
      <c r="U420" s="141">
        <v>4417</v>
      </c>
      <c r="V420" s="142">
        <v>4</v>
      </c>
      <c r="W420" s="141">
        <v>3254</v>
      </c>
      <c r="X420" s="141">
        <v>3255</v>
      </c>
      <c r="Y420" s="142">
        <v>1</v>
      </c>
      <c r="Z420" s="141">
        <v>39935</v>
      </c>
      <c r="AA420" s="141">
        <v>39954</v>
      </c>
      <c r="AB420" s="142">
        <v>19</v>
      </c>
    </row>
    <row r="421" spans="1:28">
      <c r="A421" s="144">
        <v>45403</v>
      </c>
      <c r="B421" s="141">
        <f t="shared" si="10"/>
        <v>61058</v>
      </c>
      <c r="C421" s="141">
        <v>61138</v>
      </c>
      <c r="D421" s="142">
        <f t="shared" si="11"/>
        <v>80</v>
      </c>
      <c r="E421" s="141">
        <v>23783</v>
      </c>
      <c r="F421" s="141">
        <v>23800</v>
      </c>
      <c r="G421" s="142">
        <v>17</v>
      </c>
      <c r="H421" s="141">
        <v>511175</v>
      </c>
      <c r="I421" s="141">
        <v>511280</v>
      </c>
      <c r="J421" s="142">
        <v>105</v>
      </c>
      <c r="Q421" s="141">
        <v>21121</v>
      </c>
      <c r="R421" s="141">
        <v>21156</v>
      </c>
      <c r="S421" s="142">
        <v>35</v>
      </c>
      <c r="T421" s="141">
        <v>4417</v>
      </c>
      <c r="U421" s="141">
        <v>4422</v>
      </c>
      <c r="V421" s="142">
        <v>5</v>
      </c>
      <c r="W421" s="141">
        <v>3255</v>
      </c>
      <c r="X421" s="141">
        <v>3256</v>
      </c>
      <c r="Y421" s="142">
        <v>1</v>
      </c>
      <c r="Z421" s="141">
        <v>39954</v>
      </c>
      <c r="AA421" s="141">
        <v>39978</v>
      </c>
      <c r="AB421" s="142">
        <v>24</v>
      </c>
    </row>
    <row r="422" spans="1:28">
      <c r="A422" s="144">
        <v>45404</v>
      </c>
      <c r="B422" s="141">
        <f t="shared" si="10"/>
        <v>61138</v>
      </c>
      <c r="C422" s="141">
        <v>61246</v>
      </c>
      <c r="D422" s="142">
        <f t="shared" si="11"/>
        <v>108</v>
      </c>
      <c r="E422" s="141">
        <v>23800</v>
      </c>
      <c r="F422" s="141">
        <v>23820</v>
      </c>
      <c r="G422" s="142">
        <v>20</v>
      </c>
      <c r="H422" s="141">
        <v>511280</v>
      </c>
      <c r="I422" s="141">
        <v>511393</v>
      </c>
      <c r="J422" s="142">
        <v>113</v>
      </c>
      <c r="Q422" s="141">
        <v>21156</v>
      </c>
      <c r="R422" s="141">
        <v>21194</v>
      </c>
      <c r="S422" s="142">
        <v>38</v>
      </c>
      <c r="T422" s="141">
        <v>4422</v>
      </c>
      <c r="U422" s="141">
        <v>4428</v>
      </c>
      <c r="V422" s="142">
        <v>6</v>
      </c>
      <c r="W422" s="141">
        <v>3256</v>
      </c>
      <c r="X422" s="141">
        <v>3258</v>
      </c>
      <c r="Y422" s="142">
        <v>2</v>
      </c>
      <c r="Z422" s="141">
        <v>39978</v>
      </c>
      <c r="AA422" s="141">
        <v>39990</v>
      </c>
      <c r="AB422" s="142">
        <v>12</v>
      </c>
    </row>
    <row r="423" spans="1:28">
      <c r="A423" s="144">
        <v>45405</v>
      </c>
      <c r="B423" s="141">
        <f t="shared" si="10"/>
        <v>61246</v>
      </c>
      <c r="C423" s="141">
        <v>61284</v>
      </c>
      <c r="D423" s="142">
        <f t="shared" si="11"/>
        <v>38</v>
      </c>
      <c r="E423" s="141">
        <v>23820</v>
      </c>
      <c r="F423" s="141">
        <v>23836</v>
      </c>
      <c r="G423" s="142">
        <v>16</v>
      </c>
      <c r="H423" s="141">
        <v>511393</v>
      </c>
      <c r="I423" s="141">
        <v>511482</v>
      </c>
      <c r="J423" s="142">
        <v>89</v>
      </c>
      <c r="Q423" s="141">
        <v>21194</v>
      </c>
      <c r="R423" s="141">
        <v>21223</v>
      </c>
      <c r="S423" s="142">
        <v>29</v>
      </c>
      <c r="T423" s="141">
        <v>4428</v>
      </c>
      <c r="U423" s="141">
        <v>4430</v>
      </c>
      <c r="V423" s="142">
        <v>2</v>
      </c>
      <c r="W423" s="141">
        <v>3258</v>
      </c>
      <c r="X423" s="141">
        <v>3259</v>
      </c>
      <c r="Y423" s="142">
        <v>1</v>
      </c>
      <c r="Z423" s="141">
        <v>39990</v>
      </c>
      <c r="AA423" s="141">
        <v>39999</v>
      </c>
      <c r="AB423" s="142">
        <v>9</v>
      </c>
    </row>
    <row r="424" spans="1:28">
      <c r="A424" s="144">
        <v>45406</v>
      </c>
      <c r="B424" s="141">
        <f t="shared" si="10"/>
        <v>61284</v>
      </c>
      <c r="C424" s="141">
        <v>61426</v>
      </c>
      <c r="D424" s="142">
        <f t="shared" si="11"/>
        <v>142</v>
      </c>
      <c r="E424" s="141">
        <v>23836</v>
      </c>
      <c r="F424" s="141">
        <v>23850</v>
      </c>
      <c r="G424" s="142">
        <v>14</v>
      </c>
      <c r="H424" s="141">
        <v>511482</v>
      </c>
      <c r="I424" s="141">
        <v>511654</v>
      </c>
      <c r="J424" s="142">
        <v>172</v>
      </c>
      <c r="Q424" s="141">
        <v>21223</v>
      </c>
      <c r="R424" s="141">
        <v>21254</v>
      </c>
      <c r="S424" s="142">
        <v>31</v>
      </c>
      <c r="T424" s="141">
        <v>4430</v>
      </c>
      <c r="U424" s="141">
        <v>4435</v>
      </c>
      <c r="V424" s="142">
        <v>5</v>
      </c>
      <c r="W424" s="141">
        <v>3259</v>
      </c>
      <c r="X424" s="141">
        <v>3262</v>
      </c>
      <c r="Y424" s="142">
        <v>3</v>
      </c>
      <c r="Z424" s="141">
        <v>39999</v>
      </c>
      <c r="AA424" s="141">
        <v>40012</v>
      </c>
      <c r="AB424" s="142">
        <v>13</v>
      </c>
    </row>
    <row r="425" spans="1:28">
      <c r="A425" s="144">
        <v>45407</v>
      </c>
      <c r="B425" s="141">
        <f t="shared" si="10"/>
        <v>61426</v>
      </c>
      <c r="C425" s="141">
        <v>61455</v>
      </c>
      <c r="D425" s="142">
        <f t="shared" si="11"/>
        <v>29</v>
      </c>
      <c r="E425" s="141">
        <v>23850</v>
      </c>
      <c r="F425" s="141">
        <v>23869</v>
      </c>
      <c r="G425" s="142">
        <v>19</v>
      </c>
      <c r="H425" s="141">
        <v>511654</v>
      </c>
      <c r="I425" s="141">
        <v>511752</v>
      </c>
      <c r="J425" s="142">
        <v>98</v>
      </c>
      <c r="Q425" s="141">
        <v>21254</v>
      </c>
      <c r="R425" s="141">
        <v>21286</v>
      </c>
      <c r="S425" s="142">
        <v>32</v>
      </c>
      <c r="T425" s="141">
        <v>4435</v>
      </c>
      <c r="U425" s="141">
        <v>4439</v>
      </c>
      <c r="V425" s="142">
        <v>4</v>
      </c>
      <c r="W425" s="141">
        <v>3262</v>
      </c>
      <c r="X425" s="141">
        <v>3263</v>
      </c>
      <c r="Y425" s="142">
        <v>1</v>
      </c>
      <c r="Z425" s="141">
        <v>40012</v>
      </c>
      <c r="AA425" s="141">
        <v>40025</v>
      </c>
      <c r="AB425" s="142">
        <v>13</v>
      </c>
    </row>
    <row r="426" spans="1:28">
      <c r="A426" s="144">
        <v>45408</v>
      </c>
      <c r="B426" s="141">
        <f t="shared" si="10"/>
        <v>61455</v>
      </c>
      <c r="C426" s="141">
        <v>61565</v>
      </c>
      <c r="D426" s="142">
        <f t="shared" si="11"/>
        <v>110</v>
      </c>
      <c r="E426" s="141">
        <v>23869</v>
      </c>
      <c r="F426" s="141">
        <v>23895</v>
      </c>
      <c r="G426" s="142">
        <v>26</v>
      </c>
      <c r="H426" s="141">
        <v>511752</v>
      </c>
      <c r="I426" s="141">
        <v>511885</v>
      </c>
      <c r="J426" s="142">
        <v>133</v>
      </c>
      <c r="Q426" s="141">
        <v>21286</v>
      </c>
      <c r="R426" s="141">
        <v>21326</v>
      </c>
      <c r="S426" s="142">
        <v>40</v>
      </c>
      <c r="T426" s="141">
        <v>4439</v>
      </c>
      <c r="U426" s="141">
        <v>4443</v>
      </c>
      <c r="V426" s="142">
        <v>4</v>
      </c>
      <c r="W426" s="141">
        <v>3263</v>
      </c>
      <c r="X426" s="141">
        <v>3265</v>
      </c>
      <c r="Y426" s="142">
        <v>2</v>
      </c>
      <c r="Z426" s="141">
        <v>40025</v>
      </c>
      <c r="AA426" s="141">
        <v>40035</v>
      </c>
      <c r="AB426" s="142">
        <v>10</v>
      </c>
    </row>
    <row r="427" spans="1:28">
      <c r="A427" s="144">
        <v>45409</v>
      </c>
      <c r="B427" s="141">
        <f t="shared" si="10"/>
        <v>61565</v>
      </c>
      <c r="C427" s="141">
        <v>61684</v>
      </c>
      <c r="D427" s="142">
        <f t="shared" si="11"/>
        <v>119</v>
      </c>
      <c r="E427" s="141">
        <v>23895</v>
      </c>
      <c r="F427" s="141">
        <v>23923</v>
      </c>
      <c r="G427" s="142">
        <v>28</v>
      </c>
      <c r="H427" s="141">
        <v>511885</v>
      </c>
      <c r="I427" s="141">
        <v>511977</v>
      </c>
      <c r="J427" s="142">
        <v>92</v>
      </c>
      <c r="Q427" s="141">
        <v>21326</v>
      </c>
      <c r="R427" s="141">
        <v>21357</v>
      </c>
      <c r="S427" s="142">
        <v>31</v>
      </c>
      <c r="T427" s="141">
        <v>4443</v>
      </c>
      <c r="U427" s="141">
        <v>4446</v>
      </c>
      <c r="V427" s="142">
        <v>3</v>
      </c>
      <c r="W427" s="141">
        <v>3265</v>
      </c>
      <c r="X427" s="141">
        <v>3266</v>
      </c>
      <c r="Y427" s="142">
        <v>1</v>
      </c>
      <c r="Z427" s="141">
        <v>40035</v>
      </c>
      <c r="AA427" s="141">
        <v>40041</v>
      </c>
      <c r="AB427" s="142">
        <v>6</v>
      </c>
    </row>
    <row r="428" spans="1:28">
      <c r="A428" s="144">
        <v>45410</v>
      </c>
      <c r="B428" s="141">
        <f t="shared" si="10"/>
        <v>61684</v>
      </c>
      <c r="C428" s="141">
        <v>61684</v>
      </c>
      <c r="D428" s="142">
        <f t="shared" si="11"/>
        <v>0</v>
      </c>
      <c r="E428" s="141">
        <v>23923</v>
      </c>
      <c r="F428" s="141">
        <v>23947</v>
      </c>
      <c r="G428" s="142">
        <v>24</v>
      </c>
      <c r="H428" s="141">
        <v>511977</v>
      </c>
      <c r="I428" s="141">
        <v>512063</v>
      </c>
      <c r="J428" s="142">
        <v>86</v>
      </c>
      <c r="Q428" s="141">
        <v>21357</v>
      </c>
      <c r="R428" s="141">
        <v>21392</v>
      </c>
      <c r="S428" s="142">
        <v>35</v>
      </c>
      <c r="T428" s="141">
        <v>4446</v>
      </c>
      <c r="U428" s="141">
        <v>4451</v>
      </c>
      <c r="V428" s="142">
        <v>5</v>
      </c>
      <c r="W428" s="141">
        <v>3266</v>
      </c>
      <c r="X428" s="141">
        <v>3268</v>
      </c>
      <c r="Y428" s="142">
        <v>2</v>
      </c>
      <c r="Z428" s="141">
        <v>40041</v>
      </c>
      <c r="AA428" s="141">
        <v>40049</v>
      </c>
      <c r="AB428" s="142">
        <v>8</v>
      </c>
    </row>
    <row r="429" spans="1:28">
      <c r="A429" s="144">
        <v>45411</v>
      </c>
      <c r="B429" s="141">
        <f t="shared" si="10"/>
        <v>61684</v>
      </c>
      <c r="C429" s="141">
        <v>61739</v>
      </c>
      <c r="D429" s="142">
        <f t="shared" si="11"/>
        <v>55</v>
      </c>
      <c r="E429" s="141">
        <v>23947</v>
      </c>
      <c r="F429" s="141">
        <v>23974</v>
      </c>
      <c r="G429" s="142">
        <v>27</v>
      </c>
      <c r="H429" s="141">
        <v>512063</v>
      </c>
      <c r="I429" s="141">
        <v>512186</v>
      </c>
      <c r="J429" s="142">
        <v>123</v>
      </c>
      <c r="Q429" s="141">
        <v>21392</v>
      </c>
      <c r="R429" s="141">
        <v>21429</v>
      </c>
      <c r="S429" s="142">
        <v>37</v>
      </c>
      <c r="T429" s="141">
        <v>4451</v>
      </c>
      <c r="U429" s="141">
        <v>4459</v>
      </c>
      <c r="V429" s="142">
        <v>8</v>
      </c>
      <c r="W429" s="141">
        <v>3268</v>
      </c>
      <c r="X429" s="141">
        <v>3269</v>
      </c>
      <c r="Y429" s="142">
        <v>1</v>
      </c>
      <c r="Z429" s="141">
        <v>40049</v>
      </c>
      <c r="AA429" s="141">
        <v>40059</v>
      </c>
      <c r="AB429" s="142">
        <v>10</v>
      </c>
    </row>
    <row r="430" spans="1:28">
      <c r="A430" s="144">
        <v>45412</v>
      </c>
      <c r="B430" s="141">
        <f t="shared" si="10"/>
        <v>61739</v>
      </c>
      <c r="C430" s="141">
        <v>61845</v>
      </c>
      <c r="D430" s="142">
        <f t="shared" si="11"/>
        <v>106</v>
      </c>
      <c r="E430" s="141">
        <v>23974</v>
      </c>
      <c r="F430" s="141">
        <v>23985</v>
      </c>
      <c r="G430" s="142">
        <v>11</v>
      </c>
      <c r="H430" s="141">
        <v>512186</v>
      </c>
      <c r="I430" s="141">
        <v>512253</v>
      </c>
      <c r="J430" s="142">
        <v>67</v>
      </c>
      <c r="Q430" s="141">
        <v>21429</v>
      </c>
      <c r="R430" s="141">
        <v>21461</v>
      </c>
      <c r="S430" s="142">
        <v>32</v>
      </c>
      <c r="T430" s="141">
        <v>4459</v>
      </c>
      <c r="U430" s="141">
        <v>4463</v>
      </c>
      <c r="V430" s="142">
        <v>4</v>
      </c>
      <c r="W430" s="141">
        <v>3269</v>
      </c>
      <c r="X430" s="141">
        <v>3270</v>
      </c>
      <c r="Y430" s="142">
        <v>1</v>
      </c>
      <c r="Z430" s="141">
        <v>40059</v>
      </c>
      <c r="AA430" s="141">
        <v>40072</v>
      </c>
      <c r="AB430" s="142">
        <v>13</v>
      </c>
    </row>
    <row r="431" spans="1:28">
      <c r="A431" s="144">
        <v>45413</v>
      </c>
      <c r="B431" s="141">
        <f t="shared" si="10"/>
        <v>61845</v>
      </c>
      <c r="C431" s="141">
        <v>61875</v>
      </c>
      <c r="D431" s="142">
        <f t="shared" si="11"/>
        <v>30</v>
      </c>
      <c r="E431" s="141">
        <v>23985</v>
      </c>
      <c r="F431" s="141">
        <v>23999</v>
      </c>
      <c r="G431" s="142">
        <v>14</v>
      </c>
      <c r="H431" s="141">
        <v>512253</v>
      </c>
      <c r="I431" s="141">
        <v>512497</v>
      </c>
      <c r="J431" s="142">
        <v>244</v>
      </c>
      <c r="Q431" s="141">
        <v>21461</v>
      </c>
      <c r="R431" s="141">
        <v>21488</v>
      </c>
      <c r="S431" s="142">
        <v>27</v>
      </c>
      <c r="T431" s="141">
        <v>4463</v>
      </c>
      <c r="U431" s="141">
        <v>4469</v>
      </c>
      <c r="V431" s="142">
        <v>6</v>
      </c>
      <c r="W431" s="141">
        <v>3270</v>
      </c>
      <c r="X431" s="141">
        <v>3272</v>
      </c>
      <c r="Y431" s="142">
        <v>2</v>
      </c>
      <c r="Z431" s="141">
        <v>40072</v>
      </c>
      <c r="AA431" s="141">
        <v>40087</v>
      </c>
      <c r="AB431" s="142">
        <v>15</v>
      </c>
    </row>
    <row r="432" spans="1:28">
      <c r="A432" s="144">
        <v>45414</v>
      </c>
      <c r="B432" s="141">
        <f t="shared" si="10"/>
        <v>61875</v>
      </c>
      <c r="C432" s="141">
        <v>61962</v>
      </c>
      <c r="D432" s="142">
        <f t="shared" si="11"/>
        <v>87</v>
      </c>
      <c r="E432" s="141">
        <v>23999</v>
      </c>
      <c r="F432" s="141">
        <v>24014</v>
      </c>
      <c r="G432" s="142">
        <v>15</v>
      </c>
      <c r="H432" s="141">
        <v>512497</v>
      </c>
      <c r="I432" s="141">
        <v>512691</v>
      </c>
      <c r="J432" s="142">
        <v>194</v>
      </c>
      <c r="Q432" s="141">
        <v>21488</v>
      </c>
      <c r="R432" s="141">
        <v>21500</v>
      </c>
      <c r="S432" s="142">
        <v>12</v>
      </c>
      <c r="T432" s="141">
        <v>4469</v>
      </c>
      <c r="U432" s="141">
        <v>4473</v>
      </c>
      <c r="V432" s="142">
        <v>4</v>
      </c>
      <c r="W432" s="141">
        <v>3272</v>
      </c>
      <c r="X432" s="141">
        <v>3273</v>
      </c>
      <c r="Y432" s="142">
        <v>1</v>
      </c>
      <c r="Z432" s="141">
        <v>40087</v>
      </c>
      <c r="AA432" s="141">
        <v>40099</v>
      </c>
      <c r="AB432" s="142">
        <v>12</v>
      </c>
    </row>
    <row r="433" spans="1:28">
      <c r="A433" s="144">
        <v>45415</v>
      </c>
      <c r="B433" s="141">
        <f t="shared" si="10"/>
        <v>61962</v>
      </c>
      <c r="C433" s="141">
        <v>62050</v>
      </c>
      <c r="D433" s="142">
        <f t="shared" si="11"/>
        <v>88</v>
      </c>
      <c r="E433" s="141">
        <v>24014</v>
      </c>
      <c r="F433" s="141">
        <v>24029</v>
      </c>
      <c r="G433" s="142">
        <v>15</v>
      </c>
      <c r="H433" s="141">
        <v>512691</v>
      </c>
      <c r="I433" s="141">
        <v>512908</v>
      </c>
      <c r="J433" s="142">
        <v>217</v>
      </c>
      <c r="Q433" s="141">
        <v>21500</v>
      </c>
      <c r="R433" s="141">
        <v>21548</v>
      </c>
      <c r="S433" s="142">
        <v>48</v>
      </c>
      <c r="T433" s="141">
        <v>4473</v>
      </c>
      <c r="U433" s="141">
        <v>4479</v>
      </c>
      <c r="V433" s="142">
        <v>6</v>
      </c>
      <c r="W433" s="141">
        <v>3273</v>
      </c>
      <c r="X433" s="141">
        <v>3275</v>
      </c>
      <c r="Y433" s="142">
        <v>2</v>
      </c>
      <c r="Z433" s="141">
        <v>40099</v>
      </c>
      <c r="AA433" s="141">
        <v>40112</v>
      </c>
      <c r="AB433" s="142">
        <v>13</v>
      </c>
    </row>
    <row r="434" spans="1:28">
      <c r="A434" s="144">
        <v>45416</v>
      </c>
      <c r="B434" s="141">
        <f t="shared" si="10"/>
        <v>62050</v>
      </c>
      <c r="C434" s="141">
        <v>62076</v>
      </c>
      <c r="D434" s="142">
        <f t="shared" si="11"/>
        <v>26</v>
      </c>
      <c r="E434" s="141">
        <v>24029</v>
      </c>
      <c r="F434" s="141">
        <v>24046</v>
      </c>
      <c r="G434" s="142">
        <v>17</v>
      </c>
      <c r="H434" s="141">
        <v>512908</v>
      </c>
      <c r="I434" s="141">
        <v>513005</v>
      </c>
      <c r="J434" s="142">
        <v>97</v>
      </c>
      <c r="Q434" s="141">
        <v>21548</v>
      </c>
      <c r="R434" s="141">
        <v>21559</v>
      </c>
      <c r="S434" s="142">
        <v>11</v>
      </c>
      <c r="T434" s="141">
        <v>4479</v>
      </c>
      <c r="U434" s="141">
        <v>4483</v>
      </c>
      <c r="V434" s="142">
        <v>4</v>
      </c>
      <c r="W434" s="141">
        <v>3275</v>
      </c>
      <c r="X434" s="141">
        <v>3277</v>
      </c>
      <c r="Y434" s="142">
        <v>2</v>
      </c>
      <c r="Z434" s="141">
        <v>40112</v>
      </c>
      <c r="AA434" s="141">
        <v>40126</v>
      </c>
      <c r="AB434" s="142">
        <v>14</v>
      </c>
    </row>
    <row r="435" spans="1:28">
      <c r="A435" s="144">
        <v>45417</v>
      </c>
      <c r="B435" s="141">
        <f t="shared" si="10"/>
        <v>62076</v>
      </c>
      <c r="C435" s="141">
        <v>62243</v>
      </c>
      <c r="D435" s="142">
        <f t="shared" si="11"/>
        <v>167</v>
      </c>
      <c r="E435" s="141">
        <v>24046</v>
      </c>
      <c r="F435" s="141">
        <v>24066</v>
      </c>
      <c r="G435" s="142">
        <v>20</v>
      </c>
      <c r="H435" s="141">
        <v>513005</v>
      </c>
      <c r="I435" s="141">
        <v>513201</v>
      </c>
      <c r="J435" s="142">
        <v>196</v>
      </c>
      <c r="Q435" s="141">
        <v>21559</v>
      </c>
      <c r="R435" s="141">
        <v>21603</v>
      </c>
      <c r="S435" s="142">
        <v>44</v>
      </c>
      <c r="T435" s="141">
        <v>4483</v>
      </c>
      <c r="U435" s="141">
        <v>4489</v>
      </c>
      <c r="V435" s="142">
        <v>6</v>
      </c>
      <c r="W435" s="141">
        <v>3277</v>
      </c>
      <c r="X435" s="141">
        <v>3279</v>
      </c>
      <c r="Y435" s="142">
        <v>2</v>
      </c>
      <c r="Z435" s="141">
        <v>40126</v>
      </c>
      <c r="AA435" s="141">
        <v>40142</v>
      </c>
      <c r="AB435" s="142">
        <v>16</v>
      </c>
    </row>
    <row r="436" spans="1:28">
      <c r="A436" s="144">
        <v>45418</v>
      </c>
      <c r="B436" s="141">
        <f t="shared" si="10"/>
        <v>62243</v>
      </c>
      <c r="C436" s="141">
        <v>62261</v>
      </c>
      <c r="D436" s="142">
        <f t="shared" si="11"/>
        <v>18</v>
      </c>
      <c r="E436" s="141">
        <v>24066</v>
      </c>
      <c r="F436" s="141">
        <v>24102</v>
      </c>
      <c r="G436" s="142">
        <v>36</v>
      </c>
      <c r="H436" s="141">
        <v>513201</v>
      </c>
      <c r="I436" s="141">
        <v>513375</v>
      </c>
      <c r="J436" s="142">
        <v>174</v>
      </c>
      <c r="Q436" s="141">
        <v>21603</v>
      </c>
      <c r="R436" s="141">
        <v>21631</v>
      </c>
      <c r="S436" s="142">
        <v>28</v>
      </c>
      <c r="T436" s="141">
        <v>4489</v>
      </c>
      <c r="U436" s="141">
        <v>4496</v>
      </c>
      <c r="V436" s="142">
        <v>7</v>
      </c>
      <c r="W436" s="141">
        <v>3279</v>
      </c>
      <c r="X436" s="141">
        <v>3280</v>
      </c>
      <c r="Y436" s="142">
        <v>1</v>
      </c>
      <c r="Z436" s="141">
        <v>40142</v>
      </c>
      <c r="AA436" s="141">
        <v>40158</v>
      </c>
      <c r="AB436" s="142">
        <v>16</v>
      </c>
    </row>
    <row r="437" spans="1:28">
      <c r="A437" s="144">
        <v>45419</v>
      </c>
      <c r="B437" s="141">
        <f t="shared" si="10"/>
        <v>62261</v>
      </c>
      <c r="C437" s="141">
        <v>62299</v>
      </c>
      <c r="D437" s="142">
        <f t="shared" si="11"/>
        <v>38</v>
      </c>
      <c r="E437" s="141">
        <v>24102</v>
      </c>
      <c r="F437" s="141">
        <v>24126</v>
      </c>
      <c r="G437" s="142">
        <v>24</v>
      </c>
      <c r="H437" s="141">
        <v>513375</v>
      </c>
      <c r="I437" s="141">
        <v>513568</v>
      </c>
      <c r="J437" s="142">
        <v>193</v>
      </c>
      <c r="Q437" s="141">
        <v>21631</v>
      </c>
      <c r="R437" s="141">
        <v>21680</v>
      </c>
      <c r="S437" s="142">
        <v>49</v>
      </c>
      <c r="T437" s="141">
        <v>4496</v>
      </c>
      <c r="U437" s="141">
        <v>4499</v>
      </c>
      <c r="V437" s="142">
        <v>3</v>
      </c>
      <c r="W437" s="141">
        <v>3280</v>
      </c>
      <c r="X437" s="141">
        <v>3281</v>
      </c>
      <c r="Y437" s="142">
        <v>1</v>
      </c>
      <c r="Z437" s="141">
        <v>40158</v>
      </c>
      <c r="AA437" s="141">
        <v>40165</v>
      </c>
      <c r="AB437" s="142">
        <v>7</v>
      </c>
    </row>
    <row r="438" spans="1:28">
      <c r="A438" s="144">
        <v>45420</v>
      </c>
      <c r="B438" s="141">
        <f t="shared" si="10"/>
        <v>62299</v>
      </c>
      <c r="C438" s="141">
        <v>62342</v>
      </c>
      <c r="D438" s="142">
        <f t="shared" si="11"/>
        <v>43</v>
      </c>
      <c r="E438" s="141">
        <v>24126</v>
      </c>
      <c r="F438" s="141">
        <v>24153</v>
      </c>
      <c r="G438" s="142">
        <v>27</v>
      </c>
      <c r="H438" s="141">
        <v>513568</v>
      </c>
      <c r="I438" s="141">
        <v>513741</v>
      </c>
      <c r="J438" s="142">
        <v>173</v>
      </c>
      <c r="Q438" s="141">
        <v>21680</v>
      </c>
      <c r="R438" s="141">
        <v>21720</v>
      </c>
      <c r="S438" s="142">
        <v>40</v>
      </c>
      <c r="T438" s="141">
        <v>4499</v>
      </c>
      <c r="U438" s="141">
        <v>4504</v>
      </c>
      <c r="V438" s="142">
        <v>5</v>
      </c>
      <c r="W438" s="141">
        <v>3281</v>
      </c>
      <c r="X438" s="141">
        <v>3282</v>
      </c>
      <c r="Y438" s="142">
        <v>1</v>
      </c>
      <c r="Z438" s="141">
        <v>40165</v>
      </c>
      <c r="AA438" s="141">
        <v>40172</v>
      </c>
      <c r="AB438" s="142">
        <v>7</v>
      </c>
    </row>
    <row r="439" spans="1:28">
      <c r="A439" s="144">
        <v>45421</v>
      </c>
      <c r="B439" s="141">
        <f t="shared" si="10"/>
        <v>62342</v>
      </c>
      <c r="C439" s="141">
        <v>62357</v>
      </c>
      <c r="D439" s="142">
        <f t="shared" si="11"/>
        <v>15</v>
      </c>
      <c r="E439" s="141">
        <v>24153</v>
      </c>
      <c r="F439" s="141">
        <v>24172</v>
      </c>
      <c r="G439" s="142">
        <v>19</v>
      </c>
      <c r="H439" s="141">
        <v>513741</v>
      </c>
      <c r="I439" s="141">
        <v>513899</v>
      </c>
      <c r="J439" s="142">
        <v>158</v>
      </c>
      <c r="Q439" s="141">
        <v>21720</v>
      </c>
      <c r="R439" s="141">
        <v>21789</v>
      </c>
      <c r="S439" s="142">
        <v>69</v>
      </c>
      <c r="T439" s="141">
        <v>4504</v>
      </c>
      <c r="U439" s="141">
        <v>4510</v>
      </c>
      <c r="V439" s="142">
        <v>6</v>
      </c>
      <c r="W439" s="141">
        <v>3282</v>
      </c>
      <c r="X439" s="141">
        <v>3283</v>
      </c>
      <c r="Y439" s="142">
        <v>1</v>
      </c>
      <c r="Z439" s="141">
        <v>40172</v>
      </c>
      <c r="AA439" s="141">
        <v>40187</v>
      </c>
      <c r="AB439" s="142">
        <v>15</v>
      </c>
    </row>
    <row r="440" spans="1:28">
      <c r="A440" s="144">
        <v>45422</v>
      </c>
      <c r="B440" s="141">
        <f t="shared" si="10"/>
        <v>62357</v>
      </c>
      <c r="C440" s="141">
        <v>62360</v>
      </c>
      <c r="D440" s="142">
        <f t="shared" si="11"/>
        <v>3</v>
      </c>
      <c r="E440" s="141">
        <v>24172</v>
      </c>
      <c r="F440" s="141">
        <v>24209</v>
      </c>
      <c r="G440" s="142">
        <v>37</v>
      </c>
      <c r="H440" s="141">
        <v>513899</v>
      </c>
      <c r="I440" s="141">
        <v>514033</v>
      </c>
      <c r="J440" s="142">
        <v>134</v>
      </c>
      <c r="Q440" s="141">
        <v>21789</v>
      </c>
      <c r="R440" s="141">
        <v>21813</v>
      </c>
      <c r="S440" s="142">
        <v>24</v>
      </c>
      <c r="T440" s="141">
        <v>4510</v>
      </c>
      <c r="U440" s="141">
        <v>4515</v>
      </c>
      <c r="V440" s="142">
        <v>5</v>
      </c>
      <c r="W440" s="141">
        <v>3283</v>
      </c>
      <c r="X440" s="141">
        <v>3284</v>
      </c>
      <c r="Y440" s="142">
        <v>1</v>
      </c>
      <c r="Z440" s="141">
        <v>40187</v>
      </c>
      <c r="AA440" s="141">
        <v>40199</v>
      </c>
      <c r="AB440" s="142">
        <v>12</v>
      </c>
    </row>
    <row r="441" spans="1:28">
      <c r="A441" s="144">
        <v>45423</v>
      </c>
      <c r="B441" s="141">
        <f t="shared" si="10"/>
        <v>62360</v>
      </c>
      <c r="C441" s="141">
        <v>62431</v>
      </c>
      <c r="D441" s="142">
        <f t="shared" si="11"/>
        <v>71</v>
      </c>
      <c r="E441" s="141">
        <v>24209</v>
      </c>
      <c r="F441" s="141">
        <v>24244</v>
      </c>
      <c r="G441" s="142">
        <v>35</v>
      </c>
      <c r="H441" s="141">
        <v>514033</v>
      </c>
      <c r="I441" s="141">
        <v>514220</v>
      </c>
      <c r="J441" s="142">
        <v>187</v>
      </c>
      <c r="Q441" s="141">
        <v>21813</v>
      </c>
      <c r="R441" s="141">
        <v>21849</v>
      </c>
      <c r="S441" s="142">
        <v>36</v>
      </c>
      <c r="T441" s="141">
        <v>4515</v>
      </c>
      <c r="U441" s="141">
        <v>4519</v>
      </c>
      <c r="V441" s="142">
        <v>4</v>
      </c>
      <c r="W441" s="141">
        <v>3284</v>
      </c>
      <c r="X441" s="141">
        <v>3285</v>
      </c>
      <c r="Y441" s="142">
        <v>1</v>
      </c>
      <c r="Z441" s="141">
        <v>40199</v>
      </c>
      <c r="AA441" s="141">
        <v>40216</v>
      </c>
      <c r="AB441" s="142">
        <v>17</v>
      </c>
    </row>
    <row r="442" spans="1:28">
      <c r="A442" s="144">
        <v>45424</v>
      </c>
      <c r="B442" s="141">
        <f t="shared" si="10"/>
        <v>62431</v>
      </c>
      <c r="C442" s="141">
        <v>62467</v>
      </c>
      <c r="D442" s="142">
        <f t="shared" si="11"/>
        <v>36</v>
      </c>
      <c r="E442" s="141">
        <v>24244</v>
      </c>
      <c r="F442" s="141">
        <v>24255</v>
      </c>
      <c r="G442" s="142">
        <v>11</v>
      </c>
      <c r="H442" s="141">
        <v>514220</v>
      </c>
      <c r="I442" s="141">
        <v>514342</v>
      </c>
      <c r="J442" s="142">
        <v>122</v>
      </c>
      <c r="Q442" s="141">
        <v>21849</v>
      </c>
      <c r="R442" s="141">
        <v>21876</v>
      </c>
      <c r="S442" s="142">
        <v>27</v>
      </c>
      <c r="T442" s="141">
        <v>4519</v>
      </c>
      <c r="U442" s="141">
        <v>4525</v>
      </c>
      <c r="V442" s="142">
        <v>6</v>
      </c>
      <c r="W442" s="141">
        <v>3285</v>
      </c>
      <c r="X442" s="141">
        <v>3286</v>
      </c>
      <c r="Y442" s="142">
        <v>1</v>
      </c>
      <c r="Z442" s="141">
        <v>40216</v>
      </c>
      <c r="AA442" s="141">
        <v>40244</v>
      </c>
      <c r="AB442" s="142">
        <v>28</v>
      </c>
    </row>
    <row r="443" spans="1:28">
      <c r="A443" s="144">
        <v>45425</v>
      </c>
      <c r="B443" s="141">
        <f t="shared" si="10"/>
        <v>62467</v>
      </c>
      <c r="C443" s="141">
        <v>62498</v>
      </c>
      <c r="D443" s="142">
        <f t="shared" si="11"/>
        <v>31</v>
      </c>
      <c r="E443" s="141">
        <v>24255</v>
      </c>
      <c r="F443" s="141">
        <v>24296</v>
      </c>
      <c r="G443" s="142">
        <v>41</v>
      </c>
      <c r="H443" s="141">
        <v>514342</v>
      </c>
      <c r="I443" s="141">
        <v>514536</v>
      </c>
      <c r="J443" s="142">
        <v>194</v>
      </c>
      <c r="Q443" s="141">
        <v>21876</v>
      </c>
      <c r="R443" s="141">
        <v>21903</v>
      </c>
      <c r="S443" s="142">
        <v>27</v>
      </c>
      <c r="T443" s="141">
        <v>4525</v>
      </c>
      <c r="U443" s="141">
        <v>4530</v>
      </c>
      <c r="V443" s="142">
        <v>5</v>
      </c>
      <c r="W443" s="141">
        <v>3286</v>
      </c>
      <c r="X443" s="141">
        <v>3288</v>
      </c>
      <c r="Y443" s="142">
        <v>2</v>
      </c>
      <c r="Z443" s="141">
        <v>40244</v>
      </c>
      <c r="AA443" s="141">
        <v>40255</v>
      </c>
      <c r="AB443" s="142">
        <v>11</v>
      </c>
    </row>
    <row r="444" spans="1:28">
      <c r="A444" s="144">
        <v>45426</v>
      </c>
      <c r="B444" s="141">
        <f t="shared" si="10"/>
        <v>62498</v>
      </c>
      <c r="C444" s="141">
        <v>62586</v>
      </c>
      <c r="D444" s="142">
        <f t="shared" si="11"/>
        <v>88</v>
      </c>
      <c r="E444" s="141">
        <v>24296</v>
      </c>
      <c r="F444" s="141">
        <v>24324</v>
      </c>
      <c r="G444" s="142">
        <v>28</v>
      </c>
      <c r="H444" s="141">
        <v>514536</v>
      </c>
      <c r="I444" s="141">
        <v>514719</v>
      </c>
      <c r="J444" s="142">
        <v>183</v>
      </c>
      <c r="Q444" s="141">
        <v>21903</v>
      </c>
      <c r="R444" s="141">
        <v>21910</v>
      </c>
      <c r="S444" s="142">
        <v>7</v>
      </c>
      <c r="T444" s="141">
        <v>4530</v>
      </c>
      <c r="U444" s="141">
        <v>4537</v>
      </c>
      <c r="V444" s="142">
        <v>7</v>
      </c>
      <c r="W444" s="141">
        <v>3288</v>
      </c>
      <c r="X444" s="141">
        <v>3289</v>
      </c>
      <c r="Y444" s="142">
        <v>1</v>
      </c>
      <c r="Z444" s="141">
        <v>40255</v>
      </c>
      <c r="AA444" s="141">
        <v>40267</v>
      </c>
      <c r="AB444" s="142">
        <v>12</v>
      </c>
    </row>
    <row r="445" spans="1:28">
      <c r="A445" s="144">
        <v>45427</v>
      </c>
      <c r="B445" s="141">
        <f t="shared" si="10"/>
        <v>62586</v>
      </c>
      <c r="C445" s="141">
        <v>62671</v>
      </c>
      <c r="D445" s="142">
        <f t="shared" si="11"/>
        <v>85</v>
      </c>
      <c r="E445" s="141">
        <v>24324</v>
      </c>
      <c r="F445" s="141">
        <v>24324</v>
      </c>
      <c r="G445" s="142">
        <v>0</v>
      </c>
      <c r="H445" s="141">
        <v>514719</v>
      </c>
      <c r="I445" s="141">
        <v>514993</v>
      </c>
      <c r="J445" s="142">
        <v>274</v>
      </c>
      <c r="Q445" s="141">
        <v>21910</v>
      </c>
      <c r="R445" s="141">
        <v>21953</v>
      </c>
      <c r="S445" s="142">
        <v>43</v>
      </c>
      <c r="T445" s="141">
        <v>4537</v>
      </c>
      <c r="U445" s="141">
        <v>4542</v>
      </c>
      <c r="V445" s="142">
        <v>5</v>
      </c>
      <c r="W445" s="141">
        <v>3289</v>
      </c>
      <c r="X445" s="141">
        <v>3292</v>
      </c>
      <c r="Y445" s="142">
        <v>3</v>
      </c>
      <c r="Z445" s="141">
        <v>40267</v>
      </c>
      <c r="AA445" s="141">
        <v>40278</v>
      </c>
      <c r="AB445" s="142">
        <v>11</v>
      </c>
    </row>
    <row r="446" spans="1:28">
      <c r="A446" s="144">
        <v>45428</v>
      </c>
      <c r="B446" s="141">
        <f t="shared" si="10"/>
        <v>62671</v>
      </c>
      <c r="C446" s="141">
        <v>62762</v>
      </c>
      <c r="D446" s="142">
        <f t="shared" si="11"/>
        <v>91</v>
      </c>
      <c r="E446" s="141">
        <v>24324</v>
      </c>
      <c r="F446" s="141">
        <v>24393</v>
      </c>
      <c r="G446" s="142">
        <v>69</v>
      </c>
      <c r="H446" s="141">
        <v>514993</v>
      </c>
      <c r="I446" s="141">
        <v>515163</v>
      </c>
      <c r="J446" s="142">
        <v>170</v>
      </c>
      <c r="Q446" s="141">
        <v>21953</v>
      </c>
      <c r="R446" s="141">
        <v>22017</v>
      </c>
      <c r="S446" s="142">
        <v>64</v>
      </c>
      <c r="T446" s="141">
        <v>4542</v>
      </c>
      <c r="U446" s="141">
        <v>4544</v>
      </c>
      <c r="V446" s="142">
        <v>2</v>
      </c>
      <c r="W446" s="141">
        <v>3292</v>
      </c>
      <c r="X446" s="141">
        <v>3293</v>
      </c>
      <c r="Y446" s="142">
        <v>1</v>
      </c>
      <c r="Z446" s="141">
        <v>40278</v>
      </c>
      <c r="AA446" s="141">
        <v>40289</v>
      </c>
      <c r="AB446" s="142">
        <v>11</v>
      </c>
    </row>
    <row r="447" spans="1:28">
      <c r="A447" s="144">
        <v>45429</v>
      </c>
      <c r="B447" s="141">
        <f t="shared" si="10"/>
        <v>62762</v>
      </c>
      <c r="C447" s="141">
        <v>62850</v>
      </c>
      <c r="D447" s="142">
        <f t="shared" si="11"/>
        <v>88</v>
      </c>
      <c r="E447" s="141">
        <v>24393</v>
      </c>
      <c r="F447" s="141">
        <v>24435</v>
      </c>
      <c r="G447" s="142">
        <v>42</v>
      </c>
      <c r="H447" s="141">
        <v>515163</v>
      </c>
      <c r="I447" s="141">
        <v>515280</v>
      </c>
      <c r="J447" s="142">
        <v>117</v>
      </c>
      <c r="Q447" s="141">
        <v>22017</v>
      </c>
      <c r="R447" s="141">
        <v>22069</v>
      </c>
      <c r="S447" s="142">
        <v>52</v>
      </c>
      <c r="T447" s="141">
        <v>4544</v>
      </c>
      <c r="U447" s="141">
        <v>4547</v>
      </c>
      <c r="V447" s="142">
        <v>3</v>
      </c>
      <c r="W447" s="141">
        <v>3293</v>
      </c>
      <c r="X447" s="141">
        <v>3294</v>
      </c>
      <c r="Y447" s="142">
        <v>1</v>
      </c>
      <c r="Z447" s="141">
        <v>40289</v>
      </c>
      <c r="AA447" s="141">
        <v>40307</v>
      </c>
      <c r="AB447" s="142">
        <v>18</v>
      </c>
    </row>
    <row r="448" spans="1:28">
      <c r="A448" s="144">
        <v>45430</v>
      </c>
      <c r="B448" s="141">
        <f t="shared" si="10"/>
        <v>62850</v>
      </c>
      <c r="C448" s="141">
        <v>62949</v>
      </c>
      <c r="D448" s="142">
        <f t="shared" si="11"/>
        <v>99</v>
      </c>
      <c r="E448" s="141">
        <v>24435</v>
      </c>
      <c r="F448" s="141">
        <v>24451</v>
      </c>
      <c r="G448" s="142">
        <v>16</v>
      </c>
      <c r="H448" s="141">
        <v>515280</v>
      </c>
      <c r="I448" s="141">
        <v>515517</v>
      </c>
      <c r="J448" s="142">
        <v>237</v>
      </c>
      <c r="Q448" s="141">
        <v>22069</v>
      </c>
      <c r="R448" s="141">
        <v>22093</v>
      </c>
      <c r="S448" s="142">
        <v>24</v>
      </c>
      <c r="T448" s="141">
        <v>4547</v>
      </c>
      <c r="U448" s="141">
        <v>4556</v>
      </c>
      <c r="V448" s="142">
        <v>9</v>
      </c>
      <c r="W448" s="141">
        <v>3294</v>
      </c>
      <c r="X448" s="141">
        <v>3295</v>
      </c>
      <c r="Y448" s="142">
        <v>1</v>
      </c>
      <c r="Z448" s="141">
        <v>40307</v>
      </c>
      <c r="AA448" s="141">
        <v>40333</v>
      </c>
      <c r="AB448" s="142">
        <v>26</v>
      </c>
    </row>
    <row r="449" spans="1:28">
      <c r="A449" s="144">
        <v>45431</v>
      </c>
      <c r="B449" s="141">
        <f t="shared" si="10"/>
        <v>62949</v>
      </c>
      <c r="C449" s="141">
        <v>63126</v>
      </c>
      <c r="D449" s="142">
        <f t="shared" si="11"/>
        <v>177</v>
      </c>
      <c r="E449" s="141">
        <v>24451</v>
      </c>
      <c r="F449" s="141">
        <v>24476</v>
      </c>
      <c r="G449" s="142">
        <v>25</v>
      </c>
      <c r="H449" s="141">
        <v>515517</v>
      </c>
      <c r="I449" s="141">
        <v>515680</v>
      </c>
      <c r="J449" s="142">
        <v>163</v>
      </c>
      <c r="Q449" s="141">
        <v>22093</v>
      </c>
      <c r="R449" s="141">
        <v>22124</v>
      </c>
      <c r="S449" s="142">
        <v>31</v>
      </c>
      <c r="T449" s="141">
        <v>4556</v>
      </c>
      <c r="U449" s="141">
        <v>4559</v>
      </c>
      <c r="V449" s="142">
        <v>3</v>
      </c>
      <c r="W449" s="141">
        <v>3295</v>
      </c>
      <c r="X449" s="141">
        <v>3296</v>
      </c>
      <c r="Y449" s="142">
        <v>1</v>
      </c>
      <c r="Z449" s="141">
        <v>40333</v>
      </c>
      <c r="AA449" s="141">
        <v>40369</v>
      </c>
      <c r="AB449" s="142">
        <v>36</v>
      </c>
    </row>
    <row r="450" spans="1:28">
      <c r="A450" s="144">
        <v>45432</v>
      </c>
      <c r="B450" s="141">
        <f t="shared" si="10"/>
        <v>63126</v>
      </c>
      <c r="C450" s="141">
        <v>63216</v>
      </c>
      <c r="D450" s="142">
        <f t="shared" si="11"/>
        <v>90</v>
      </c>
      <c r="E450" s="141">
        <v>24476</v>
      </c>
      <c r="F450" s="141">
        <v>24499</v>
      </c>
      <c r="G450" s="142">
        <v>23</v>
      </c>
      <c r="H450" s="141">
        <v>515680</v>
      </c>
      <c r="I450" s="141">
        <v>515840</v>
      </c>
      <c r="J450" s="142">
        <v>160</v>
      </c>
      <c r="Q450" s="141">
        <v>22124</v>
      </c>
      <c r="R450" s="141">
        <v>22153</v>
      </c>
      <c r="S450" s="142">
        <v>29</v>
      </c>
      <c r="T450" s="141">
        <v>4559</v>
      </c>
      <c r="U450" s="141">
        <v>4563</v>
      </c>
      <c r="V450" s="142">
        <v>4</v>
      </c>
      <c r="W450" s="141">
        <v>3296</v>
      </c>
      <c r="X450" s="141">
        <v>3298</v>
      </c>
      <c r="Y450" s="142">
        <v>2</v>
      </c>
      <c r="Z450" s="141">
        <v>40369</v>
      </c>
      <c r="AA450" s="141">
        <v>40384</v>
      </c>
      <c r="AB450" s="142">
        <v>15</v>
      </c>
    </row>
    <row r="451" spans="1:28">
      <c r="A451" s="144">
        <v>45433</v>
      </c>
      <c r="B451" s="141">
        <f t="shared" si="10"/>
        <v>63216</v>
      </c>
      <c r="C451" s="141">
        <v>63324</v>
      </c>
      <c r="D451" s="142">
        <f t="shared" si="11"/>
        <v>108</v>
      </c>
      <c r="E451" s="141">
        <v>24499</v>
      </c>
      <c r="F451" s="141">
        <v>24538</v>
      </c>
      <c r="G451" s="142">
        <v>39</v>
      </c>
      <c r="H451" s="141">
        <v>515840</v>
      </c>
      <c r="I451" s="141">
        <v>515974</v>
      </c>
      <c r="J451" s="142">
        <v>134</v>
      </c>
      <c r="Q451" s="141">
        <v>22153</v>
      </c>
      <c r="R451" s="141">
        <v>22192</v>
      </c>
      <c r="S451" s="142">
        <v>39</v>
      </c>
      <c r="T451" s="141">
        <v>4563</v>
      </c>
      <c r="U451" s="141">
        <v>4568</v>
      </c>
      <c r="V451" s="142">
        <v>5</v>
      </c>
      <c r="W451" s="141">
        <v>3298</v>
      </c>
      <c r="X451" s="141">
        <v>3299</v>
      </c>
      <c r="Y451" s="142">
        <v>1</v>
      </c>
      <c r="Z451" s="141">
        <v>40384</v>
      </c>
      <c r="AA451" s="141">
        <v>40399</v>
      </c>
      <c r="AB451" s="142">
        <v>15</v>
      </c>
    </row>
    <row r="452" spans="1:28">
      <c r="A452" s="144">
        <v>45434</v>
      </c>
      <c r="B452" s="141">
        <f t="shared" si="10"/>
        <v>63324</v>
      </c>
      <c r="C452" s="141">
        <v>63324</v>
      </c>
      <c r="D452" s="142">
        <f t="shared" ref="D452:D483" si="12">C452-B452</f>
        <v>0</v>
      </c>
      <c r="E452" s="141">
        <v>24538</v>
      </c>
      <c r="F452" s="141">
        <v>24578</v>
      </c>
      <c r="G452" s="142">
        <v>40</v>
      </c>
      <c r="H452" s="141">
        <v>515974</v>
      </c>
      <c r="I452" s="141">
        <v>516176</v>
      </c>
      <c r="J452" s="142">
        <v>202</v>
      </c>
      <c r="Q452" s="141">
        <v>22192</v>
      </c>
      <c r="R452" s="141">
        <v>22230</v>
      </c>
      <c r="S452" s="142">
        <v>38</v>
      </c>
      <c r="T452" s="141">
        <v>4568</v>
      </c>
      <c r="U452" s="141">
        <v>4573</v>
      </c>
      <c r="V452" s="142">
        <v>5</v>
      </c>
      <c r="W452" s="141">
        <v>3299</v>
      </c>
      <c r="X452" s="141">
        <v>3300</v>
      </c>
      <c r="Y452" s="142">
        <v>1</v>
      </c>
      <c r="Z452" s="141">
        <v>40399</v>
      </c>
      <c r="AA452" s="141">
        <v>40414</v>
      </c>
      <c r="AB452" s="142">
        <v>15</v>
      </c>
    </row>
    <row r="453" spans="1:28">
      <c r="A453" s="144">
        <v>45435</v>
      </c>
      <c r="B453" s="141">
        <f t="shared" si="10"/>
        <v>63324</v>
      </c>
      <c r="C453" s="141">
        <v>63446</v>
      </c>
      <c r="D453" s="142">
        <f t="shared" si="12"/>
        <v>122</v>
      </c>
      <c r="E453" s="141">
        <v>24578</v>
      </c>
      <c r="F453" s="141">
        <v>24578</v>
      </c>
      <c r="G453" s="142">
        <v>0</v>
      </c>
      <c r="H453" s="141">
        <v>516176</v>
      </c>
      <c r="I453" s="141">
        <v>516397</v>
      </c>
      <c r="J453" s="142">
        <v>221</v>
      </c>
      <c r="Q453" s="141">
        <v>22230</v>
      </c>
      <c r="R453" s="141">
        <v>22262</v>
      </c>
      <c r="S453" s="142">
        <v>32</v>
      </c>
      <c r="T453" s="141">
        <v>4573</v>
      </c>
      <c r="U453" s="141">
        <v>4579</v>
      </c>
      <c r="V453" s="142">
        <v>6</v>
      </c>
      <c r="W453" s="141">
        <v>3300</v>
      </c>
      <c r="X453" s="141">
        <v>3301</v>
      </c>
      <c r="Y453" s="142">
        <v>1</v>
      </c>
      <c r="Z453" s="141">
        <v>40414</v>
      </c>
      <c r="AA453" s="141">
        <v>40428</v>
      </c>
      <c r="AB453" s="142">
        <v>14</v>
      </c>
    </row>
    <row r="454" spans="1:28">
      <c r="A454" s="144">
        <v>45436</v>
      </c>
      <c r="B454" s="141">
        <f t="shared" si="10"/>
        <v>63446</v>
      </c>
      <c r="C454" s="141">
        <v>63448</v>
      </c>
      <c r="D454" s="142">
        <f t="shared" si="12"/>
        <v>2</v>
      </c>
      <c r="E454" s="141">
        <v>24578</v>
      </c>
      <c r="F454" s="141">
        <v>24604</v>
      </c>
      <c r="G454" s="142">
        <v>26</v>
      </c>
      <c r="H454" s="141">
        <v>516397</v>
      </c>
      <c r="I454" s="141">
        <v>516548</v>
      </c>
      <c r="J454" s="142">
        <v>151</v>
      </c>
      <c r="Q454" s="141">
        <v>22262</v>
      </c>
      <c r="R454" s="141">
        <v>22296</v>
      </c>
      <c r="S454" s="142">
        <v>34</v>
      </c>
      <c r="T454" s="141">
        <v>4579</v>
      </c>
      <c r="U454" s="141">
        <v>4586</v>
      </c>
      <c r="V454" s="142">
        <v>7</v>
      </c>
      <c r="W454" s="141">
        <v>3301</v>
      </c>
      <c r="X454" s="141">
        <v>3303</v>
      </c>
      <c r="Y454" s="142">
        <v>2</v>
      </c>
      <c r="Z454" s="141">
        <v>40428</v>
      </c>
      <c r="AA454" s="141">
        <v>40436</v>
      </c>
      <c r="AB454" s="142">
        <v>8</v>
      </c>
    </row>
    <row r="455" spans="1:28">
      <c r="A455" s="144">
        <v>45437</v>
      </c>
      <c r="B455" s="141">
        <f t="shared" si="10"/>
        <v>63448</v>
      </c>
      <c r="C455" s="141">
        <v>63448</v>
      </c>
      <c r="D455" s="142">
        <f t="shared" si="12"/>
        <v>0</v>
      </c>
      <c r="E455" s="141">
        <v>24604</v>
      </c>
      <c r="F455" s="141">
        <v>24642</v>
      </c>
      <c r="G455" s="142">
        <v>38</v>
      </c>
      <c r="H455" s="141">
        <v>516548</v>
      </c>
      <c r="I455" s="141">
        <v>516720</v>
      </c>
      <c r="J455" s="142">
        <v>172</v>
      </c>
      <c r="Q455" s="141">
        <v>22296</v>
      </c>
      <c r="R455" s="141">
        <v>22321</v>
      </c>
      <c r="S455" s="142">
        <v>25</v>
      </c>
      <c r="T455" s="141">
        <v>4586</v>
      </c>
      <c r="U455" s="141">
        <v>4589</v>
      </c>
      <c r="V455" s="142">
        <v>3</v>
      </c>
      <c r="W455" s="141">
        <v>3303</v>
      </c>
      <c r="X455" s="141">
        <v>3304</v>
      </c>
      <c r="Y455" s="142">
        <v>1</v>
      </c>
      <c r="Z455" s="141">
        <v>40436</v>
      </c>
      <c r="AA455" s="141">
        <v>40452</v>
      </c>
      <c r="AB455" s="142">
        <v>16</v>
      </c>
    </row>
    <row r="456" spans="1:28">
      <c r="A456" s="144">
        <v>45438</v>
      </c>
      <c r="B456" s="141">
        <f t="shared" si="10"/>
        <v>63448</v>
      </c>
      <c r="C456" s="141">
        <v>63448</v>
      </c>
      <c r="D456" s="142">
        <f t="shared" si="12"/>
        <v>0</v>
      </c>
      <c r="E456" s="141">
        <v>24642</v>
      </c>
      <c r="F456" s="141">
        <v>24692</v>
      </c>
      <c r="G456" s="142">
        <v>50</v>
      </c>
      <c r="H456" s="141">
        <v>516720</v>
      </c>
      <c r="I456" s="141">
        <v>516867</v>
      </c>
      <c r="J456" s="142">
        <v>147</v>
      </c>
      <c r="Q456" s="141">
        <v>22321</v>
      </c>
      <c r="R456" s="141">
        <v>22357</v>
      </c>
      <c r="S456" s="142">
        <v>36</v>
      </c>
      <c r="T456" s="141">
        <v>4589</v>
      </c>
      <c r="U456" s="141">
        <v>4593</v>
      </c>
      <c r="V456" s="142">
        <v>4</v>
      </c>
      <c r="W456" s="141">
        <v>3304</v>
      </c>
      <c r="X456" s="141">
        <v>3305</v>
      </c>
      <c r="Y456" s="142">
        <v>1</v>
      </c>
      <c r="Z456" s="141">
        <v>40452</v>
      </c>
      <c r="AA456" s="141">
        <v>40466</v>
      </c>
      <c r="AB456" s="142">
        <v>14</v>
      </c>
    </row>
    <row r="457" spans="1:28">
      <c r="A457" s="144">
        <v>45439</v>
      </c>
      <c r="B457" s="141">
        <f t="shared" si="10"/>
        <v>63448</v>
      </c>
      <c r="C457" s="141">
        <v>63576</v>
      </c>
      <c r="D457" s="142">
        <f t="shared" si="12"/>
        <v>128</v>
      </c>
      <c r="E457" s="141">
        <v>24692</v>
      </c>
      <c r="F457" s="141">
        <v>24724</v>
      </c>
      <c r="G457" s="142">
        <v>32</v>
      </c>
      <c r="H457" s="141">
        <v>516867</v>
      </c>
      <c r="I457" s="141">
        <v>517074</v>
      </c>
      <c r="J457" s="142">
        <v>207</v>
      </c>
      <c r="Q457" s="141">
        <v>22357</v>
      </c>
      <c r="R457" s="141">
        <v>22399</v>
      </c>
      <c r="S457" s="142">
        <v>42</v>
      </c>
      <c r="T457" s="141">
        <v>4593</v>
      </c>
      <c r="U457" s="141">
        <v>4600</v>
      </c>
      <c r="V457" s="142">
        <v>7</v>
      </c>
      <c r="W457" s="141">
        <v>3305</v>
      </c>
      <c r="X457" s="141">
        <v>3306</v>
      </c>
      <c r="Y457" s="142">
        <v>1</v>
      </c>
      <c r="Z457" s="141">
        <v>40466</v>
      </c>
      <c r="AA457" s="141">
        <v>40479</v>
      </c>
      <c r="AB457" s="142">
        <v>13</v>
      </c>
    </row>
    <row r="458" spans="1:28">
      <c r="A458" s="144">
        <v>45440</v>
      </c>
      <c r="B458" s="141">
        <f t="shared" si="10"/>
        <v>63576</v>
      </c>
      <c r="C458" s="141">
        <v>63676</v>
      </c>
      <c r="D458" s="142">
        <f t="shared" si="12"/>
        <v>100</v>
      </c>
      <c r="E458" s="141">
        <v>24724</v>
      </c>
      <c r="F458" s="141">
        <v>24762</v>
      </c>
      <c r="G458" s="142">
        <v>38</v>
      </c>
      <c r="H458" s="141">
        <v>517074</v>
      </c>
      <c r="I458" s="141">
        <v>517224</v>
      </c>
      <c r="J458" s="142">
        <v>150</v>
      </c>
      <c r="Q458" s="141">
        <v>22399</v>
      </c>
      <c r="R458" s="141">
        <v>22435</v>
      </c>
      <c r="S458" s="142">
        <v>36</v>
      </c>
      <c r="T458" s="141">
        <v>4600</v>
      </c>
      <c r="U458" s="141">
        <v>4606</v>
      </c>
      <c r="V458" s="142">
        <v>6</v>
      </c>
      <c r="W458" s="141">
        <v>3306</v>
      </c>
      <c r="X458" s="141">
        <v>3307</v>
      </c>
      <c r="Y458" s="142">
        <v>1</v>
      </c>
      <c r="Z458" s="141">
        <v>40479</v>
      </c>
      <c r="AA458" s="141">
        <v>40493</v>
      </c>
      <c r="AB458" s="142">
        <v>14</v>
      </c>
    </row>
    <row r="459" spans="1:28">
      <c r="A459" s="144">
        <v>45441</v>
      </c>
      <c r="B459" s="141">
        <f t="shared" si="10"/>
        <v>63676</v>
      </c>
      <c r="C459" s="141">
        <v>63757</v>
      </c>
      <c r="D459" s="142">
        <f t="shared" si="12"/>
        <v>81</v>
      </c>
      <c r="E459" s="141">
        <v>24762</v>
      </c>
      <c r="F459" s="141">
        <v>24805</v>
      </c>
      <c r="G459" s="142">
        <v>43</v>
      </c>
      <c r="H459" s="141">
        <v>517224</v>
      </c>
      <c r="I459" s="141">
        <v>517377</v>
      </c>
      <c r="J459" s="142">
        <v>153</v>
      </c>
      <c r="Q459" s="141">
        <v>22435</v>
      </c>
      <c r="R459" s="141">
        <v>22480</v>
      </c>
      <c r="S459" s="142">
        <v>45</v>
      </c>
      <c r="T459" s="141">
        <v>4606</v>
      </c>
      <c r="U459" s="141">
        <v>4612</v>
      </c>
      <c r="V459" s="142">
        <v>6</v>
      </c>
      <c r="W459" s="141">
        <v>3307</v>
      </c>
      <c r="X459" s="141">
        <v>3308</v>
      </c>
      <c r="Y459" s="142">
        <v>1</v>
      </c>
      <c r="Z459" s="141">
        <v>40493</v>
      </c>
      <c r="AA459" s="141">
        <v>40521</v>
      </c>
      <c r="AB459" s="142">
        <v>28</v>
      </c>
    </row>
    <row r="460" spans="1:28">
      <c r="A460" s="144">
        <v>45442</v>
      </c>
      <c r="B460" s="141">
        <f t="shared" si="10"/>
        <v>63757</v>
      </c>
      <c r="C460" s="141">
        <v>63861</v>
      </c>
      <c r="D460" s="142">
        <f t="shared" si="12"/>
        <v>104</v>
      </c>
      <c r="E460" s="141">
        <v>24805</v>
      </c>
      <c r="F460" s="141">
        <v>24839</v>
      </c>
      <c r="G460" s="142">
        <v>34</v>
      </c>
      <c r="H460" s="141">
        <v>517377</v>
      </c>
      <c r="I460" s="141">
        <v>517563</v>
      </c>
      <c r="J460" s="142">
        <v>186</v>
      </c>
      <c r="Q460" s="141">
        <v>22480</v>
      </c>
      <c r="R460" s="141">
        <v>22511</v>
      </c>
      <c r="S460" s="142">
        <v>31</v>
      </c>
      <c r="T460" s="141">
        <v>4612</v>
      </c>
      <c r="U460" s="141">
        <v>4618</v>
      </c>
      <c r="V460" s="142">
        <v>6</v>
      </c>
      <c r="W460" s="141">
        <v>3308</v>
      </c>
      <c r="X460" s="141">
        <v>3309</v>
      </c>
      <c r="Y460" s="142">
        <v>1</v>
      </c>
      <c r="Z460" s="141">
        <v>40521</v>
      </c>
      <c r="AA460" s="141">
        <v>40533</v>
      </c>
      <c r="AB460" s="142">
        <v>12</v>
      </c>
    </row>
    <row r="461" spans="1:28">
      <c r="A461" s="144">
        <v>45443</v>
      </c>
      <c r="B461" s="141">
        <f t="shared" ref="B461:B524" si="13">C460</f>
        <v>63861</v>
      </c>
      <c r="C461" s="141">
        <v>63938</v>
      </c>
      <c r="D461" s="142">
        <f t="shared" si="12"/>
        <v>77</v>
      </c>
      <c r="E461" s="141">
        <v>24839</v>
      </c>
      <c r="F461" s="141">
        <v>24872</v>
      </c>
      <c r="G461" s="142">
        <v>33</v>
      </c>
      <c r="H461" s="141">
        <v>517563</v>
      </c>
      <c r="I461" s="141">
        <v>517745</v>
      </c>
      <c r="J461" s="142">
        <v>182</v>
      </c>
      <c r="Q461" s="141">
        <v>22511</v>
      </c>
      <c r="R461" s="141">
        <v>22534</v>
      </c>
      <c r="S461" s="142">
        <v>23</v>
      </c>
      <c r="T461" s="141">
        <v>4618</v>
      </c>
      <c r="U461" s="141">
        <v>4623</v>
      </c>
      <c r="V461" s="142">
        <v>5</v>
      </c>
      <c r="W461" s="141">
        <v>3309</v>
      </c>
      <c r="X461" s="141">
        <v>3311</v>
      </c>
      <c r="Y461" s="142">
        <v>2</v>
      </c>
      <c r="Z461" s="141">
        <v>40533</v>
      </c>
      <c r="AA461" s="141">
        <v>40543</v>
      </c>
      <c r="AB461" s="142">
        <v>10</v>
      </c>
    </row>
    <row r="462" spans="1:28">
      <c r="A462" s="144">
        <v>45444</v>
      </c>
      <c r="B462" s="141">
        <f t="shared" si="13"/>
        <v>63938</v>
      </c>
      <c r="C462" s="141">
        <v>63960</v>
      </c>
      <c r="D462" s="142">
        <f t="shared" si="12"/>
        <v>22</v>
      </c>
      <c r="E462" s="141">
        <v>24872</v>
      </c>
      <c r="F462" s="141">
        <v>24914</v>
      </c>
      <c r="G462" s="142">
        <v>42</v>
      </c>
      <c r="H462" s="141">
        <v>517745</v>
      </c>
      <c r="I462" s="141">
        <v>517940</v>
      </c>
      <c r="J462" s="142">
        <v>195</v>
      </c>
      <c r="Q462" s="141">
        <v>22534</v>
      </c>
      <c r="R462" s="141">
        <v>22534</v>
      </c>
      <c r="S462" s="142">
        <v>0</v>
      </c>
      <c r="T462" s="141">
        <v>4623</v>
      </c>
      <c r="U462" s="141">
        <v>4627</v>
      </c>
      <c r="V462" s="142">
        <v>4</v>
      </c>
      <c r="W462" s="141">
        <v>3311</v>
      </c>
      <c r="X462" s="141">
        <v>3312</v>
      </c>
      <c r="Y462" s="142">
        <v>1</v>
      </c>
      <c r="Z462" s="141">
        <v>40543</v>
      </c>
      <c r="AA462" s="141">
        <v>40561</v>
      </c>
      <c r="AB462" s="142">
        <v>18</v>
      </c>
    </row>
    <row r="463" spans="1:28">
      <c r="A463" s="144">
        <v>45445</v>
      </c>
      <c r="B463" s="141">
        <f t="shared" si="13"/>
        <v>63960</v>
      </c>
      <c r="C463" s="141">
        <v>64056</v>
      </c>
      <c r="D463" s="142">
        <f t="shared" si="12"/>
        <v>96</v>
      </c>
      <c r="E463" s="141">
        <v>24914</v>
      </c>
      <c r="F463" s="141">
        <v>24970</v>
      </c>
      <c r="G463" s="142">
        <v>56</v>
      </c>
      <c r="H463" s="141">
        <v>517940</v>
      </c>
      <c r="I463" s="141">
        <v>518177</v>
      </c>
      <c r="J463" s="142">
        <v>237</v>
      </c>
      <c r="Q463" s="141">
        <v>22534</v>
      </c>
      <c r="R463" s="141">
        <v>22534</v>
      </c>
      <c r="S463" s="142">
        <v>0</v>
      </c>
      <c r="T463" s="141">
        <v>4627</v>
      </c>
      <c r="U463" s="141">
        <v>4633</v>
      </c>
      <c r="V463" s="142">
        <v>6</v>
      </c>
      <c r="W463" s="141">
        <v>3312</v>
      </c>
      <c r="X463" s="141">
        <v>3313</v>
      </c>
      <c r="Y463" s="142">
        <v>1</v>
      </c>
      <c r="Z463" s="141">
        <v>40561</v>
      </c>
      <c r="AA463" s="141">
        <v>40584</v>
      </c>
      <c r="AB463" s="142">
        <v>23</v>
      </c>
    </row>
    <row r="464" spans="1:28">
      <c r="A464" s="144">
        <v>45446</v>
      </c>
      <c r="B464" s="141">
        <f t="shared" si="13"/>
        <v>64056</v>
      </c>
      <c r="C464" s="141">
        <v>64160</v>
      </c>
      <c r="D464" s="142">
        <f t="shared" si="12"/>
        <v>104</v>
      </c>
      <c r="E464" s="141">
        <v>24970</v>
      </c>
      <c r="F464" s="141">
        <v>25016</v>
      </c>
      <c r="G464" s="142">
        <v>46</v>
      </c>
      <c r="H464" s="141">
        <v>518177</v>
      </c>
      <c r="I464" s="141">
        <v>518291</v>
      </c>
      <c r="J464" s="142">
        <v>114</v>
      </c>
      <c r="Q464" s="141">
        <v>22534</v>
      </c>
      <c r="R464" s="141">
        <v>22555</v>
      </c>
      <c r="S464" s="142">
        <v>21</v>
      </c>
      <c r="T464" s="141">
        <v>4633</v>
      </c>
      <c r="U464" s="141">
        <v>4547</v>
      </c>
      <c r="V464" s="142">
        <v>-86</v>
      </c>
      <c r="W464" s="141">
        <v>3313</v>
      </c>
      <c r="X464" s="141">
        <v>3320</v>
      </c>
      <c r="Y464" s="142">
        <v>7</v>
      </c>
      <c r="Z464" s="141">
        <v>40584</v>
      </c>
      <c r="AA464" s="141">
        <v>40597</v>
      </c>
      <c r="AB464" s="142">
        <v>13</v>
      </c>
    </row>
    <row r="465" spans="1:28">
      <c r="A465" s="144">
        <v>45447</v>
      </c>
      <c r="B465" s="141">
        <f t="shared" si="13"/>
        <v>64160</v>
      </c>
      <c r="C465" s="141">
        <v>64240</v>
      </c>
      <c r="D465" s="142">
        <f t="shared" si="12"/>
        <v>80</v>
      </c>
      <c r="E465" s="141">
        <v>25016</v>
      </c>
      <c r="F465" s="141">
        <v>25055</v>
      </c>
      <c r="G465" s="142">
        <v>39</v>
      </c>
      <c r="H465" s="141">
        <v>518291</v>
      </c>
      <c r="I465" s="141">
        <v>518485</v>
      </c>
      <c r="J465" s="142">
        <v>194</v>
      </c>
      <c r="Q465" s="141">
        <v>22555</v>
      </c>
      <c r="R465" s="141">
        <v>22589</v>
      </c>
      <c r="S465" s="142">
        <v>34</v>
      </c>
      <c r="T465" s="141">
        <v>4547</v>
      </c>
      <c r="U465" s="141">
        <v>4549</v>
      </c>
      <c r="V465" s="142">
        <v>2</v>
      </c>
      <c r="W465" s="141">
        <v>3320</v>
      </c>
      <c r="X465" s="141">
        <v>3321</v>
      </c>
      <c r="Y465" s="142">
        <v>1</v>
      </c>
      <c r="Z465" s="141">
        <v>40597</v>
      </c>
      <c r="AA465" s="141">
        <v>40609</v>
      </c>
      <c r="AB465" s="142">
        <v>12</v>
      </c>
    </row>
    <row r="466" spans="1:28">
      <c r="A466" s="144">
        <v>45448</v>
      </c>
      <c r="B466" s="141">
        <f t="shared" si="13"/>
        <v>64240</v>
      </c>
      <c r="C466" s="141">
        <v>64360</v>
      </c>
      <c r="D466" s="142">
        <f t="shared" si="12"/>
        <v>120</v>
      </c>
      <c r="E466" s="141">
        <v>25055</v>
      </c>
      <c r="F466" s="141">
        <v>25106</v>
      </c>
      <c r="G466" s="142">
        <v>51</v>
      </c>
      <c r="H466" s="141">
        <v>518485</v>
      </c>
      <c r="I466" s="141">
        <v>518648</v>
      </c>
      <c r="J466" s="142">
        <v>163</v>
      </c>
      <c r="Q466" s="141">
        <v>22589</v>
      </c>
      <c r="R466" s="141">
        <v>22610</v>
      </c>
      <c r="S466" s="142">
        <v>21</v>
      </c>
      <c r="T466" s="141">
        <v>4549</v>
      </c>
      <c r="U466" s="141">
        <v>4552</v>
      </c>
      <c r="V466" s="142">
        <v>3</v>
      </c>
      <c r="W466" s="141">
        <v>3321</v>
      </c>
      <c r="X466" s="141">
        <v>3342</v>
      </c>
      <c r="Y466" s="142">
        <v>21</v>
      </c>
      <c r="Z466" s="141">
        <v>40609</v>
      </c>
      <c r="AA466" s="141">
        <v>40627</v>
      </c>
      <c r="AB466" s="142">
        <v>18</v>
      </c>
    </row>
    <row r="467" spans="1:28">
      <c r="A467" s="144">
        <v>45449</v>
      </c>
      <c r="B467" s="141">
        <f t="shared" si="13"/>
        <v>64360</v>
      </c>
      <c r="C467" s="141">
        <v>64426</v>
      </c>
      <c r="D467" s="142">
        <f t="shared" si="12"/>
        <v>66</v>
      </c>
      <c r="E467" s="141">
        <v>25106</v>
      </c>
      <c r="F467" s="141">
        <v>25147</v>
      </c>
      <c r="G467" s="142">
        <v>41</v>
      </c>
      <c r="H467" s="141">
        <v>518648</v>
      </c>
      <c r="I467" s="141">
        <v>518845</v>
      </c>
      <c r="J467" s="142">
        <v>197</v>
      </c>
      <c r="Q467" s="141">
        <v>22610</v>
      </c>
      <c r="R467" s="141">
        <v>22615</v>
      </c>
      <c r="S467" s="142">
        <v>5</v>
      </c>
      <c r="T467" s="141">
        <v>4552</v>
      </c>
      <c r="U467" s="141">
        <v>4555</v>
      </c>
      <c r="V467" s="142">
        <v>3</v>
      </c>
      <c r="W467" s="141">
        <v>3342</v>
      </c>
      <c r="X467" s="141">
        <v>3344</v>
      </c>
      <c r="Y467" s="142">
        <v>2</v>
      </c>
      <c r="Z467" s="141">
        <v>40627</v>
      </c>
      <c r="AA467" s="141">
        <v>40637</v>
      </c>
      <c r="AB467" s="142">
        <v>10</v>
      </c>
    </row>
    <row r="468" spans="1:28">
      <c r="A468" s="144">
        <v>45450</v>
      </c>
      <c r="B468" s="141">
        <f t="shared" si="13"/>
        <v>64426</v>
      </c>
      <c r="C468" s="141">
        <v>64468</v>
      </c>
      <c r="D468" s="142">
        <f t="shared" si="12"/>
        <v>42</v>
      </c>
      <c r="E468" s="141">
        <v>25147</v>
      </c>
      <c r="F468" s="141">
        <v>25215</v>
      </c>
      <c r="G468" s="142">
        <v>68</v>
      </c>
      <c r="H468" s="141">
        <v>518845</v>
      </c>
      <c r="I468" s="141">
        <v>519031</v>
      </c>
      <c r="J468" s="142">
        <v>186</v>
      </c>
      <c r="Q468" s="141">
        <v>22615</v>
      </c>
      <c r="R468" s="141">
        <v>22710</v>
      </c>
      <c r="S468" s="142">
        <v>95</v>
      </c>
      <c r="T468" s="141">
        <v>4555</v>
      </c>
      <c r="U468" s="141">
        <v>4558</v>
      </c>
      <c r="V468" s="142">
        <v>3</v>
      </c>
      <c r="W468" s="141">
        <v>3344</v>
      </c>
      <c r="X468" s="141">
        <v>3345</v>
      </c>
      <c r="Y468" s="142">
        <v>1</v>
      </c>
      <c r="Z468" s="141">
        <v>40637</v>
      </c>
      <c r="AA468" s="141">
        <v>40661</v>
      </c>
      <c r="AB468" s="142">
        <v>24</v>
      </c>
    </row>
    <row r="469" spans="1:28">
      <c r="A469" s="144">
        <v>45451</v>
      </c>
      <c r="B469" s="141">
        <f t="shared" si="13"/>
        <v>64468</v>
      </c>
      <c r="C469" s="141">
        <v>64587</v>
      </c>
      <c r="D469" s="142">
        <f t="shared" si="12"/>
        <v>119</v>
      </c>
      <c r="E469" s="141">
        <v>25215</v>
      </c>
      <c r="F469" s="141">
        <v>25255</v>
      </c>
      <c r="G469" s="142">
        <v>40</v>
      </c>
      <c r="H469" s="141">
        <v>519031</v>
      </c>
      <c r="I469" s="141">
        <v>519207</v>
      </c>
      <c r="J469" s="142">
        <v>176</v>
      </c>
      <c r="Q469" s="141">
        <v>22710</v>
      </c>
      <c r="R469" s="141">
        <v>22738</v>
      </c>
      <c r="S469" s="142">
        <v>28</v>
      </c>
      <c r="T469" s="141">
        <v>4558</v>
      </c>
      <c r="U469" s="141">
        <v>4561</v>
      </c>
      <c r="V469" s="142">
        <v>3</v>
      </c>
      <c r="W469" s="141">
        <v>3345</v>
      </c>
      <c r="X469" s="141">
        <v>3347</v>
      </c>
      <c r="Y469" s="142">
        <v>2</v>
      </c>
      <c r="Z469" s="141">
        <v>40661</v>
      </c>
      <c r="AA469" s="141">
        <v>40668</v>
      </c>
      <c r="AB469" s="142">
        <v>7</v>
      </c>
    </row>
    <row r="470" spans="1:28">
      <c r="A470" s="144">
        <v>45452</v>
      </c>
      <c r="B470" s="141">
        <f t="shared" si="13"/>
        <v>64587</v>
      </c>
      <c r="C470" s="141">
        <v>64815</v>
      </c>
      <c r="D470" s="142">
        <f t="shared" si="12"/>
        <v>228</v>
      </c>
      <c r="E470" s="141">
        <v>25255</v>
      </c>
      <c r="F470" s="141">
        <v>25298</v>
      </c>
      <c r="G470" s="142">
        <v>43</v>
      </c>
      <c r="H470" s="141">
        <v>519207</v>
      </c>
      <c r="I470" s="141">
        <v>519364</v>
      </c>
      <c r="J470" s="142">
        <v>157</v>
      </c>
      <c r="Q470" s="141">
        <v>22738</v>
      </c>
      <c r="R470" s="141">
        <v>22780</v>
      </c>
      <c r="S470" s="142">
        <v>42</v>
      </c>
      <c r="T470" s="141">
        <v>4561</v>
      </c>
      <c r="U470" s="141">
        <v>4565</v>
      </c>
      <c r="V470" s="142">
        <v>4</v>
      </c>
      <c r="W470" s="141">
        <v>3347</v>
      </c>
      <c r="X470" s="141">
        <v>3348</v>
      </c>
      <c r="Y470" s="142">
        <v>1</v>
      </c>
      <c r="Z470" s="141">
        <v>40668</v>
      </c>
      <c r="AA470" s="141">
        <v>40681</v>
      </c>
      <c r="AB470" s="142">
        <v>13</v>
      </c>
    </row>
    <row r="471" spans="1:28">
      <c r="A471" s="144">
        <v>45453</v>
      </c>
      <c r="B471" s="141">
        <f t="shared" si="13"/>
        <v>64815</v>
      </c>
      <c r="C471" s="141">
        <v>64841</v>
      </c>
      <c r="D471" s="142">
        <f t="shared" si="12"/>
        <v>26</v>
      </c>
      <c r="E471" s="141">
        <v>25298</v>
      </c>
      <c r="F471" s="141">
        <v>25355</v>
      </c>
      <c r="G471" s="142">
        <v>57</v>
      </c>
      <c r="H471" s="141">
        <v>519364</v>
      </c>
      <c r="I471" s="141">
        <v>519598</v>
      </c>
      <c r="J471" s="142">
        <v>234</v>
      </c>
      <c r="Q471" s="141">
        <v>22780</v>
      </c>
      <c r="R471" s="141">
        <v>22826</v>
      </c>
      <c r="S471" s="142">
        <v>46</v>
      </c>
      <c r="T471" s="141">
        <v>4565</v>
      </c>
      <c r="U471" s="141">
        <v>4569</v>
      </c>
      <c r="V471" s="142">
        <v>4</v>
      </c>
      <c r="W471" s="141">
        <v>3348</v>
      </c>
      <c r="X471" s="141">
        <v>3349</v>
      </c>
      <c r="Y471" s="142">
        <v>1</v>
      </c>
      <c r="Z471" s="141">
        <v>40681</v>
      </c>
      <c r="AA471" s="141">
        <v>40689</v>
      </c>
      <c r="AB471" s="142">
        <v>8</v>
      </c>
    </row>
    <row r="472" spans="1:28">
      <c r="A472" s="144">
        <v>45454</v>
      </c>
      <c r="B472" s="141">
        <f t="shared" si="13"/>
        <v>64841</v>
      </c>
      <c r="C472" s="141">
        <v>64903</v>
      </c>
      <c r="D472" s="142">
        <f t="shared" si="12"/>
        <v>62</v>
      </c>
      <c r="E472" s="141">
        <v>25355</v>
      </c>
      <c r="F472" s="141">
        <v>25411</v>
      </c>
      <c r="G472" s="142">
        <v>56</v>
      </c>
      <c r="H472" s="141">
        <v>519598</v>
      </c>
      <c r="I472" s="141">
        <v>519776</v>
      </c>
      <c r="J472" s="142">
        <v>178</v>
      </c>
      <c r="Q472" s="141">
        <v>22826</v>
      </c>
      <c r="R472" s="141">
        <v>22869</v>
      </c>
      <c r="S472" s="142">
        <v>43</v>
      </c>
      <c r="T472" s="141">
        <v>4569</v>
      </c>
      <c r="U472" s="141">
        <v>4576</v>
      </c>
      <c r="V472" s="142">
        <v>7</v>
      </c>
      <c r="W472" s="141">
        <v>3349</v>
      </c>
      <c r="X472" s="141">
        <v>3351</v>
      </c>
      <c r="Y472" s="142">
        <v>2</v>
      </c>
      <c r="Z472" s="141">
        <v>40689</v>
      </c>
      <c r="AA472" s="141">
        <v>40702</v>
      </c>
      <c r="AB472" s="142">
        <v>13</v>
      </c>
    </row>
    <row r="473" spans="1:28">
      <c r="A473" s="144">
        <v>45455</v>
      </c>
      <c r="B473" s="141">
        <f t="shared" si="13"/>
        <v>64903</v>
      </c>
      <c r="C473" s="141">
        <v>64969</v>
      </c>
      <c r="D473" s="142">
        <f t="shared" si="12"/>
        <v>66</v>
      </c>
      <c r="E473" s="141">
        <v>25411</v>
      </c>
      <c r="F473" s="141">
        <v>25480</v>
      </c>
      <c r="G473" s="142">
        <v>69</v>
      </c>
      <c r="H473" s="141">
        <v>519776</v>
      </c>
      <c r="I473" s="141">
        <v>519905</v>
      </c>
      <c r="J473" s="142">
        <v>129</v>
      </c>
      <c r="Q473" s="141">
        <v>22869</v>
      </c>
      <c r="R473" s="141">
        <v>22881</v>
      </c>
      <c r="S473" s="142">
        <v>12</v>
      </c>
      <c r="T473" s="141">
        <v>4576</v>
      </c>
      <c r="U473" s="141">
        <v>4579</v>
      </c>
      <c r="V473" s="142">
        <v>3</v>
      </c>
      <c r="W473" s="141">
        <v>3351</v>
      </c>
      <c r="X473" s="141">
        <v>3352</v>
      </c>
      <c r="Y473" s="142">
        <v>1</v>
      </c>
      <c r="Z473" s="141">
        <v>40702</v>
      </c>
      <c r="AA473" s="141">
        <v>40719</v>
      </c>
      <c r="AB473" s="142">
        <v>17</v>
      </c>
    </row>
    <row r="474" spans="1:28">
      <c r="A474" s="144">
        <v>45456</v>
      </c>
      <c r="B474" s="141">
        <f t="shared" si="13"/>
        <v>64969</v>
      </c>
      <c r="C474" s="141">
        <v>65007</v>
      </c>
      <c r="D474" s="142">
        <f t="shared" si="12"/>
        <v>38</v>
      </c>
      <c r="E474" s="141">
        <v>25480</v>
      </c>
      <c r="F474" s="141">
        <v>25554</v>
      </c>
      <c r="G474" s="142">
        <v>74</v>
      </c>
      <c r="H474" s="141">
        <v>519905</v>
      </c>
      <c r="I474" s="141">
        <v>520135</v>
      </c>
      <c r="J474" s="142">
        <v>230</v>
      </c>
      <c r="Q474" s="141">
        <v>22881</v>
      </c>
      <c r="R474" s="141">
        <v>22946</v>
      </c>
      <c r="S474" s="142">
        <v>65</v>
      </c>
      <c r="T474" s="141">
        <v>4579</v>
      </c>
      <c r="U474" s="141">
        <v>4585</v>
      </c>
      <c r="V474" s="142">
        <v>6</v>
      </c>
      <c r="W474" s="141">
        <v>3352</v>
      </c>
      <c r="X474" s="141">
        <v>3355</v>
      </c>
      <c r="Y474" s="142">
        <v>3</v>
      </c>
      <c r="Z474" s="141">
        <v>40719</v>
      </c>
      <c r="AA474" s="141">
        <v>40747</v>
      </c>
      <c r="AB474" s="142">
        <v>28</v>
      </c>
    </row>
    <row r="475" spans="1:28">
      <c r="A475" s="144">
        <v>45457</v>
      </c>
      <c r="B475" s="141">
        <f t="shared" si="13"/>
        <v>65007</v>
      </c>
      <c r="C475" s="141">
        <v>65104</v>
      </c>
      <c r="D475" s="142">
        <f t="shared" si="12"/>
        <v>97</v>
      </c>
      <c r="E475" s="141">
        <v>25554</v>
      </c>
      <c r="F475" s="141">
        <v>25635</v>
      </c>
      <c r="G475" s="142">
        <v>81</v>
      </c>
      <c r="H475" s="141">
        <v>520135</v>
      </c>
      <c r="I475" s="141">
        <v>520345</v>
      </c>
      <c r="J475" s="142">
        <v>210</v>
      </c>
      <c r="Q475" s="141">
        <v>22946</v>
      </c>
      <c r="R475" s="141">
        <v>22980</v>
      </c>
      <c r="S475" s="142">
        <v>34</v>
      </c>
      <c r="T475" s="141">
        <v>4585</v>
      </c>
      <c r="U475" s="141">
        <v>4589</v>
      </c>
      <c r="V475" s="142">
        <v>4</v>
      </c>
      <c r="W475" s="141">
        <v>3355</v>
      </c>
      <c r="X475" s="141">
        <v>3356</v>
      </c>
      <c r="Y475" s="142">
        <v>1</v>
      </c>
      <c r="Z475" s="141">
        <v>40747</v>
      </c>
      <c r="AA475" s="141">
        <v>40768</v>
      </c>
      <c r="AB475" s="142">
        <v>21</v>
      </c>
    </row>
    <row r="476" spans="1:28">
      <c r="A476" s="144">
        <v>45458</v>
      </c>
      <c r="B476" s="141">
        <f t="shared" si="13"/>
        <v>65104</v>
      </c>
      <c r="C476" s="141">
        <v>65197</v>
      </c>
      <c r="D476" s="142">
        <f t="shared" si="12"/>
        <v>93</v>
      </c>
      <c r="E476" s="141">
        <v>25635</v>
      </c>
      <c r="F476" s="141">
        <v>25705</v>
      </c>
      <c r="G476" s="142">
        <v>70</v>
      </c>
      <c r="H476" s="141">
        <v>520345</v>
      </c>
      <c r="I476" s="141">
        <v>520518</v>
      </c>
      <c r="J476" s="142">
        <v>173</v>
      </c>
      <c r="Q476" s="141">
        <v>22980</v>
      </c>
      <c r="R476" s="141">
        <v>23011</v>
      </c>
      <c r="S476" s="142">
        <v>31</v>
      </c>
      <c r="T476" s="141">
        <v>4589</v>
      </c>
      <c r="U476" s="141">
        <v>4593</v>
      </c>
      <c r="V476" s="142">
        <v>4</v>
      </c>
      <c r="W476" s="141">
        <v>3356</v>
      </c>
      <c r="X476" s="141">
        <v>3357</v>
      </c>
      <c r="Y476" s="142">
        <v>1</v>
      </c>
      <c r="Z476" s="141">
        <v>40768</v>
      </c>
      <c r="AA476" s="141">
        <v>40787</v>
      </c>
      <c r="AB476" s="142">
        <v>19</v>
      </c>
    </row>
    <row r="477" spans="1:28">
      <c r="A477" s="144">
        <v>45459</v>
      </c>
      <c r="B477" s="141">
        <f t="shared" si="13"/>
        <v>65197</v>
      </c>
      <c r="C477" s="141">
        <v>65269</v>
      </c>
      <c r="D477" s="142">
        <f t="shared" si="12"/>
        <v>72</v>
      </c>
      <c r="E477" s="141">
        <v>25705</v>
      </c>
      <c r="F477" s="141">
        <v>25755</v>
      </c>
      <c r="G477" s="142">
        <v>50</v>
      </c>
      <c r="H477" s="141">
        <v>520518</v>
      </c>
      <c r="I477" s="141">
        <v>520729</v>
      </c>
      <c r="J477" s="142">
        <v>211</v>
      </c>
      <c r="Q477" s="141">
        <v>23011</v>
      </c>
      <c r="R477" s="141">
        <v>23050</v>
      </c>
      <c r="S477" s="142">
        <v>39</v>
      </c>
      <c r="T477" s="141">
        <v>4593</v>
      </c>
      <c r="U477" s="141">
        <v>4599</v>
      </c>
      <c r="V477" s="142">
        <v>6</v>
      </c>
      <c r="W477" s="141">
        <v>3357</v>
      </c>
      <c r="X477" s="141">
        <v>3358</v>
      </c>
      <c r="Y477" s="142">
        <v>1</v>
      </c>
      <c r="Z477" s="141">
        <v>40787</v>
      </c>
      <c r="AA477" s="141">
        <v>40807</v>
      </c>
      <c r="AB477" s="142">
        <v>20</v>
      </c>
    </row>
    <row r="478" spans="1:28">
      <c r="A478" s="144">
        <v>45460</v>
      </c>
      <c r="B478" s="141">
        <f t="shared" si="13"/>
        <v>65269</v>
      </c>
      <c r="C478" s="141">
        <v>65345</v>
      </c>
      <c r="D478" s="142">
        <f t="shared" si="12"/>
        <v>76</v>
      </c>
      <c r="E478" s="141">
        <v>25755</v>
      </c>
      <c r="F478" s="141">
        <v>25788</v>
      </c>
      <c r="G478" s="142">
        <v>33</v>
      </c>
      <c r="H478" s="141">
        <v>520729</v>
      </c>
      <c r="I478" s="141">
        <v>520893</v>
      </c>
      <c r="J478" s="142">
        <v>164</v>
      </c>
      <c r="Q478" s="141">
        <v>23050</v>
      </c>
      <c r="R478" s="141">
        <v>23086</v>
      </c>
      <c r="S478" s="142">
        <v>36</v>
      </c>
      <c r="T478" s="141">
        <v>4599</v>
      </c>
      <c r="U478" s="141">
        <v>4602</v>
      </c>
      <c r="V478" s="142">
        <v>3</v>
      </c>
      <c r="W478" s="141">
        <v>3358</v>
      </c>
      <c r="X478" s="141">
        <v>3359</v>
      </c>
      <c r="Y478" s="142">
        <v>1</v>
      </c>
      <c r="Z478" s="141">
        <v>40807</v>
      </c>
      <c r="AA478" s="141">
        <v>40820</v>
      </c>
      <c r="AB478" s="142">
        <v>13</v>
      </c>
    </row>
    <row r="479" spans="1:28">
      <c r="A479" s="144">
        <v>45461</v>
      </c>
      <c r="B479" s="141">
        <f t="shared" si="13"/>
        <v>65345</v>
      </c>
      <c r="C479" s="141">
        <v>65425</v>
      </c>
      <c r="D479" s="142">
        <f t="shared" si="12"/>
        <v>80</v>
      </c>
      <c r="E479" s="141">
        <v>25788</v>
      </c>
      <c r="F479" s="141">
        <v>25788</v>
      </c>
      <c r="G479" s="142">
        <v>0</v>
      </c>
      <c r="H479" s="141">
        <v>520893</v>
      </c>
      <c r="I479" s="141">
        <v>521054</v>
      </c>
      <c r="J479" s="142">
        <v>161</v>
      </c>
      <c r="Q479" s="141">
        <v>23086</v>
      </c>
      <c r="R479" s="141">
        <v>23127</v>
      </c>
      <c r="S479" s="142">
        <v>41</v>
      </c>
      <c r="T479" s="141">
        <v>4602</v>
      </c>
      <c r="U479" s="141">
        <v>4605</v>
      </c>
      <c r="V479" s="142">
        <v>3</v>
      </c>
      <c r="W479" s="141">
        <v>3359</v>
      </c>
      <c r="X479" s="141">
        <v>3362</v>
      </c>
      <c r="Y479" s="142">
        <v>3</v>
      </c>
      <c r="Z479" s="141">
        <v>40820</v>
      </c>
      <c r="AA479" s="141">
        <v>40857</v>
      </c>
      <c r="AB479" s="142">
        <v>37</v>
      </c>
    </row>
    <row r="480" spans="1:28">
      <c r="A480" s="144">
        <v>45462</v>
      </c>
      <c r="B480" s="141">
        <f t="shared" si="13"/>
        <v>65425</v>
      </c>
      <c r="C480" s="141">
        <v>65546</v>
      </c>
      <c r="D480" s="142">
        <f t="shared" si="12"/>
        <v>121</v>
      </c>
      <c r="E480" s="141">
        <v>25788</v>
      </c>
      <c r="F480" s="141">
        <v>25900</v>
      </c>
      <c r="G480" s="142">
        <v>112</v>
      </c>
      <c r="H480" s="141">
        <v>521054</v>
      </c>
      <c r="I480" s="141">
        <v>521197</v>
      </c>
      <c r="J480" s="142">
        <v>143</v>
      </c>
      <c r="Q480" s="141">
        <v>23127</v>
      </c>
      <c r="R480" s="141">
        <v>23164</v>
      </c>
      <c r="S480" s="142">
        <v>37</v>
      </c>
      <c r="T480" s="141">
        <v>4605</v>
      </c>
      <c r="U480" s="141">
        <v>4609</v>
      </c>
      <c r="V480" s="142">
        <v>4</v>
      </c>
      <c r="W480" s="141">
        <v>3362</v>
      </c>
      <c r="X480" s="141">
        <v>3363</v>
      </c>
      <c r="Y480" s="142">
        <v>1</v>
      </c>
      <c r="Z480" s="141">
        <v>40857</v>
      </c>
      <c r="AA480" s="141">
        <v>40893</v>
      </c>
      <c r="AB480" s="142">
        <v>36</v>
      </c>
    </row>
    <row r="481" spans="1:28">
      <c r="A481" s="144">
        <v>45463</v>
      </c>
      <c r="B481" s="141">
        <f t="shared" si="13"/>
        <v>65546</v>
      </c>
      <c r="C481" s="141">
        <v>65618</v>
      </c>
      <c r="D481" s="142">
        <f t="shared" si="12"/>
        <v>72</v>
      </c>
      <c r="E481" s="141">
        <v>25900</v>
      </c>
      <c r="F481" s="141">
        <v>25961</v>
      </c>
      <c r="G481" s="142">
        <v>61</v>
      </c>
      <c r="H481" s="141">
        <v>521197</v>
      </c>
      <c r="I481" s="141">
        <v>521367</v>
      </c>
      <c r="J481" s="142">
        <v>170</v>
      </c>
      <c r="Q481" s="141">
        <v>23164</v>
      </c>
      <c r="R481" s="141">
        <v>23207</v>
      </c>
      <c r="S481" s="142">
        <v>43</v>
      </c>
      <c r="T481" s="141">
        <v>4609</v>
      </c>
      <c r="U481" s="141">
        <v>4615</v>
      </c>
      <c r="V481" s="142">
        <v>6</v>
      </c>
      <c r="W481" s="141">
        <v>3363</v>
      </c>
      <c r="X481" s="141">
        <v>3364</v>
      </c>
      <c r="Y481" s="142">
        <v>1</v>
      </c>
      <c r="Z481" s="141">
        <v>40893</v>
      </c>
      <c r="AA481" s="141">
        <v>40908</v>
      </c>
      <c r="AB481" s="142">
        <v>15</v>
      </c>
    </row>
    <row r="482" spans="1:28">
      <c r="A482" s="144">
        <v>45464</v>
      </c>
      <c r="B482" s="141">
        <f t="shared" si="13"/>
        <v>65618</v>
      </c>
      <c r="C482" s="141">
        <v>65755</v>
      </c>
      <c r="D482" s="142">
        <f t="shared" si="12"/>
        <v>137</v>
      </c>
      <c r="E482" s="141">
        <v>25961</v>
      </c>
      <c r="F482" s="141">
        <v>26020</v>
      </c>
      <c r="G482" s="142">
        <v>59</v>
      </c>
      <c r="H482" s="141">
        <v>521367</v>
      </c>
      <c r="I482" s="141">
        <v>521578</v>
      </c>
      <c r="J482" s="142">
        <v>211</v>
      </c>
      <c r="Q482" s="141">
        <v>23207</v>
      </c>
      <c r="R482" s="141">
        <v>23252</v>
      </c>
      <c r="S482" s="142">
        <v>45</v>
      </c>
      <c r="T482" s="141">
        <v>4615</v>
      </c>
      <c r="U482" s="141">
        <v>4619</v>
      </c>
      <c r="V482" s="142">
        <v>4</v>
      </c>
      <c r="W482" s="141">
        <v>3364</v>
      </c>
      <c r="X482" s="141">
        <v>3368</v>
      </c>
      <c r="Y482" s="142">
        <v>4</v>
      </c>
      <c r="Z482" s="141">
        <v>40908</v>
      </c>
      <c r="AA482" s="141">
        <v>40919</v>
      </c>
      <c r="AB482" s="142">
        <v>11</v>
      </c>
    </row>
    <row r="483" spans="1:28">
      <c r="A483" s="144">
        <v>45465</v>
      </c>
      <c r="B483" s="141">
        <f t="shared" si="13"/>
        <v>65755</v>
      </c>
      <c r="C483" s="141">
        <v>65880</v>
      </c>
      <c r="D483" s="142">
        <f t="shared" si="12"/>
        <v>125</v>
      </c>
      <c r="E483" s="141">
        <v>26020</v>
      </c>
      <c r="F483" s="141">
        <v>26062</v>
      </c>
      <c r="G483" s="142">
        <v>42</v>
      </c>
      <c r="H483" s="141">
        <v>521578</v>
      </c>
      <c r="I483" s="141">
        <v>521743</v>
      </c>
      <c r="J483" s="142">
        <v>165</v>
      </c>
      <c r="Q483" s="141">
        <v>23252</v>
      </c>
      <c r="R483" s="141">
        <v>23285</v>
      </c>
      <c r="S483" s="142">
        <v>33</v>
      </c>
      <c r="T483" s="141">
        <v>4619</v>
      </c>
      <c r="U483" s="141">
        <v>4623</v>
      </c>
      <c r="V483" s="142">
        <v>4</v>
      </c>
      <c r="W483" s="141">
        <v>3368</v>
      </c>
      <c r="X483" s="141">
        <v>3369</v>
      </c>
      <c r="Y483" s="142">
        <v>1</v>
      </c>
      <c r="Z483" s="141">
        <v>40919</v>
      </c>
      <c r="AA483" s="141">
        <v>40934</v>
      </c>
      <c r="AB483" s="142">
        <v>15</v>
      </c>
    </row>
    <row r="484" spans="1:28">
      <c r="A484" s="144">
        <v>45466</v>
      </c>
      <c r="B484" s="141">
        <f t="shared" si="13"/>
        <v>65880</v>
      </c>
      <c r="C484" s="141">
        <v>65956</v>
      </c>
      <c r="D484" s="142">
        <f t="shared" ref="D484:D515" si="14">C484-B484</f>
        <v>76</v>
      </c>
      <c r="E484" s="141">
        <v>26062</v>
      </c>
      <c r="F484" s="141">
        <v>26089</v>
      </c>
      <c r="G484" s="142">
        <v>27</v>
      </c>
      <c r="H484" s="141">
        <v>521743</v>
      </c>
      <c r="I484" s="141">
        <v>521854</v>
      </c>
      <c r="J484" s="142">
        <v>111</v>
      </c>
      <c r="Q484" s="141">
        <v>23285</v>
      </c>
      <c r="R484" s="141">
        <v>23314</v>
      </c>
      <c r="S484" s="142">
        <v>29</v>
      </c>
      <c r="T484" s="141">
        <v>4623</v>
      </c>
      <c r="U484" s="141">
        <v>4629</v>
      </c>
      <c r="V484" s="142">
        <v>6</v>
      </c>
      <c r="W484" s="141">
        <v>3369</v>
      </c>
      <c r="X484" s="141">
        <v>3406</v>
      </c>
      <c r="Y484" s="142">
        <v>37</v>
      </c>
      <c r="Z484" s="141">
        <v>40934</v>
      </c>
      <c r="AA484" s="141">
        <v>40963</v>
      </c>
      <c r="AB484" s="142">
        <v>29</v>
      </c>
    </row>
    <row r="485" spans="1:28">
      <c r="A485" s="144">
        <v>45467</v>
      </c>
      <c r="B485" s="141">
        <f t="shared" si="13"/>
        <v>65956</v>
      </c>
      <c r="C485" s="141">
        <v>66046</v>
      </c>
      <c r="D485" s="142">
        <f t="shared" si="14"/>
        <v>90</v>
      </c>
      <c r="E485" s="141">
        <v>26089</v>
      </c>
      <c r="F485" s="141">
        <v>26118</v>
      </c>
      <c r="G485" s="142">
        <v>29</v>
      </c>
      <c r="H485" s="141">
        <v>521854</v>
      </c>
      <c r="I485" s="141">
        <v>522019</v>
      </c>
      <c r="J485" s="142">
        <v>165</v>
      </c>
      <c r="Q485" s="141">
        <v>23314</v>
      </c>
      <c r="R485" s="141">
        <v>23358</v>
      </c>
      <c r="S485" s="142">
        <v>44</v>
      </c>
      <c r="T485" s="141">
        <v>4629</v>
      </c>
      <c r="U485" s="141">
        <v>4632</v>
      </c>
      <c r="V485" s="142">
        <v>3</v>
      </c>
      <c r="W485" s="141">
        <v>3406</v>
      </c>
      <c r="X485" s="141">
        <v>3407</v>
      </c>
      <c r="Y485" s="142">
        <v>1</v>
      </c>
      <c r="Z485" s="141">
        <v>40963</v>
      </c>
      <c r="AA485" s="141">
        <v>41023</v>
      </c>
      <c r="AB485" s="142">
        <v>60</v>
      </c>
    </row>
    <row r="486" spans="1:28">
      <c r="A486" s="144">
        <v>45468</v>
      </c>
      <c r="B486" s="141">
        <f t="shared" si="13"/>
        <v>66046</v>
      </c>
      <c r="C486" s="141">
        <v>66155</v>
      </c>
      <c r="D486" s="142">
        <f t="shared" si="14"/>
        <v>109</v>
      </c>
      <c r="E486" s="141">
        <v>26118</v>
      </c>
      <c r="F486" s="141">
        <v>26158</v>
      </c>
      <c r="G486" s="142">
        <v>40</v>
      </c>
      <c r="H486" s="141">
        <v>522019</v>
      </c>
      <c r="I486" s="141">
        <v>522175</v>
      </c>
      <c r="J486" s="142">
        <v>156</v>
      </c>
      <c r="Q486" s="141">
        <v>23358</v>
      </c>
      <c r="R486" s="141">
        <v>23386</v>
      </c>
      <c r="S486" s="142">
        <v>28</v>
      </c>
      <c r="T486" s="141">
        <v>4632</v>
      </c>
      <c r="U486" s="141">
        <v>4636</v>
      </c>
      <c r="V486" s="142">
        <v>4</v>
      </c>
      <c r="W486" s="141">
        <v>3407</v>
      </c>
      <c r="X486" s="141">
        <v>3409</v>
      </c>
      <c r="Y486" s="142">
        <v>2</v>
      </c>
      <c r="Z486" s="141">
        <v>41023</v>
      </c>
      <c r="AA486" s="141">
        <v>41090</v>
      </c>
      <c r="AB486" s="142">
        <v>67</v>
      </c>
    </row>
    <row r="487" spans="1:28">
      <c r="A487" s="144">
        <v>45469</v>
      </c>
      <c r="B487" s="141">
        <f t="shared" si="13"/>
        <v>66155</v>
      </c>
      <c r="C487" s="141">
        <v>66255</v>
      </c>
      <c r="D487" s="142">
        <f t="shared" si="14"/>
        <v>100</v>
      </c>
      <c r="E487" s="141">
        <v>26158</v>
      </c>
      <c r="F487" s="141">
        <v>26195</v>
      </c>
      <c r="G487" s="142">
        <v>37</v>
      </c>
      <c r="H487" s="141">
        <v>522175</v>
      </c>
      <c r="I487" s="141">
        <v>522331</v>
      </c>
      <c r="J487" s="142">
        <v>156</v>
      </c>
      <c r="Q487" s="141">
        <v>23386</v>
      </c>
      <c r="R487" s="141">
        <v>23426</v>
      </c>
      <c r="S487" s="142">
        <v>40</v>
      </c>
      <c r="T487" s="141">
        <v>4636</v>
      </c>
      <c r="U487" s="141">
        <v>4640</v>
      </c>
      <c r="V487" s="142">
        <v>4</v>
      </c>
      <c r="W487" s="141">
        <v>3409</v>
      </c>
      <c r="X487" s="141">
        <v>3412</v>
      </c>
      <c r="Y487" s="142">
        <v>3</v>
      </c>
      <c r="Z487" s="141">
        <v>41090</v>
      </c>
      <c r="AA487" s="141">
        <v>41149</v>
      </c>
      <c r="AB487" s="142">
        <v>59</v>
      </c>
    </row>
    <row r="488" spans="1:28">
      <c r="A488" s="144">
        <v>45470</v>
      </c>
      <c r="B488" s="141">
        <f t="shared" si="13"/>
        <v>66255</v>
      </c>
      <c r="C488" s="141">
        <v>66351</v>
      </c>
      <c r="D488" s="142">
        <f t="shared" si="14"/>
        <v>96</v>
      </c>
      <c r="E488" s="141">
        <v>26195</v>
      </c>
      <c r="F488" s="141">
        <v>26238</v>
      </c>
      <c r="G488" s="142">
        <v>43</v>
      </c>
      <c r="H488" s="141">
        <v>522331</v>
      </c>
      <c r="I488" s="141">
        <v>522497</v>
      </c>
      <c r="J488" s="142">
        <v>166</v>
      </c>
      <c r="Q488" s="141">
        <v>23426</v>
      </c>
      <c r="R488" s="141">
        <v>23461</v>
      </c>
      <c r="S488" s="142">
        <v>35</v>
      </c>
      <c r="T488" s="141">
        <v>4640</v>
      </c>
      <c r="U488" s="141">
        <v>4643</v>
      </c>
      <c r="V488" s="142">
        <v>3</v>
      </c>
      <c r="W488" s="141">
        <v>3412</v>
      </c>
      <c r="X488" s="141">
        <v>3415</v>
      </c>
      <c r="Y488" s="142">
        <v>3</v>
      </c>
      <c r="Z488" s="141">
        <v>41149</v>
      </c>
      <c r="AA488" s="141">
        <v>41281</v>
      </c>
      <c r="AB488" s="142">
        <v>132</v>
      </c>
    </row>
    <row r="489" spans="1:28">
      <c r="A489" s="144">
        <v>45471</v>
      </c>
      <c r="B489" s="141">
        <f t="shared" si="13"/>
        <v>66351</v>
      </c>
      <c r="C489" s="141">
        <v>66424</v>
      </c>
      <c r="D489" s="142">
        <f t="shared" si="14"/>
        <v>73</v>
      </c>
      <c r="E489" s="141">
        <v>26238</v>
      </c>
      <c r="F489" s="141">
        <v>26276</v>
      </c>
      <c r="G489" s="142">
        <v>38</v>
      </c>
      <c r="H489" s="141">
        <v>522497</v>
      </c>
      <c r="I489" s="141">
        <v>522602</v>
      </c>
      <c r="J489" s="142">
        <v>105</v>
      </c>
      <c r="Q489" s="141">
        <v>23461</v>
      </c>
      <c r="R489" s="141">
        <v>23488</v>
      </c>
      <c r="S489" s="142">
        <v>27</v>
      </c>
      <c r="T489" s="141">
        <v>4643</v>
      </c>
      <c r="U489" s="141">
        <v>4649</v>
      </c>
      <c r="V489" s="142">
        <v>6</v>
      </c>
      <c r="W489" s="141">
        <v>3415</v>
      </c>
      <c r="X489" s="141">
        <v>3418</v>
      </c>
      <c r="Y489" s="142">
        <v>3</v>
      </c>
      <c r="Z489" s="141">
        <v>41281</v>
      </c>
      <c r="AA489" s="141">
        <v>41349</v>
      </c>
      <c r="AB489" s="142">
        <v>68</v>
      </c>
    </row>
    <row r="490" spans="1:28">
      <c r="A490" s="144">
        <v>45472</v>
      </c>
      <c r="B490" s="141">
        <f t="shared" si="13"/>
        <v>66424</v>
      </c>
      <c r="C490" s="141">
        <v>66516</v>
      </c>
      <c r="D490" s="142">
        <f t="shared" si="14"/>
        <v>92</v>
      </c>
      <c r="E490" s="141">
        <v>26276</v>
      </c>
      <c r="F490" s="141">
        <v>26307</v>
      </c>
      <c r="G490" s="142">
        <v>31</v>
      </c>
      <c r="H490" s="141">
        <v>522602</v>
      </c>
      <c r="I490" s="141">
        <v>522840</v>
      </c>
      <c r="J490" s="142">
        <v>238</v>
      </c>
      <c r="Q490" s="141">
        <v>23488</v>
      </c>
      <c r="R490" s="141">
        <v>23535</v>
      </c>
      <c r="S490" s="142">
        <v>47</v>
      </c>
      <c r="T490" s="141">
        <v>4649</v>
      </c>
      <c r="U490" s="141">
        <v>4653</v>
      </c>
      <c r="V490" s="142">
        <v>4</v>
      </c>
      <c r="W490" s="141">
        <v>3418</v>
      </c>
      <c r="X490" s="141">
        <v>3420</v>
      </c>
      <c r="Y490" s="142">
        <v>2</v>
      </c>
      <c r="Z490" s="141">
        <v>41349</v>
      </c>
      <c r="AA490" s="141">
        <v>41399</v>
      </c>
      <c r="AB490" s="142">
        <v>50</v>
      </c>
    </row>
    <row r="491" spans="1:28">
      <c r="A491" s="144">
        <v>45473</v>
      </c>
      <c r="B491" s="141">
        <f t="shared" si="13"/>
        <v>66516</v>
      </c>
      <c r="C491" s="141">
        <v>66612</v>
      </c>
      <c r="D491" s="142">
        <f t="shared" si="14"/>
        <v>96</v>
      </c>
      <c r="E491" s="141">
        <v>26307</v>
      </c>
      <c r="F491" s="141">
        <v>26325</v>
      </c>
      <c r="G491" s="142">
        <v>18</v>
      </c>
      <c r="H491" s="141">
        <v>522840</v>
      </c>
      <c r="I491" s="141">
        <v>523071</v>
      </c>
      <c r="J491" s="142">
        <v>231</v>
      </c>
      <c r="Q491" s="141">
        <v>23535</v>
      </c>
      <c r="R491" s="141">
        <v>23566</v>
      </c>
      <c r="S491" s="142">
        <v>31</v>
      </c>
      <c r="T491" s="141">
        <v>4653</v>
      </c>
      <c r="U491" s="141">
        <v>4659</v>
      </c>
      <c r="V491" s="142">
        <v>6</v>
      </c>
      <c r="W491" s="141">
        <v>3420</v>
      </c>
      <c r="X491" s="141">
        <v>3425</v>
      </c>
      <c r="Y491" s="142">
        <v>5</v>
      </c>
      <c r="Z491" s="141">
        <v>41399</v>
      </c>
      <c r="AA491" s="141">
        <v>41456</v>
      </c>
      <c r="AB491" s="142">
        <v>57</v>
      </c>
    </row>
    <row r="492" spans="1:28">
      <c r="A492" s="144">
        <v>45474</v>
      </c>
      <c r="B492" s="141">
        <f t="shared" si="13"/>
        <v>66612</v>
      </c>
      <c r="C492" s="141">
        <v>66698</v>
      </c>
      <c r="D492" s="142">
        <f t="shared" si="14"/>
        <v>86</v>
      </c>
      <c r="E492" s="141">
        <v>26325</v>
      </c>
      <c r="F492" s="141">
        <v>26353</v>
      </c>
      <c r="G492" s="142">
        <v>28</v>
      </c>
      <c r="H492" s="141">
        <v>523071</v>
      </c>
      <c r="I492" s="141">
        <v>523274</v>
      </c>
      <c r="J492" s="142">
        <v>203</v>
      </c>
      <c r="Q492" s="141">
        <v>23566</v>
      </c>
      <c r="R492" s="141">
        <v>23606</v>
      </c>
      <c r="S492" s="142">
        <v>40</v>
      </c>
      <c r="T492" s="141">
        <v>4659</v>
      </c>
      <c r="U492" s="141">
        <v>4666</v>
      </c>
      <c r="V492" s="142">
        <v>7</v>
      </c>
      <c r="W492" s="141">
        <v>3425</v>
      </c>
      <c r="X492" s="141">
        <v>3429</v>
      </c>
      <c r="Y492" s="142">
        <v>4</v>
      </c>
      <c r="Z492" s="141">
        <v>41456</v>
      </c>
      <c r="AA492" s="141">
        <v>41599</v>
      </c>
      <c r="AB492" s="142">
        <v>143</v>
      </c>
    </row>
    <row r="493" spans="1:28">
      <c r="A493" s="144">
        <v>45475</v>
      </c>
      <c r="B493" s="141">
        <f t="shared" si="13"/>
        <v>66698</v>
      </c>
      <c r="C493" s="141">
        <v>66801</v>
      </c>
      <c r="D493" s="142">
        <f t="shared" si="14"/>
        <v>103</v>
      </c>
      <c r="E493" s="141">
        <v>26353</v>
      </c>
      <c r="F493" s="141">
        <v>26399</v>
      </c>
      <c r="G493" s="142">
        <v>46</v>
      </c>
      <c r="H493" s="141">
        <v>523274</v>
      </c>
      <c r="I493" s="141">
        <v>523925</v>
      </c>
      <c r="J493" s="142">
        <v>651</v>
      </c>
      <c r="Q493" s="141">
        <v>23606</v>
      </c>
      <c r="R493" s="141">
        <v>23644</v>
      </c>
      <c r="S493" s="142">
        <v>38</v>
      </c>
      <c r="T493" s="141">
        <v>4666</v>
      </c>
      <c r="U493" s="141">
        <v>4672</v>
      </c>
      <c r="V493" s="142">
        <v>6</v>
      </c>
      <c r="W493" s="141">
        <v>3429</v>
      </c>
      <c r="X493" s="141">
        <v>3436</v>
      </c>
      <c r="Y493" s="142">
        <v>7</v>
      </c>
      <c r="Z493" s="141">
        <v>41599</v>
      </c>
      <c r="AA493" s="141">
        <v>41669</v>
      </c>
      <c r="AB493" s="142">
        <v>70</v>
      </c>
    </row>
    <row r="494" spans="1:28">
      <c r="A494" s="144">
        <v>45476</v>
      </c>
      <c r="B494" s="141">
        <f t="shared" si="13"/>
        <v>66801</v>
      </c>
      <c r="C494" s="141">
        <v>66992</v>
      </c>
      <c r="D494" s="142">
        <f t="shared" si="14"/>
        <v>191</v>
      </c>
      <c r="E494" s="141">
        <v>26399</v>
      </c>
      <c r="F494" s="141">
        <v>26468</v>
      </c>
      <c r="G494" s="142">
        <v>69</v>
      </c>
      <c r="H494" s="141">
        <v>523925</v>
      </c>
      <c r="I494" s="141">
        <v>524113</v>
      </c>
      <c r="J494" s="142">
        <v>188</v>
      </c>
      <c r="Q494" s="141">
        <v>23644</v>
      </c>
      <c r="R494" s="141">
        <v>23719</v>
      </c>
      <c r="S494" s="142">
        <v>75</v>
      </c>
      <c r="T494" s="141">
        <v>4672</v>
      </c>
      <c r="U494" s="141">
        <v>4677</v>
      </c>
      <c r="V494" s="142">
        <v>5</v>
      </c>
      <c r="W494" s="141">
        <v>3436</v>
      </c>
      <c r="X494" s="141">
        <v>3438</v>
      </c>
      <c r="Y494" s="142">
        <v>2</v>
      </c>
      <c r="Z494" s="141">
        <v>41669</v>
      </c>
      <c r="AA494" s="141">
        <v>41809</v>
      </c>
      <c r="AB494" s="142">
        <v>140</v>
      </c>
    </row>
    <row r="495" spans="1:28">
      <c r="A495" s="144">
        <v>45477</v>
      </c>
      <c r="B495" s="141">
        <f t="shared" si="13"/>
        <v>66992</v>
      </c>
      <c r="C495" s="141">
        <v>67120</v>
      </c>
      <c r="D495" s="142">
        <f t="shared" si="14"/>
        <v>128</v>
      </c>
      <c r="E495" s="141">
        <v>26468</v>
      </c>
      <c r="F495" s="141">
        <v>26508</v>
      </c>
      <c r="G495" s="142">
        <v>40</v>
      </c>
      <c r="H495" s="141">
        <v>524113</v>
      </c>
      <c r="I495" s="141">
        <v>524249</v>
      </c>
      <c r="J495" s="142">
        <v>136</v>
      </c>
      <c r="Q495" s="141">
        <v>23719</v>
      </c>
      <c r="R495" s="141">
        <v>23764</v>
      </c>
      <c r="S495" s="142">
        <v>45</v>
      </c>
      <c r="T495" s="141">
        <v>4677</v>
      </c>
      <c r="U495" s="141">
        <v>4683</v>
      </c>
      <c r="V495" s="142">
        <v>6</v>
      </c>
      <c r="W495" s="141">
        <v>3438</v>
      </c>
      <c r="X495" s="141">
        <v>3442</v>
      </c>
      <c r="Y495" s="142">
        <v>4</v>
      </c>
      <c r="Z495" s="141">
        <v>41809</v>
      </c>
      <c r="AA495" s="141">
        <v>42000</v>
      </c>
      <c r="AB495" s="142">
        <v>191</v>
      </c>
    </row>
    <row r="496" spans="1:28">
      <c r="A496" s="144">
        <v>45478</v>
      </c>
      <c r="B496" s="141">
        <f t="shared" si="13"/>
        <v>67120</v>
      </c>
      <c r="C496" s="141">
        <v>67234</v>
      </c>
      <c r="D496" s="142">
        <f t="shared" si="14"/>
        <v>114</v>
      </c>
      <c r="E496" s="141">
        <v>26508</v>
      </c>
      <c r="F496" s="141">
        <v>26529</v>
      </c>
      <c r="G496" s="142">
        <v>21</v>
      </c>
      <c r="H496" s="141">
        <v>524249</v>
      </c>
      <c r="I496" s="141">
        <v>524289</v>
      </c>
      <c r="J496" s="142">
        <v>40</v>
      </c>
      <c r="Q496" s="141">
        <v>23764</v>
      </c>
      <c r="R496" s="141">
        <v>23797</v>
      </c>
      <c r="S496" s="142">
        <v>33</v>
      </c>
      <c r="T496" s="141">
        <v>4683</v>
      </c>
      <c r="U496" s="141">
        <v>4687</v>
      </c>
      <c r="V496" s="142">
        <v>4</v>
      </c>
      <c r="W496" s="141">
        <v>3442</v>
      </c>
      <c r="X496" s="141">
        <v>3444</v>
      </c>
      <c r="Y496" s="142">
        <v>2</v>
      </c>
      <c r="Z496" s="141">
        <v>42000</v>
      </c>
      <c r="AA496" s="141">
        <v>42212</v>
      </c>
      <c r="AB496" s="142">
        <v>212</v>
      </c>
    </row>
    <row r="497" spans="1:28">
      <c r="A497" s="144">
        <v>45479</v>
      </c>
      <c r="B497" s="141">
        <f t="shared" si="13"/>
        <v>67234</v>
      </c>
      <c r="C497" s="141">
        <v>67278</v>
      </c>
      <c r="D497" s="142">
        <f t="shared" si="14"/>
        <v>44</v>
      </c>
      <c r="E497" s="141">
        <v>26529</v>
      </c>
      <c r="F497" s="141">
        <v>26545</v>
      </c>
      <c r="G497" s="142">
        <v>16</v>
      </c>
      <c r="H497" s="141">
        <v>524289</v>
      </c>
      <c r="I497" s="141">
        <v>524350</v>
      </c>
      <c r="J497" s="142">
        <v>61</v>
      </c>
      <c r="Q497" s="141">
        <v>23797</v>
      </c>
      <c r="R497" s="141">
        <v>23809</v>
      </c>
      <c r="S497" s="142">
        <v>12</v>
      </c>
      <c r="T497" s="141">
        <v>4687</v>
      </c>
      <c r="U497" s="141">
        <v>4690</v>
      </c>
      <c r="V497" s="142">
        <v>3</v>
      </c>
      <c r="W497" s="141">
        <v>3444</v>
      </c>
      <c r="X497" s="141">
        <v>3445</v>
      </c>
      <c r="Y497" s="142">
        <v>1</v>
      </c>
      <c r="Z497" s="141">
        <v>42212</v>
      </c>
      <c r="AA497" s="141">
        <v>42274</v>
      </c>
      <c r="AB497" s="142">
        <v>62</v>
      </c>
    </row>
    <row r="498" spans="1:28">
      <c r="A498" s="144">
        <v>45480</v>
      </c>
      <c r="B498" s="141">
        <f t="shared" si="13"/>
        <v>67278</v>
      </c>
      <c r="C498" s="141">
        <v>67309</v>
      </c>
      <c r="D498" s="142">
        <f t="shared" si="14"/>
        <v>31</v>
      </c>
      <c r="E498" s="141">
        <v>26545</v>
      </c>
      <c r="F498" s="141">
        <v>26564</v>
      </c>
      <c r="G498" s="142">
        <v>19</v>
      </c>
      <c r="H498" s="141">
        <v>524350</v>
      </c>
      <c r="I498" s="141">
        <v>524428</v>
      </c>
      <c r="J498" s="142">
        <v>78</v>
      </c>
      <c r="Q498" s="141">
        <v>23809</v>
      </c>
      <c r="R498" s="141">
        <v>23821</v>
      </c>
      <c r="S498" s="142">
        <v>12</v>
      </c>
      <c r="T498" s="141">
        <v>4690</v>
      </c>
      <c r="U498" s="141">
        <v>4692</v>
      </c>
      <c r="V498" s="142">
        <v>2</v>
      </c>
      <c r="W498" s="141">
        <v>3445</v>
      </c>
      <c r="X498" s="141">
        <v>3449</v>
      </c>
      <c r="Y498" s="142">
        <v>4</v>
      </c>
      <c r="Z498" s="141">
        <v>42274</v>
      </c>
      <c r="AA498" s="141">
        <v>42469</v>
      </c>
      <c r="AB498" s="142">
        <v>195</v>
      </c>
    </row>
    <row r="499" spans="1:28">
      <c r="A499" s="144">
        <v>45481</v>
      </c>
      <c r="B499" s="141">
        <f t="shared" si="13"/>
        <v>67309</v>
      </c>
      <c r="C499" s="141">
        <v>67397</v>
      </c>
      <c r="D499" s="142">
        <f t="shared" si="14"/>
        <v>88</v>
      </c>
      <c r="E499" s="141">
        <v>26564</v>
      </c>
      <c r="F499" s="141">
        <v>26584</v>
      </c>
      <c r="G499" s="142">
        <v>20</v>
      </c>
      <c r="H499" s="141">
        <v>524428</v>
      </c>
      <c r="I499" s="141">
        <v>524525</v>
      </c>
      <c r="J499" s="142">
        <v>97</v>
      </c>
      <c r="Q499" s="141">
        <v>23821</v>
      </c>
      <c r="R499" s="141">
        <v>23857</v>
      </c>
      <c r="S499" s="142">
        <v>36</v>
      </c>
      <c r="T499" s="141">
        <v>4692</v>
      </c>
      <c r="U499" s="141">
        <v>4694</v>
      </c>
      <c r="V499" s="142">
        <v>2</v>
      </c>
      <c r="W499" s="141">
        <v>3449</v>
      </c>
      <c r="X499" s="141">
        <v>3452</v>
      </c>
      <c r="Y499" s="142">
        <v>3</v>
      </c>
      <c r="Z499" s="141">
        <v>42469</v>
      </c>
      <c r="AA499" s="141">
        <v>42598</v>
      </c>
      <c r="AB499" s="142">
        <v>129</v>
      </c>
    </row>
    <row r="500" spans="1:28">
      <c r="A500" s="144">
        <v>45482</v>
      </c>
      <c r="B500" s="141">
        <f t="shared" si="13"/>
        <v>67397</v>
      </c>
      <c r="C500" s="141">
        <v>67397</v>
      </c>
      <c r="D500" s="142">
        <f t="shared" si="14"/>
        <v>0</v>
      </c>
      <c r="E500" s="141">
        <v>26584</v>
      </c>
      <c r="F500" s="141">
        <v>26589</v>
      </c>
      <c r="G500" s="142">
        <v>5</v>
      </c>
      <c r="H500" s="141">
        <v>524525</v>
      </c>
      <c r="I500" s="141">
        <v>524585</v>
      </c>
      <c r="J500" s="142">
        <v>60</v>
      </c>
      <c r="Q500" s="141">
        <v>23857</v>
      </c>
      <c r="R500" s="141">
        <v>23885</v>
      </c>
      <c r="S500" s="142">
        <v>28</v>
      </c>
      <c r="T500" s="141">
        <v>4694</v>
      </c>
      <c r="U500" s="141">
        <v>4696</v>
      </c>
      <c r="V500" s="142">
        <v>2</v>
      </c>
      <c r="W500" s="141">
        <v>3452</v>
      </c>
      <c r="X500" s="141">
        <v>3456</v>
      </c>
      <c r="Y500" s="142">
        <v>4</v>
      </c>
      <c r="Z500" s="141">
        <v>42598</v>
      </c>
      <c r="AA500" s="141">
        <v>42642</v>
      </c>
      <c r="AB500" s="142">
        <v>44</v>
      </c>
    </row>
    <row r="501" spans="1:28">
      <c r="A501" s="144">
        <v>45483</v>
      </c>
      <c r="B501" s="141">
        <f t="shared" si="13"/>
        <v>67397</v>
      </c>
      <c r="C501" s="141">
        <v>67495</v>
      </c>
      <c r="D501" s="142">
        <f t="shared" si="14"/>
        <v>98</v>
      </c>
      <c r="E501" s="141">
        <v>26589</v>
      </c>
      <c r="F501" s="141">
        <v>26599</v>
      </c>
      <c r="G501" s="142">
        <v>10</v>
      </c>
      <c r="H501" s="141">
        <v>524585</v>
      </c>
      <c r="I501" s="141">
        <v>524755</v>
      </c>
      <c r="J501" s="142">
        <v>170</v>
      </c>
      <c r="Q501" s="141">
        <v>23885</v>
      </c>
      <c r="R501" s="141">
        <v>23899</v>
      </c>
      <c r="S501" s="142">
        <v>14</v>
      </c>
      <c r="T501" s="141">
        <v>4696</v>
      </c>
      <c r="U501" s="141">
        <v>4698</v>
      </c>
      <c r="V501" s="142">
        <v>2</v>
      </c>
      <c r="W501" s="141">
        <v>3456</v>
      </c>
      <c r="X501" s="141">
        <v>3457</v>
      </c>
      <c r="Y501" s="142">
        <v>1</v>
      </c>
      <c r="Z501" s="141">
        <v>42642</v>
      </c>
      <c r="AA501" s="141">
        <v>42698</v>
      </c>
      <c r="AB501" s="142">
        <v>56</v>
      </c>
    </row>
    <row r="502" spans="1:28">
      <c r="A502" s="144">
        <v>45484</v>
      </c>
      <c r="B502" s="141">
        <f t="shared" si="13"/>
        <v>67495</v>
      </c>
      <c r="C502" s="141">
        <v>67584</v>
      </c>
      <c r="D502" s="142">
        <f t="shared" si="14"/>
        <v>89</v>
      </c>
      <c r="E502" s="141">
        <v>26599</v>
      </c>
      <c r="F502" s="141">
        <v>26626</v>
      </c>
      <c r="G502" s="142">
        <v>27</v>
      </c>
      <c r="H502" s="141">
        <v>524755</v>
      </c>
      <c r="I502" s="141">
        <v>524922</v>
      </c>
      <c r="J502" s="142">
        <v>167</v>
      </c>
      <c r="Q502" s="141">
        <v>23899</v>
      </c>
      <c r="R502" s="141">
        <v>23936</v>
      </c>
      <c r="S502" s="142">
        <v>37</v>
      </c>
      <c r="T502" s="141">
        <v>4698</v>
      </c>
      <c r="U502" s="141">
        <v>4700</v>
      </c>
      <c r="V502" s="142">
        <v>2</v>
      </c>
      <c r="W502" s="141">
        <v>3457</v>
      </c>
      <c r="X502" s="141">
        <v>3459</v>
      </c>
      <c r="Y502" s="142">
        <v>2</v>
      </c>
      <c r="Z502" s="141">
        <v>42698</v>
      </c>
      <c r="AA502" s="141">
        <v>42749</v>
      </c>
      <c r="AB502" s="142">
        <v>51</v>
      </c>
    </row>
    <row r="503" spans="1:28">
      <c r="A503" s="144">
        <v>45485</v>
      </c>
      <c r="B503" s="141">
        <f t="shared" si="13"/>
        <v>67584</v>
      </c>
      <c r="C503" s="141">
        <v>67671</v>
      </c>
      <c r="D503" s="142">
        <f t="shared" si="14"/>
        <v>87</v>
      </c>
      <c r="E503" s="141">
        <v>26626</v>
      </c>
      <c r="F503" s="141">
        <v>26671</v>
      </c>
      <c r="G503" s="142">
        <v>45</v>
      </c>
      <c r="H503" s="141">
        <v>524922</v>
      </c>
      <c r="I503" s="141">
        <v>525109</v>
      </c>
      <c r="J503" s="142">
        <v>187</v>
      </c>
      <c r="Q503" s="141">
        <v>23936</v>
      </c>
      <c r="R503" s="141">
        <v>23972</v>
      </c>
      <c r="S503" s="142">
        <v>36</v>
      </c>
      <c r="T503" s="141">
        <v>4700</v>
      </c>
      <c r="U503" s="141">
        <v>4701</v>
      </c>
      <c r="V503" s="142">
        <v>1</v>
      </c>
      <c r="W503" s="141">
        <v>3459</v>
      </c>
      <c r="X503" s="141">
        <v>3462</v>
      </c>
      <c r="Y503" s="142">
        <v>3</v>
      </c>
      <c r="Z503" s="141">
        <v>42749</v>
      </c>
      <c r="AA503" s="141">
        <v>42788</v>
      </c>
      <c r="AB503" s="142">
        <v>39</v>
      </c>
    </row>
    <row r="504" spans="1:28">
      <c r="A504" s="144">
        <v>45486</v>
      </c>
      <c r="B504" s="141">
        <f t="shared" si="13"/>
        <v>67671</v>
      </c>
      <c r="C504" s="141">
        <v>67759</v>
      </c>
      <c r="D504" s="142">
        <f t="shared" si="14"/>
        <v>88</v>
      </c>
      <c r="E504" s="141">
        <v>26671</v>
      </c>
      <c r="F504" s="141">
        <v>26720</v>
      </c>
      <c r="G504" s="142">
        <v>49</v>
      </c>
      <c r="H504" s="141">
        <v>525109</v>
      </c>
      <c r="I504" s="141">
        <v>525244</v>
      </c>
      <c r="J504" s="142">
        <v>135</v>
      </c>
      <c r="Q504" s="141">
        <v>23972</v>
      </c>
      <c r="R504" s="141">
        <v>24019</v>
      </c>
      <c r="S504" s="142">
        <v>47</v>
      </c>
      <c r="T504" s="141">
        <v>4701</v>
      </c>
      <c r="U504" s="141">
        <v>4705</v>
      </c>
      <c r="V504" s="142">
        <v>4</v>
      </c>
      <c r="W504" s="141">
        <v>3462</v>
      </c>
      <c r="X504" s="141">
        <v>3465</v>
      </c>
      <c r="Y504" s="142">
        <v>3</v>
      </c>
      <c r="Z504" s="141">
        <v>42788</v>
      </c>
      <c r="AA504" s="141">
        <v>42922</v>
      </c>
      <c r="AB504" s="142">
        <v>134</v>
      </c>
    </row>
    <row r="505" spans="1:28">
      <c r="A505" s="144">
        <v>45487</v>
      </c>
      <c r="B505" s="141">
        <f t="shared" si="13"/>
        <v>67759</v>
      </c>
      <c r="C505" s="141">
        <v>67810</v>
      </c>
      <c r="D505" s="142">
        <f t="shared" si="14"/>
        <v>51</v>
      </c>
      <c r="E505" s="141">
        <v>26720</v>
      </c>
      <c r="F505" s="141">
        <v>26744</v>
      </c>
      <c r="G505" s="142">
        <v>24</v>
      </c>
      <c r="H505" s="141">
        <v>525244</v>
      </c>
      <c r="I505" s="141">
        <v>525399</v>
      </c>
      <c r="J505" s="142">
        <v>155</v>
      </c>
      <c r="Q505" s="141">
        <v>24019</v>
      </c>
      <c r="R505" s="141">
        <v>24045</v>
      </c>
      <c r="S505" s="142">
        <v>26</v>
      </c>
      <c r="T505" s="141">
        <v>4705</v>
      </c>
      <c r="U505" s="141">
        <v>4707</v>
      </c>
      <c r="V505" s="142">
        <v>2</v>
      </c>
      <c r="W505" s="141">
        <v>3465</v>
      </c>
      <c r="X505" s="141">
        <v>3467</v>
      </c>
      <c r="Y505" s="142">
        <v>2</v>
      </c>
      <c r="Z505" s="141">
        <v>42922</v>
      </c>
      <c r="AA505" s="141">
        <v>43055</v>
      </c>
      <c r="AB505" s="142">
        <v>133</v>
      </c>
    </row>
    <row r="506" spans="1:28">
      <c r="A506" s="144">
        <v>45488</v>
      </c>
      <c r="B506" s="141">
        <f t="shared" si="13"/>
        <v>67810</v>
      </c>
      <c r="C506" s="141">
        <v>67897</v>
      </c>
      <c r="D506" s="142">
        <f t="shared" si="14"/>
        <v>87</v>
      </c>
      <c r="E506" s="141">
        <v>26744</v>
      </c>
      <c r="F506" s="141">
        <v>26797</v>
      </c>
      <c r="G506" s="142">
        <v>53</v>
      </c>
      <c r="H506" s="141">
        <v>525399</v>
      </c>
      <c r="I506" s="141">
        <v>525593</v>
      </c>
      <c r="J506" s="142">
        <v>194</v>
      </c>
      <c r="Q506" s="141">
        <v>24045</v>
      </c>
      <c r="R506" s="141">
        <v>24092</v>
      </c>
      <c r="S506" s="142">
        <v>47</v>
      </c>
      <c r="T506" s="141">
        <v>4707</v>
      </c>
      <c r="U506" s="141">
        <v>4711</v>
      </c>
      <c r="V506" s="142">
        <v>4</v>
      </c>
      <c r="W506" s="141">
        <v>3467</v>
      </c>
      <c r="X506" s="141">
        <v>3469</v>
      </c>
      <c r="Y506" s="142">
        <v>2</v>
      </c>
      <c r="Z506" s="141">
        <v>43055</v>
      </c>
      <c r="AA506" s="141">
        <v>43199</v>
      </c>
      <c r="AB506" s="142">
        <v>144</v>
      </c>
    </row>
    <row r="507" spans="1:28">
      <c r="A507" s="144">
        <v>45489</v>
      </c>
      <c r="B507" s="141">
        <f t="shared" si="13"/>
        <v>67897</v>
      </c>
      <c r="C507" s="141">
        <v>68012</v>
      </c>
      <c r="D507" s="142">
        <f t="shared" si="14"/>
        <v>115</v>
      </c>
      <c r="E507" s="141">
        <v>26797</v>
      </c>
      <c r="F507" s="141">
        <v>26823</v>
      </c>
      <c r="G507" s="142">
        <v>26</v>
      </c>
      <c r="H507" s="141">
        <v>525593</v>
      </c>
      <c r="I507" s="141">
        <v>525822</v>
      </c>
      <c r="J507" s="142">
        <v>229</v>
      </c>
      <c r="Q507" s="141">
        <v>24092</v>
      </c>
      <c r="R507" s="141">
        <v>24136</v>
      </c>
      <c r="S507" s="142">
        <v>44</v>
      </c>
      <c r="T507" s="141">
        <v>4711</v>
      </c>
      <c r="U507" s="141">
        <v>4712</v>
      </c>
      <c r="V507" s="142">
        <v>1</v>
      </c>
      <c r="W507" s="141">
        <v>3469</v>
      </c>
      <c r="X507" s="141">
        <v>3471</v>
      </c>
      <c r="Y507" s="142">
        <v>2</v>
      </c>
      <c r="Z507" s="141">
        <v>43199</v>
      </c>
      <c r="AA507" s="141">
        <v>43323</v>
      </c>
      <c r="AB507" s="142">
        <v>124</v>
      </c>
    </row>
    <row r="508" spans="1:28">
      <c r="A508" s="144">
        <v>45490</v>
      </c>
      <c r="B508" s="141">
        <f t="shared" si="13"/>
        <v>68012</v>
      </c>
      <c r="C508" s="141">
        <v>68130</v>
      </c>
      <c r="D508" s="142">
        <f t="shared" si="14"/>
        <v>118</v>
      </c>
      <c r="E508" s="141">
        <v>26823</v>
      </c>
      <c r="F508" s="141">
        <v>26885</v>
      </c>
      <c r="G508" s="142">
        <v>62</v>
      </c>
      <c r="H508" s="141">
        <v>525822</v>
      </c>
      <c r="I508" s="141">
        <v>526034</v>
      </c>
      <c r="J508" s="142">
        <v>212</v>
      </c>
      <c r="Q508" s="141">
        <v>24136</v>
      </c>
      <c r="R508" s="141">
        <v>24175</v>
      </c>
      <c r="S508" s="142">
        <v>39</v>
      </c>
      <c r="T508" s="141">
        <v>4712</v>
      </c>
      <c r="U508" s="141">
        <v>4714</v>
      </c>
      <c r="V508" s="142">
        <v>2</v>
      </c>
      <c r="W508" s="141">
        <v>3471</v>
      </c>
      <c r="X508" s="141">
        <v>3473</v>
      </c>
      <c r="Y508" s="142">
        <v>2</v>
      </c>
      <c r="Z508" s="141">
        <v>43323</v>
      </c>
      <c r="AA508" s="141">
        <v>43499</v>
      </c>
      <c r="AB508" s="142">
        <v>176</v>
      </c>
    </row>
    <row r="509" spans="1:28">
      <c r="A509" s="144">
        <v>45491</v>
      </c>
      <c r="B509" s="141">
        <f t="shared" si="13"/>
        <v>68130</v>
      </c>
      <c r="C509" s="141">
        <v>68222</v>
      </c>
      <c r="D509" s="142">
        <f t="shared" si="14"/>
        <v>92</v>
      </c>
      <c r="E509" s="141">
        <v>26885</v>
      </c>
      <c r="F509" s="141">
        <v>26938</v>
      </c>
      <c r="G509" s="142">
        <v>53</v>
      </c>
      <c r="H509" s="141">
        <v>526034</v>
      </c>
      <c r="I509" s="141">
        <v>526200</v>
      </c>
      <c r="J509" s="142">
        <v>166</v>
      </c>
      <c r="Q509" s="141">
        <v>24175</v>
      </c>
      <c r="R509" s="141">
        <v>24207</v>
      </c>
      <c r="S509" s="142">
        <v>32</v>
      </c>
      <c r="T509" s="141">
        <v>4714</v>
      </c>
      <c r="U509" s="141">
        <v>4715</v>
      </c>
      <c r="V509" s="142">
        <v>1</v>
      </c>
      <c r="W509" s="141">
        <v>3473</v>
      </c>
      <c r="X509" s="141">
        <v>3478</v>
      </c>
      <c r="Y509" s="142">
        <v>5</v>
      </c>
      <c r="Z509" s="141">
        <v>43499</v>
      </c>
      <c r="AA509" s="141">
        <v>43656</v>
      </c>
      <c r="AB509" s="142">
        <v>157</v>
      </c>
    </row>
    <row r="510" spans="1:28">
      <c r="A510" s="144">
        <v>45492</v>
      </c>
      <c r="B510" s="141">
        <f t="shared" si="13"/>
        <v>68222</v>
      </c>
      <c r="C510" s="141">
        <v>68303</v>
      </c>
      <c r="D510" s="142">
        <f t="shared" si="14"/>
        <v>81</v>
      </c>
      <c r="E510" s="141">
        <v>26938</v>
      </c>
      <c r="F510" s="141">
        <v>26978</v>
      </c>
      <c r="G510" s="142">
        <v>40</v>
      </c>
      <c r="H510" s="141">
        <v>526200</v>
      </c>
      <c r="I510" s="141">
        <v>526360</v>
      </c>
      <c r="J510" s="142">
        <v>160</v>
      </c>
      <c r="Q510" s="141">
        <v>24207</v>
      </c>
      <c r="R510" s="141">
        <v>24247</v>
      </c>
      <c r="S510" s="142">
        <v>40</v>
      </c>
      <c r="T510" s="141">
        <v>4715</v>
      </c>
      <c r="U510" s="141">
        <v>4718</v>
      </c>
      <c r="V510" s="142">
        <v>3</v>
      </c>
      <c r="W510" s="141">
        <v>3478</v>
      </c>
      <c r="X510" s="141">
        <v>3482</v>
      </c>
      <c r="Y510" s="142">
        <v>4</v>
      </c>
      <c r="Z510" s="141">
        <v>43656</v>
      </c>
      <c r="AA510" s="141">
        <v>43793</v>
      </c>
      <c r="AB510" s="142">
        <v>137</v>
      </c>
    </row>
    <row r="511" spans="1:28">
      <c r="A511" s="144">
        <v>45493</v>
      </c>
      <c r="B511" s="141">
        <f t="shared" si="13"/>
        <v>68303</v>
      </c>
      <c r="C511" s="141">
        <v>68419</v>
      </c>
      <c r="D511" s="142">
        <f t="shared" si="14"/>
        <v>116</v>
      </c>
      <c r="E511" s="141">
        <v>26978</v>
      </c>
      <c r="F511" s="141">
        <v>27039</v>
      </c>
      <c r="G511" s="142">
        <v>61</v>
      </c>
      <c r="H511" s="141">
        <v>526360</v>
      </c>
      <c r="I511" s="141">
        <v>526588</v>
      </c>
      <c r="J511" s="142">
        <v>228</v>
      </c>
      <c r="Q511" s="141">
        <v>24247</v>
      </c>
      <c r="R511" s="141">
        <v>24305</v>
      </c>
      <c r="S511" s="142">
        <v>58</v>
      </c>
      <c r="T511" s="141">
        <v>4718</v>
      </c>
      <c r="U511" s="141">
        <v>4719</v>
      </c>
      <c r="V511" s="142">
        <v>1</v>
      </c>
      <c r="W511" s="141">
        <v>3482</v>
      </c>
      <c r="X511" s="141">
        <v>3487</v>
      </c>
      <c r="Y511" s="142">
        <v>5</v>
      </c>
      <c r="Z511" s="141">
        <v>43793</v>
      </c>
      <c r="AA511" s="141">
        <v>43947</v>
      </c>
      <c r="AB511" s="142">
        <v>154</v>
      </c>
    </row>
    <row r="512" spans="1:28">
      <c r="A512" s="144">
        <v>45494</v>
      </c>
      <c r="B512" s="141">
        <f t="shared" si="13"/>
        <v>68419</v>
      </c>
      <c r="C512" s="141">
        <v>68524</v>
      </c>
      <c r="D512" s="142">
        <f t="shared" si="14"/>
        <v>105</v>
      </c>
      <c r="E512" s="141">
        <v>27039</v>
      </c>
      <c r="F512" s="141">
        <v>27074</v>
      </c>
      <c r="G512" s="142">
        <v>35</v>
      </c>
      <c r="H512" s="141">
        <v>526588</v>
      </c>
      <c r="I512" s="141">
        <v>526723</v>
      </c>
      <c r="J512" s="142">
        <v>135</v>
      </c>
      <c r="Q512" s="141">
        <v>24305</v>
      </c>
      <c r="R512" s="141">
        <v>24340</v>
      </c>
      <c r="S512" s="142">
        <v>35</v>
      </c>
      <c r="T512" s="141">
        <v>4719</v>
      </c>
      <c r="U512" s="141">
        <v>4723</v>
      </c>
      <c r="V512" s="142">
        <v>4</v>
      </c>
      <c r="W512" s="141">
        <v>3487</v>
      </c>
      <c r="X512" s="141">
        <v>3490</v>
      </c>
      <c r="Y512" s="142">
        <v>3</v>
      </c>
      <c r="Z512" s="141">
        <v>43947</v>
      </c>
      <c r="AA512" s="141">
        <v>44068</v>
      </c>
      <c r="AB512" s="142">
        <v>121</v>
      </c>
    </row>
    <row r="513" spans="1:28">
      <c r="A513" s="144">
        <v>45495</v>
      </c>
      <c r="B513" s="141">
        <f t="shared" si="13"/>
        <v>68524</v>
      </c>
      <c r="C513" s="141">
        <v>68624</v>
      </c>
      <c r="D513" s="142">
        <f t="shared" si="14"/>
        <v>100</v>
      </c>
      <c r="E513" s="141">
        <v>27074</v>
      </c>
      <c r="F513" s="141">
        <v>27162</v>
      </c>
      <c r="G513" s="142">
        <v>88</v>
      </c>
      <c r="H513" s="141">
        <v>526723</v>
      </c>
      <c r="I513" s="141">
        <v>526829</v>
      </c>
      <c r="J513" s="142">
        <v>106</v>
      </c>
      <c r="Q513" s="141">
        <v>24340</v>
      </c>
      <c r="R513" s="141">
        <v>24384</v>
      </c>
      <c r="S513" s="142">
        <v>44</v>
      </c>
      <c r="T513" s="141">
        <v>4723</v>
      </c>
      <c r="U513" s="141">
        <v>4726</v>
      </c>
      <c r="V513" s="142">
        <v>4</v>
      </c>
      <c r="W513" s="141">
        <v>3490</v>
      </c>
      <c r="X513" s="141">
        <v>3492</v>
      </c>
      <c r="Y513" s="142">
        <v>2</v>
      </c>
      <c r="Z513" s="141">
        <v>44068</v>
      </c>
      <c r="AA513" s="141">
        <v>44199</v>
      </c>
      <c r="AB513" s="142">
        <v>131</v>
      </c>
    </row>
    <row r="514" spans="1:28">
      <c r="A514" s="144">
        <v>45496</v>
      </c>
      <c r="B514" s="141">
        <f t="shared" si="13"/>
        <v>68624</v>
      </c>
      <c r="C514" s="141">
        <v>68713</v>
      </c>
      <c r="D514" s="142">
        <f t="shared" si="14"/>
        <v>89</v>
      </c>
      <c r="E514" s="141">
        <v>27162</v>
      </c>
      <c r="F514" s="141">
        <v>27216</v>
      </c>
      <c r="G514" s="142">
        <v>54</v>
      </c>
      <c r="H514" s="141">
        <v>526829</v>
      </c>
      <c r="I514" s="141">
        <v>526982</v>
      </c>
      <c r="J514" s="142">
        <v>153</v>
      </c>
      <c r="Q514" s="141">
        <v>24384</v>
      </c>
      <c r="R514" s="141">
        <v>24424</v>
      </c>
      <c r="S514" s="142">
        <v>40</v>
      </c>
      <c r="T514" s="141">
        <v>4726</v>
      </c>
      <c r="U514" s="141">
        <v>4729</v>
      </c>
      <c r="V514" s="142">
        <v>3</v>
      </c>
      <c r="W514" s="141">
        <v>3492</v>
      </c>
      <c r="X514" s="141">
        <v>3494</v>
      </c>
      <c r="Y514" s="142">
        <v>2</v>
      </c>
      <c r="Z514" s="141">
        <v>44199</v>
      </c>
      <c r="AA514" s="141">
        <v>44491</v>
      </c>
      <c r="AB514" s="142">
        <v>292</v>
      </c>
    </row>
    <row r="515" spans="1:28">
      <c r="A515" s="144">
        <v>45497</v>
      </c>
      <c r="B515" s="141">
        <f t="shared" si="13"/>
        <v>68713</v>
      </c>
      <c r="C515" s="141">
        <v>68808</v>
      </c>
      <c r="D515" s="142">
        <f t="shared" si="14"/>
        <v>95</v>
      </c>
      <c r="E515" s="141">
        <v>27216</v>
      </c>
      <c r="F515" s="141">
        <v>27272</v>
      </c>
      <c r="G515" s="142">
        <v>56</v>
      </c>
      <c r="H515" s="141">
        <v>526982</v>
      </c>
      <c r="I515" s="141">
        <v>527122</v>
      </c>
      <c r="J515" s="142">
        <v>140</v>
      </c>
      <c r="Q515" s="141">
        <v>24424</v>
      </c>
      <c r="R515" s="141">
        <v>24463</v>
      </c>
      <c r="S515" s="142">
        <v>39</v>
      </c>
      <c r="T515" s="141">
        <v>4729</v>
      </c>
      <c r="U515" s="141">
        <v>4734</v>
      </c>
      <c r="V515" s="142">
        <v>5</v>
      </c>
      <c r="W515" s="141">
        <v>3494</v>
      </c>
      <c r="X515" s="141">
        <v>3496</v>
      </c>
      <c r="Y515" s="142">
        <v>2</v>
      </c>
      <c r="Z515" s="141">
        <v>44491</v>
      </c>
      <c r="AA515" s="141">
        <v>44573</v>
      </c>
      <c r="AB515" s="142">
        <v>82</v>
      </c>
    </row>
    <row r="516" spans="1:28">
      <c r="A516" s="144">
        <v>45498</v>
      </c>
      <c r="B516" s="141">
        <f t="shared" si="13"/>
        <v>68808</v>
      </c>
      <c r="C516" s="141">
        <v>68871</v>
      </c>
      <c r="D516" s="142">
        <f t="shared" ref="D516:D519" si="15">C516-B516</f>
        <v>63</v>
      </c>
      <c r="E516" s="141">
        <v>27272</v>
      </c>
      <c r="F516" s="141">
        <v>27272</v>
      </c>
      <c r="G516" s="142">
        <v>0</v>
      </c>
      <c r="H516" s="141">
        <v>527122</v>
      </c>
      <c r="I516" s="141">
        <v>527292</v>
      </c>
      <c r="J516" s="142">
        <v>170</v>
      </c>
      <c r="Q516" s="141">
        <v>24463</v>
      </c>
      <c r="R516" s="141">
        <v>24507</v>
      </c>
      <c r="S516" s="142">
        <v>44</v>
      </c>
      <c r="T516" s="141">
        <v>4734</v>
      </c>
      <c r="U516" s="141">
        <v>4738</v>
      </c>
      <c r="V516" s="142">
        <v>4</v>
      </c>
      <c r="W516" s="141">
        <v>3496</v>
      </c>
      <c r="X516" s="141">
        <v>3498</v>
      </c>
      <c r="Y516" s="142">
        <v>2</v>
      </c>
      <c r="Z516" s="141">
        <v>44573</v>
      </c>
      <c r="AA516" s="141">
        <v>44708</v>
      </c>
      <c r="AB516" s="142">
        <v>135</v>
      </c>
    </row>
    <row r="517" spans="1:28">
      <c r="A517" s="144">
        <v>45499</v>
      </c>
      <c r="B517" s="141">
        <f t="shared" si="13"/>
        <v>68871</v>
      </c>
      <c r="C517" s="141">
        <v>68896</v>
      </c>
      <c r="D517" s="142">
        <f t="shared" si="15"/>
        <v>25</v>
      </c>
      <c r="E517" s="141">
        <v>27272</v>
      </c>
      <c r="F517" s="141">
        <v>27313</v>
      </c>
      <c r="G517" s="142">
        <v>41</v>
      </c>
      <c r="H517" s="141">
        <v>527292</v>
      </c>
      <c r="I517" s="141">
        <v>527459</v>
      </c>
      <c r="J517" s="142">
        <v>167</v>
      </c>
      <c r="Q517" s="141">
        <v>24507</v>
      </c>
      <c r="R517" s="141">
        <v>24545</v>
      </c>
      <c r="S517" s="142">
        <v>38</v>
      </c>
      <c r="T517" s="141">
        <v>4738</v>
      </c>
      <c r="U517" s="141">
        <v>4742</v>
      </c>
      <c r="V517" s="142">
        <v>4</v>
      </c>
      <c r="W517" s="141">
        <v>3498</v>
      </c>
      <c r="X517" s="141">
        <v>3499</v>
      </c>
      <c r="Y517" s="142">
        <v>1</v>
      </c>
      <c r="Z517" s="141">
        <v>44708</v>
      </c>
      <c r="AA517" s="141">
        <v>44799</v>
      </c>
      <c r="AB517" s="142">
        <v>91</v>
      </c>
    </row>
    <row r="518" spans="1:28">
      <c r="A518" s="144">
        <v>45500</v>
      </c>
      <c r="B518" s="141">
        <f t="shared" si="13"/>
        <v>68896</v>
      </c>
      <c r="C518" s="141">
        <v>68920</v>
      </c>
      <c r="D518" s="142">
        <f t="shared" si="15"/>
        <v>24</v>
      </c>
      <c r="E518" s="141">
        <v>27313</v>
      </c>
      <c r="F518" s="141">
        <v>27340</v>
      </c>
      <c r="G518" s="142">
        <v>27</v>
      </c>
      <c r="H518" s="141">
        <v>527459</v>
      </c>
      <c r="I518" s="141">
        <v>527598</v>
      </c>
      <c r="J518" s="142">
        <v>139</v>
      </c>
      <c r="Q518" s="141">
        <v>24545</v>
      </c>
      <c r="R518" s="141">
        <v>24570</v>
      </c>
      <c r="S518" s="142">
        <v>25</v>
      </c>
      <c r="T518" s="141">
        <v>4742</v>
      </c>
      <c r="U518" s="141">
        <v>4748</v>
      </c>
      <c r="V518" s="142">
        <v>6</v>
      </c>
      <c r="W518" s="141">
        <v>3499</v>
      </c>
      <c r="X518" s="141">
        <v>3502</v>
      </c>
      <c r="Y518" s="142">
        <v>3</v>
      </c>
      <c r="Z518" s="141">
        <v>44799</v>
      </c>
      <c r="AA518" s="141">
        <v>44850</v>
      </c>
      <c r="AB518" s="142">
        <v>51</v>
      </c>
    </row>
    <row r="519" spans="1:28" ht="14.25" customHeight="1">
      <c r="A519" s="144">
        <v>45501</v>
      </c>
      <c r="B519" s="141">
        <f t="shared" si="13"/>
        <v>68920</v>
      </c>
      <c r="C519" s="141">
        <v>68978</v>
      </c>
      <c r="D519" s="142">
        <f t="shared" si="15"/>
        <v>58</v>
      </c>
      <c r="E519" s="141">
        <v>27340</v>
      </c>
      <c r="F519" s="141">
        <v>27386</v>
      </c>
      <c r="G519" s="142">
        <v>46</v>
      </c>
      <c r="H519" s="141">
        <v>527598</v>
      </c>
      <c r="I519" s="141">
        <v>527863</v>
      </c>
      <c r="J519" s="142">
        <v>265</v>
      </c>
      <c r="Q519" s="141">
        <v>24570</v>
      </c>
      <c r="R519" s="141">
        <v>24606</v>
      </c>
      <c r="S519" s="142">
        <v>36</v>
      </c>
      <c r="T519" s="141">
        <v>4748</v>
      </c>
      <c r="U519" s="141">
        <v>4753</v>
      </c>
      <c r="V519" s="142">
        <v>5</v>
      </c>
      <c r="W519" s="141">
        <v>3502</v>
      </c>
      <c r="X519" s="141">
        <v>3503</v>
      </c>
      <c r="Y519" s="142">
        <v>1</v>
      </c>
      <c r="Z519" s="141">
        <v>44850</v>
      </c>
      <c r="AA519" s="141">
        <v>44906</v>
      </c>
      <c r="AB519" s="142">
        <v>56</v>
      </c>
    </row>
    <row r="520" spans="1:28">
      <c r="A520" s="144">
        <v>45502</v>
      </c>
      <c r="B520" s="141">
        <f t="shared" si="13"/>
        <v>68978</v>
      </c>
      <c r="C520" s="141">
        <v>69043</v>
      </c>
      <c r="D520" s="142">
        <v>65</v>
      </c>
      <c r="E520" s="141">
        <v>27386</v>
      </c>
      <c r="F520" s="141">
        <v>27427</v>
      </c>
      <c r="G520" s="142">
        <v>41</v>
      </c>
      <c r="H520" s="141">
        <v>527863</v>
      </c>
      <c r="I520" s="141">
        <v>528051</v>
      </c>
      <c r="J520" s="142">
        <v>188</v>
      </c>
      <c r="Q520" s="141">
        <v>24606</v>
      </c>
      <c r="R520" s="141">
        <v>24638</v>
      </c>
      <c r="S520" s="142">
        <v>32</v>
      </c>
      <c r="T520" s="141">
        <v>4753</v>
      </c>
      <c r="U520" s="141">
        <v>4758</v>
      </c>
      <c r="V520" s="142">
        <v>5</v>
      </c>
      <c r="W520" s="141">
        <v>3503</v>
      </c>
      <c r="X520" s="141">
        <v>3505</v>
      </c>
      <c r="Y520" s="142">
        <v>2</v>
      </c>
      <c r="Z520" s="141">
        <v>44906</v>
      </c>
      <c r="AA520" s="141">
        <v>44988</v>
      </c>
      <c r="AB520" s="142">
        <v>82</v>
      </c>
    </row>
    <row r="521" spans="1:28">
      <c r="A521" s="144">
        <v>45503</v>
      </c>
      <c r="B521" s="141">
        <f t="shared" si="13"/>
        <v>69043</v>
      </c>
      <c r="C521" s="141">
        <v>69066</v>
      </c>
      <c r="D521" s="142">
        <f t="shared" ref="D521:D551" si="16">C521-B521</f>
        <v>23</v>
      </c>
      <c r="E521" s="141">
        <v>27427</v>
      </c>
      <c r="F521" s="141">
        <v>27469</v>
      </c>
      <c r="G521" s="142">
        <v>42</v>
      </c>
      <c r="H521" s="141">
        <v>528051</v>
      </c>
      <c r="I521" s="141">
        <v>528263</v>
      </c>
      <c r="J521" s="142">
        <v>212</v>
      </c>
      <c r="Q521" s="141">
        <v>24638</v>
      </c>
      <c r="R521" s="141">
        <v>24689</v>
      </c>
      <c r="S521" s="142">
        <v>51</v>
      </c>
      <c r="T521" s="141">
        <v>4758</v>
      </c>
      <c r="U521" s="141">
        <v>4760</v>
      </c>
      <c r="V521" s="142">
        <v>2</v>
      </c>
      <c r="W521" s="141">
        <v>3505</v>
      </c>
      <c r="X521" s="141">
        <v>3507</v>
      </c>
      <c r="Y521" s="142">
        <v>2</v>
      </c>
      <c r="Z521" s="141">
        <v>44988</v>
      </c>
      <c r="AA521" s="141">
        <v>45130</v>
      </c>
      <c r="AB521" s="142">
        <v>142</v>
      </c>
    </row>
    <row r="522" spans="1:28">
      <c r="A522" s="144">
        <v>45504</v>
      </c>
      <c r="B522" s="141">
        <f t="shared" si="13"/>
        <v>69066</v>
      </c>
      <c r="C522" s="141">
        <v>69157</v>
      </c>
      <c r="D522" s="142">
        <f t="shared" si="16"/>
        <v>91</v>
      </c>
      <c r="E522" s="141">
        <v>27469</v>
      </c>
      <c r="F522" s="141">
        <v>27520</v>
      </c>
      <c r="G522" s="142">
        <v>51</v>
      </c>
      <c r="H522" s="141">
        <v>528263</v>
      </c>
      <c r="I522" s="141">
        <v>528468</v>
      </c>
      <c r="J522" s="142">
        <v>205</v>
      </c>
      <c r="Q522" s="141">
        <v>24689</v>
      </c>
      <c r="R522" s="141">
        <v>24722</v>
      </c>
      <c r="S522" s="142">
        <v>33</v>
      </c>
      <c r="T522" s="141">
        <v>4760</v>
      </c>
      <c r="U522" s="141">
        <v>4762</v>
      </c>
      <c r="V522" s="142">
        <v>2</v>
      </c>
      <c r="W522" s="141">
        <v>3507</v>
      </c>
      <c r="X522" s="141">
        <v>3509</v>
      </c>
      <c r="Y522" s="142">
        <v>2</v>
      </c>
      <c r="Z522" s="141">
        <v>45130</v>
      </c>
      <c r="AA522" s="141">
        <v>45271</v>
      </c>
      <c r="AB522" s="142">
        <v>141</v>
      </c>
    </row>
    <row r="523" spans="1:28">
      <c r="A523" s="144">
        <v>45505</v>
      </c>
      <c r="B523" s="141">
        <f t="shared" si="13"/>
        <v>69157</v>
      </c>
      <c r="C523" s="141">
        <v>69240</v>
      </c>
      <c r="D523" s="142">
        <f t="shared" si="16"/>
        <v>83</v>
      </c>
      <c r="E523" s="141">
        <v>27520</v>
      </c>
      <c r="F523" s="141">
        <v>27546</v>
      </c>
      <c r="G523" s="142">
        <v>26</v>
      </c>
      <c r="H523" s="141">
        <v>528468</v>
      </c>
      <c r="I523" s="141">
        <v>528632</v>
      </c>
      <c r="J523" s="142">
        <v>164</v>
      </c>
      <c r="Q523" s="141">
        <v>24722</v>
      </c>
      <c r="R523" s="141">
        <v>24761</v>
      </c>
      <c r="S523" s="142">
        <v>39</v>
      </c>
      <c r="T523" s="141">
        <v>4762</v>
      </c>
      <c r="U523" s="141">
        <v>4766</v>
      </c>
      <c r="V523" s="142">
        <v>4</v>
      </c>
      <c r="W523" s="141">
        <v>3509</v>
      </c>
      <c r="X523" s="141">
        <v>3511</v>
      </c>
      <c r="Y523" s="142">
        <v>2</v>
      </c>
      <c r="Z523" s="141">
        <v>45271</v>
      </c>
      <c r="AA523" s="141">
        <v>45410</v>
      </c>
      <c r="AB523" s="142">
        <v>139</v>
      </c>
    </row>
    <row r="524" spans="1:28">
      <c r="A524" s="144">
        <v>45506</v>
      </c>
      <c r="B524" s="141">
        <f t="shared" si="13"/>
        <v>69240</v>
      </c>
      <c r="C524" s="141">
        <v>69319</v>
      </c>
      <c r="D524" s="142">
        <f t="shared" si="16"/>
        <v>79</v>
      </c>
      <c r="E524" s="141">
        <v>27546</v>
      </c>
      <c r="F524" s="141">
        <v>27575</v>
      </c>
      <c r="G524" s="142">
        <v>29</v>
      </c>
      <c r="H524" s="141">
        <v>528632</v>
      </c>
      <c r="I524" s="141">
        <v>528858</v>
      </c>
      <c r="J524" s="142">
        <v>226</v>
      </c>
      <c r="Q524" s="141">
        <v>24761</v>
      </c>
      <c r="R524" s="141">
        <v>24806</v>
      </c>
      <c r="S524" s="142">
        <v>45</v>
      </c>
      <c r="T524" s="141">
        <v>4766</v>
      </c>
      <c r="U524" s="141">
        <v>4769</v>
      </c>
      <c r="V524" s="142">
        <v>3</v>
      </c>
      <c r="W524" s="141">
        <v>3511</v>
      </c>
      <c r="X524" s="141">
        <v>3512</v>
      </c>
      <c r="Y524" s="142">
        <v>1</v>
      </c>
      <c r="Z524" s="141">
        <v>45410</v>
      </c>
      <c r="AA524" s="141">
        <v>45550</v>
      </c>
      <c r="AB524" s="142">
        <v>140</v>
      </c>
    </row>
    <row r="525" spans="1:28">
      <c r="A525" s="144">
        <v>45507</v>
      </c>
      <c r="B525" s="141">
        <f t="shared" ref="B525:B588" si="17">C524</f>
        <v>69319</v>
      </c>
      <c r="C525" s="141">
        <v>69410</v>
      </c>
      <c r="D525" s="142">
        <f t="shared" si="16"/>
        <v>91</v>
      </c>
      <c r="E525" s="141">
        <v>27575</v>
      </c>
      <c r="F525" s="141">
        <v>27618</v>
      </c>
      <c r="G525" s="142">
        <v>43</v>
      </c>
      <c r="H525" s="141">
        <v>528858</v>
      </c>
      <c r="I525" s="141">
        <v>529131</v>
      </c>
      <c r="J525" s="142">
        <v>273</v>
      </c>
      <c r="Q525" s="141">
        <v>24806</v>
      </c>
      <c r="R525" s="141">
        <v>24860</v>
      </c>
      <c r="S525" s="142">
        <v>54</v>
      </c>
      <c r="T525" s="141">
        <v>4769</v>
      </c>
      <c r="U525" s="141">
        <v>4772</v>
      </c>
      <c r="V525" s="142">
        <v>3</v>
      </c>
      <c r="W525" s="141">
        <v>3512</v>
      </c>
      <c r="X525" s="141">
        <v>3514</v>
      </c>
      <c r="Y525" s="142">
        <v>2</v>
      </c>
      <c r="Z525" s="141">
        <v>45550</v>
      </c>
      <c r="AA525" s="141">
        <v>45651</v>
      </c>
      <c r="AB525" s="142">
        <v>101</v>
      </c>
    </row>
    <row r="526" spans="1:28">
      <c r="A526" s="144">
        <v>45508</v>
      </c>
      <c r="B526" s="141">
        <f t="shared" si="17"/>
        <v>69410</v>
      </c>
      <c r="C526" s="141">
        <v>69500</v>
      </c>
      <c r="D526" s="142">
        <f t="shared" si="16"/>
        <v>90</v>
      </c>
      <c r="E526" s="141">
        <v>27618</v>
      </c>
      <c r="F526" s="141">
        <v>27648</v>
      </c>
      <c r="G526" s="142">
        <v>30</v>
      </c>
      <c r="H526" s="141">
        <v>529131</v>
      </c>
      <c r="I526" s="141">
        <v>529371</v>
      </c>
      <c r="J526" s="142">
        <v>240</v>
      </c>
      <c r="Q526" s="141">
        <v>24860</v>
      </c>
      <c r="R526" s="141">
        <v>24895</v>
      </c>
      <c r="S526" s="142">
        <v>35</v>
      </c>
      <c r="T526" s="141">
        <v>4772</v>
      </c>
      <c r="U526" s="141">
        <v>4777</v>
      </c>
      <c r="V526" s="142">
        <v>3</v>
      </c>
      <c r="W526" s="141">
        <v>3514</v>
      </c>
      <c r="X526" s="141">
        <v>3516</v>
      </c>
      <c r="Y526" s="142">
        <v>2</v>
      </c>
      <c r="Z526" s="141">
        <v>45651</v>
      </c>
      <c r="AA526" s="141">
        <v>45750</v>
      </c>
      <c r="AB526" s="142">
        <v>99</v>
      </c>
    </row>
    <row r="527" spans="1:28">
      <c r="A527" s="144">
        <v>45509</v>
      </c>
      <c r="B527" s="141">
        <f t="shared" si="17"/>
        <v>69500</v>
      </c>
      <c r="C527" s="141">
        <v>69517</v>
      </c>
      <c r="D527" s="142">
        <f t="shared" si="16"/>
        <v>17</v>
      </c>
      <c r="E527" s="141">
        <v>27648</v>
      </c>
      <c r="F527" s="141">
        <v>27669</v>
      </c>
      <c r="G527" s="142">
        <v>21</v>
      </c>
      <c r="H527" s="141">
        <v>529371</v>
      </c>
      <c r="I527" s="141">
        <v>529545</v>
      </c>
      <c r="J527" s="142">
        <v>174</v>
      </c>
      <c r="Q527" s="141">
        <v>24895</v>
      </c>
      <c r="R527" s="141">
        <v>24930</v>
      </c>
      <c r="S527" s="142">
        <v>35</v>
      </c>
      <c r="T527" s="141">
        <v>4777</v>
      </c>
      <c r="U527" s="141">
        <v>4779</v>
      </c>
      <c r="V527" s="142">
        <v>2</v>
      </c>
      <c r="W527" s="141">
        <v>3516</v>
      </c>
      <c r="X527" s="141">
        <v>3518</v>
      </c>
      <c r="Y527" s="142">
        <v>2</v>
      </c>
      <c r="Z527" s="141">
        <v>45750</v>
      </c>
      <c r="AA527" s="141">
        <v>45881</v>
      </c>
      <c r="AB527" s="142">
        <v>131</v>
      </c>
    </row>
    <row r="528" spans="1:28">
      <c r="A528" s="144">
        <v>45510</v>
      </c>
      <c r="B528" s="141">
        <f t="shared" si="17"/>
        <v>69517</v>
      </c>
      <c r="C528" s="141">
        <v>69586</v>
      </c>
      <c r="D528" s="142">
        <f t="shared" si="16"/>
        <v>69</v>
      </c>
      <c r="E528" s="141">
        <v>27669</v>
      </c>
      <c r="F528" s="141">
        <v>27724</v>
      </c>
      <c r="G528" s="142">
        <v>55</v>
      </c>
      <c r="H528" s="141">
        <v>529545</v>
      </c>
      <c r="I528" s="141">
        <v>529988</v>
      </c>
      <c r="J528" s="142">
        <v>443</v>
      </c>
      <c r="Q528" s="141">
        <v>24930</v>
      </c>
      <c r="R528" s="141">
        <v>25018</v>
      </c>
      <c r="S528" s="142">
        <v>88</v>
      </c>
      <c r="T528" s="141">
        <v>4779</v>
      </c>
      <c r="U528" s="141">
        <v>4782</v>
      </c>
      <c r="V528" s="142">
        <v>3</v>
      </c>
      <c r="W528" s="141">
        <v>3518</v>
      </c>
      <c r="X528" s="141">
        <v>3521</v>
      </c>
      <c r="Y528" s="142">
        <v>3</v>
      </c>
      <c r="Z528" s="141">
        <v>45881</v>
      </c>
      <c r="AA528" s="141">
        <v>46158</v>
      </c>
      <c r="AB528" s="142">
        <v>277</v>
      </c>
    </row>
    <row r="529" spans="1:28">
      <c r="A529" s="144">
        <v>45511</v>
      </c>
      <c r="B529" s="141">
        <f t="shared" si="17"/>
        <v>69586</v>
      </c>
      <c r="C529" s="141">
        <v>69671</v>
      </c>
      <c r="D529" s="142">
        <f t="shared" si="16"/>
        <v>85</v>
      </c>
      <c r="E529" s="141">
        <v>27724</v>
      </c>
      <c r="F529" s="141">
        <v>27759</v>
      </c>
      <c r="G529" s="142">
        <v>35</v>
      </c>
      <c r="H529" s="141">
        <v>529988</v>
      </c>
      <c r="I529" s="141">
        <v>530264</v>
      </c>
      <c r="J529" s="142">
        <v>276</v>
      </c>
      <c r="Q529" s="141">
        <v>25018</v>
      </c>
      <c r="R529" s="141">
        <v>25058</v>
      </c>
      <c r="S529" s="142">
        <v>40</v>
      </c>
      <c r="T529" s="141">
        <v>4782</v>
      </c>
      <c r="U529" s="141">
        <v>4788</v>
      </c>
      <c r="V529" s="142">
        <v>6</v>
      </c>
      <c r="W529" s="141">
        <v>3521</v>
      </c>
      <c r="X529" s="141">
        <v>3523</v>
      </c>
      <c r="Y529" s="142">
        <v>2</v>
      </c>
      <c r="Z529" s="141">
        <v>46158</v>
      </c>
      <c r="AA529" s="141">
        <v>46243</v>
      </c>
      <c r="AB529" s="142">
        <v>85</v>
      </c>
    </row>
    <row r="530" spans="1:28">
      <c r="A530" s="144">
        <v>45512</v>
      </c>
      <c r="B530" s="141">
        <f t="shared" si="17"/>
        <v>69671</v>
      </c>
      <c r="C530" s="141">
        <v>69721</v>
      </c>
      <c r="D530" s="142">
        <f t="shared" si="16"/>
        <v>50</v>
      </c>
      <c r="E530" s="141">
        <v>27759</v>
      </c>
      <c r="F530" s="141">
        <v>27799</v>
      </c>
      <c r="G530" s="142">
        <v>40</v>
      </c>
      <c r="H530" s="141">
        <v>530264</v>
      </c>
      <c r="I530" s="141">
        <v>530434</v>
      </c>
      <c r="J530" s="142">
        <v>170</v>
      </c>
      <c r="Q530" s="141">
        <v>25058</v>
      </c>
      <c r="R530" s="141">
        <v>25096</v>
      </c>
      <c r="S530" s="142">
        <v>38</v>
      </c>
      <c r="T530" s="141">
        <v>4788</v>
      </c>
      <c r="U530" s="141">
        <v>4789</v>
      </c>
      <c r="V530" s="142">
        <v>1</v>
      </c>
      <c r="W530" s="141">
        <v>3523</v>
      </c>
      <c r="X530" s="141">
        <v>3525</v>
      </c>
      <c r="Y530" s="142">
        <v>2</v>
      </c>
      <c r="Z530" s="141">
        <v>46243</v>
      </c>
      <c r="AA530" s="141">
        <v>46438</v>
      </c>
      <c r="AB530" s="142">
        <v>195</v>
      </c>
    </row>
    <row r="531" spans="1:28">
      <c r="A531" s="144">
        <v>45513</v>
      </c>
      <c r="B531" s="141">
        <f t="shared" si="17"/>
        <v>69721</v>
      </c>
      <c r="C531" s="141">
        <v>69760</v>
      </c>
      <c r="D531" s="142">
        <f t="shared" si="16"/>
        <v>39</v>
      </c>
      <c r="E531" s="141">
        <v>27799</v>
      </c>
      <c r="F531" s="141">
        <v>27833</v>
      </c>
      <c r="G531" s="142">
        <v>34</v>
      </c>
      <c r="H531" s="141">
        <v>530434</v>
      </c>
      <c r="I531" s="141">
        <v>530696</v>
      </c>
      <c r="J531" s="142">
        <v>262</v>
      </c>
      <c r="Q531" s="141">
        <v>25096</v>
      </c>
      <c r="R531" s="141">
        <v>25151</v>
      </c>
      <c r="S531" s="142">
        <v>55</v>
      </c>
      <c r="T531" s="141">
        <v>4789</v>
      </c>
      <c r="U531" s="141">
        <v>4792</v>
      </c>
      <c r="V531" s="142">
        <v>3</v>
      </c>
      <c r="W531" s="141">
        <v>3525</v>
      </c>
      <c r="X531" s="141">
        <v>3528</v>
      </c>
      <c r="Y531" s="142">
        <v>3</v>
      </c>
      <c r="Z531" s="141">
        <v>46438</v>
      </c>
      <c r="AA531" s="141">
        <v>46599</v>
      </c>
      <c r="AB531" s="142">
        <v>161</v>
      </c>
    </row>
    <row r="532" spans="1:28">
      <c r="A532" s="144">
        <v>45514</v>
      </c>
      <c r="B532" s="141">
        <f t="shared" si="17"/>
        <v>69760</v>
      </c>
      <c r="C532" s="141">
        <v>69770</v>
      </c>
      <c r="D532" s="142">
        <f t="shared" si="16"/>
        <v>10</v>
      </c>
      <c r="E532" s="141">
        <v>27833</v>
      </c>
      <c r="F532" s="141">
        <v>27865</v>
      </c>
      <c r="G532" s="142">
        <v>32</v>
      </c>
      <c r="H532" s="141">
        <v>530696</v>
      </c>
      <c r="I532" s="141">
        <v>530863</v>
      </c>
      <c r="J532" s="142">
        <v>167</v>
      </c>
      <c r="Q532" s="141">
        <v>25151</v>
      </c>
      <c r="R532" s="141">
        <v>25174</v>
      </c>
      <c r="S532" s="142">
        <v>23</v>
      </c>
      <c r="T532" s="141">
        <v>4792</v>
      </c>
      <c r="U532" s="141">
        <v>4795</v>
      </c>
      <c r="V532" s="142">
        <v>3</v>
      </c>
      <c r="W532" s="141">
        <v>3528</v>
      </c>
      <c r="X532" s="141">
        <v>3529</v>
      </c>
      <c r="Y532" s="142">
        <v>1</v>
      </c>
      <c r="Z532" s="141">
        <v>46599</v>
      </c>
      <c r="AA532" s="141">
        <v>46699</v>
      </c>
      <c r="AB532" s="142">
        <v>100</v>
      </c>
    </row>
    <row r="533" spans="1:28">
      <c r="A533" s="144">
        <v>45515</v>
      </c>
      <c r="B533" s="141">
        <f t="shared" si="17"/>
        <v>69770</v>
      </c>
      <c r="C533" s="141">
        <v>69790</v>
      </c>
      <c r="D533" s="142">
        <f t="shared" si="16"/>
        <v>20</v>
      </c>
      <c r="E533" s="141">
        <v>27865</v>
      </c>
      <c r="F533" s="141">
        <v>27903</v>
      </c>
      <c r="G533" s="142">
        <v>38</v>
      </c>
      <c r="H533" s="141">
        <v>530863</v>
      </c>
      <c r="I533" s="141">
        <v>531059</v>
      </c>
      <c r="J533" s="142">
        <v>196</v>
      </c>
      <c r="Q533" s="141">
        <v>25174</v>
      </c>
      <c r="R533" s="141">
        <v>25208</v>
      </c>
      <c r="S533" s="142">
        <v>34</v>
      </c>
      <c r="T533" s="141">
        <v>4795</v>
      </c>
      <c r="U533" s="141">
        <v>4799</v>
      </c>
      <c r="V533" s="142">
        <v>4</v>
      </c>
      <c r="W533" s="141">
        <v>3529</v>
      </c>
      <c r="X533" s="141">
        <v>3532</v>
      </c>
      <c r="Y533" s="142">
        <v>3</v>
      </c>
      <c r="Z533" s="141">
        <v>46699</v>
      </c>
      <c r="AA533" s="141">
        <v>46784</v>
      </c>
      <c r="AB533" s="142">
        <v>85</v>
      </c>
    </row>
    <row r="534" spans="1:28">
      <c r="A534" s="144">
        <v>45516</v>
      </c>
      <c r="B534" s="141">
        <f t="shared" si="17"/>
        <v>69790</v>
      </c>
      <c r="C534" s="141">
        <v>69825</v>
      </c>
      <c r="D534" s="142">
        <f t="shared" si="16"/>
        <v>35</v>
      </c>
      <c r="E534" s="141">
        <v>27903</v>
      </c>
      <c r="F534" s="141">
        <v>27945</v>
      </c>
      <c r="G534" s="142">
        <v>42</v>
      </c>
      <c r="H534" s="141">
        <v>531059</v>
      </c>
      <c r="I534" s="141">
        <v>531235</v>
      </c>
      <c r="J534" s="142">
        <v>176</v>
      </c>
      <c r="Q534" s="141">
        <v>25208</v>
      </c>
      <c r="R534" s="141">
        <v>25252</v>
      </c>
      <c r="S534" s="142">
        <v>44</v>
      </c>
      <c r="T534" s="141">
        <v>4799</v>
      </c>
      <c r="U534" s="141">
        <v>4802</v>
      </c>
      <c r="V534" s="142">
        <v>3</v>
      </c>
      <c r="W534" s="141">
        <v>3532</v>
      </c>
      <c r="X534" s="141">
        <v>3535</v>
      </c>
      <c r="Y534" s="142">
        <v>3</v>
      </c>
      <c r="Z534" s="141">
        <v>46784</v>
      </c>
      <c r="AA534" s="141">
        <v>46855</v>
      </c>
      <c r="AB534" s="142">
        <v>71</v>
      </c>
    </row>
    <row r="535" spans="1:28">
      <c r="A535" s="144">
        <v>45517</v>
      </c>
      <c r="B535" s="141">
        <f t="shared" si="17"/>
        <v>69825</v>
      </c>
      <c r="C535" s="141">
        <v>69896</v>
      </c>
      <c r="D535" s="142">
        <f t="shared" si="16"/>
        <v>71</v>
      </c>
      <c r="E535" s="141">
        <v>27945</v>
      </c>
      <c r="F535" s="141">
        <v>28145</v>
      </c>
      <c r="G535" s="142">
        <v>200</v>
      </c>
      <c r="H535" s="141">
        <v>531235</v>
      </c>
      <c r="I535" s="141">
        <v>531471</v>
      </c>
      <c r="J535" s="142">
        <v>236</v>
      </c>
      <c r="Q535" s="141">
        <v>25252</v>
      </c>
      <c r="R535" s="141">
        <v>25297</v>
      </c>
      <c r="S535" s="142">
        <v>45</v>
      </c>
      <c r="T535" s="141">
        <v>4802</v>
      </c>
      <c r="U535" s="141">
        <v>4805</v>
      </c>
      <c r="V535" s="142">
        <v>3</v>
      </c>
      <c r="W535" s="141">
        <v>3535</v>
      </c>
      <c r="X535" s="141">
        <v>3536</v>
      </c>
      <c r="Y535" s="142">
        <v>1</v>
      </c>
      <c r="Z535" s="141">
        <v>46855</v>
      </c>
      <c r="AA535" s="141">
        <v>47039</v>
      </c>
      <c r="AB535" s="142">
        <v>184</v>
      </c>
    </row>
    <row r="536" spans="1:28">
      <c r="A536" s="144">
        <v>45518</v>
      </c>
      <c r="B536" s="141">
        <f t="shared" si="17"/>
        <v>69896</v>
      </c>
      <c r="C536" s="141">
        <v>69982</v>
      </c>
      <c r="D536" s="142">
        <f t="shared" si="16"/>
        <v>86</v>
      </c>
      <c r="E536" s="141">
        <v>28145</v>
      </c>
      <c r="F536" s="141">
        <v>28231</v>
      </c>
      <c r="G536" s="142">
        <v>86</v>
      </c>
      <c r="H536" s="141">
        <v>531471</v>
      </c>
      <c r="I536" s="141">
        <v>531694</v>
      </c>
      <c r="J536" s="142">
        <v>223</v>
      </c>
      <c r="Q536" s="141">
        <v>25297</v>
      </c>
      <c r="R536" s="141">
        <v>25347</v>
      </c>
      <c r="S536" s="142">
        <v>50</v>
      </c>
      <c r="T536" s="141">
        <v>4805</v>
      </c>
      <c r="U536" s="141">
        <v>4808</v>
      </c>
      <c r="V536" s="142">
        <v>3</v>
      </c>
      <c r="W536" s="141">
        <v>3536</v>
      </c>
      <c r="X536" s="141">
        <v>3538</v>
      </c>
      <c r="Y536" s="142">
        <v>2</v>
      </c>
      <c r="Z536" s="141">
        <v>47039</v>
      </c>
      <c r="AA536" s="141">
        <v>47235</v>
      </c>
      <c r="AB536" s="142">
        <v>196</v>
      </c>
    </row>
    <row r="537" spans="1:28">
      <c r="A537" s="144">
        <v>45519</v>
      </c>
      <c r="B537" s="141">
        <f t="shared" si="17"/>
        <v>69982</v>
      </c>
      <c r="C537" s="141">
        <v>70052</v>
      </c>
      <c r="D537" s="142">
        <f t="shared" si="16"/>
        <v>70</v>
      </c>
      <c r="E537" s="141">
        <v>28231</v>
      </c>
      <c r="F537" s="141">
        <v>28304</v>
      </c>
      <c r="G537" s="142">
        <v>73</v>
      </c>
      <c r="H537" s="141">
        <v>531694</v>
      </c>
      <c r="I537" s="141">
        <v>531841</v>
      </c>
      <c r="J537" s="142">
        <v>147</v>
      </c>
      <c r="Q537" s="141">
        <v>25347</v>
      </c>
      <c r="R537" s="141">
        <v>25375</v>
      </c>
      <c r="S537" s="142">
        <v>28</v>
      </c>
      <c r="T537" s="141">
        <v>4808</v>
      </c>
      <c r="U537" s="141">
        <v>4812</v>
      </c>
      <c r="V537" s="142">
        <v>4</v>
      </c>
      <c r="W537" s="141">
        <v>3538</v>
      </c>
      <c r="X537" s="141">
        <v>3539</v>
      </c>
      <c r="Y537" s="142">
        <v>1</v>
      </c>
      <c r="Z537" s="141">
        <v>47235</v>
      </c>
      <c r="AA537" s="141">
        <v>47350</v>
      </c>
      <c r="AB537" s="142">
        <v>115</v>
      </c>
    </row>
    <row r="538" spans="1:28">
      <c r="A538" s="144">
        <v>45520</v>
      </c>
      <c r="B538" s="141">
        <f t="shared" si="17"/>
        <v>70052</v>
      </c>
      <c r="C538" s="141">
        <v>70133</v>
      </c>
      <c r="D538" s="142">
        <f t="shared" si="16"/>
        <v>81</v>
      </c>
      <c r="E538" s="141">
        <v>28304</v>
      </c>
      <c r="F538" s="141">
        <v>28407</v>
      </c>
      <c r="G538" s="142">
        <v>103</v>
      </c>
      <c r="H538" s="141">
        <v>531841</v>
      </c>
      <c r="I538" s="141">
        <v>532058</v>
      </c>
      <c r="J538" s="142">
        <v>217</v>
      </c>
      <c r="Q538" s="141">
        <v>25375</v>
      </c>
      <c r="R538" s="141">
        <v>25423</v>
      </c>
      <c r="S538" s="142">
        <v>48</v>
      </c>
      <c r="T538" s="141">
        <v>4812</v>
      </c>
      <c r="U538" s="141">
        <v>4815</v>
      </c>
      <c r="V538" s="142">
        <v>3</v>
      </c>
      <c r="W538" s="141">
        <v>3539</v>
      </c>
      <c r="X538" s="141">
        <v>3540</v>
      </c>
      <c r="Y538" s="142">
        <v>1</v>
      </c>
      <c r="Z538" s="141">
        <v>47350</v>
      </c>
      <c r="AA538" s="141">
        <v>47475</v>
      </c>
      <c r="AB538" s="142">
        <v>125</v>
      </c>
    </row>
    <row r="539" spans="1:28">
      <c r="A539" s="144">
        <v>45521</v>
      </c>
      <c r="B539" s="141">
        <f t="shared" si="17"/>
        <v>70133</v>
      </c>
      <c r="C539" s="141">
        <v>70198</v>
      </c>
      <c r="D539" s="142">
        <f t="shared" si="16"/>
        <v>65</v>
      </c>
      <c r="E539" s="141">
        <v>28407</v>
      </c>
      <c r="F539" s="141">
        <v>28491</v>
      </c>
      <c r="G539" s="142">
        <v>84</v>
      </c>
      <c r="H539" s="141">
        <v>532058</v>
      </c>
      <c r="I539" s="141">
        <v>532368</v>
      </c>
      <c r="J539" s="142">
        <v>310</v>
      </c>
      <c r="Q539" s="141">
        <v>25423</v>
      </c>
      <c r="R539" s="141">
        <v>25456</v>
      </c>
      <c r="S539" s="142">
        <v>33</v>
      </c>
      <c r="T539" s="141">
        <v>4815</v>
      </c>
      <c r="U539" s="141">
        <v>4817</v>
      </c>
      <c r="V539" s="142">
        <v>2</v>
      </c>
      <c r="W539" s="141">
        <v>3540</v>
      </c>
      <c r="X539" s="141">
        <v>3543</v>
      </c>
      <c r="Y539" s="142">
        <v>3</v>
      </c>
      <c r="Z539" s="141">
        <v>47475</v>
      </c>
      <c r="AA539" s="141">
        <v>47625</v>
      </c>
      <c r="AB539" s="142">
        <v>150</v>
      </c>
    </row>
    <row r="540" spans="1:28">
      <c r="A540" s="144">
        <v>45522</v>
      </c>
      <c r="B540" s="141">
        <f t="shared" si="17"/>
        <v>70198</v>
      </c>
      <c r="C540" s="141">
        <v>70254</v>
      </c>
      <c r="D540" s="142">
        <f t="shared" si="16"/>
        <v>56</v>
      </c>
      <c r="E540" s="141">
        <v>28491</v>
      </c>
      <c r="F540" s="141">
        <v>28571</v>
      </c>
      <c r="G540" s="142">
        <v>80</v>
      </c>
      <c r="H540" s="141">
        <v>532368</v>
      </c>
      <c r="I540" s="141">
        <v>532624</v>
      </c>
      <c r="J540" s="142">
        <v>256</v>
      </c>
      <c r="Q540" s="141">
        <v>25456</v>
      </c>
      <c r="R540" s="141">
        <v>25500</v>
      </c>
      <c r="S540" s="142">
        <v>44</v>
      </c>
      <c r="T540" s="141">
        <v>4817</v>
      </c>
      <c r="U540" s="141">
        <v>4819</v>
      </c>
      <c r="V540" s="142">
        <v>2</v>
      </c>
      <c r="W540" s="141">
        <v>3543</v>
      </c>
      <c r="X540" s="141">
        <v>3545</v>
      </c>
      <c r="Y540" s="142">
        <v>2</v>
      </c>
      <c r="Z540" s="141">
        <v>47625</v>
      </c>
      <c r="AA540" s="141">
        <v>47795</v>
      </c>
      <c r="AB540" s="142">
        <v>170</v>
      </c>
    </row>
    <row r="541" spans="1:28">
      <c r="A541" s="144">
        <v>45523</v>
      </c>
      <c r="B541" s="141">
        <f t="shared" si="17"/>
        <v>70254</v>
      </c>
      <c r="C541" s="141">
        <v>70324</v>
      </c>
      <c r="D541" s="142">
        <f t="shared" si="16"/>
        <v>70</v>
      </c>
      <c r="E541" s="141">
        <v>28571</v>
      </c>
      <c r="F541" s="141">
        <v>28662</v>
      </c>
      <c r="G541" s="142">
        <v>91</v>
      </c>
      <c r="H541" s="141">
        <v>532624</v>
      </c>
      <c r="I541" s="141">
        <v>532828</v>
      </c>
      <c r="J541" s="142">
        <v>204</v>
      </c>
      <c r="Q541" s="141">
        <v>25500</v>
      </c>
      <c r="R541" s="141">
        <v>25534</v>
      </c>
      <c r="S541" s="142">
        <v>34</v>
      </c>
      <c r="T541" s="141">
        <v>4819</v>
      </c>
      <c r="U541" s="141">
        <v>4825</v>
      </c>
      <c r="V541" s="142">
        <v>6</v>
      </c>
      <c r="W541" s="141">
        <v>3545</v>
      </c>
      <c r="X541" s="141">
        <v>3546</v>
      </c>
      <c r="Y541" s="142">
        <v>1</v>
      </c>
      <c r="Z541" s="141">
        <v>47795</v>
      </c>
      <c r="AA541" s="141">
        <v>47898</v>
      </c>
      <c r="AB541" s="142">
        <v>103</v>
      </c>
    </row>
    <row r="542" spans="1:28">
      <c r="A542" s="144">
        <v>45524</v>
      </c>
      <c r="B542" s="141">
        <f t="shared" si="17"/>
        <v>70324</v>
      </c>
      <c r="C542" s="141">
        <v>70398</v>
      </c>
      <c r="D542" s="142">
        <f t="shared" si="16"/>
        <v>74</v>
      </c>
      <c r="E542" s="141">
        <v>28662</v>
      </c>
      <c r="F542" s="141">
        <v>28750</v>
      </c>
      <c r="G542" s="142">
        <v>88</v>
      </c>
      <c r="H542" s="141">
        <v>532828</v>
      </c>
      <c r="I542" s="141">
        <v>533040</v>
      </c>
      <c r="J542" s="142">
        <v>212</v>
      </c>
      <c r="Q542" s="141">
        <v>25534</v>
      </c>
      <c r="R542" s="141">
        <v>25568</v>
      </c>
      <c r="S542" s="142">
        <v>34</v>
      </c>
      <c r="T542" s="141">
        <v>4825</v>
      </c>
      <c r="U542" s="141">
        <v>4829</v>
      </c>
      <c r="V542" s="142">
        <v>4</v>
      </c>
      <c r="W542" s="141">
        <v>3546</v>
      </c>
      <c r="X542" s="141">
        <v>3547</v>
      </c>
      <c r="Y542" s="142">
        <v>1</v>
      </c>
      <c r="Z542" s="141">
        <v>47898</v>
      </c>
      <c r="AA542" s="141">
        <v>47999</v>
      </c>
      <c r="AB542" s="142">
        <v>101</v>
      </c>
    </row>
    <row r="543" spans="1:28">
      <c r="A543" s="144">
        <v>45525</v>
      </c>
      <c r="B543" s="141">
        <f t="shared" si="17"/>
        <v>70398</v>
      </c>
      <c r="C543" s="141">
        <v>70462</v>
      </c>
      <c r="D543" s="142">
        <f t="shared" si="16"/>
        <v>64</v>
      </c>
      <c r="E543" s="141">
        <v>28750</v>
      </c>
      <c r="F543" s="141">
        <v>28863</v>
      </c>
      <c r="G543" s="142">
        <v>113</v>
      </c>
      <c r="H543" s="141">
        <v>533040</v>
      </c>
      <c r="I543" s="141">
        <v>533235</v>
      </c>
      <c r="J543" s="142">
        <v>195</v>
      </c>
      <c r="Q543" s="141">
        <v>25568</v>
      </c>
      <c r="R543" s="141">
        <v>25608</v>
      </c>
      <c r="S543" s="142">
        <v>40</v>
      </c>
      <c r="T543" s="141">
        <v>4829</v>
      </c>
      <c r="U543" s="141">
        <v>4835</v>
      </c>
      <c r="V543" s="142">
        <v>6</v>
      </c>
      <c r="W543" s="141">
        <v>3547</v>
      </c>
      <c r="X543" s="141">
        <v>3548</v>
      </c>
      <c r="Y543" s="142">
        <v>1</v>
      </c>
      <c r="Z543" s="141">
        <v>47999</v>
      </c>
      <c r="AA543" s="141">
        <v>48119</v>
      </c>
      <c r="AB543" s="142">
        <v>120</v>
      </c>
    </row>
    <row r="544" spans="1:28">
      <c r="A544" s="144">
        <v>45526</v>
      </c>
      <c r="B544" s="141">
        <f t="shared" si="17"/>
        <v>70462</v>
      </c>
      <c r="C544" s="141">
        <v>70560</v>
      </c>
      <c r="D544" s="142">
        <f t="shared" si="16"/>
        <v>98</v>
      </c>
      <c r="E544" s="141">
        <v>28863</v>
      </c>
      <c r="F544" s="141">
        <v>28951</v>
      </c>
      <c r="G544" s="142">
        <v>88</v>
      </c>
      <c r="H544" s="141">
        <v>533235</v>
      </c>
      <c r="I544" s="141">
        <v>533458</v>
      </c>
      <c r="J544" s="142">
        <v>223</v>
      </c>
      <c r="Q544" s="141">
        <v>25608</v>
      </c>
      <c r="R544" s="141">
        <v>25642</v>
      </c>
      <c r="S544" s="142">
        <v>34</v>
      </c>
      <c r="T544" s="141">
        <v>4835</v>
      </c>
      <c r="U544" s="141">
        <v>4839</v>
      </c>
      <c r="V544" s="142">
        <v>4</v>
      </c>
      <c r="W544" s="141">
        <v>3548</v>
      </c>
      <c r="X544" s="141">
        <v>3549</v>
      </c>
      <c r="Y544" s="142">
        <v>1</v>
      </c>
      <c r="Z544" s="141">
        <v>48119</v>
      </c>
      <c r="AA544" s="141">
        <v>48220</v>
      </c>
      <c r="AB544" s="142">
        <v>101</v>
      </c>
    </row>
    <row r="545" spans="1:28">
      <c r="A545" s="144">
        <v>45527</v>
      </c>
      <c r="B545" s="141">
        <f t="shared" si="17"/>
        <v>70560</v>
      </c>
      <c r="C545" s="141">
        <v>70630</v>
      </c>
      <c r="D545" s="142">
        <f t="shared" si="16"/>
        <v>70</v>
      </c>
      <c r="E545" s="141">
        <v>28951</v>
      </c>
      <c r="F545" s="141">
        <v>29000</v>
      </c>
      <c r="G545" s="142">
        <v>49</v>
      </c>
      <c r="H545" s="141">
        <v>533458</v>
      </c>
      <c r="I545" s="141">
        <v>533675</v>
      </c>
      <c r="J545" s="142">
        <v>217</v>
      </c>
      <c r="Q545" s="141">
        <v>25642</v>
      </c>
      <c r="R545" s="141">
        <v>25678</v>
      </c>
      <c r="S545" s="142">
        <v>36</v>
      </c>
      <c r="T545" s="141">
        <v>4839</v>
      </c>
      <c r="U545" s="141">
        <v>4842</v>
      </c>
      <c r="V545" s="142">
        <v>3</v>
      </c>
      <c r="W545" s="141">
        <v>3549</v>
      </c>
      <c r="X545" s="141">
        <v>3551</v>
      </c>
      <c r="Y545" s="142">
        <v>2</v>
      </c>
      <c r="Z545" s="141">
        <v>48220</v>
      </c>
      <c r="AA545" s="141">
        <v>48300</v>
      </c>
      <c r="AB545" s="142">
        <v>80</v>
      </c>
    </row>
    <row r="546" spans="1:28">
      <c r="A546" s="144">
        <v>45528</v>
      </c>
      <c r="B546" s="141">
        <f t="shared" si="17"/>
        <v>70630</v>
      </c>
      <c r="C546" s="141">
        <v>70695</v>
      </c>
      <c r="D546" s="142">
        <f t="shared" si="16"/>
        <v>65</v>
      </c>
      <c r="E546" s="141">
        <v>29000</v>
      </c>
      <c r="F546" s="141">
        <v>29091</v>
      </c>
      <c r="G546" s="142">
        <v>91</v>
      </c>
      <c r="H546" s="141">
        <v>533675</v>
      </c>
      <c r="I546" s="141">
        <v>533854</v>
      </c>
      <c r="J546" s="142">
        <v>179</v>
      </c>
      <c r="Q546" s="141">
        <v>25678</v>
      </c>
      <c r="R546" s="141">
        <v>25712</v>
      </c>
      <c r="S546" s="142">
        <v>34</v>
      </c>
      <c r="T546" s="141">
        <v>4842</v>
      </c>
      <c r="U546" s="141">
        <v>4847</v>
      </c>
      <c r="V546" s="142">
        <v>5</v>
      </c>
      <c r="W546" s="141">
        <v>3551</v>
      </c>
      <c r="X546" s="141">
        <v>3552</v>
      </c>
      <c r="Y546" s="142">
        <v>1</v>
      </c>
      <c r="Z546" s="141">
        <v>48300</v>
      </c>
      <c r="AA546" s="141">
        <v>48390</v>
      </c>
      <c r="AB546" s="142">
        <v>90</v>
      </c>
    </row>
    <row r="547" spans="1:28">
      <c r="A547" s="144">
        <v>45529</v>
      </c>
      <c r="B547" s="141">
        <f t="shared" si="17"/>
        <v>70695</v>
      </c>
      <c r="C547" s="141">
        <v>70749</v>
      </c>
      <c r="D547" s="142">
        <f t="shared" si="16"/>
        <v>54</v>
      </c>
      <c r="E547" s="141">
        <v>29091</v>
      </c>
      <c r="F547" s="141">
        <v>29128</v>
      </c>
      <c r="G547" s="142">
        <v>37</v>
      </c>
      <c r="H547" s="141">
        <v>533854</v>
      </c>
      <c r="I547" s="141">
        <v>533987</v>
      </c>
      <c r="J547" s="142">
        <v>133</v>
      </c>
      <c r="Q547" s="141">
        <v>25712</v>
      </c>
      <c r="R547" s="141">
        <v>25742</v>
      </c>
      <c r="S547" s="142">
        <v>30</v>
      </c>
      <c r="T547" s="141">
        <v>4847</v>
      </c>
      <c r="U547" s="141">
        <v>4852</v>
      </c>
      <c r="V547" s="142">
        <v>5</v>
      </c>
      <c r="W547" s="141">
        <v>3552</v>
      </c>
      <c r="X547" s="141">
        <v>3554</v>
      </c>
      <c r="Y547" s="142">
        <v>2</v>
      </c>
      <c r="Z547" s="141">
        <v>48390</v>
      </c>
      <c r="AA547" s="141">
        <v>48450</v>
      </c>
      <c r="AB547" s="142">
        <v>60</v>
      </c>
    </row>
    <row r="548" spans="1:28">
      <c r="A548" s="144">
        <v>45530</v>
      </c>
      <c r="B548" s="141">
        <f t="shared" si="17"/>
        <v>70749</v>
      </c>
      <c r="C548" s="141">
        <v>70801</v>
      </c>
      <c r="D548" s="142">
        <f t="shared" si="16"/>
        <v>52</v>
      </c>
      <c r="E548" s="141">
        <v>29128</v>
      </c>
      <c r="F548" s="141">
        <v>29152</v>
      </c>
      <c r="G548" s="142">
        <v>24</v>
      </c>
      <c r="H548" s="141">
        <v>533987</v>
      </c>
      <c r="I548" s="141">
        <v>534147</v>
      </c>
      <c r="J548" s="142">
        <v>160</v>
      </c>
      <c r="Q548" s="141">
        <v>25742</v>
      </c>
      <c r="R548" s="141">
        <v>25781</v>
      </c>
      <c r="S548" s="142">
        <v>39</v>
      </c>
      <c r="T548" s="141">
        <v>4852</v>
      </c>
      <c r="U548" s="141">
        <v>4855</v>
      </c>
      <c r="V548" s="142">
        <v>3</v>
      </c>
      <c r="W548" s="141">
        <v>3554</v>
      </c>
      <c r="X548" s="141">
        <v>3556</v>
      </c>
      <c r="Y548" s="142">
        <v>2</v>
      </c>
      <c r="Z548" s="141">
        <v>48450</v>
      </c>
      <c r="AA548" s="141">
        <v>48517</v>
      </c>
      <c r="AB548" s="142">
        <v>67</v>
      </c>
    </row>
    <row r="549" spans="1:28">
      <c r="A549" s="144">
        <v>45531</v>
      </c>
      <c r="B549" s="141">
        <f t="shared" si="17"/>
        <v>70801</v>
      </c>
      <c r="C549" s="141">
        <v>70862</v>
      </c>
      <c r="D549" s="142">
        <f t="shared" si="16"/>
        <v>61</v>
      </c>
      <c r="E549" s="141">
        <v>29152</v>
      </c>
      <c r="F549" s="141">
        <v>29189</v>
      </c>
      <c r="G549" s="142">
        <v>37</v>
      </c>
      <c r="H549" s="141">
        <v>534147</v>
      </c>
      <c r="I549" s="141">
        <v>534309</v>
      </c>
      <c r="J549" s="142">
        <v>162</v>
      </c>
      <c r="Q549" s="141">
        <v>25781</v>
      </c>
      <c r="R549" s="141">
        <v>25825</v>
      </c>
      <c r="S549" s="142">
        <v>44</v>
      </c>
      <c r="T549" s="141">
        <v>4855</v>
      </c>
      <c r="U549" s="141">
        <v>4860</v>
      </c>
      <c r="V549" s="142">
        <v>5</v>
      </c>
      <c r="W549" s="141">
        <v>3556</v>
      </c>
      <c r="X549" s="141">
        <v>3559</v>
      </c>
      <c r="Y549" s="142">
        <v>3</v>
      </c>
      <c r="Z549" s="141">
        <v>48517</v>
      </c>
      <c r="AA549" s="141">
        <v>48589</v>
      </c>
      <c r="AB549" s="142">
        <v>72</v>
      </c>
    </row>
    <row r="550" spans="1:28">
      <c r="A550" s="144">
        <v>45532</v>
      </c>
      <c r="B550" s="141">
        <f t="shared" si="17"/>
        <v>70862</v>
      </c>
      <c r="C550" s="141">
        <v>70921</v>
      </c>
      <c r="D550" s="142">
        <f t="shared" si="16"/>
        <v>59</v>
      </c>
      <c r="E550" s="141">
        <v>29189</v>
      </c>
      <c r="F550" s="141">
        <v>29230</v>
      </c>
      <c r="G550" s="142">
        <v>41</v>
      </c>
      <c r="H550" s="141">
        <v>534309</v>
      </c>
      <c r="I550" s="141">
        <v>534575</v>
      </c>
      <c r="J550" s="142">
        <v>266</v>
      </c>
      <c r="Q550" s="141">
        <v>25825</v>
      </c>
      <c r="R550" s="141">
        <v>25870</v>
      </c>
      <c r="S550" s="142">
        <v>45</v>
      </c>
      <c r="T550" s="141">
        <v>4860</v>
      </c>
      <c r="U550" s="141">
        <v>4865</v>
      </c>
      <c r="V550" s="142">
        <v>5</v>
      </c>
      <c r="W550" s="141">
        <v>3559</v>
      </c>
      <c r="X550" s="141">
        <v>3562</v>
      </c>
      <c r="Y550" s="142">
        <v>3</v>
      </c>
      <c r="Z550" s="141">
        <v>48589</v>
      </c>
      <c r="AA550" s="141">
        <v>48728</v>
      </c>
      <c r="AB550" s="142">
        <v>139</v>
      </c>
    </row>
    <row r="551" spans="1:28">
      <c r="A551" s="144">
        <v>45533</v>
      </c>
      <c r="B551" s="141">
        <f t="shared" si="17"/>
        <v>70921</v>
      </c>
      <c r="C551" s="141">
        <v>70991</v>
      </c>
      <c r="D551" s="142">
        <f t="shared" si="16"/>
        <v>70</v>
      </c>
      <c r="E551" s="141">
        <v>29230</v>
      </c>
      <c r="F551" s="141">
        <v>29284</v>
      </c>
      <c r="G551" s="142">
        <v>54</v>
      </c>
      <c r="H551" s="141">
        <v>534575</v>
      </c>
      <c r="I551" s="141">
        <v>534793</v>
      </c>
      <c r="J551" s="142">
        <v>218</v>
      </c>
      <c r="Q551" s="141">
        <v>25870</v>
      </c>
      <c r="R551" s="141">
        <v>25925</v>
      </c>
      <c r="S551" s="142">
        <v>55</v>
      </c>
      <c r="T551" s="141">
        <v>4865</v>
      </c>
      <c r="U551" s="141">
        <v>4869</v>
      </c>
      <c r="V551" s="142">
        <v>4</v>
      </c>
      <c r="W551" s="141">
        <v>3562</v>
      </c>
      <c r="X551" s="141">
        <v>3565</v>
      </c>
      <c r="Y551" s="142">
        <v>3</v>
      </c>
      <c r="Z551" s="141">
        <v>48728</v>
      </c>
      <c r="AA551" s="141">
        <v>48819</v>
      </c>
      <c r="AB551" s="142">
        <v>91</v>
      </c>
    </row>
    <row r="552" spans="1:28">
      <c r="A552" s="144">
        <v>45534</v>
      </c>
      <c r="B552" s="141">
        <f t="shared" si="17"/>
        <v>70991</v>
      </c>
      <c r="C552" s="141">
        <v>71054</v>
      </c>
      <c r="D552" s="142">
        <v>63</v>
      </c>
      <c r="E552" s="141">
        <v>29284</v>
      </c>
      <c r="F552" s="141">
        <v>29350</v>
      </c>
      <c r="G552" s="142">
        <v>66</v>
      </c>
      <c r="H552" s="141">
        <v>534793</v>
      </c>
      <c r="I552" s="141">
        <v>534953</v>
      </c>
      <c r="J552" s="142">
        <v>160</v>
      </c>
      <c r="Q552" s="141">
        <v>25925</v>
      </c>
      <c r="R552" s="141">
        <v>25964</v>
      </c>
      <c r="S552" s="142">
        <v>39</v>
      </c>
      <c r="T552" s="141">
        <v>4869</v>
      </c>
      <c r="U552" s="141">
        <v>4872</v>
      </c>
      <c r="V552" s="142">
        <v>3</v>
      </c>
      <c r="W552" s="141">
        <v>3565</v>
      </c>
      <c r="X552" s="141">
        <v>3567</v>
      </c>
      <c r="Y552" s="142">
        <v>2</v>
      </c>
      <c r="Z552" s="141">
        <v>48819</v>
      </c>
      <c r="AA552" s="141">
        <v>48855</v>
      </c>
      <c r="AB552" s="142">
        <v>36</v>
      </c>
    </row>
    <row r="553" spans="1:28">
      <c r="A553" s="144">
        <v>45535</v>
      </c>
      <c r="B553" s="141">
        <f t="shared" si="17"/>
        <v>71054</v>
      </c>
      <c r="C553" s="141">
        <v>71122</v>
      </c>
      <c r="D553" s="142">
        <f t="shared" ref="D553:D584" si="18">C553-B553</f>
        <v>68</v>
      </c>
      <c r="E553" s="141">
        <v>29350</v>
      </c>
      <c r="F553" s="141">
        <v>29389</v>
      </c>
      <c r="G553" s="142">
        <v>39</v>
      </c>
      <c r="H553" s="141">
        <v>534953</v>
      </c>
      <c r="I553" s="141">
        <v>535151</v>
      </c>
      <c r="J553" s="142">
        <v>198</v>
      </c>
      <c r="Q553" s="141">
        <v>25964</v>
      </c>
      <c r="R553" s="141">
        <v>26004</v>
      </c>
      <c r="S553" s="142">
        <v>40</v>
      </c>
      <c r="T553" s="141">
        <v>4872</v>
      </c>
      <c r="U553" s="141">
        <v>4875</v>
      </c>
      <c r="V553" s="142">
        <v>3</v>
      </c>
      <c r="W553" s="141">
        <v>3567</v>
      </c>
      <c r="X553" s="141">
        <v>3569</v>
      </c>
      <c r="Y553" s="142">
        <v>2</v>
      </c>
      <c r="Z553" s="141">
        <v>48855</v>
      </c>
      <c r="AA553" s="141">
        <v>48890</v>
      </c>
      <c r="AB553" s="142">
        <v>35</v>
      </c>
    </row>
    <row r="554" spans="1:28">
      <c r="A554" s="144">
        <v>45536</v>
      </c>
      <c r="B554" s="141">
        <f t="shared" si="17"/>
        <v>71122</v>
      </c>
      <c r="C554" s="141">
        <v>71205</v>
      </c>
      <c r="D554" s="142">
        <f t="shared" si="18"/>
        <v>83</v>
      </c>
      <c r="E554" s="141">
        <v>29389</v>
      </c>
      <c r="F554" s="141">
        <v>29427</v>
      </c>
      <c r="G554" s="142">
        <v>38</v>
      </c>
      <c r="H554" s="141">
        <v>535151</v>
      </c>
      <c r="I554" s="141">
        <v>535314</v>
      </c>
      <c r="J554" s="142">
        <v>163</v>
      </c>
      <c r="Q554" s="141">
        <v>26004</v>
      </c>
      <c r="R554" s="141">
        <v>26054</v>
      </c>
      <c r="S554" s="142">
        <v>50</v>
      </c>
      <c r="T554" s="141">
        <v>4875</v>
      </c>
      <c r="U554" s="141">
        <v>4879</v>
      </c>
      <c r="V554" s="142">
        <v>4</v>
      </c>
      <c r="W554" s="141">
        <v>3569</v>
      </c>
      <c r="X554" s="141">
        <v>3570</v>
      </c>
      <c r="Y554" s="142">
        <v>1</v>
      </c>
      <c r="Z554" s="141">
        <v>48890</v>
      </c>
      <c r="AA554" s="141">
        <v>48948</v>
      </c>
      <c r="AB554" s="142">
        <v>58</v>
      </c>
    </row>
    <row r="555" spans="1:28">
      <c r="A555" s="144">
        <v>45537</v>
      </c>
      <c r="B555" s="141">
        <f t="shared" si="17"/>
        <v>71205</v>
      </c>
      <c r="C555" s="141">
        <v>71255</v>
      </c>
      <c r="D555" s="142">
        <f t="shared" si="18"/>
        <v>50</v>
      </c>
      <c r="E555" s="141">
        <v>29427</v>
      </c>
      <c r="F555" s="141">
        <v>29481</v>
      </c>
      <c r="G555" s="142">
        <v>54</v>
      </c>
      <c r="H555" s="141">
        <v>535314</v>
      </c>
      <c r="I555" s="141">
        <v>535551</v>
      </c>
      <c r="J555" s="142">
        <v>237</v>
      </c>
      <c r="Q555" s="141">
        <v>26054</v>
      </c>
      <c r="R555" s="141">
        <v>26085</v>
      </c>
      <c r="S555" s="142">
        <v>31</v>
      </c>
      <c r="T555" s="141">
        <v>4879</v>
      </c>
      <c r="U555" s="141">
        <v>4883</v>
      </c>
      <c r="V555" s="142">
        <v>4</v>
      </c>
      <c r="W555" s="141">
        <v>3570</v>
      </c>
      <c r="X555" s="141">
        <v>3571</v>
      </c>
      <c r="Y555" s="142">
        <v>1</v>
      </c>
      <c r="Z555" s="141">
        <v>48948</v>
      </c>
      <c r="AA555" s="141">
        <v>49029</v>
      </c>
      <c r="AB555" s="142">
        <v>81</v>
      </c>
    </row>
    <row r="556" spans="1:28">
      <c r="A556" s="144">
        <v>45538</v>
      </c>
      <c r="B556" s="141">
        <f t="shared" si="17"/>
        <v>71255</v>
      </c>
      <c r="C556" s="141">
        <v>71349</v>
      </c>
      <c r="D556" s="142">
        <f t="shared" si="18"/>
        <v>94</v>
      </c>
      <c r="E556" s="141">
        <v>29481</v>
      </c>
      <c r="F556" s="141">
        <v>29537</v>
      </c>
      <c r="G556" s="142">
        <v>56</v>
      </c>
      <c r="H556" s="141">
        <v>535551</v>
      </c>
      <c r="I556" s="141">
        <v>535706</v>
      </c>
      <c r="J556" s="142">
        <v>155</v>
      </c>
      <c r="Q556" s="141">
        <v>26085</v>
      </c>
      <c r="R556" s="141">
        <v>26130</v>
      </c>
      <c r="S556" s="142">
        <v>45</v>
      </c>
      <c r="T556" s="141">
        <v>4883</v>
      </c>
      <c r="U556" s="141">
        <v>4887</v>
      </c>
      <c r="V556" s="142">
        <v>4</v>
      </c>
      <c r="W556" s="141">
        <v>3571</v>
      </c>
      <c r="X556" s="141">
        <v>3573</v>
      </c>
      <c r="Y556" s="142">
        <v>2</v>
      </c>
      <c r="Z556" s="141">
        <v>49029</v>
      </c>
      <c r="AA556" s="141">
        <v>49144</v>
      </c>
      <c r="AB556" s="142">
        <v>115</v>
      </c>
    </row>
    <row r="557" spans="1:28">
      <c r="A557" s="144">
        <v>45539</v>
      </c>
      <c r="B557" s="141">
        <f t="shared" si="17"/>
        <v>71349</v>
      </c>
      <c r="C557" s="141">
        <v>71421</v>
      </c>
      <c r="D557" s="142">
        <f t="shared" si="18"/>
        <v>72</v>
      </c>
      <c r="E557" s="141">
        <v>29537</v>
      </c>
      <c r="F557" s="141">
        <v>29591</v>
      </c>
      <c r="G557" s="142">
        <v>54</v>
      </c>
      <c r="H557" s="141">
        <v>535706</v>
      </c>
      <c r="I557" s="141">
        <v>535912</v>
      </c>
      <c r="J557" s="142">
        <v>206</v>
      </c>
      <c r="Q557" s="141">
        <v>26130</v>
      </c>
      <c r="R557" s="141">
        <v>26167</v>
      </c>
      <c r="S557" s="142">
        <v>37</v>
      </c>
      <c r="T557" s="141">
        <v>4887</v>
      </c>
      <c r="U557" s="141">
        <v>4890</v>
      </c>
      <c r="V557" s="142">
        <v>3</v>
      </c>
      <c r="W557" s="141">
        <v>3573</v>
      </c>
      <c r="X557" s="141">
        <v>3576</v>
      </c>
      <c r="Y557" s="142">
        <v>3</v>
      </c>
      <c r="Z557" s="141">
        <v>49144</v>
      </c>
      <c r="AA557" s="141">
        <v>49248</v>
      </c>
      <c r="AB557" s="142">
        <v>104</v>
      </c>
    </row>
    <row r="558" spans="1:28">
      <c r="A558" s="144">
        <v>45540</v>
      </c>
      <c r="B558" s="141">
        <f t="shared" si="17"/>
        <v>71421</v>
      </c>
      <c r="C558" s="141">
        <v>71463</v>
      </c>
      <c r="D558" s="142">
        <f t="shared" si="18"/>
        <v>42</v>
      </c>
      <c r="E558" s="141">
        <v>29591</v>
      </c>
      <c r="F558" s="141">
        <v>29644</v>
      </c>
      <c r="G558" s="142">
        <v>53</v>
      </c>
      <c r="H558" s="141">
        <v>535912</v>
      </c>
      <c r="I558" s="141">
        <v>536112</v>
      </c>
      <c r="J558" s="142">
        <v>200</v>
      </c>
      <c r="Q558" s="141">
        <v>26167</v>
      </c>
      <c r="R558" s="141">
        <v>26224</v>
      </c>
      <c r="S558" s="142">
        <v>57</v>
      </c>
      <c r="T558" s="141">
        <v>4890</v>
      </c>
      <c r="U558" s="141">
        <v>4895</v>
      </c>
      <c r="V558" s="142">
        <v>5</v>
      </c>
      <c r="W558" s="141">
        <v>3576</v>
      </c>
      <c r="X558" s="141">
        <v>3578</v>
      </c>
      <c r="Y558" s="142">
        <v>2</v>
      </c>
      <c r="Z558" s="141">
        <v>49248</v>
      </c>
      <c r="AA558" s="141">
        <v>49302</v>
      </c>
      <c r="AB558" s="142">
        <v>54</v>
      </c>
    </row>
    <row r="559" spans="1:28">
      <c r="A559" s="144">
        <v>45541</v>
      </c>
      <c r="B559" s="141">
        <f t="shared" si="17"/>
        <v>71463</v>
      </c>
      <c r="C559" s="141">
        <v>71503</v>
      </c>
      <c r="D559" s="142">
        <f t="shared" si="18"/>
        <v>40</v>
      </c>
      <c r="E559" s="141">
        <v>29644</v>
      </c>
      <c r="F559" s="141">
        <v>29670</v>
      </c>
      <c r="G559" s="142">
        <v>26</v>
      </c>
      <c r="H559" s="141">
        <v>536112</v>
      </c>
      <c r="I559" s="141">
        <v>536260</v>
      </c>
      <c r="J559" s="142">
        <v>148</v>
      </c>
      <c r="Q559" s="141">
        <v>26224</v>
      </c>
      <c r="R559" s="141">
        <v>26265</v>
      </c>
      <c r="S559" s="142">
        <v>41</v>
      </c>
      <c r="T559" s="141">
        <v>4895</v>
      </c>
      <c r="U559" s="141">
        <v>4902</v>
      </c>
      <c r="V559" s="142">
        <v>7</v>
      </c>
      <c r="W559" s="141">
        <v>3578</v>
      </c>
      <c r="X559" s="141">
        <v>3579</v>
      </c>
      <c r="Y559" s="142">
        <v>1</v>
      </c>
      <c r="Z559" s="141">
        <v>49302</v>
      </c>
      <c r="AA559" s="141">
        <v>49359</v>
      </c>
      <c r="AB559" s="142">
        <v>57</v>
      </c>
    </row>
    <row r="560" spans="1:28">
      <c r="A560" s="144">
        <v>45542</v>
      </c>
      <c r="B560" s="141">
        <f t="shared" si="17"/>
        <v>71503</v>
      </c>
      <c r="C560" s="141">
        <v>71557</v>
      </c>
      <c r="D560" s="142">
        <f t="shared" si="18"/>
        <v>54</v>
      </c>
      <c r="E560" s="141">
        <v>29670</v>
      </c>
      <c r="F560" s="141">
        <v>29703</v>
      </c>
      <c r="G560" s="142">
        <v>33</v>
      </c>
      <c r="H560" s="141">
        <v>536260</v>
      </c>
      <c r="I560" s="141">
        <v>536360</v>
      </c>
      <c r="J560" s="142">
        <v>100</v>
      </c>
      <c r="Q560" s="141">
        <v>26265</v>
      </c>
      <c r="R560" s="141">
        <v>26299</v>
      </c>
      <c r="S560" s="142">
        <v>34</v>
      </c>
      <c r="T560" s="141">
        <v>4902</v>
      </c>
      <c r="U560" s="141">
        <v>4905</v>
      </c>
      <c r="V560" s="142">
        <v>3</v>
      </c>
      <c r="W560" s="141">
        <v>3579</v>
      </c>
      <c r="X560" s="141">
        <v>3580</v>
      </c>
      <c r="Y560" s="142">
        <v>1</v>
      </c>
      <c r="Z560" s="141">
        <v>49359</v>
      </c>
      <c r="AA560" s="141">
        <v>49405</v>
      </c>
      <c r="AB560" s="142">
        <v>46</v>
      </c>
    </row>
    <row r="561" spans="1:28">
      <c r="A561" s="144">
        <v>45543</v>
      </c>
      <c r="B561" s="141">
        <f t="shared" si="17"/>
        <v>71557</v>
      </c>
      <c r="C561" s="141">
        <v>71596</v>
      </c>
      <c r="D561" s="142">
        <f t="shared" si="18"/>
        <v>39</v>
      </c>
      <c r="E561" s="141">
        <v>29703</v>
      </c>
      <c r="F561" s="141">
        <v>29776</v>
      </c>
      <c r="G561" s="142">
        <v>73</v>
      </c>
      <c r="H561" s="141">
        <v>536360</v>
      </c>
      <c r="I561" s="141">
        <v>536519</v>
      </c>
      <c r="J561" s="142">
        <v>159</v>
      </c>
      <c r="Q561" s="141">
        <v>26299</v>
      </c>
      <c r="R561" s="141">
        <v>26330</v>
      </c>
      <c r="S561" s="142">
        <v>31</v>
      </c>
      <c r="T561" s="141">
        <v>4905</v>
      </c>
      <c r="U561" s="141">
        <v>4909</v>
      </c>
      <c r="V561" s="142">
        <v>4</v>
      </c>
      <c r="W561" s="141">
        <v>3580</v>
      </c>
      <c r="X561" s="141">
        <v>3583</v>
      </c>
      <c r="Y561" s="142">
        <v>3</v>
      </c>
      <c r="Z561" s="141">
        <v>49405</v>
      </c>
      <c r="AA561" s="141">
        <v>49506</v>
      </c>
      <c r="AB561" s="142">
        <v>101</v>
      </c>
    </row>
    <row r="562" spans="1:28">
      <c r="A562" s="144">
        <v>45544</v>
      </c>
      <c r="B562" s="141">
        <f t="shared" si="17"/>
        <v>71596</v>
      </c>
      <c r="C562" s="141">
        <v>71670</v>
      </c>
      <c r="D562" s="142">
        <f t="shared" si="18"/>
        <v>74</v>
      </c>
      <c r="E562" s="141">
        <v>29776</v>
      </c>
      <c r="F562" s="141">
        <v>29926</v>
      </c>
      <c r="G562" s="142">
        <v>150</v>
      </c>
      <c r="H562" s="141">
        <v>536519</v>
      </c>
      <c r="I562" s="141">
        <v>536744</v>
      </c>
      <c r="J562" s="142">
        <v>225</v>
      </c>
      <c r="Q562" s="141">
        <v>26330</v>
      </c>
      <c r="R562" s="141">
        <v>26385</v>
      </c>
      <c r="S562" s="142">
        <v>55</v>
      </c>
      <c r="T562" s="141">
        <v>4909</v>
      </c>
      <c r="U562" s="141">
        <v>4913</v>
      </c>
      <c r="V562" s="142">
        <v>4</v>
      </c>
      <c r="W562" s="141">
        <v>3583</v>
      </c>
      <c r="X562" s="141">
        <v>3584</v>
      </c>
      <c r="Y562" s="142">
        <v>1</v>
      </c>
      <c r="Z562" s="141">
        <v>49506</v>
      </c>
      <c r="AA562" s="141">
        <v>49677</v>
      </c>
      <c r="AB562" s="142">
        <v>171</v>
      </c>
    </row>
    <row r="563" spans="1:28">
      <c r="A563" s="144">
        <v>45545</v>
      </c>
      <c r="B563" s="141">
        <f t="shared" si="17"/>
        <v>71670</v>
      </c>
      <c r="C563" s="141">
        <v>71736</v>
      </c>
      <c r="D563" s="142">
        <f t="shared" si="18"/>
        <v>66</v>
      </c>
      <c r="E563" s="141">
        <v>29926</v>
      </c>
      <c r="F563" s="141">
        <v>30048</v>
      </c>
      <c r="G563" s="142">
        <v>122</v>
      </c>
      <c r="H563" s="141">
        <v>536744</v>
      </c>
      <c r="I563" s="141">
        <v>536939</v>
      </c>
      <c r="J563" s="142">
        <v>195</v>
      </c>
      <c r="Q563" s="141">
        <v>26385</v>
      </c>
      <c r="R563" s="141">
        <v>26423</v>
      </c>
      <c r="S563" s="142">
        <v>38</v>
      </c>
      <c r="T563" s="141">
        <v>4913</v>
      </c>
      <c r="U563" s="141">
        <v>4915</v>
      </c>
      <c r="V563" s="142">
        <v>2</v>
      </c>
      <c r="W563" s="141">
        <v>3584</v>
      </c>
      <c r="X563" s="141">
        <v>3586</v>
      </c>
      <c r="Y563" s="142">
        <v>2</v>
      </c>
      <c r="Z563" s="141">
        <v>49677</v>
      </c>
      <c r="AA563" s="141">
        <v>49799</v>
      </c>
      <c r="AB563" s="142">
        <v>122</v>
      </c>
    </row>
    <row r="564" spans="1:28">
      <c r="A564" s="144">
        <v>45546</v>
      </c>
      <c r="B564" s="141">
        <f t="shared" si="17"/>
        <v>71736</v>
      </c>
      <c r="C564" s="141">
        <v>71820</v>
      </c>
      <c r="D564" s="142">
        <f t="shared" si="18"/>
        <v>84</v>
      </c>
      <c r="E564" s="141">
        <v>30048</v>
      </c>
      <c r="F564" s="141">
        <v>30120</v>
      </c>
      <c r="G564" s="142">
        <v>72</v>
      </c>
      <c r="H564" s="141">
        <v>536939</v>
      </c>
      <c r="I564" s="141">
        <v>537137</v>
      </c>
      <c r="J564" s="142">
        <v>198</v>
      </c>
      <c r="Q564" s="141">
        <v>26423</v>
      </c>
      <c r="R564" s="141">
        <v>26480</v>
      </c>
      <c r="S564" s="142">
        <v>57</v>
      </c>
      <c r="T564" s="141">
        <v>4915</v>
      </c>
      <c r="U564" s="141">
        <v>4922</v>
      </c>
      <c r="V564" s="142">
        <v>7</v>
      </c>
      <c r="W564" s="141">
        <v>3586</v>
      </c>
      <c r="X564" s="141">
        <v>3588</v>
      </c>
      <c r="Y564" s="142">
        <v>2</v>
      </c>
      <c r="Z564" s="141">
        <v>49799</v>
      </c>
      <c r="AA564" s="141">
        <v>49855</v>
      </c>
      <c r="AB564" s="142">
        <v>56</v>
      </c>
    </row>
    <row r="565" spans="1:28">
      <c r="A565" s="144">
        <v>45547</v>
      </c>
      <c r="B565" s="141">
        <f t="shared" si="17"/>
        <v>71820</v>
      </c>
      <c r="C565" s="141">
        <v>71851</v>
      </c>
      <c r="D565" s="142">
        <f t="shared" si="18"/>
        <v>31</v>
      </c>
      <c r="E565" s="141">
        <v>30120</v>
      </c>
      <c r="F565" s="141">
        <v>30170</v>
      </c>
      <c r="G565" s="142">
        <v>50</v>
      </c>
      <c r="H565" s="141">
        <v>537137</v>
      </c>
      <c r="I565" s="141">
        <v>537310</v>
      </c>
      <c r="J565" s="142">
        <v>173</v>
      </c>
      <c r="Q565" s="141">
        <v>26480</v>
      </c>
      <c r="R565" s="141">
        <v>26521</v>
      </c>
      <c r="S565" s="142">
        <v>41</v>
      </c>
      <c r="T565" s="141">
        <v>4922</v>
      </c>
      <c r="U565" s="141">
        <v>4926</v>
      </c>
      <c r="V565" s="142">
        <v>4</v>
      </c>
      <c r="W565" s="141">
        <v>3588</v>
      </c>
      <c r="X565" s="141">
        <v>3591</v>
      </c>
      <c r="Y565" s="142">
        <v>3</v>
      </c>
      <c r="Z565" s="141">
        <v>49855</v>
      </c>
      <c r="AA565" s="141">
        <v>49945</v>
      </c>
      <c r="AB565" s="142">
        <v>90</v>
      </c>
    </row>
    <row r="566" spans="1:28">
      <c r="A566" s="144">
        <v>45548</v>
      </c>
      <c r="B566" s="141">
        <f t="shared" si="17"/>
        <v>71851</v>
      </c>
      <c r="C566" s="141">
        <v>71933</v>
      </c>
      <c r="D566" s="142">
        <f t="shared" si="18"/>
        <v>82</v>
      </c>
      <c r="E566" s="141">
        <v>30170</v>
      </c>
      <c r="F566" s="141">
        <v>30226</v>
      </c>
      <c r="G566" s="142">
        <v>56</v>
      </c>
      <c r="H566" s="141">
        <v>537310</v>
      </c>
      <c r="I566" s="141">
        <v>537550</v>
      </c>
      <c r="J566" s="142">
        <v>240</v>
      </c>
      <c r="Q566" s="141">
        <v>26521</v>
      </c>
      <c r="R566" s="141">
        <v>26556</v>
      </c>
      <c r="S566" s="142">
        <v>35</v>
      </c>
      <c r="T566" s="141">
        <v>4926</v>
      </c>
      <c r="U566" s="141">
        <v>4929</v>
      </c>
      <c r="V566" s="142">
        <v>3</v>
      </c>
      <c r="W566" s="141">
        <v>3591</v>
      </c>
      <c r="X566" s="141">
        <v>3593</v>
      </c>
      <c r="Y566" s="142">
        <v>2</v>
      </c>
      <c r="Z566" s="141">
        <v>49945</v>
      </c>
      <c r="AA566" s="141">
        <v>50067</v>
      </c>
      <c r="AB566" s="142">
        <v>122</v>
      </c>
    </row>
    <row r="567" spans="1:28">
      <c r="A567" s="144">
        <v>45549</v>
      </c>
      <c r="B567" s="141">
        <f t="shared" si="17"/>
        <v>71933</v>
      </c>
      <c r="C567" s="141">
        <v>71939</v>
      </c>
      <c r="D567" s="142">
        <f t="shared" si="18"/>
        <v>6</v>
      </c>
      <c r="E567" s="141">
        <v>30226</v>
      </c>
      <c r="F567" s="141">
        <v>30282</v>
      </c>
      <c r="G567" s="142">
        <v>56</v>
      </c>
      <c r="H567" s="141">
        <v>537550</v>
      </c>
      <c r="I567" s="141">
        <v>537744</v>
      </c>
      <c r="J567" s="142">
        <v>194</v>
      </c>
      <c r="Q567" s="141">
        <v>26556</v>
      </c>
      <c r="R567" s="141">
        <v>26591</v>
      </c>
      <c r="S567" s="142">
        <v>35</v>
      </c>
      <c r="T567" s="141">
        <v>4929</v>
      </c>
      <c r="U567" s="141">
        <v>4931</v>
      </c>
      <c r="V567" s="142">
        <v>2</v>
      </c>
      <c r="W567" s="141">
        <v>3593</v>
      </c>
      <c r="X567" s="141">
        <v>3596</v>
      </c>
      <c r="Y567" s="142">
        <v>3</v>
      </c>
      <c r="Z567" s="141">
        <v>50067</v>
      </c>
      <c r="AA567" s="141">
        <v>50195</v>
      </c>
      <c r="AB567" s="142">
        <v>128</v>
      </c>
    </row>
    <row r="568" spans="1:28">
      <c r="A568" s="144">
        <v>45550</v>
      </c>
      <c r="B568" s="141">
        <f t="shared" si="17"/>
        <v>71939</v>
      </c>
      <c r="C568" s="141">
        <v>71997</v>
      </c>
      <c r="D568" s="142">
        <f t="shared" si="18"/>
        <v>58</v>
      </c>
      <c r="E568" s="141">
        <v>30282</v>
      </c>
      <c r="F568" s="141">
        <v>30342</v>
      </c>
      <c r="G568" s="142">
        <v>60</v>
      </c>
      <c r="H568" s="141">
        <v>537744</v>
      </c>
      <c r="I568" s="141">
        <v>538028</v>
      </c>
      <c r="J568" s="142">
        <v>284</v>
      </c>
      <c r="Q568" s="141">
        <v>26591</v>
      </c>
      <c r="R568" s="141">
        <v>26642</v>
      </c>
      <c r="S568" s="142">
        <v>51</v>
      </c>
      <c r="T568" s="141">
        <v>4931</v>
      </c>
      <c r="U568" s="141">
        <v>4935</v>
      </c>
      <c r="V568" s="142">
        <v>4</v>
      </c>
      <c r="W568" s="141">
        <v>3596</v>
      </c>
      <c r="X568" s="141">
        <v>3599</v>
      </c>
      <c r="Y568" s="142">
        <v>3</v>
      </c>
      <c r="Z568" s="141">
        <v>50195</v>
      </c>
      <c r="AA568" s="141">
        <v>50298</v>
      </c>
      <c r="AB568" s="142">
        <v>103</v>
      </c>
    </row>
    <row r="569" spans="1:28">
      <c r="A569" s="144">
        <v>45551</v>
      </c>
      <c r="B569" s="141">
        <f t="shared" si="17"/>
        <v>71997</v>
      </c>
      <c r="C569" s="141">
        <v>72049</v>
      </c>
      <c r="D569" s="142">
        <f t="shared" si="18"/>
        <v>52</v>
      </c>
      <c r="E569" s="141">
        <v>30342</v>
      </c>
      <c r="F569" s="141">
        <v>30379</v>
      </c>
      <c r="G569" s="142">
        <v>37</v>
      </c>
      <c r="H569" s="141">
        <v>538028</v>
      </c>
      <c r="I569" s="141">
        <v>538263</v>
      </c>
      <c r="J569" s="142">
        <v>235</v>
      </c>
      <c r="Q569" s="141">
        <v>26642</v>
      </c>
      <c r="R569" s="141">
        <v>26672</v>
      </c>
      <c r="S569" s="142">
        <v>30</v>
      </c>
      <c r="T569" s="141">
        <v>4935</v>
      </c>
      <c r="U569" s="141">
        <v>4939</v>
      </c>
      <c r="V569" s="142">
        <v>4</v>
      </c>
      <c r="W569" s="141">
        <v>3599</v>
      </c>
      <c r="X569" s="141">
        <v>3600</v>
      </c>
      <c r="Y569" s="142">
        <v>1</v>
      </c>
      <c r="Z569" s="141">
        <v>50298</v>
      </c>
      <c r="AA569" s="141">
        <v>50405</v>
      </c>
      <c r="AB569" s="142">
        <v>107</v>
      </c>
    </row>
    <row r="570" spans="1:28">
      <c r="A570" s="144">
        <v>45552</v>
      </c>
      <c r="B570" s="141">
        <f t="shared" si="17"/>
        <v>72049</v>
      </c>
      <c r="C570" s="141">
        <v>72131</v>
      </c>
      <c r="D570" s="142">
        <f t="shared" si="18"/>
        <v>82</v>
      </c>
      <c r="E570" s="141">
        <v>30379</v>
      </c>
      <c r="F570" s="141">
        <v>30426</v>
      </c>
      <c r="G570" s="142">
        <v>47</v>
      </c>
      <c r="H570" s="141">
        <v>538263</v>
      </c>
      <c r="I570" s="141">
        <v>538461</v>
      </c>
      <c r="J570" s="142">
        <v>198</v>
      </c>
      <c r="Q570" s="141">
        <v>26672</v>
      </c>
      <c r="R570" s="141">
        <v>26721</v>
      </c>
      <c r="S570" s="142">
        <v>49</v>
      </c>
      <c r="T570" s="141">
        <v>4939</v>
      </c>
      <c r="U570" s="141">
        <v>4944</v>
      </c>
      <c r="V570" s="142">
        <v>5</v>
      </c>
      <c r="W570" s="141">
        <v>3600</v>
      </c>
      <c r="X570" s="141">
        <v>3603</v>
      </c>
      <c r="Y570" s="142">
        <v>3</v>
      </c>
      <c r="Z570" s="141">
        <v>50405</v>
      </c>
      <c r="AA570" s="141">
        <v>50536</v>
      </c>
      <c r="AB570" s="142">
        <v>131</v>
      </c>
    </row>
    <row r="571" spans="1:28">
      <c r="A571" s="144">
        <v>45553</v>
      </c>
      <c r="B571" s="141">
        <f t="shared" si="17"/>
        <v>72131</v>
      </c>
      <c r="C571" s="141">
        <v>72193</v>
      </c>
      <c r="D571" s="142">
        <f t="shared" si="18"/>
        <v>62</v>
      </c>
      <c r="E571" s="141">
        <v>30426</v>
      </c>
      <c r="F571" s="141">
        <v>30465</v>
      </c>
      <c r="G571" s="142">
        <v>39</v>
      </c>
      <c r="H571" s="141">
        <v>538461</v>
      </c>
      <c r="I571" s="141">
        <v>538652</v>
      </c>
      <c r="J571" s="142">
        <v>191</v>
      </c>
      <c r="Q571" s="141">
        <v>26721</v>
      </c>
      <c r="R571" s="141">
        <v>26753</v>
      </c>
      <c r="S571" s="142">
        <v>32</v>
      </c>
      <c r="T571" s="141">
        <v>4944</v>
      </c>
      <c r="U571" s="141">
        <v>4950</v>
      </c>
      <c r="V571" s="142">
        <v>6</v>
      </c>
      <c r="W571" s="141">
        <v>3603</v>
      </c>
      <c r="X571" s="141">
        <v>3605</v>
      </c>
      <c r="Y571" s="142">
        <v>2</v>
      </c>
      <c r="Z571" s="141">
        <v>50536</v>
      </c>
      <c r="AA571" s="141">
        <v>50608</v>
      </c>
      <c r="AB571" s="142">
        <v>72</v>
      </c>
    </row>
    <row r="572" spans="1:28">
      <c r="A572" s="144">
        <v>45554</v>
      </c>
      <c r="B572" s="141">
        <f t="shared" si="17"/>
        <v>72193</v>
      </c>
      <c r="C572" s="141">
        <v>72257</v>
      </c>
      <c r="D572" s="142">
        <f t="shared" si="18"/>
        <v>64</v>
      </c>
      <c r="E572" s="141">
        <v>30465</v>
      </c>
      <c r="F572" s="141">
        <v>30535</v>
      </c>
      <c r="G572" s="142">
        <v>70</v>
      </c>
      <c r="H572" s="141">
        <v>538652</v>
      </c>
      <c r="I572" s="141">
        <v>538829</v>
      </c>
      <c r="J572" s="142">
        <v>177</v>
      </c>
      <c r="Q572" s="141">
        <v>26753</v>
      </c>
      <c r="R572" s="141">
        <v>26804</v>
      </c>
      <c r="S572" s="142">
        <v>26</v>
      </c>
      <c r="T572" s="141">
        <v>4950</v>
      </c>
      <c r="U572" s="141">
        <v>4956</v>
      </c>
      <c r="V572" s="142">
        <v>6</v>
      </c>
      <c r="W572" s="141">
        <v>3605</v>
      </c>
      <c r="X572" s="141">
        <v>3606</v>
      </c>
      <c r="Y572" s="142">
        <v>1</v>
      </c>
      <c r="Z572" s="141">
        <v>50608</v>
      </c>
      <c r="AA572" s="141">
        <v>50741</v>
      </c>
      <c r="AB572" s="142">
        <v>133</v>
      </c>
    </row>
    <row r="573" spans="1:28">
      <c r="A573" s="144">
        <v>45555</v>
      </c>
      <c r="B573" s="141">
        <f t="shared" si="17"/>
        <v>72257</v>
      </c>
      <c r="C573" s="141">
        <v>72318</v>
      </c>
      <c r="D573" s="142">
        <f t="shared" si="18"/>
        <v>61</v>
      </c>
      <c r="E573" s="141">
        <v>30535</v>
      </c>
      <c r="F573" s="141">
        <v>30582</v>
      </c>
      <c r="G573" s="142">
        <v>47</v>
      </c>
      <c r="H573" s="141">
        <v>538829</v>
      </c>
      <c r="I573" s="141">
        <v>539004</v>
      </c>
      <c r="J573" s="142">
        <v>175</v>
      </c>
      <c r="Q573" s="141">
        <v>26804</v>
      </c>
      <c r="R573" s="141">
        <v>26840</v>
      </c>
      <c r="S573" s="142">
        <v>36</v>
      </c>
      <c r="T573" s="141">
        <v>4956</v>
      </c>
      <c r="U573" s="141">
        <v>4960</v>
      </c>
      <c r="V573" s="142">
        <v>4</v>
      </c>
      <c r="W573" s="141">
        <v>3606</v>
      </c>
      <c r="X573" s="141">
        <v>3609</v>
      </c>
      <c r="Y573" s="142">
        <v>3</v>
      </c>
      <c r="Z573" s="141">
        <v>50741</v>
      </c>
      <c r="AA573" s="141">
        <v>50872</v>
      </c>
      <c r="AB573" s="142">
        <v>131</v>
      </c>
    </row>
    <row r="574" spans="1:28">
      <c r="A574" s="144">
        <v>45556</v>
      </c>
      <c r="B574" s="141">
        <f t="shared" si="17"/>
        <v>72318</v>
      </c>
      <c r="C574" s="141">
        <v>72396</v>
      </c>
      <c r="D574" s="142">
        <f t="shared" si="18"/>
        <v>78</v>
      </c>
      <c r="E574" s="141">
        <v>30582</v>
      </c>
      <c r="F574" s="141">
        <v>30624</v>
      </c>
      <c r="G574" s="142">
        <v>42</v>
      </c>
      <c r="H574" s="141">
        <v>539004</v>
      </c>
      <c r="I574" s="141">
        <v>539239</v>
      </c>
      <c r="J574" s="142">
        <v>235</v>
      </c>
      <c r="Q574" s="141">
        <v>26840</v>
      </c>
      <c r="R574" s="141">
        <v>26874</v>
      </c>
      <c r="S574" s="142">
        <v>34</v>
      </c>
      <c r="T574" s="141">
        <v>4960</v>
      </c>
      <c r="U574" s="141">
        <v>4965</v>
      </c>
      <c r="V574" s="142">
        <v>5</v>
      </c>
      <c r="W574" s="141">
        <v>3609</v>
      </c>
      <c r="X574" s="141">
        <v>3613</v>
      </c>
      <c r="Y574" s="142">
        <v>4</v>
      </c>
      <c r="Z574" s="141">
        <v>50872</v>
      </c>
      <c r="AA574" s="141">
        <v>50955</v>
      </c>
      <c r="AB574" s="142">
        <v>83</v>
      </c>
    </row>
    <row r="575" spans="1:28">
      <c r="A575" s="144">
        <v>45557</v>
      </c>
      <c r="B575" s="141">
        <f t="shared" si="17"/>
        <v>72396</v>
      </c>
      <c r="C575" s="141">
        <v>72465</v>
      </c>
      <c r="D575" s="142">
        <f t="shared" si="18"/>
        <v>69</v>
      </c>
      <c r="E575" s="141">
        <v>30624</v>
      </c>
      <c r="F575" s="141">
        <v>30688</v>
      </c>
      <c r="G575" s="142">
        <v>64</v>
      </c>
      <c r="H575" s="141">
        <v>539239</v>
      </c>
      <c r="I575" s="141">
        <v>539438</v>
      </c>
      <c r="J575" s="142">
        <v>199</v>
      </c>
      <c r="Q575" s="141">
        <v>26874</v>
      </c>
      <c r="R575" s="141">
        <v>26926</v>
      </c>
      <c r="S575" s="142">
        <v>52</v>
      </c>
      <c r="T575" s="141">
        <v>4965</v>
      </c>
      <c r="U575" s="141">
        <v>4969</v>
      </c>
      <c r="V575" s="142">
        <v>4</v>
      </c>
      <c r="W575" s="141">
        <v>3613</v>
      </c>
      <c r="X575" s="141">
        <v>3615</v>
      </c>
      <c r="Y575" s="142">
        <v>2</v>
      </c>
      <c r="Z575" s="141">
        <v>50955</v>
      </c>
      <c r="AA575" s="141">
        <v>51035</v>
      </c>
      <c r="AB575" s="142">
        <v>80</v>
      </c>
    </row>
    <row r="576" spans="1:28">
      <c r="A576" s="144">
        <v>45558</v>
      </c>
      <c r="B576" s="141">
        <f t="shared" si="17"/>
        <v>72465</v>
      </c>
      <c r="C576" s="141">
        <v>72530</v>
      </c>
      <c r="D576" s="142">
        <f t="shared" si="18"/>
        <v>65</v>
      </c>
      <c r="E576" s="141">
        <v>30688</v>
      </c>
      <c r="F576" s="141">
        <v>30747</v>
      </c>
      <c r="G576" s="142">
        <v>59</v>
      </c>
      <c r="H576" s="141">
        <v>539438</v>
      </c>
      <c r="I576" s="141">
        <v>539643</v>
      </c>
      <c r="J576" s="142">
        <v>205</v>
      </c>
      <c r="Q576" s="141">
        <v>26926</v>
      </c>
      <c r="R576" s="141">
        <v>26962</v>
      </c>
      <c r="S576" s="142">
        <v>36</v>
      </c>
      <c r="T576" s="141">
        <v>4969</v>
      </c>
      <c r="U576" s="141">
        <v>4973</v>
      </c>
      <c r="V576" s="142">
        <v>4</v>
      </c>
      <c r="W576" s="141">
        <v>3615</v>
      </c>
      <c r="X576" s="141">
        <v>3619</v>
      </c>
      <c r="Y576" s="142">
        <v>4</v>
      </c>
      <c r="Z576" s="141">
        <v>51035</v>
      </c>
      <c r="AA576" s="141">
        <v>51168</v>
      </c>
      <c r="AB576" s="142">
        <v>133</v>
      </c>
    </row>
    <row r="577" spans="1:28">
      <c r="A577" s="144">
        <v>45559</v>
      </c>
      <c r="B577" s="141">
        <f t="shared" si="17"/>
        <v>72530</v>
      </c>
      <c r="C577" s="141">
        <v>72596</v>
      </c>
      <c r="D577" s="142">
        <f t="shared" si="18"/>
        <v>66</v>
      </c>
      <c r="E577" s="141">
        <v>30747</v>
      </c>
      <c r="F577" s="141">
        <v>30788</v>
      </c>
      <c r="G577" s="142">
        <v>41</v>
      </c>
      <c r="H577" s="141">
        <v>539643</v>
      </c>
      <c r="I577" s="141">
        <v>539819</v>
      </c>
      <c r="J577" s="142">
        <v>176</v>
      </c>
      <c r="Q577" s="141">
        <v>26962</v>
      </c>
      <c r="R577" s="141">
        <v>27011</v>
      </c>
      <c r="S577" s="142">
        <v>49</v>
      </c>
      <c r="T577" s="141">
        <v>4973</v>
      </c>
      <c r="U577" s="141">
        <v>4979</v>
      </c>
      <c r="V577" s="142">
        <v>6</v>
      </c>
      <c r="W577" s="141">
        <v>3619</v>
      </c>
      <c r="X577" s="141">
        <v>3620</v>
      </c>
      <c r="Y577" s="142">
        <v>1</v>
      </c>
      <c r="Z577" s="141">
        <v>51168</v>
      </c>
      <c r="AA577" s="141">
        <v>51251</v>
      </c>
      <c r="AB577" s="142">
        <v>83</v>
      </c>
    </row>
    <row r="578" spans="1:28">
      <c r="A578" s="144">
        <v>45560</v>
      </c>
      <c r="B578" s="141">
        <f t="shared" si="17"/>
        <v>72596</v>
      </c>
      <c r="C578" s="141">
        <v>72654</v>
      </c>
      <c r="D578" s="142">
        <f t="shared" si="18"/>
        <v>58</v>
      </c>
      <c r="E578" s="141">
        <v>30788</v>
      </c>
      <c r="F578" s="141">
        <v>30820</v>
      </c>
      <c r="G578" s="142">
        <v>32</v>
      </c>
      <c r="H578" s="141">
        <v>539819</v>
      </c>
      <c r="I578" s="141">
        <v>540002</v>
      </c>
      <c r="J578" s="142">
        <v>183</v>
      </c>
      <c r="Q578" s="141">
        <v>27011</v>
      </c>
      <c r="R578" s="141">
        <v>27052</v>
      </c>
      <c r="S578" s="142">
        <v>41</v>
      </c>
      <c r="T578" s="141">
        <v>4979</v>
      </c>
      <c r="U578" s="141">
        <v>4982</v>
      </c>
      <c r="V578" s="142">
        <v>3</v>
      </c>
      <c r="W578" s="141">
        <v>3620</v>
      </c>
      <c r="X578" s="141">
        <v>3623</v>
      </c>
      <c r="Y578" s="142">
        <v>3</v>
      </c>
      <c r="Z578" s="141">
        <v>51251</v>
      </c>
      <c r="AA578" s="141">
        <v>51399</v>
      </c>
      <c r="AB578" s="142">
        <v>148</v>
      </c>
    </row>
    <row r="579" spans="1:28">
      <c r="A579" s="144">
        <v>45561</v>
      </c>
      <c r="B579" s="141">
        <f t="shared" si="17"/>
        <v>72654</v>
      </c>
      <c r="C579" s="141">
        <v>72721</v>
      </c>
      <c r="D579" s="142">
        <f t="shared" si="18"/>
        <v>67</v>
      </c>
      <c r="E579" s="141">
        <v>30820</v>
      </c>
      <c r="F579" s="141">
        <v>30880</v>
      </c>
      <c r="G579" s="142">
        <v>60</v>
      </c>
      <c r="H579" s="141">
        <v>540002</v>
      </c>
      <c r="I579" s="141">
        <v>540248</v>
      </c>
      <c r="J579" s="142">
        <v>246</v>
      </c>
      <c r="Q579" s="141">
        <v>27052</v>
      </c>
      <c r="R579" s="141">
        <v>27092</v>
      </c>
      <c r="S579" s="142">
        <v>40</v>
      </c>
      <c r="T579" s="141">
        <v>4982</v>
      </c>
      <c r="U579" s="141">
        <v>4985</v>
      </c>
      <c r="V579" s="142">
        <v>3</v>
      </c>
      <c r="W579" s="141">
        <v>3623</v>
      </c>
      <c r="X579" s="141">
        <v>3625</v>
      </c>
      <c r="Y579" s="142">
        <v>2</v>
      </c>
      <c r="Z579" s="141">
        <v>51399</v>
      </c>
      <c r="AA579" s="141">
        <v>51474</v>
      </c>
      <c r="AB579" s="142">
        <v>75</v>
      </c>
    </row>
    <row r="580" spans="1:28">
      <c r="A580" s="144">
        <v>45562</v>
      </c>
      <c r="B580" s="141">
        <f t="shared" si="17"/>
        <v>72721</v>
      </c>
      <c r="C580" s="141">
        <v>72808</v>
      </c>
      <c r="D580" s="142">
        <f t="shared" si="18"/>
        <v>87</v>
      </c>
      <c r="E580" s="141">
        <v>30880</v>
      </c>
      <c r="F580" s="141">
        <v>30940</v>
      </c>
      <c r="G580" s="142">
        <v>60</v>
      </c>
      <c r="H580" s="141">
        <v>540248</v>
      </c>
      <c r="I580" s="141">
        <v>540499</v>
      </c>
      <c r="J580" s="142">
        <v>251</v>
      </c>
      <c r="Q580" s="141">
        <v>27092</v>
      </c>
      <c r="R580" s="141">
        <v>27137</v>
      </c>
      <c r="S580" s="142">
        <v>45</v>
      </c>
      <c r="T580" s="141">
        <v>4985</v>
      </c>
      <c r="U580" s="141">
        <v>4991</v>
      </c>
      <c r="V580" s="142">
        <v>6</v>
      </c>
      <c r="W580" s="141">
        <v>3625</v>
      </c>
      <c r="X580" s="141">
        <v>3627</v>
      </c>
      <c r="Y580" s="142">
        <v>2</v>
      </c>
      <c r="Z580" s="141">
        <v>51474</v>
      </c>
      <c r="AA580" s="141">
        <v>51559</v>
      </c>
      <c r="AB580" s="142">
        <v>85</v>
      </c>
    </row>
    <row r="581" spans="1:28">
      <c r="A581" s="144">
        <v>45563</v>
      </c>
      <c r="B581" s="141">
        <f t="shared" si="17"/>
        <v>72808</v>
      </c>
      <c r="C581" s="141">
        <v>72875</v>
      </c>
      <c r="D581" s="142">
        <f t="shared" si="18"/>
        <v>67</v>
      </c>
      <c r="E581" s="141">
        <v>30940</v>
      </c>
      <c r="F581" s="141">
        <v>31011</v>
      </c>
      <c r="G581" s="142">
        <v>71</v>
      </c>
      <c r="H581" s="141">
        <v>540499</v>
      </c>
      <c r="I581" s="141">
        <v>540695</v>
      </c>
      <c r="J581" s="142">
        <v>196</v>
      </c>
      <c r="Q581" s="141">
        <v>27137</v>
      </c>
      <c r="R581" s="141">
        <v>27182</v>
      </c>
      <c r="S581" s="142">
        <v>45</v>
      </c>
      <c r="T581" s="141">
        <v>4991</v>
      </c>
      <c r="U581" s="141">
        <v>4996</v>
      </c>
      <c r="V581" s="142">
        <v>5</v>
      </c>
      <c r="W581" s="141">
        <v>3627</v>
      </c>
      <c r="X581" s="141">
        <v>3628</v>
      </c>
      <c r="Y581" s="142">
        <v>1</v>
      </c>
      <c r="Z581" s="141">
        <v>51559</v>
      </c>
      <c r="AA581" s="141">
        <v>51647</v>
      </c>
      <c r="AB581" s="142">
        <v>88</v>
      </c>
    </row>
    <row r="582" spans="1:28">
      <c r="A582" s="144">
        <v>45564</v>
      </c>
      <c r="B582" s="141">
        <f t="shared" si="17"/>
        <v>72875</v>
      </c>
      <c r="C582" s="141">
        <v>72959</v>
      </c>
      <c r="D582" s="142">
        <f t="shared" si="18"/>
        <v>84</v>
      </c>
      <c r="E582" s="141">
        <v>31011</v>
      </c>
      <c r="F582" s="141">
        <v>31067</v>
      </c>
      <c r="G582" s="142">
        <v>56</v>
      </c>
      <c r="H582" s="141">
        <v>540695</v>
      </c>
      <c r="I582" s="141">
        <v>540903</v>
      </c>
      <c r="J582" s="142">
        <v>208</v>
      </c>
      <c r="Q582" s="141">
        <v>27182</v>
      </c>
      <c r="R582" s="141">
        <v>27230</v>
      </c>
      <c r="S582" s="142">
        <v>48</v>
      </c>
      <c r="T582" s="141">
        <v>4996</v>
      </c>
      <c r="U582" s="141">
        <v>5003</v>
      </c>
      <c r="V582" s="142">
        <v>7</v>
      </c>
      <c r="W582" s="141">
        <v>3628</v>
      </c>
      <c r="X582" s="141">
        <v>3629</v>
      </c>
      <c r="Y582" s="142">
        <v>1</v>
      </c>
      <c r="Z582" s="141">
        <v>51647</v>
      </c>
      <c r="AA582" s="141">
        <v>51744</v>
      </c>
      <c r="AB582" s="142">
        <v>97</v>
      </c>
    </row>
    <row r="583" spans="1:28">
      <c r="A583" s="144">
        <v>45565</v>
      </c>
      <c r="B583" s="141">
        <f t="shared" si="17"/>
        <v>72959</v>
      </c>
      <c r="C583" s="141">
        <v>73011</v>
      </c>
      <c r="D583" s="142">
        <f t="shared" si="18"/>
        <v>52</v>
      </c>
      <c r="E583" s="141">
        <v>31067</v>
      </c>
      <c r="F583" s="141">
        <v>31101</v>
      </c>
      <c r="G583" s="142">
        <v>34</v>
      </c>
      <c r="H583" s="141">
        <v>540903</v>
      </c>
      <c r="I583" s="141">
        <v>541049</v>
      </c>
      <c r="J583" s="142">
        <v>146</v>
      </c>
      <c r="Q583" s="141">
        <v>27230</v>
      </c>
      <c r="R583" s="141">
        <v>27274</v>
      </c>
      <c r="S583" s="142">
        <v>44</v>
      </c>
      <c r="T583" s="141">
        <v>5003</v>
      </c>
      <c r="U583" s="141">
        <v>5009</v>
      </c>
      <c r="V583" s="142">
        <v>6</v>
      </c>
      <c r="W583" s="141">
        <v>3629</v>
      </c>
      <c r="X583" s="141">
        <v>3630</v>
      </c>
      <c r="Y583" s="142">
        <v>1</v>
      </c>
      <c r="Z583" s="141">
        <v>51744</v>
      </c>
      <c r="AA583" s="141">
        <v>51833</v>
      </c>
      <c r="AB583" s="142">
        <v>89</v>
      </c>
    </row>
    <row r="584" spans="1:28">
      <c r="A584" s="144">
        <v>45566</v>
      </c>
      <c r="B584" s="141">
        <f t="shared" si="17"/>
        <v>73011</v>
      </c>
      <c r="C584" s="141">
        <v>73081</v>
      </c>
      <c r="D584" s="142">
        <f t="shared" si="18"/>
        <v>70</v>
      </c>
      <c r="E584" s="141">
        <v>31101</v>
      </c>
      <c r="F584" s="141">
        <v>31167</v>
      </c>
      <c r="G584" s="142">
        <v>66</v>
      </c>
      <c r="H584" s="141">
        <v>541049</v>
      </c>
      <c r="I584" s="141">
        <v>541216</v>
      </c>
      <c r="J584" s="142">
        <v>167</v>
      </c>
      <c r="Q584" s="141">
        <v>27274</v>
      </c>
      <c r="R584" s="141">
        <v>27312</v>
      </c>
      <c r="S584" s="142">
        <v>38</v>
      </c>
      <c r="T584" s="141">
        <v>5009</v>
      </c>
      <c r="U584" s="141">
        <v>5013</v>
      </c>
      <c r="V584" s="142">
        <v>4</v>
      </c>
      <c r="W584" s="141">
        <v>3630</v>
      </c>
      <c r="X584" s="141">
        <v>3632</v>
      </c>
      <c r="Y584" s="142">
        <v>2</v>
      </c>
      <c r="Z584" s="141">
        <v>51833</v>
      </c>
      <c r="AA584" s="141">
        <v>51964</v>
      </c>
      <c r="AB584" s="142">
        <v>131</v>
      </c>
    </row>
    <row r="585" spans="1:28">
      <c r="A585" s="144">
        <v>45567</v>
      </c>
      <c r="B585" s="141">
        <f t="shared" si="17"/>
        <v>73081</v>
      </c>
      <c r="C585" s="141">
        <v>73148</v>
      </c>
      <c r="D585" s="142">
        <f t="shared" ref="D585:D613" si="19">C585-B585</f>
        <v>67</v>
      </c>
      <c r="E585" s="141">
        <v>31167</v>
      </c>
      <c r="F585" s="141">
        <v>31213</v>
      </c>
      <c r="G585" s="142">
        <v>46</v>
      </c>
      <c r="H585" s="141">
        <v>541216</v>
      </c>
      <c r="I585" s="141">
        <v>541414</v>
      </c>
      <c r="J585" s="142">
        <v>198</v>
      </c>
      <c r="Q585" s="141">
        <v>27312</v>
      </c>
      <c r="R585" s="141">
        <v>27350</v>
      </c>
      <c r="S585" s="142">
        <v>38</v>
      </c>
      <c r="T585" s="141">
        <v>5013</v>
      </c>
      <c r="U585" s="141">
        <v>5018</v>
      </c>
      <c r="V585" s="142">
        <v>5</v>
      </c>
      <c r="W585" s="141">
        <v>3632</v>
      </c>
      <c r="X585" s="141">
        <v>3633</v>
      </c>
      <c r="Y585" s="142">
        <v>1</v>
      </c>
      <c r="Z585" s="141">
        <v>51964</v>
      </c>
      <c r="AA585" s="141">
        <v>52064</v>
      </c>
      <c r="AB585" s="142">
        <v>100</v>
      </c>
    </row>
    <row r="586" spans="1:28">
      <c r="A586" s="144">
        <v>45568</v>
      </c>
      <c r="B586" s="141">
        <f t="shared" si="17"/>
        <v>73148</v>
      </c>
      <c r="C586" s="141">
        <v>73228</v>
      </c>
      <c r="D586" s="142">
        <f t="shared" si="19"/>
        <v>80</v>
      </c>
      <c r="E586" s="141">
        <v>31213</v>
      </c>
      <c r="F586" s="141">
        <v>31255</v>
      </c>
      <c r="G586" s="142">
        <v>42</v>
      </c>
      <c r="H586" s="141">
        <v>541414</v>
      </c>
      <c r="I586" s="141">
        <v>541602</v>
      </c>
      <c r="J586" s="142">
        <v>188</v>
      </c>
      <c r="Q586" s="141">
        <v>27350</v>
      </c>
      <c r="R586" s="141">
        <v>27400</v>
      </c>
      <c r="S586" s="142">
        <v>50</v>
      </c>
      <c r="T586" s="141">
        <v>5018</v>
      </c>
      <c r="U586" s="141">
        <v>5025</v>
      </c>
      <c r="V586" s="142">
        <v>7</v>
      </c>
      <c r="W586" s="141">
        <v>3633</v>
      </c>
      <c r="X586" s="141">
        <v>3635</v>
      </c>
      <c r="Y586" s="142">
        <v>2</v>
      </c>
      <c r="Z586" s="141">
        <v>52064</v>
      </c>
      <c r="AA586" s="141">
        <v>52169</v>
      </c>
      <c r="AB586" s="142">
        <v>105</v>
      </c>
    </row>
    <row r="587" spans="1:28">
      <c r="A587" s="144">
        <v>45569</v>
      </c>
      <c r="B587" s="141">
        <f t="shared" si="17"/>
        <v>73228</v>
      </c>
      <c r="C587" s="141">
        <v>73403</v>
      </c>
      <c r="D587" s="142">
        <f t="shared" si="19"/>
        <v>175</v>
      </c>
      <c r="E587" s="141">
        <v>31255</v>
      </c>
      <c r="F587" s="141">
        <v>31299</v>
      </c>
      <c r="G587" s="142">
        <v>44</v>
      </c>
      <c r="H587" s="141">
        <v>541602</v>
      </c>
      <c r="I587" s="141">
        <v>541827</v>
      </c>
      <c r="J587" s="142">
        <v>225</v>
      </c>
      <c r="Q587" s="141">
        <v>27400</v>
      </c>
      <c r="R587" s="141">
        <v>27438</v>
      </c>
      <c r="S587" s="142">
        <v>38</v>
      </c>
      <c r="T587" s="141">
        <v>5025</v>
      </c>
      <c r="U587" s="141">
        <v>5033</v>
      </c>
      <c r="V587" s="142">
        <v>8</v>
      </c>
      <c r="W587" s="141">
        <v>3635</v>
      </c>
      <c r="X587" s="141">
        <v>3636</v>
      </c>
      <c r="Y587" s="142">
        <v>1</v>
      </c>
      <c r="Z587" s="141">
        <v>52169</v>
      </c>
      <c r="AA587" s="141">
        <v>52284</v>
      </c>
      <c r="AB587" s="142">
        <v>115</v>
      </c>
    </row>
    <row r="588" spans="1:28">
      <c r="A588" s="144">
        <v>45570</v>
      </c>
      <c r="B588" s="141">
        <f t="shared" si="17"/>
        <v>73403</v>
      </c>
      <c r="C588" s="141">
        <v>73469</v>
      </c>
      <c r="D588" s="142">
        <f t="shared" si="19"/>
        <v>66</v>
      </c>
      <c r="E588" s="141">
        <v>31299</v>
      </c>
      <c r="F588" s="141">
        <v>31403</v>
      </c>
      <c r="G588" s="142">
        <v>104</v>
      </c>
      <c r="H588" s="141">
        <v>541827</v>
      </c>
      <c r="I588" s="141">
        <v>542087</v>
      </c>
      <c r="J588" s="142">
        <v>260</v>
      </c>
      <c r="Q588" s="141">
        <v>27438</v>
      </c>
      <c r="R588" s="141">
        <v>27480</v>
      </c>
      <c r="S588" s="142">
        <v>42</v>
      </c>
      <c r="T588" s="141">
        <v>5033</v>
      </c>
      <c r="U588" s="141">
        <v>5038</v>
      </c>
      <c r="V588" s="142">
        <v>5</v>
      </c>
      <c r="W588" s="141">
        <v>3636</v>
      </c>
      <c r="X588" s="141">
        <v>3638</v>
      </c>
      <c r="Y588" s="142">
        <v>2</v>
      </c>
      <c r="Z588" s="141">
        <v>52284</v>
      </c>
      <c r="AA588" s="141">
        <v>52411</v>
      </c>
      <c r="AB588" s="142">
        <v>127</v>
      </c>
    </row>
    <row r="589" spans="1:28">
      <c r="A589" s="144">
        <v>45571</v>
      </c>
      <c r="B589" s="141">
        <f t="shared" ref="B589:B652" si="20">C588</f>
        <v>73469</v>
      </c>
      <c r="C589" s="141">
        <v>73534</v>
      </c>
      <c r="D589" s="142">
        <f t="shared" si="19"/>
        <v>65</v>
      </c>
      <c r="E589" s="141">
        <v>31403</v>
      </c>
      <c r="F589" s="141">
        <v>31455</v>
      </c>
      <c r="G589" s="142">
        <v>52</v>
      </c>
      <c r="H589" s="141">
        <v>542087</v>
      </c>
      <c r="I589" s="141">
        <v>542306</v>
      </c>
      <c r="J589" s="142">
        <v>219</v>
      </c>
      <c r="Q589" s="141">
        <v>27480</v>
      </c>
      <c r="R589" s="141">
        <v>27515</v>
      </c>
      <c r="S589" s="142">
        <v>35</v>
      </c>
      <c r="T589" s="141">
        <v>5038</v>
      </c>
      <c r="U589" s="141">
        <v>5044</v>
      </c>
      <c r="V589" s="142">
        <v>6</v>
      </c>
      <c r="W589" s="141">
        <v>3638</v>
      </c>
      <c r="X589" s="141">
        <v>3639</v>
      </c>
      <c r="Y589" s="142">
        <v>1</v>
      </c>
      <c r="Z589" s="141">
        <v>52411</v>
      </c>
      <c r="AA589" s="141">
        <v>52499</v>
      </c>
      <c r="AB589" s="142">
        <v>88</v>
      </c>
    </row>
    <row r="590" spans="1:28">
      <c r="A590" s="144">
        <v>45572</v>
      </c>
      <c r="B590" s="141">
        <f t="shared" si="20"/>
        <v>73534</v>
      </c>
      <c r="C590" s="141">
        <v>73597</v>
      </c>
      <c r="D590" s="142">
        <f t="shared" si="19"/>
        <v>63</v>
      </c>
      <c r="E590" s="141">
        <v>31455</v>
      </c>
      <c r="F590" s="141">
        <v>31533</v>
      </c>
      <c r="G590" s="142">
        <v>78</v>
      </c>
      <c r="H590" s="141">
        <v>542306</v>
      </c>
      <c r="I590" s="141">
        <v>542499</v>
      </c>
      <c r="J590" s="142">
        <v>193</v>
      </c>
      <c r="Q590" s="141">
        <v>27515</v>
      </c>
      <c r="R590" s="141">
        <v>27553</v>
      </c>
      <c r="S590" s="142">
        <v>38</v>
      </c>
      <c r="T590" s="141">
        <v>5044</v>
      </c>
      <c r="U590" s="141">
        <v>5049</v>
      </c>
      <c r="V590" s="142">
        <v>5</v>
      </c>
      <c r="W590" s="141">
        <v>3639</v>
      </c>
      <c r="X590" s="141">
        <v>3642</v>
      </c>
      <c r="Y590" s="142">
        <v>3</v>
      </c>
      <c r="Z590" s="141">
        <v>52499</v>
      </c>
      <c r="AA590" s="141">
        <v>52608</v>
      </c>
      <c r="AB590" s="142">
        <v>109</v>
      </c>
    </row>
    <row r="591" spans="1:28">
      <c r="A591" s="144">
        <v>45573</v>
      </c>
      <c r="B591" s="141">
        <f t="shared" si="20"/>
        <v>73597</v>
      </c>
      <c r="C591" s="141">
        <v>73623</v>
      </c>
      <c r="D591" s="142">
        <f t="shared" si="19"/>
        <v>26</v>
      </c>
      <c r="E591" s="141">
        <v>31533</v>
      </c>
      <c r="F591" s="141">
        <v>31588</v>
      </c>
      <c r="G591" s="142">
        <v>55</v>
      </c>
      <c r="H591" s="141">
        <v>542499</v>
      </c>
      <c r="I591" s="141">
        <v>542717</v>
      </c>
      <c r="J591" s="142">
        <v>218</v>
      </c>
      <c r="Q591" s="141">
        <v>27553</v>
      </c>
      <c r="R591" s="141">
        <v>27596</v>
      </c>
      <c r="S591" s="142">
        <v>43</v>
      </c>
      <c r="T591" s="141">
        <v>5049</v>
      </c>
      <c r="U591" s="141">
        <v>5055</v>
      </c>
      <c r="V591" s="142">
        <v>6</v>
      </c>
      <c r="W591" s="141">
        <v>3642</v>
      </c>
      <c r="X591" s="141">
        <v>3643</v>
      </c>
      <c r="Y591" s="142">
        <v>1</v>
      </c>
      <c r="Z591" s="141">
        <v>52608</v>
      </c>
      <c r="AA591" s="141">
        <v>52733</v>
      </c>
      <c r="AB591" s="142">
        <v>125</v>
      </c>
    </row>
    <row r="592" spans="1:28">
      <c r="A592" s="144">
        <v>45574</v>
      </c>
      <c r="B592" s="141">
        <f t="shared" si="20"/>
        <v>73623</v>
      </c>
      <c r="C592" s="141">
        <v>73668</v>
      </c>
      <c r="D592" s="142">
        <f t="shared" si="19"/>
        <v>45</v>
      </c>
      <c r="E592" s="141">
        <v>31588</v>
      </c>
      <c r="F592" s="141">
        <v>31633</v>
      </c>
      <c r="G592" s="142">
        <v>45</v>
      </c>
      <c r="H592" s="141">
        <v>542717</v>
      </c>
      <c r="I592" s="141">
        <v>542903</v>
      </c>
      <c r="J592" s="142">
        <v>186</v>
      </c>
      <c r="Q592" s="141">
        <v>27596</v>
      </c>
      <c r="R592" s="141">
        <v>27644</v>
      </c>
      <c r="S592" s="142">
        <v>48</v>
      </c>
      <c r="T592" s="141">
        <v>5055</v>
      </c>
      <c r="U592" s="141">
        <v>5059</v>
      </c>
      <c r="V592" s="142">
        <v>4</v>
      </c>
      <c r="W592" s="141">
        <v>3643</v>
      </c>
      <c r="X592" s="141">
        <v>3644</v>
      </c>
      <c r="Y592" s="142">
        <v>1</v>
      </c>
      <c r="Z592" s="141">
        <v>52733</v>
      </c>
      <c r="AA592" s="141">
        <v>52808</v>
      </c>
      <c r="AB592" s="142">
        <v>75</v>
      </c>
    </row>
    <row r="593" spans="1:28">
      <c r="A593" s="144">
        <v>45575</v>
      </c>
      <c r="B593" s="141">
        <f t="shared" si="20"/>
        <v>73668</v>
      </c>
      <c r="C593" s="141">
        <v>73760</v>
      </c>
      <c r="D593" s="142">
        <f t="shared" si="19"/>
        <v>92</v>
      </c>
      <c r="E593" s="141">
        <v>31633</v>
      </c>
      <c r="F593" s="141">
        <v>31689</v>
      </c>
      <c r="G593" s="142">
        <v>56</v>
      </c>
      <c r="H593" s="141">
        <v>542903</v>
      </c>
      <c r="I593" s="141">
        <v>543047</v>
      </c>
      <c r="J593" s="142">
        <v>144</v>
      </c>
      <c r="Q593" s="141">
        <v>27644</v>
      </c>
      <c r="R593" s="141">
        <v>27683</v>
      </c>
      <c r="S593" s="142">
        <v>39</v>
      </c>
      <c r="T593" s="141">
        <v>5059</v>
      </c>
      <c r="U593" s="141">
        <v>5064</v>
      </c>
      <c r="V593" s="142">
        <v>5</v>
      </c>
      <c r="W593" s="141">
        <v>3644</v>
      </c>
      <c r="X593" s="141">
        <v>3646</v>
      </c>
      <c r="Y593" s="142">
        <v>2</v>
      </c>
      <c r="Z593" s="141">
        <v>52808</v>
      </c>
      <c r="AA593" s="141">
        <v>52899</v>
      </c>
      <c r="AB593" s="142">
        <v>91</v>
      </c>
    </row>
    <row r="594" spans="1:28">
      <c r="A594" s="144">
        <v>45576</v>
      </c>
      <c r="B594" s="141">
        <f t="shared" si="20"/>
        <v>73760</v>
      </c>
      <c r="C594" s="141">
        <v>73834</v>
      </c>
      <c r="D594" s="142">
        <f t="shared" si="19"/>
        <v>74</v>
      </c>
      <c r="E594" s="141">
        <v>31689</v>
      </c>
      <c r="F594" s="141">
        <v>31741</v>
      </c>
      <c r="G594" s="142">
        <v>52</v>
      </c>
      <c r="H594" s="141">
        <v>543047</v>
      </c>
      <c r="I594" s="141">
        <v>543250</v>
      </c>
      <c r="J594" s="142">
        <v>203</v>
      </c>
      <c r="Q594" s="141">
        <v>27683</v>
      </c>
      <c r="R594" s="141">
        <v>27721</v>
      </c>
      <c r="S594" s="142">
        <v>38</v>
      </c>
      <c r="T594" s="141">
        <v>5064</v>
      </c>
      <c r="U594" s="141">
        <v>5069</v>
      </c>
      <c r="V594" s="142">
        <v>5</v>
      </c>
      <c r="W594" s="141">
        <v>3646</v>
      </c>
      <c r="X594" s="141">
        <v>3647</v>
      </c>
      <c r="Y594" s="142">
        <v>1</v>
      </c>
      <c r="Z594" s="141">
        <v>52899</v>
      </c>
      <c r="AA594" s="141">
        <v>52989</v>
      </c>
      <c r="AB594" s="142">
        <v>90</v>
      </c>
    </row>
    <row r="595" spans="1:28">
      <c r="A595" s="144">
        <v>45577</v>
      </c>
      <c r="B595" s="141">
        <f t="shared" si="20"/>
        <v>73834</v>
      </c>
      <c r="C595" s="141">
        <v>73926</v>
      </c>
      <c r="D595" s="142">
        <f t="shared" si="19"/>
        <v>92</v>
      </c>
      <c r="E595" s="141">
        <v>31741</v>
      </c>
      <c r="F595" s="141">
        <v>31921</v>
      </c>
      <c r="G595" s="142">
        <v>180</v>
      </c>
      <c r="H595" s="141">
        <v>543250</v>
      </c>
      <c r="I595" s="141">
        <v>543532</v>
      </c>
      <c r="J595" s="142">
        <v>282</v>
      </c>
      <c r="Q595" s="141">
        <v>27721</v>
      </c>
      <c r="R595" s="141">
        <v>27760</v>
      </c>
      <c r="S595" s="142">
        <v>39</v>
      </c>
      <c r="T595" s="141">
        <v>5069</v>
      </c>
      <c r="U595" s="141">
        <v>5074</v>
      </c>
      <c r="V595" s="142">
        <v>5</v>
      </c>
      <c r="W595" s="141">
        <v>3647</v>
      </c>
      <c r="X595" s="141">
        <v>3649</v>
      </c>
      <c r="Y595" s="142">
        <v>2</v>
      </c>
      <c r="Z595" s="141">
        <v>52989</v>
      </c>
      <c r="AA595" s="141">
        <v>53191</v>
      </c>
      <c r="AB595" s="142">
        <v>202</v>
      </c>
    </row>
    <row r="596" spans="1:28">
      <c r="A596" s="144">
        <v>45578</v>
      </c>
      <c r="B596" s="141">
        <f t="shared" si="20"/>
        <v>73926</v>
      </c>
      <c r="C596" s="141">
        <v>73978</v>
      </c>
      <c r="D596" s="142">
        <f t="shared" si="19"/>
        <v>52</v>
      </c>
      <c r="E596" s="141">
        <v>31921</v>
      </c>
      <c r="F596" s="141">
        <v>31987</v>
      </c>
      <c r="G596" s="142">
        <v>66</v>
      </c>
      <c r="H596" s="141">
        <v>543532</v>
      </c>
      <c r="I596" s="141">
        <v>543670</v>
      </c>
      <c r="J596" s="142">
        <v>138</v>
      </c>
      <c r="Q596" s="141">
        <v>27760</v>
      </c>
      <c r="R596" s="141">
        <v>27803</v>
      </c>
      <c r="S596" s="142">
        <v>43</v>
      </c>
      <c r="T596" s="141">
        <v>5074</v>
      </c>
      <c r="U596" s="141">
        <v>5075</v>
      </c>
      <c r="V596" s="142">
        <v>1</v>
      </c>
      <c r="W596" s="141">
        <v>3649</v>
      </c>
      <c r="X596" s="141">
        <v>3650</v>
      </c>
      <c r="Y596" s="142">
        <v>1</v>
      </c>
      <c r="Z596" s="141">
        <v>53191</v>
      </c>
      <c r="AA596" s="141">
        <v>53300</v>
      </c>
      <c r="AB596" s="142">
        <v>109</v>
      </c>
    </row>
    <row r="597" spans="1:28">
      <c r="A597" s="144">
        <v>45579</v>
      </c>
      <c r="B597" s="141">
        <f t="shared" si="20"/>
        <v>73978</v>
      </c>
      <c r="C597" s="141">
        <v>74056</v>
      </c>
      <c r="D597" s="142">
        <f t="shared" si="19"/>
        <v>78</v>
      </c>
      <c r="E597" s="141">
        <v>31987</v>
      </c>
      <c r="F597" s="141">
        <v>32045</v>
      </c>
      <c r="G597" s="142">
        <v>58</v>
      </c>
      <c r="H597" s="141">
        <v>543670</v>
      </c>
      <c r="I597" s="141">
        <v>543871</v>
      </c>
      <c r="J597" s="142">
        <v>201</v>
      </c>
      <c r="Q597" s="141">
        <v>27803</v>
      </c>
      <c r="R597" s="141">
        <v>27862</v>
      </c>
      <c r="S597" s="142">
        <v>59</v>
      </c>
      <c r="T597" s="141">
        <v>5075</v>
      </c>
      <c r="U597" s="141">
        <v>5079</v>
      </c>
      <c r="V597" s="142">
        <v>4</v>
      </c>
      <c r="W597" s="141">
        <v>3650</v>
      </c>
      <c r="X597" s="141">
        <v>3652</v>
      </c>
      <c r="Y597" s="142">
        <v>2</v>
      </c>
      <c r="Z597" s="141">
        <v>53300</v>
      </c>
      <c r="AA597" s="141">
        <v>53399</v>
      </c>
      <c r="AB597" s="142">
        <v>99</v>
      </c>
    </row>
    <row r="598" spans="1:28">
      <c r="A598" s="144">
        <v>45580</v>
      </c>
      <c r="B598" s="141">
        <f t="shared" si="20"/>
        <v>74056</v>
      </c>
      <c r="C598" s="141">
        <v>74126</v>
      </c>
      <c r="D598" s="142">
        <f t="shared" si="19"/>
        <v>70</v>
      </c>
      <c r="E598" s="141">
        <v>32045</v>
      </c>
      <c r="F598" s="141">
        <v>32098</v>
      </c>
      <c r="G598" s="142">
        <v>53</v>
      </c>
      <c r="H598" s="141">
        <v>543871</v>
      </c>
      <c r="I598" s="141">
        <v>544031</v>
      </c>
      <c r="J598" s="142">
        <v>160</v>
      </c>
      <c r="Q598" s="141">
        <v>27862</v>
      </c>
      <c r="R598" s="141">
        <v>27907</v>
      </c>
      <c r="S598" s="142">
        <v>45</v>
      </c>
      <c r="T598" s="141">
        <v>5079</v>
      </c>
      <c r="U598" s="141">
        <v>5083</v>
      </c>
      <c r="V598" s="142">
        <v>4</v>
      </c>
      <c r="W598" s="141">
        <v>3652</v>
      </c>
      <c r="X598" s="141">
        <v>3653</v>
      </c>
      <c r="Y598" s="142">
        <v>1</v>
      </c>
      <c r="Z598" s="141">
        <v>53399</v>
      </c>
      <c r="AA598" s="141">
        <v>53450</v>
      </c>
      <c r="AB598" s="142">
        <v>51</v>
      </c>
    </row>
    <row r="599" spans="1:28">
      <c r="A599" s="144">
        <v>45581</v>
      </c>
      <c r="B599" s="141">
        <f t="shared" si="20"/>
        <v>74126</v>
      </c>
      <c r="C599" s="141">
        <v>74212</v>
      </c>
      <c r="D599" s="142">
        <f t="shared" si="19"/>
        <v>86</v>
      </c>
      <c r="E599" s="141">
        <v>32098</v>
      </c>
      <c r="F599" s="141">
        <v>32153</v>
      </c>
      <c r="G599" s="142">
        <v>55</v>
      </c>
      <c r="H599" s="141">
        <v>544031</v>
      </c>
      <c r="I599" s="141">
        <v>544211</v>
      </c>
      <c r="J599" s="142">
        <v>180</v>
      </c>
      <c r="Q599" s="141">
        <v>27907</v>
      </c>
      <c r="R599" s="141">
        <v>27948</v>
      </c>
      <c r="S599" s="142">
        <v>41</v>
      </c>
      <c r="T599" s="141">
        <v>5083</v>
      </c>
      <c r="U599" s="141">
        <v>5086</v>
      </c>
      <c r="V599" s="142">
        <v>3</v>
      </c>
      <c r="W599" s="141">
        <v>3653</v>
      </c>
      <c r="X599" s="141">
        <v>3655</v>
      </c>
      <c r="Y599" s="142">
        <v>2</v>
      </c>
      <c r="Z599" s="141">
        <v>53450</v>
      </c>
      <c r="AA599" s="141">
        <v>53525</v>
      </c>
      <c r="AB599" s="142">
        <v>75</v>
      </c>
    </row>
    <row r="600" spans="1:28">
      <c r="A600" s="144">
        <v>45582</v>
      </c>
      <c r="B600" s="141">
        <f t="shared" si="20"/>
        <v>74212</v>
      </c>
      <c r="C600" s="141">
        <v>74285</v>
      </c>
      <c r="D600" s="142">
        <f t="shared" si="19"/>
        <v>73</v>
      </c>
      <c r="E600" s="141">
        <v>32153</v>
      </c>
      <c r="F600" s="141">
        <v>32212</v>
      </c>
      <c r="G600" s="142">
        <v>59</v>
      </c>
      <c r="H600" s="141">
        <v>544211</v>
      </c>
      <c r="I600" s="141">
        <v>544371</v>
      </c>
      <c r="J600" s="142">
        <v>160</v>
      </c>
      <c r="Q600" s="141">
        <v>27948</v>
      </c>
      <c r="R600" s="141">
        <v>27991</v>
      </c>
      <c r="S600" s="142">
        <v>43</v>
      </c>
      <c r="T600" s="141">
        <v>5086</v>
      </c>
      <c r="U600" s="141">
        <v>5089</v>
      </c>
      <c r="V600" s="142">
        <v>3</v>
      </c>
      <c r="W600" s="141">
        <v>3655</v>
      </c>
      <c r="X600" s="141">
        <v>3656</v>
      </c>
      <c r="Y600" s="142">
        <v>1</v>
      </c>
      <c r="Z600" s="141">
        <v>53525</v>
      </c>
      <c r="AA600" s="141">
        <v>53660</v>
      </c>
      <c r="AB600" s="142">
        <v>135</v>
      </c>
    </row>
    <row r="601" spans="1:28">
      <c r="A601" s="144">
        <v>45583</v>
      </c>
      <c r="B601" s="141">
        <f t="shared" si="20"/>
        <v>74285</v>
      </c>
      <c r="C601" s="141">
        <v>74314</v>
      </c>
      <c r="D601" s="142">
        <f t="shared" si="19"/>
        <v>29</v>
      </c>
      <c r="E601" s="141">
        <v>32212</v>
      </c>
      <c r="F601" s="141">
        <v>32276</v>
      </c>
      <c r="G601" s="142">
        <v>64</v>
      </c>
      <c r="H601" s="141">
        <v>544371</v>
      </c>
      <c r="I601" s="141">
        <v>544498</v>
      </c>
      <c r="J601" s="142">
        <v>127</v>
      </c>
      <c r="Q601" s="141">
        <v>27991</v>
      </c>
      <c r="R601" s="141">
        <v>28013</v>
      </c>
      <c r="S601" s="142">
        <v>22</v>
      </c>
      <c r="T601" s="141">
        <v>5089</v>
      </c>
      <c r="U601" s="141">
        <v>5091</v>
      </c>
      <c r="V601" s="142">
        <v>2</v>
      </c>
      <c r="W601" s="141">
        <v>3656</v>
      </c>
      <c r="X601" s="141">
        <v>3657</v>
      </c>
      <c r="Y601" s="142">
        <v>1</v>
      </c>
      <c r="Z601" s="141">
        <v>53660</v>
      </c>
      <c r="AA601" s="141">
        <v>53877</v>
      </c>
      <c r="AB601" s="142">
        <v>217</v>
      </c>
    </row>
    <row r="602" spans="1:28">
      <c r="A602" s="144">
        <v>45584</v>
      </c>
      <c r="B602" s="141">
        <f t="shared" si="20"/>
        <v>74314</v>
      </c>
      <c r="C602" s="141">
        <v>74314</v>
      </c>
      <c r="D602" s="142">
        <f t="shared" si="19"/>
        <v>0</v>
      </c>
      <c r="E602" s="141">
        <v>32276</v>
      </c>
      <c r="F602" s="141">
        <v>32338</v>
      </c>
      <c r="G602" s="142">
        <v>62</v>
      </c>
      <c r="H602" s="141">
        <v>544498</v>
      </c>
      <c r="I602" s="141">
        <v>544668</v>
      </c>
      <c r="J602" s="142">
        <v>170</v>
      </c>
      <c r="Q602" s="141">
        <v>28013</v>
      </c>
      <c r="R602" s="141">
        <v>28039</v>
      </c>
      <c r="S602" s="142">
        <v>26</v>
      </c>
      <c r="T602" s="141">
        <v>5091</v>
      </c>
      <c r="U602" s="141">
        <v>5093</v>
      </c>
      <c r="V602" s="142">
        <v>2</v>
      </c>
      <c r="W602" s="141">
        <v>3657</v>
      </c>
      <c r="X602" s="141">
        <v>3659</v>
      </c>
      <c r="Y602" s="142">
        <v>2</v>
      </c>
      <c r="Z602" s="141">
        <v>53877</v>
      </c>
      <c r="AA602" s="141">
        <v>53990</v>
      </c>
      <c r="AB602" s="142">
        <v>113</v>
      </c>
    </row>
    <row r="603" spans="1:28">
      <c r="A603" s="144">
        <v>45585</v>
      </c>
      <c r="B603" s="141">
        <f t="shared" si="20"/>
        <v>74314</v>
      </c>
      <c r="C603" s="141">
        <v>74322</v>
      </c>
      <c r="D603" s="142">
        <f t="shared" si="19"/>
        <v>8</v>
      </c>
      <c r="E603" s="141">
        <v>32338</v>
      </c>
      <c r="F603" s="141">
        <v>32382</v>
      </c>
      <c r="G603" s="142">
        <v>44</v>
      </c>
      <c r="H603" s="141">
        <v>544668</v>
      </c>
      <c r="I603" s="141">
        <v>544915</v>
      </c>
      <c r="J603" s="142">
        <v>247</v>
      </c>
      <c r="Q603" s="141">
        <v>28039</v>
      </c>
      <c r="R603" s="141">
        <v>28085</v>
      </c>
      <c r="S603" s="142">
        <v>46</v>
      </c>
      <c r="T603" s="141">
        <v>5093</v>
      </c>
      <c r="U603" s="141">
        <v>5096</v>
      </c>
      <c r="V603" s="142">
        <v>3</v>
      </c>
      <c r="W603" s="141">
        <v>3659</v>
      </c>
      <c r="X603" s="141">
        <v>3660</v>
      </c>
      <c r="Y603" s="142">
        <v>1</v>
      </c>
      <c r="Z603" s="141">
        <v>53990</v>
      </c>
      <c r="AA603" s="141">
        <v>54102</v>
      </c>
      <c r="AB603" s="142">
        <v>112</v>
      </c>
    </row>
    <row r="604" spans="1:28">
      <c r="A604" s="144">
        <v>45586</v>
      </c>
      <c r="B604" s="141">
        <f t="shared" si="20"/>
        <v>74322</v>
      </c>
      <c r="C604" s="141">
        <v>74367</v>
      </c>
      <c r="D604" s="142">
        <f t="shared" si="19"/>
        <v>45</v>
      </c>
      <c r="E604" s="141">
        <v>32382</v>
      </c>
      <c r="F604" s="141">
        <v>32420</v>
      </c>
      <c r="G604" s="142">
        <v>38</v>
      </c>
      <c r="H604" s="141">
        <v>544915</v>
      </c>
      <c r="I604" s="141">
        <v>545115</v>
      </c>
      <c r="J604" s="142">
        <v>200</v>
      </c>
      <c r="Q604" s="141">
        <v>28085</v>
      </c>
      <c r="R604" s="141">
        <v>28118</v>
      </c>
      <c r="S604" s="142">
        <v>33</v>
      </c>
      <c r="T604" s="141">
        <v>5096</v>
      </c>
      <c r="U604" s="141">
        <v>5098</v>
      </c>
      <c r="V604" s="142">
        <v>2</v>
      </c>
      <c r="W604" s="141">
        <v>3660</v>
      </c>
      <c r="X604" s="141">
        <v>3663</v>
      </c>
      <c r="Y604" s="142">
        <v>3</v>
      </c>
      <c r="Z604" s="141">
        <v>54102</v>
      </c>
      <c r="AA604" s="141">
        <v>54201</v>
      </c>
      <c r="AB604" s="142">
        <v>99</v>
      </c>
    </row>
    <row r="605" spans="1:28">
      <c r="A605" s="144">
        <v>45587</v>
      </c>
      <c r="B605" s="141">
        <f t="shared" si="20"/>
        <v>74367</v>
      </c>
      <c r="C605" s="141">
        <v>74433</v>
      </c>
      <c r="D605" s="142">
        <f t="shared" si="19"/>
        <v>66</v>
      </c>
      <c r="E605" s="141">
        <v>32420</v>
      </c>
      <c r="F605" s="141">
        <v>32463</v>
      </c>
      <c r="G605" s="142">
        <v>43</v>
      </c>
      <c r="H605" s="141">
        <v>545115</v>
      </c>
      <c r="I605" s="141">
        <v>545274</v>
      </c>
      <c r="J605" s="142">
        <v>159</v>
      </c>
      <c r="Q605" s="141">
        <v>28118</v>
      </c>
      <c r="R605" s="141">
        <v>28150</v>
      </c>
      <c r="S605" s="142">
        <v>32</v>
      </c>
      <c r="T605" s="141">
        <v>5098</v>
      </c>
      <c r="U605" s="141">
        <v>5100</v>
      </c>
      <c r="V605" s="142">
        <v>2</v>
      </c>
      <c r="W605" s="141">
        <v>3663</v>
      </c>
      <c r="X605" s="141">
        <v>3664</v>
      </c>
      <c r="Y605" s="142">
        <v>1</v>
      </c>
      <c r="Z605" s="141">
        <v>54201</v>
      </c>
      <c r="AA605" s="141">
        <v>54281</v>
      </c>
      <c r="AB605" s="142">
        <v>80</v>
      </c>
    </row>
    <row r="606" spans="1:28">
      <c r="A606" s="144">
        <v>45588</v>
      </c>
      <c r="B606" s="141">
        <f t="shared" si="20"/>
        <v>74433</v>
      </c>
      <c r="C606" s="141">
        <v>74500</v>
      </c>
      <c r="D606" s="142">
        <f t="shared" si="19"/>
        <v>67</v>
      </c>
      <c r="E606" s="141">
        <v>32463</v>
      </c>
      <c r="F606" s="141">
        <v>32503</v>
      </c>
      <c r="G606" s="142">
        <v>40</v>
      </c>
      <c r="H606" s="141">
        <v>545274</v>
      </c>
      <c r="I606" s="141">
        <v>545462</v>
      </c>
      <c r="J606" s="142">
        <v>188</v>
      </c>
      <c r="Q606" s="141">
        <v>28150</v>
      </c>
      <c r="R606" s="141">
        <v>28171</v>
      </c>
      <c r="S606" s="142">
        <v>21</v>
      </c>
      <c r="T606" s="141">
        <v>5100</v>
      </c>
      <c r="U606" s="141">
        <v>5102</v>
      </c>
      <c r="V606" s="142">
        <v>2</v>
      </c>
      <c r="W606" s="141">
        <v>3664</v>
      </c>
      <c r="X606" s="141">
        <v>3665</v>
      </c>
      <c r="Y606" s="142">
        <v>1</v>
      </c>
      <c r="Z606" s="141">
        <v>54281</v>
      </c>
      <c r="AA606" s="141">
        <v>54365</v>
      </c>
      <c r="AB606" s="142">
        <v>84</v>
      </c>
    </row>
    <row r="607" spans="1:28">
      <c r="A607" s="144">
        <v>45589</v>
      </c>
      <c r="B607" s="141">
        <f t="shared" si="20"/>
        <v>74500</v>
      </c>
      <c r="C607" s="141">
        <v>74556</v>
      </c>
      <c r="D607" s="142">
        <f t="shared" si="19"/>
        <v>56</v>
      </c>
      <c r="E607" s="141">
        <v>32503</v>
      </c>
      <c r="F607" s="141">
        <v>32545</v>
      </c>
      <c r="G607" s="142">
        <v>42</v>
      </c>
      <c r="H607" s="141">
        <v>545462</v>
      </c>
      <c r="I607" s="141">
        <v>545653</v>
      </c>
      <c r="J607" s="142">
        <v>191</v>
      </c>
      <c r="Q607" s="141">
        <v>28171</v>
      </c>
      <c r="R607" s="141">
        <v>28217</v>
      </c>
      <c r="S607" s="142">
        <v>46</v>
      </c>
      <c r="T607" s="141">
        <v>5102</v>
      </c>
      <c r="U607" s="141">
        <v>5105</v>
      </c>
      <c r="V607" s="142">
        <v>3</v>
      </c>
      <c r="W607" s="141">
        <v>3665</v>
      </c>
      <c r="X607" s="141">
        <v>3667</v>
      </c>
      <c r="Y607" s="142">
        <v>2</v>
      </c>
      <c r="Z607" s="141">
        <v>54365</v>
      </c>
      <c r="AA607" s="141">
        <v>54425</v>
      </c>
      <c r="AB607" s="142">
        <v>60</v>
      </c>
    </row>
    <row r="608" spans="1:28">
      <c r="A608" s="144">
        <v>45590</v>
      </c>
      <c r="B608" s="141">
        <f t="shared" si="20"/>
        <v>74556</v>
      </c>
      <c r="C608" s="141">
        <v>74634</v>
      </c>
      <c r="D608" s="142">
        <f t="shared" si="19"/>
        <v>78</v>
      </c>
      <c r="E608" s="141">
        <v>32545</v>
      </c>
      <c r="F608" s="141">
        <v>32585</v>
      </c>
      <c r="G608" s="142">
        <v>40</v>
      </c>
      <c r="H608" s="141">
        <v>545653</v>
      </c>
      <c r="I608" s="141">
        <v>545941</v>
      </c>
      <c r="J608" s="142">
        <v>288</v>
      </c>
      <c r="Q608" s="141">
        <v>28217</v>
      </c>
      <c r="R608" s="141">
        <v>28269</v>
      </c>
      <c r="S608" s="142">
        <v>52</v>
      </c>
      <c r="T608" s="141">
        <v>5105</v>
      </c>
      <c r="U608" s="141">
        <v>5107</v>
      </c>
      <c r="V608" s="142">
        <v>2</v>
      </c>
      <c r="W608" s="141">
        <v>3667</v>
      </c>
      <c r="X608" s="141">
        <v>3669</v>
      </c>
      <c r="Y608" s="142">
        <v>2</v>
      </c>
      <c r="Z608" s="141">
        <v>54425</v>
      </c>
      <c r="AA608" s="141">
        <v>54540</v>
      </c>
      <c r="AB608" s="142">
        <v>115</v>
      </c>
    </row>
    <row r="609" spans="1:28">
      <c r="A609" s="144">
        <v>45591</v>
      </c>
      <c r="B609" s="141">
        <f t="shared" si="20"/>
        <v>74634</v>
      </c>
      <c r="C609" s="141">
        <v>74717</v>
      </c>
      <c r="D609" s="142">
        <f t="shared" si="19"/>
        <v>83</v>
      </c>
      <c r="E609" s="141">
        <v>32585</v>
      </c>
      <c r="F609" s="141">
        <v>32630</v>
      </c>
      <c r="G609" s="142">
        <v>45</v>
      </c>
      <c r="H609" s="141">
        <v>545941</v>
      </c>
      <c r="I609" s="141">
        <v>546105</v>
      </c>
      <c r="J609" s="142">
        <v>164</v>
      </c>
      <c r="Q609" s="141">
        <v>28269</v>
      </c>
      <c r="R609" s="141">
        <v>28310</v>
      </c>
      <c r="S609" s="142">
        <v>41</v>
      </c>
      <c r="T609" s="141">
        <v>5107</v>
      </c>
      <c r="U609" s="141">
        <v>5108</v>
      </c>
      <c r="V609" s="142">
        <v>1</v>
      </c>
      <c r="W609" s="141">
        <v>3669</v>
      </c>
      <c r="X609" s="141">
        <v>3671</v>
      </c>
      <c r="Y609" s="142">
        <v>2</v>
      </c>
      <c r="Z609" s="141">
        <v>54540</v>
      </c>
      <c r="AA609" s="141">
        <v>54615</v>
      </c>
      <c r="AB609" s="142">
        <v>75</v>
      </c>
    </row>
    <row r="610" spans="1:28">
      <c r="A610" s="144">
        <v>45592</v>
      </c>
      <c r="B610" s="141">
        <f t="shared" si="20"/>
        <v>74717</v>
      </c>
      <c r="C610" s="141">
        <v>74798</v>
      </c>
      <c r="D610" s="142">
        <f t="shared" si="19"/>
        <v>81</v>
      </c>
      <c r="E610" s="141">
        <v>32630</v>
      </c>
      <c r="F610" s="141">
        <v>32685</v>
      </c>
      <c r="G610" s="142">
        <v>55</v>
      </c>
      <c r="H610" s="141">
        <v>546105</v>
      </c>
      <c r="I610" s="141">
        <v>546302</v>
      </c>
      <c r="J610" s="142">
        <v>197</v>
      </c>
      <c r="Q610" s="141">
        <v>28310</v>
      </c>
      <c r="R610" s="141">
        <v>28348</v>
      </c>
      <c r="S610" s="142">
        <v>38</v>
      </c>
      <c r="T610" s="141">
        <v>5108</v>
      </c>
      <c r="U610" s="141">
        <v>5111</v>
      </c>
      <c r="V610" s="142">
        <v>3</v>
      </c>
      <c r="W610" s="141">
        <v>3671</v>
      </c>
      <c r="X610" s="141">
        <v>3672</v>
      </c>
      <c r="Y610" s="142">
        <v>1</v>
      </c>
      <c r="Z610" s="141">
        <v>54615</v>
      </c>
      <c r="AA610" s="141">
        <v>54697</v>
      </c>
      <c r="AB610" s="142">
        <v>82</v>
      </c>
    </row>
    <row r="611" spans="1:28">
      <c r="A611" s="144">
        <v>45593</v>
      </c>
      <c r="B611" s="141">
        <f t="shared" si="20"/>
        <v>74798</v>
      </c>
      <c r="C611" s="141">
        <v>74851</v>
      </c>
      <c r="D611" s="142">
        <f t="shared" si="19"/>
        <v>53</v>
      </c>
      <c r="E611" s="141">
        <v>32685</v>
      </c>
      <c r="F611" s="141">
        <v>32720</v>
      </c>
      <c r="G611" s="142">
        <v>35</v>
      </c>
      <c r="H611" s="141">
        <v>546302</v>
      </c>
      <c r="I611" s="141">
        <v>546460</v>
      </c>
      <c r="J611" s="142">
        <v>158</v>
      </c>
      <c r="Q611" s="141">
        <v>28348</v>
      </c>
      <c r="R611" s="141">
        <v>28378</v>
      </c>
      <c r="S611" s="142">
        <v>30</v>
      </c>
      <c r="T611" s="141">
        <v>5111</v>
      </c>
      <c r="U611" s="141">
        <v>5113</v>
      </c>
      <c r="V611" s="142">
        <v>2</v>
      </c>
      <c r="W611" s="141">
        <v>3672</v>
      </c>
      <c r="X611" s="141">
        <v>3674</v>
      </c>
      <c r="Y611" s="142">
        <v>2</v>
      </c>
      <c r="Z611" s="141">
        <v>54697</v>
      </c>
      <c r="AA611" s="141">
        <v>54736</v>
      </c>
      <c r="AB611" s="142">
        <v>39</v>
      </c>
    </row>
    <row r="612" spans="1:28">
      <c r="A612" s="144">
        <v>45594</v>
      </c>
      <c r="B612" s="141">
        <f t="shared" si="20"/>
        <v>74851</v>
      </c>
      <c r="C612" s="141">
        <v>74882</v>
      </c>
      <c r="D612" s="142">
        <f t="shared" si="19"/>
        <v>31</v>
      </c>
      <c r="E612" s="141">
        <v>32720</v>
      </c>
      <c r="F612" s="141">
        <v>32759</v>
      </c>
      <c r="G612" s="142">
        <v>39</v>
      </c>
      <c r="H612" s="141">
        <v>546460</v>
      </c>
      <c r="I612" s="141">
        <v>546585</v>
      </c>
      <c r="J612" s="142">
        <v>125</v>
      </c>
      <c r="Q612" s="141">
        <v>28378</v>
      </c>
      <c r="R612" s="141">
        <v>28446</v>
      </c>
      <c r="S612" s="142">
        <v>68</v>
      </c>
      <c r="T612" s="141">
        <v>5113</v>
      </c>
      <c r="U612" s="141">
        <v>5115</v>
      </c>
      <c r="V612" s="142">
        <v>2</v>
      </c>
      <c r="W612" s="141">
        <v>3674</v>
      </c>
      <c r="X612" s="141">
        <v>3677</v>
      </c>
      <c r="Y612" s="142">
        <v>3</v>
      </c>
      <c r="Z612" s="141">
        <v>54736</v>
      </c>
      <c r="AA612" s="141">
        <v>54765</v>
      </c>
      <c r="AB612" s="142">
        <v>29</v>
      </c>
    </row>
    <row r="613" spans="1:28">
      <c r="A613" s="144">
        <v>45595</v>
      </c>
      <c r="B613" s="141">
        <f t="shared" si="20"/>
        <v>74882</v>
      </c>
      <c r="C613" s="141">
        <v>74968</v>
      </c>
      <c r="D613" s="142">
        <f t="shared" si="19"/>
        <v>86</v>
      </c>
      <c r="E613" s="141">
        <v>32759</v>
      </c>
      <c r="F613" s="141">
        <v>32808</v>
      </c>
      <c r="G613" s="142">
        <v>49</v>
      </c>
      <c r="H613" s="141">
        <v>546585</v>
      </c>
      <c r="I613" s="141">
        <v>546707</v>
      </c>
      <c r="J613" s="142">
        <v>122</v>
      </c>
      <c r="Q613" s="141">
        <v>28446</v>
      </c>
      <c r="R613" s="141">
        <v>28499</v>
      </c>
      <c r="S613" s="142">
        <v>53</v>
      </c>
      <c r="T613" s="141">
        <v>5115</v>
      </c>
      <c r="U613" s="141">
        <v>5117</v>
      </c>
      <c r="V613" s="142">
        <v>2</v>
      </c>
      <c r="W613" s="141">
        <v>3677</v>
      </c>
      <c r="X613" s="141">
        <v>3678</v>
      </c>
      <c r="Y613" s="142">
        <v>1</v>
      </c>
      <c r="Z613" s="141">
        <v>54765</v>
      </c>
      <c r="AA613" s="141">
        <v>54880</v>
      </c>
      <c r="AB613" s="142">
        <v>115</v>
      </c>
    </row>
    <row r="614" spans="1:28">
      <c r="A614" s="144">
        <v>45596</v>
      </c>
      <c r="B614" s="141">
        <f t="shared" si="20"/>
        <v>74968</v>
      </c>
      <c r="C614" s="141">
        <v>75185</v>
      </c>
      <c r="D614" s="142">
        <v>48</v>
      </c>
      <c r="E614" s="141">
        <v>32808</v>
      </c>
      <c r="F614" s="141">
        <v>32856</v>
      </c>
      <c r="G614" s="142">
        <v>48</v>
      </c>
      <c r="H614" s="141">
        <v>546707</v>
      </c>
      <c r="I614" s="141">
        <v>546877</v>
      </c>
      <c r="J614" s="142">
        <v>170</v>
      </c>
      <c r="Q614" s="141">
        <v>28499</v>
      </c>
      <c r="R614" s="141">
        <v>28532</v>
      </c>
      <c r="S614" s="142">
        <v>33</v>
      </c>
      <c r="T614" s="141">
        <v>5117</v>
      </c>
      <c r="U614" s="141">
        <v>5119</v>
      </c>
      <c r="V614" s="142">
        <v>2</v>
      </c>
      <c r="W614" s="141">
        <v>3678</v>
      </c>
      <c r="X614" s="141">
        <v>3680</v>
      </c>
      <c r="Y614" s="142">
        <v>2</v>
      </c>
      <c r="Z614" s="141">
        <v>54880</v>
      </c>
      <c r="AA614" s="141">
        <v>54960</v>
      </c>
      <c r="AB614" s="142">
        <v>80</v>
      </c>
    </row>
    <row r="615" spans="1:28">
      <c r="A615" s="144">
        <v>45597</v>
      </c>
      <c r="B615" s="141">
        <f t="shared" si="20"/>
        <v>75185</v>
      </c>
      <c r="C615" s="141">
        <v>75338</v>
      </c>
      <c r="D615" s="142">
        <v>55</v>
      </c>
      <c r="E615" s="141">
        <v>32856</v>
      </c>
      <c r="F615" s="141">
        <v>32899</v>
      </c>
      <c r="G615" s="142">
        <v>43</v>
      </c>
      <c r="H615" s="141">
        <v>546877</v>
      </c>
      <c r="I615" s="141">
        <v>547018</v>
      </c>
      <c r="J615" s="142">
        <v>141</v>
      </c>
      <c r="Q615" s="141">
        <v>28532</v>
      </c>
      <c r="R615" s="141">
        <v>28597</v>
      </c>
      <c r="S615" s="142">
        <v>65</v>
      </c>
      <c r="T615" s="141">
        <v>5119</v>
      </c>
      <c r="U615" s="141">
        <v>5134</v>
      </c>
      <c r="V615" s="142">
        <v>15</v>
      </c>
      <c r="W615" s="141">
        <v>3680</v>
      </c>
      <c r="X615" s="141">
        <v>3684</v>
      </c>
      <c r="Y615" s="142">
        <v>4</v>
      </c>
      <c r="Z615" s="141">
        <v>54960</v>
      </c>
      <c r="AA615" s="141">
        <v>55017</v>
      </c>
      <c r="AB615" s="142">
        <v>57</v>
      </c>
    </row>
    <row r="616" spans="1:28">
      <c r="A616" s="144">
        <v>45598</v>
      </c>
      <c r="B616" s="141">
        <f t="shared" si="20"/>
        <v>75338</v>
      </c>
      <c r="C616" s="141">
        <v>75684</v>
      </c>
      <c r="D616" s="142">
        <v>45</v>
      </c>
      <c r="E616" s="141">
        <v>32899</v>
      </c>
      <c r="F616" s="141">
        <v>33306</v>
      </c>
      <c r="G616" s="142">
        <v>407</v>
      </c>
      <c r="H616" s="141">
        <v>547018</v>
      </c>
      <c r="I616" s="141">
        <v>547150</v>
      </c>
      <c r="J616" s="142">
        <v>132</v>
      </c>
      <c r="Q616" s="141">
        <v>28597</v>
      </c>
      <c r="R616" s="141">
        <v>28626</v>
      </c>
      <c r="S616" s="142">
        <v>29</v>
      </c>
      <c r="T616" s="141">
        <v>5134</v>
      </c>
      <c r="U616" s="141">
        <v>5150</v>
      </c>
      <c r="V616" s="142">
        <v>16</v>
      </c>
      <c r="W616" s="141">
        <v>3684</v>
      </c>
      <c r="X616" s="141">
        <v>3789</v>
      </c>
      <c r="Y616" s="142">
        <v>105</v>
      </c>
      <c r="Z616" s="141">
        <v>55017</v>
      </c>
      <c r="AA616" s="141">
        <v>55069</v>
      </c>
      <c r="AB616" s="142">
        <v>52</v>
      </c>
    </row>
    <row r="617" spans="1:28">
      <c r="A617" s="144">
        <v>45599</v>
      </c>
      <c r="B617" s="141">
        <f t="shared" si="20"/>
        <v>75684</v>
      </c>
      <c r="C617" s="141">
        <v>75770</v>
      </c>
      <c r="D617" s="142">
        <f t="shared" ref="D617:D623" si="21">C617-B617</f>
        <v>86</v>
      </c>
      <c r="E617" s="141">
        <v>33306</v>
      </c>
      <c r="F617" s="141">
        <v>33348</v>
      </c>
      <c r="G617" s="142">
        <v>42</v>
      </c>
      <c r="H617" s="141">
        <v>547150</v>
      </c>
      <c r="I617" s="141">
        <v>547315</v>
      </c>
      <c r="J617" s="142">
        <v>165</v>
      </c>
      <c r="Q617" s="141">
        <v>28626</v>
      </c>
      <c r="R617" s="141">
        <v>28663</v>
      </c>
      <c r="S617" s="142">
        <v>37</v>
      </c>
      <c r="T617" s="141">
        <v>5150</v>
      </c>
      <c r="U617" s="141">
        <v>5159</v>
      </c>
      <c r="V617" s="142">
        <v>9</v>
      </c>
      <c r="W617" s="141">
        <v>3789</v>
      </c>
      <c r="X617" s="141">
        <v>3795</v>
      </c>
      <c r="Y617" s="142">
        <v>6</v>
      </c>
      <c r="Z617" s="141">
        <v>55069</v>
      </c>
      <c r="AA617" s="141">
        <v>55155</v>
      </c>
      <c r="AB617" s="142">
        <v>86</v>
      </c>
    </row>
    <row r="618" spans="1:28">
      <c r="A618" s="144">
        <v>45600</v>
      </c>
      <c r="B618" s="141">
        <f t="shared" si="20"/>
        <v>75770</v>
      </c>
      <c r="C618" s="141">
        <v>75851</v>
      </c>
      <c r="D618" s="142">
        <f t="shared" si="21"/>
        <v>81</v>
      </c>
      <c r="E618" s="141">
        <v>33348</v>
      </c>
      <c r="F618" s="141">
        <v>33392</v>
      </c>
      <c r="G618" s="142">
        <v>44</v>
      </c>
      <c r="H618" s="141">
        <v>547315</v>
      </c>
      <c r="I618" s="141">
        <v>547462</v>
      </c>
      <c r="J618" s="142">
        <v>147</v>
      </c>
      <c r="Q618" s="141">
        <v>28663</v>
      </c>
      <c r="R618" s="141">
        <v>28723</v>
      </c>
      <c r="S618" s="142">
        <v>60</v>
      </c>
      <c r="T618" s="141">
        <v>5159</v>
      </c>
      <c r="U618" s="141">
        <v>5163</v>
      </c>
      <c r="V618" s="142">
        <v>4</v>
      </c>
      <c r="W618" s="141">
        <v>3795</v>
      </c>
      <c r="X618" s="141">
        <v>3798</v>
      </c>
      <c r="Y618" s="142">
        <v>3</v>
      </c>
      <c r="Z618" s="141">
        <v>55155</v>
      </c>
      <c r="AA618" s="141">
        <v>55199</v>
      </c>
      <c r="AB618" s="142">
        <v>44</v>
      </c>
    </row>
    <row r="619" spans="1:28">
      <c r="A619" s="144">
        <v>45601</v>
      </c>
      <c r="B619" s="141">
        <f t="shared" si="20"/>
        <v>75851</v>
      </c>
      <c r="C619" s="141">
        <v>75928</v>
      </c>
      <c r="D619" s="142">
        <f t="shared" si="21"/>
        <v>77</v>
      </c>
      <c r="E619" s="141">
        <v>33392</v>
      </c>
      <c r="F619" s="141">
        <v>33428</v>
      </c>
      <c r="G619" s="142">
        <v>36</v>
      </c>
      <c r="H619" s="141">
        <v>547462</v>
      </c>
      <c r="I619" s="141">
        <v>547659</v>
      </c>
      <c r="J619" s="142">
        <v>197</v>
      </c>
      <c r="Q619" s="141">
        <v>28723</v>
      </c>
      <c r="R619" s="141">
        <v>28760</v>
      </c>
      <c r="S619" s="142">
        <v>37</v>
      </c>
      <c r="T619" s="141">
        <v>5163</v>
      </c>
      <c r="U619" s="141">
        <v>5169</v>
      </c>
      <c r="V619" s="142">
        <v>6</v>
      </c>
      <c r="W619" s="141">
        <v>3798</v>
      </c>
      <c r="X619" s="141">
        <v>3801</v>
      </c>
      <c r="Y619" s="142">
        <v>3</v>
      </c>
      <c r="Z619" s="141">
        <v>55199</v>
      </c>
      <c r="AA619" s="141">
        <v>55290</v>
      </c>
      <c r="AB619" s="142">
        <v>91</v>
      </c>
    </row>
    <row r="620" spans="1:28">
      <c r="A620" s="144">
        <v>45602</v>
      </c>
      <c r="B620" s="141">
        <f t="shared" si="20"/>
        <v>75928</v>
      </c>
      <c r="C620" s="141">
        <v>76012</v>
      </c>
      <c r="D620" s="142">
        <f t="shared" si="21"/>
        <v>84</v>
      </c>
      <c r="E620" s="141">
        <v>33428</v>
      </c>
      <c r="F620" s="141">
        <v>33473</v>
      </c>
      <c r="G620" s="142">
        <v>45</v>
      </c>
      <c r="H620" s="141">
        <v>547659</v>
      </c>
      <c r="I620" s="141">
        <v>547776</v>
      </c>
      <c r="J620" s="142">
        <v>117</v>
      </c>
      <c r="Q620" s="141">
        <v>28760</v>
      </c>
      <c r="R620" s="141">
        <v>28802</v>
      </c>
      <c r="S620" s="142">
        <v>42</v>
      </c>
      <c r="T620" s="141">
        <v>5169</v>
      </c>
      <c r="U620" s="141">
        <v>5176</v>
      </c>
      <c r="V620" s="142">
        <v>7</v>
      </c>
      <c r="W620" s="141">
        <v>3801</v>
      </c>
      <c r="X620" s="141">
        <v>3810</v>
      </c>
      <c r="Y620" s="142">
        <v>9</v>
      </c>
      <c r="Z620" s="141">
        <v>55290</v>
      </c>
      <c r="AA620" s="141">
        <v>55470</v>
      </c>
      <c r="AB620" s="142">
        <v>180</v>
      </c>
    </row>
    <row r="621" spans="1:28">
      <c r="A621" s="144">
        <v>45603</v>
      </c>
      <c r="B621" s="141">
        <f t="shared" si="20"/>
        <v>76012</v>
      </c>
      <c r="C621" s="141">
        <v>76094</v>
      </c>
      <c r="D621" s="142">
        <f t="shared" si="21"/>
        <v>82</v>
      </c>
      <c r="E621" s="141">
        <v>33473</v>
      </c>
      <c r="F621" s="141">
        <v>33515</v>
      </c>
      <c r="G621" s="142">
        <v>42</v>
      </c>
      <c r="H621" s="141">
        <v>547776</v>
      </c>
      <c r="I621" s="141">
        <v>547932</v>
      </c>
      <c r="J621" s="142">
        <v>156</v>
      </c>
      <c r="Q621" s="141">
        <v>28802</v>
      </c>
      <c r="R621" s="141">
        <v>28839</v>
      </c>
      <c r="S621" s="142">
        <v>37</v>
      </c>
      <c r="T621" s="141">
        <v>5176</v>
      </c>
      <c r="U621" s="141">
        <v>5180</v>
      </c>
      <c r="V621" s="142">
        <v>4</v>
      </c>
      <c r="W621" s="141">
        <v>3810</v>
      </c>
      <c r="X621" s="141">
        <v>3815</v>
      </c>
      <c r="Y621" s="142">
        <v>5</v>
      </c>
      <c r="Z621" s="141">
        <v>55470</v>
      </c>
      <c r="AA621" s="141">
        <v>55501</v>
      </c>
      <c r="AB621" s="142">
        <v>31</v>
      </c>
    </row>
    <row r="622" spans="1:28">
      <c r="A622" s="144">
        <v>45604</v>
      </c>
      <c r="B622" s="141">
        <f t="shared" si="20"/>
        <v>76094</v>
      </c>
      <c r="C622" s="141">
        <v>76169</v>
      </c>
      <c r="D622" s="142">
        <f t="shared" si="21"/>
        <v>75</v>
      </c>
      <c r="E622" s="141">
        <v>33515</v>
      </c>
      <c r="F622" s="141">
        <v>33560</v>
      </c>
      <c r="G622" s="142">
        <v>45</v>
      </c>
      <c r="H622" s="141">
        <v>547932</v>
      </c>
      <c r="I622" s="141">
        <v>548081</v>
      </c>
      <c r="J622" s="142">
        <v>149</v>
      </c>
      <c r="Q622" s="141">
        <v>28839</v>
      </c>
      <c r="R622" s="141">
        <v>28887</v>
      </c>
      <c r="S622" s="142">
        <v>48</v>
      </c>
      <c r="T622" s="141">
        <v>5180</v>
      </c>
      <c r="U622" s="141">
        <v>5189</v>
      </c>
      <c r="V622" s="142">
        <v>9</v>
      </c>
      <c r="W622" s="141">
        <v>3815</v>
      </c>
      <c r="X622" s="141">
        <v>3821</v>
      </c>
      <c r="Y622" s="142">
        <v>6</v>
      </c>
      <c r="Z622" s="141">
        <v>55501</v>
      </c>
      <c r="AA622" s="141">
        <v>55600</v>
      </c>
      <c r="AB622" s="142">
        <v>99</v>
      </c>
    </row>
    <row r="623" spans="1:28">
      <c r="A623" s="144">
        <v>45605</v>
      </c>
      <c r="B623" s="141">
        <f t="shared" si="20"/>
        <v>76169</v>
      </c>
      <c r="C623" s="141">
        <v>76239</v>
      </c>
      <c r="D623" s="142">
        <f t="shared" si="21"/>
        <v>70</v>
      </c>
      <c r="E623" s="141">
        <v>33560</v>
      </c>
      <c r="F623" s="141">
        <v>33623</v>
      </c>
      <c r="G623" s="142">
        <v>63</v>
      </c>
      <c r="H623" s="141">
        <v>548081</v>
      </c>
      <c r="I623" s="141">
        <v>548351</v>
      </c>
      <c r="J623" s="142">
        <v>270</v>
      </c>
      <c r="Q623" s="141">
        <v>28887</v>
      </c>
      <c r="R623" s="141">
        <v>28935</v>
      </c>
      <c r="S623" s="142">
        <v>48</v>
      </c>
      <c r="T623" s="141">
        <v>5189</v>
      </c>
      <c r="U623" s="141">
        <v>5198</v>
      </c>
      <c r="V623" s="142">
        <v>9</v>
      </c>
      <c r="W623" s="141">
        <v>3821</v>
      </c>
      <c r="X623" s="141">
        <v>3824</v>
      </c>
      <c r="Y623" s="142">
        <v>3</v>
      </c>
      <c r="Z623" s="141">
        <v>55600</v>
      </c>
      <c r="AA623" s="141">
        <v>55720</v>
      </c>
      <c r="AB623" s="142">
        <v>120</v>
      </c>
    </row>
    <row r="624" spans="1:28">
      <c r="A624" s="144">
        <v>45606</v>
      </c>
      <c r="B624" s="141">
        <f t="shared" si="20"/>
        <v>76239</v>
      </c>
      <c r="C624" s="141">
        <v>76329</v>
      </c>
      <c r="D624" s="142">
        <v>59</v>
      </c>
      <c r="E624" s="141">
        <v>33623</v>
      </c>
      <c r="F624" s="141">
        <v>33678</v>
      </c>
      <c r="G624" s="142">
        <v>55</v>
      </c>
      <c r="H624" s="141">
        <v>548351</v>
      </c>
      <c r="I624" s="141">
        <v>548510</v>
      </c>
      <c r="J624" s="142">
        <v>159</v>
      </c>
      <c r="Q624" s="141">
        <v>28935</v>
      </c>
      <c r="R624" s="141">
        <v>28968</v>
      </c>
      <c r="S624" s="142">
        <v>33</v>
      </c>
      <c r="T624" s="141">
        <v>5198</v>
      </c>
      <c r="U624" s="141">
        <v>5203</v>
      </c>
      <c r="V624" s="142">
        <v>5</v>
      </c>
      <c r="W624" s="141">
        <v>3824</v>
      </c>
      <c r="X624" s="141">
        <v>3829</v>
      </c>
      <c r="Y624" s="142">
        <v>5</v>
      </c>
      <c r="Z624" s="141">
        <v>55720</v>
      </c>
      <c r="AA624" s="141">
        <v>55860</v>
      </c>
      <c r="AB624" s="142">
        <v>140</v>
      </c>
    </row>
    <row r="625" spans="1:28">
      <c r="A625" s="144">
        <v>45607</v>
      </c>
      <c r="B625" s="141">
        <f t="shared" si="20"/>
        <v>76329</v>
      </c>
      <c r="C625" s="141">
        <v>76398</v>
      </c>
      <c r="D625" s="142">
        <f>C625-B625</f>
        <v>69</v>
      </c>
      <c r="E625" s="141">
        <v>33678</v>
      </c>
      <c r="F625" s="141">
        <v>33732</v>
      </c>
      <c r="G625" s="142">
        <v>54</v>
      </c>
      <c r="H625" s="141">
        <v>548510</v>
      </c>
      <c r="I625" s="141">
        <v>548694</v>
      </c>
      <c r="J625" s="142">
        <v>184</v>
      </c>
      <c r="Q625" s="141">
        <v>28968</v>
      </c>
      <c r="R625" s="141">
        <v>29005</v>
      </c>
      <c r="S625" s="142">
        <v>37</v>
      </c>
      <c r="T625" s="141">
        <v>5203</v>
      </c>
      <c r="U625" s="141">
        <v>5207</v>
      </c>
      <c r="V625" s="142">
        <v>4</v>
      </c>
      <c r="W625" s="141">
        <v>3829</v>
      </c>
      <c r="X625" s="141">
        <v>3833</v>
      </c>
      <c r="Y625" s="142">
        <v>4</v>
      </c>
      <c r="Z625" s="141">
        <v>55860</v>
      </c>
      <c r="AA625" s="141">
        <v>55968</v>
      </c>
      <c r="AB625" s="142">
        <v>108</v>
      </c>
    </row>
    <row r="626" spans="1:28">
      <c r="A626" s="144">
        <v>45608</v>
      </c>
      <c r="B626" s="141">
        <f t="shared" si="20"/>
        <v>76398</v>
      </c>
      <c r="C626" s="141">
        <v>76475</v>
      </c>
      <c r="D626" s="142">
        <f>C626-B626</f>
        <v>77</v>
      </c>
      <c r="E626" s="141">
        <v>33732</v>
      </c>
      <c r="F626" s="141">
        <v>33773</v>
      </c>
      <c r="G626" s="142">
        <v>41</v>
      </c>
      <c r="H626" s="141">
        <v>548694</v>
      </c>
      <c r="I626" s="141">
        <v>548820</v>
      </c>
      <c r="J626" s="142">
        <v>126</v>
      </c>
      <c r="Q626" s="141">
        <v>29005</v>
      </c>
      <c r="R626" s="141">
        <v>29050</v>
      </c>
      <c r="S626" s="142">
        <v>45</v>
      </c>
      <c r="T626" s="141">
        <v>5207</v>
      </c>
      <c r="U626" s="141">
        <v>5213</v>
      </c>
      <c r="V626" s="142">
        <v>6</v>
      </c>
      <c r="W626" s="141">
        <v>3833</v>
      </c>
      <c r="X626" s="141">
        <v>3839</v>
      </c>
      <c r="Y626" s="142">
        <v>6</v>
      </c>
      <c r="Z626" s="141">
        <v>55968</v>
      </c>
      <c r="AA626" s="141">
        <v>56020</v>
      </c>
      <c r="AB626" s="142">
        <v>52</v>
      </c>
    </row>
    <row r="627" spans="1:28">
      <c r="A627" s="144">
        <v>45609</v>
      </c>
      <c r="B627" s="141">
        <f t="shared" si="20"/>
        <v>76475</v>
      </c>
      <c r="C627" s="141">
        <v>76564</v>
      </c>
      <c r="D627" s="142">
        <v>49</v>
      </c>
      <c r="E627" s="141">
        <v>33773</v>
      </c>
      <c r="F627" s="141">
        <v>33807</v>
      </c>
      <c r="G627" s="142">
        <v>34</v>
      </c>
      <c r="H627" s="141">
        <v>548820</v>
      </c>
      <c r="I627" s="141">
        <v>548976</v>
      </c>
      <c r="J627" s="142">
        <v>156</v>
      </c>
      <c r="Q627" s="141">
        <v>29050</v>
      </c>
      <c r="R627" s="141">
        <v>29102</v>
      </c>
      <c r="S627" s="142">
        <v>52</v>
      </c>
      <c r="T627" s="141">
        <v>5213</v>
      </c>
      <c r="U627" s="141">
        <v>5217</v>
      </c>
      <c r="V627" s="142">
        <v>4</v>
      </c>
      <c r="W627" s="141">
        <v>3839</v>
      </c>
      <c r="X627" s="141">
        <v>3841</v>
      </c>
      <c r="Y627" s="142">
        <v>2</v>
      </c>
      <c r="Z627" s="141">
        <v>56020</v>
      </c>
      <c r="AA627" s="141">
        <v>56097</v>
      </c>
      <c r="AB627" s="142">
        <v>77</v>
      </c>
    </row>
    <row r="628" spans="1:28">
      <c r="A628" s="144">
        <v>45610</v>
      </c>
      <c r="B628" s="141">
        <f t="shared" si="20"/>
        <v>76564</v>
      </c>
      <c r="C628" s="141">
        <v>76644</v>
      </c>
      <c r="D628" s="142">
        <f t="shared" ref="D628:D659" si="22">C628-B628</f>
        <v>80</v>
      </c>
      <c r="E628" s="141">
        <v>33807</v>
      </c>
      <c r="F628" s="141">
        <v>33849</v>
      </c>
      <c r="G628" s="142">
        <v>42</v>
      </c>
      <c r="H628" s="141">
        <v>548976</v>
      </c>
      <c r="I628" s="141">
        <v>549110</v>
      </c>
      <c r="J628" s="142">
        <v>134</v>
      </c>
      <c r="Q628" s="141">
        <v>29102</v>
      </c>
      <c r="R628" s="141">
        <v>29146</v>
      </c>
      <c r="S628" s="142">
        <v>44</v>
      </c>
      <c r="T628" s="141">
        <v>5217</v>
      </c>
      <c r="U628" s="141">
        <v>5223</v>
      </c>
      <c r="V628" s="142">
        <v>6</v>
      </c>
      <c r="W628" s="141">
        <v>3841</v>
      </c>
      <c r="X628" s="141">
        <v>3846</v>
      </c>
      <c r="Y628" s="142">
        <v>5</v>
      </c>
      <c r="Z628" s="141">
        <v>56097</v>
      </c>
      <c r="AA628" s="141">
        <v>56168</v>
      </c>
      <c r="AB628" s="142">
        <v>71</v>
      </c>
    </row>
    <row r="629" spans="1:28">
      <c r="A629" s="144">
        <v>45611</v>
      </c>
      <c r="B629" s="141">
        <f t="shared" si="20"/>
        <v>76644</v>
      </c>
      <c r="C629" s="141">
        <v>76724</v>
      </c>
      <c r="D629" s="142">
        <f t="shared" si="22"/>
        <v>80</v>
      </c>
      <c r="E629" s="141">
        <v>33849</v>
      </c>
      <c r="F629" s="141">
        <v>33888</v>
      </c>
      <c r="G629" s="142">
        <v>39</v>
      </c>
      <c r="H629" s="141">
        <v>549110</v>
      </c>
      <c r="I629" s="141">
        <v>549272</v>
      </c>
      <c r="J629" s="142">
        <v>162</v>
      </c>
      <c r="Q629" s="141">
        <v>29146</v>
      </c>
      <c r="R629" s="141">
        <v>29187</v>
      </c>
      <c r="S629" s="142">
        <v>41</v>
      </c>
      <c r="T629" s="141">
        <v>5223</v>
      </c>
      <c r="U629" s="141">
        <v>5228</v>
      </c>
      <c r="V629" s="142">
        <v>5</v>
      </c>
      <c r="W629" s="141">
        <v>3846</v>
      </c>
      <c r="X629" s="141">
        <v>3849</v>
      </c>
      <c r="Y629" s="142">
        <v>3</v>
      </c>
      <c r="Z629" s="141">
        <v>56168</v>
      </c>
      <c r="AA629" s="141">
        <v>56272</v>
      </c>
      <c r="AB629" s="142">
        <v>104</v>
      </c>
    </row>
    <row r="630" spans="1:28">
      <c r="A630" s="144">
        <v>45612</v>
      </c>
      <c r="B630" s="141">
        <f t="shared" si="20"/>
        <v>76724</v>
      </c>
      <c r="C630" s="141">
        <v>76798</v>
      </c>
      <c r="D630" s="142">
        <f t="shared" si="22"/>
        <v>74</v>
      </c>
      <c r="E630" s="141">
        <v>33888</v>
      </c>
      <c r="F630" s="141">
        <v>33974</v>
      </c>
      <c r="G630" s="142">
        <v>86</v>
      </c>
      <c r="H630" s="141">
        <v>549272</v>
      </c>
      <c r="I630" s="141">
        <v>549459</v>
      </c>
      <c r="J630" s="142">
        <v>187</v>
      </c>
      <c r="Q630" s="141">
        <v>29187</v>
      </c>
      <c r="R630" s="141">
        <v>29219</v>
      </c>
      <c r="S630" s="142">
        <v>32</v>
      </c>
      <c r="T630" s="141">
        <v>5228</v>
      </c>
      <c r="U630" s="141">
        <v>5234</v>
      </c>
      <c r="V630" s="142">
        <v>6</v>
      </c>
      <c r="W630" s="141">
        <v>3849</v>
      </c>
      <c r="X630" s="141">
        <v>3853</v>
      </c>
      <c r="Y630" s="142">
        <v>4</v>
      </c>
      <c r="Z630" s="141">
        <v>56272</v>
      </c>
      <c r="AA630" s="141">
        <v>56544</v>
      </c>
      <c r="AB630" s="142">
        <v>272</v>
      </c>
    </row>
    <row r="631" spans="1:28">
      <c r="A631" s="144">
        <v>45613</v>
      </c>
      <c r="B631" s="141">
        <f t="shared" si="20"/>
        <v>76798</v>
      </c>
      <c r="C631" s="141">
        <v>76862</v>
      </c>
      <c r="D631" s="142">
        <f t="shared" si="22"/>
        <v>64</v>
      </c>
      <c r="E631" s="141">
        <v>33974</v>
      </c>
      <c r="F631" s="141">
        <v>34007</v>
      </c>
      <c r="G631" s="142">
        <v>33</v>
      </c>
      <c r="H631" s="141">
        <v>549459</v>
      </c>
      <c r="I631" s="141">
        <v>549507</v>
      </c>
      <c r="J631" s="142">
        <v>48</v>
      </c>
      <c r="Q631" s="141">
        <v>29219</v>
      </c>
      <c r="R631" s="141">
        <v>29240</v>
      </c>
      <c r="S631" s="142">
        <v>21</v>
      </c>
      <c r="T631" s="141">
        <v>5234</v>
      </c>
      <c r="U631" s="141">
        <v>5236</v>
      </c>
      <c r="V631" s="142">
        <v>2</v>
      </c>
      <c r="W631" s="141">
        <v>3853</v>
      </c>
      <c r="X631" s="141">
        <v>3854</v>
      </c>
      <c r="Y631" s="142">
        <v>1</v>
      </c>
      <c r="Z631" s="141">
        <v>56544</v>
      </c>
      <c r="AA631" s="141">
        <v>56586</v>
      </c>
      <c r="AB631" s="142">
        <v>42</v>
      </c>
    </row>
    <row r="632" spans="1:28">
      <c r="A632" s="144">
        <v>45614</v>
      </c>
      <c r="B632" s="141">
        <f t="shared" si="20"/>
        <v>76862</v>
      </c>
      <c r="C632" s="141">
        <v>76932</v>
      </c>
      <c r="D632" s="142">
        <f t="shared" si="22"/>
        <v>70</v>
      </c>
      <c r="E632" s="141">
        <v>34007</v>
      </c>
      <c r="F632" s="141">
        <v>34047</v>
      </c>
      <c r="G632" s="142">
        <v>40</v>
      </c>
      <c r="H632" s="141">
        <v>549507</v>
      </c>
      <c r="I632" s="141">
        <v>549657</v>
      </c>
      <c r="J632" s="142">
        <v>150</v>
      </c>
      <c r="Q632" s="141">
        <v>29240</v>
      </c>
      <c r="R632" s="141">
        <v>29282</v>
      </c>
      <c r="S632" s="142">
        <v>42</v>
      </c>
      <c r="T632" s="141">
        <v>5236</v>
      </c>
      <c r="U632" s="141">
        <v>5239</v>
      </c>
      <c r="V632" s="142">
        <v>3</v>
      </c>
      <c r="W632" s="141">
        <v>3854</v>
      </c>
      <c r="X632" s="141">
        <v>3855</v>
      </c>
      <c r="Y632" s="142">
        <v>1</v>
      </c>
      <c r="Z632" s="141">
        <v>56586</v>
      </c>
      <c r="AA632" s="141">
        <v>56649</v>
      </c>
      <c r="AB632" s="142">
        <v>63</v>
      </c>
    </row>
    <row r="633" spans="1:28">
      <c r="A633" s="144">
        <v>45615</v>
      </c>
      <c r="B633" s="141">
        <f t="shared" si="20"/>
        <v>76932</v>
      </c>
      <c r="C633" s="141">
        <v>77005</v>
      </c>
      <c r="D633" s="142">
        <f t="shared" si="22"/>
        <v>73</v>
      </c>
      <c r="E633" s="141">
        <v>34047</v>
      </c>
      <c r="F633" s="141">
        <v>34099</v>
      </c>
      <c r="G633" s="142">
        <v>52</v>
      </c>
      <c r="H633" s="141">
        <v>549657</v>
      </c>
      <c r="I633" s="141">
        <v>549826</v>
      </c>
      <c r="J633" s="142">
        <v>169</v>
      </c>
      <c r="Q633" s="141">
        <v>29282</v>
      </c>
      <c r="R633" s="141">
        <v>29321</v>
      </c>
      <c r="S633" s="142">
        <v>39</v>
      </c>
      <c r="T633" s="141">
        <v>5239</v>
      </c>
      <c r="U633" s="141">
        <v>5245</v>
      </c>
      <c r="V633" s="142">
        <v>6</v>
      </c>
      <c r="W633" s="141">
        <v>3855</v>
      </c>
      <c r="X633" s="141">
        <v>3857</v>
      </c>
      <c r="Y633" s="142">
        <v>2</v>
      </c>
      <c r="Z633" s="141">
        <v>56649</v>
      </c>
      <c r="AA633" s="141">
        <v>56846</v>
      </c>
      <c r="AB633" s="142">
        <v>197</v>
      </c>
    </row>
    <row r="634" spans="1:28">
      <c r="A634" s="144">
        <v>45616</v>
      </c>
      <c r="B634" s="141">
        <f t="shared" si="20"/>
        <v>77005</v>
      </c>
      <c r="C634" s="141">
        <v>77092</v>
      </c>
      <c r="D634" s="142">
        <f t="shared" si="22"/>
        <v>87</v>
      </c>
      <c r="E634" s="141">
        <v>34099</v>
      </c>
      <c r="F634" s="141">
        <v>34143</v>
      </c>
      <c r="G634" s="142">
        <v>44</v>
      </c>
      <c r="H634" s="141">
        <v>549826</v>
      </c>
      <c r="I634" s="141">
        <v>549980</v>
      </c>
      <c r="J634" s="142">
        <v>154</v>
      </c>
      <c r="Q634" s="141">
        <v>29321</v>
      </c>
      <c r="R634" s="141">
        <v>29351</v>
      </c>
      <c r="S634" s="142">
        <v>30</v>
      </c>
      <c r="T634" s="141">
        <v>5245</v>
      </c>
      <c r="U634" s="141">
        <v>5249</v>
      </c>
      <c r="V634" s="142">
        <v>4</v>
      </c>
      <c r="W634" s="141">
        <v>3857</v>
      </c>
      <c r="X634" s="141">
        <v>3860</v>
      </c>
      <c r="Y634" s="142">
        <v>3</v>
      </c>
      <c r="Z634" s="141">
        <v>56846</v>
      </c>
      <c r="AA634" s="141">
        <v>56950</v>
      </c>
      <c r="AB634" s="142">
        <v>104</v>
      </c>
    </row>
    <row r="635" spans="1:28">
      <c r="A635" s="144">
        <v>45617</v>
      </c>
      <c r="B635" s="141">
        <f t="shared" si="20"/>
        <v>77092</v>
      </c>
      <c r="C635" s="141">
        <v>77165</v>
      </c>
      <c r="D635" s="142">
        <f t="shared" si="22"/>
        <v>73</v>
      </c>
      <c r="E635" s="141">
        <v>34143</v>
      </c>
      <c r="F635" s="141">
        <v>34181</v>
      </c>
      <c r="G635" s="142">
        <v>38</v>
      </c>
      <c r="H635" s="141">
        <v>549980</v>
      </c>
      <c r="I635" s="141">
        <v>550176</v>
      </c>
      <c r="J635" s="142">
        <v>196</v>
      </c>
      <c r="Q635" s="141">
        <v>29351</v>
      </c>
      <c r="R635" s="141">
        <v>29387</v>
      </c>
      <c r="S635" s="142">
        <v>36</v>
      </c>
      <c r="T635" s="141">
        <v>5249</v>
      </c>
      <c r="U635" s="141">
        <v>5253</v>
      </c>
      <c r="V635" s="142">
        <v>4</v>
      </c>
      <c r="W635" s="141">
        <v>3860</v>
      </c>
      <c r="X635" s="141">
        <v>3862</v>
      </c>
      <c r="Y635" s="142">
        <v>2</v>
      </c>
      <c r="Z635" s="141">
        <v>56950</v>
      </c>
      <c r="AA635" s="141">
        <v>57050</v>
      </c>
      <c r="AB635" s="142">
        <v>100</v>
      </c>
    </row>
    <row r="636" spans="1:28">
      <c r="A636" s="144">
        <v>45618</v>
      </c>
      <c r="B636" s="141">
        <f t="shared" si="20"/>
        <v>77165</v>
      </c>
      <c r="C636" s="141">
        <v>77252</v>
      </c>
      <c r="D636" s="142">
        <f t="shared" si="22"/>
        <v>87</v>
      </c>
      <c r="E636" s="141">
        <v>34181</v>
      </c>
      <c r="F636" s="141">
        <v>34221</v>
      </c>
      <c r="G636" s="142">
        <v>40</v>
      </c>
      <c r="H636" s="141">
        <v>550176</v>
      </c>
      <c r="I636" s="141">
        <v>550302</v>
      </c>
      <c r="J636" s="142">
        <v>126</v>
      </c>
      <c r="Q636" s="141">
        <v>29387</v>
      </c>
      <c r="R636" s="141">
        <v>29426</v>
      </c>
      <c r="S636" s="142">
        <v>39</v>
      </c>
      <c r="T636" s="141">
        <v>5253</v>
      </c>
      <c r="U636" s="141">
        <v>5257</v>
      </c>
      <c r="V636" s="142">
        <v>4</v>
      </c>
      <c r="W636" s="141">
        <v>3862</v>
      </c>
      <c r="X636" s="141">
        <v>3863</v>
      </c>
      <c r="Y636" s="142">
        <v>1</v>
      </c>
      <c r="Z636" s="141">
        <v>57050</v>
      </c>
      <c r="AA636" s="141">
        <v>57163</v>
      </c>
      <c r="AB636" s="142">
        <v>113</v>
      </c>
    </row>
    <row r="637" spans="1:28">
      <c r="A637" s="144">
        <v>45619</v>
      </c>
      <c r="B637" s="141">
        <f t="shared" si="20"/>
        <v>77252</v>
      </c>
      <c r="C637" s="141">
        <v>77344</v>
      </c>
      <c r="D637" s="142">
        <f t="shared" si="22"/>
        <v>92</v>
      </c>
      <c r="E637" s="141">
        <v>34221</v>
      </c>
      <c r="F637" s="141">
        <v>34264</v>
      </c>
      <c r="G637" s="142">
        <v>43</v>
      </c>
      <c r="H637" s="141">
        <v>550302</v>
      </c>
      <c r="I637" s="141">
        <v>550476</v>
      </c>
      <c r="J637" s="142">
        <v>174</v>
      </c>
      <c r="Q637" s="141">
        <v>29426</v>
      </c>
      <c r="R637" s="141">
        <v>29464</v>
      </c>
      <c r="S637" s="142">
        <v>38</v>
      </c>
      <c r="T637" s="141">
        <v>5257</v>
      </c>
      <c r="U637" s="141">
        <v>5263</v>
      </c>
      <c r="V637" s="142">
        <v>6</v>
      </c>
      <c r="W637" s="141">
        <v>3863</v>
      </c>
      <c r="X637" s="141">
        <v>3865</v>
      </c>
      <c r="Y637" s="142">
        <v>2</v>
      </c>
      <c r="Z637" s="141">
        <v>57163</v>
      </c>
      <c r="AA637" s="141">
        <v>57214</v>
      </c>
      <c r="AB637" s="142">
        <v>51</v>
      </c>
    </row>
    <row r="638" spans="1:28">
      <c r="A638" s="144">
        <v>45620</v>
      </c>
      <c r="B638" s="141">
        <f t="shared" si="20"/>
        <v>77344</v>
      </c>
      <c r="C638" s="141">
        <v>77421</v>
      </c>
      <c r="D638" s="142">
        <f t="shared" si="22"/>
        <v>77</v>
      </c>
      <c r="E638" s="141">
        <v>34264</v>
      </c>
      <c r="F638" s="141">
        <v>34299</v>
      </c>
      <c r="G638" s="142">
        <v>35</v>
      </c>
      <c r="H638" s="141">
        <v>550476</v>
      </c>
      <c r="I638" s="141">
        <v>550584</v>
      </c>
      <c r="J638" s="142">
        <v>108</v>
      </c>
      <c r="Q638" s="141">
        <v>29464</v>
      </c>
      <c r="R638" s="141">
        <v>29497</v>
      </c>
      <c r="S638" s="142">
        <v>33</v>
      </c>
      <c r="T638" s="141">
        <v>5263</v>
      </c>
      <c r="U638" s="141">
        <v>5269</v>
      </c>
      <c r="V638" s="142">
        <v>6</v>
      </c>
      <c r="W638" s="141">
        <v>3865</v>
      </c>
      <c r="X638" s="141">
        <v>3867</v>
      </c>
      <c r="Y638" s="142">
        <v>2</v>
      </c>
      <c r="Z638" s="141">
        <v>57214</v>
      </c>
      <c r="AA638" s="141">
        <v>57296</v>
      </c>
      <c r="AB638" s="142">
        <v>82</v>
      </c>
    </row>
    <row r="639" spans="1:28">
      <c r="A639" s="144">
        <v>45621</v>
      </c>
      <c r="B639" s="141">
        <f t="shared" si="20"/>
        <v>77421</v>
      </c>
      <c r="C639" s="141">
        <v>77495</v>
      </c>
      <c r="D639" s="142">
        <f t="shared" si="22"/>
        <v>74</v>
      </c>
      <c r="E639" s="141">
        <v>34299</v>
      </c>
      <c r="F639" s="141">
        <v>34330</v>
      </c>
      <c r="G639" s="142">
        <v>31</v>
      </c>
      <c r="H639" s="141">
        <v>550584</v>
      </c>
      <c r="I639" s="141">
        <v>550731</v>
      </c>
      <c r="J639" s="142">
        <v>147</v>
      </c>
      <c r="Q639" s="141">
        <v>29497</v>
      </c>
      <c r="R639" s="141">
        <v>29529</v>
      </c>
      <c r="S639" s="142">
        <v>32</v>
      </c>
      <c r="T639" s="141">
        <v>5269</v>
      </c>
      <c r="U639" s="141">
        <v>5271</v>
      </c>
      <c r="V639" s="142">
        <v>2</v>
      </c>
      <c r="W639" s="141">
        <v>3867</v>
      </c>
      <c r="X639" s="141">
        <v>3870</v>
      </c>
      <c r="Y639" s="142">
        <v>3</v>
      </c>
      <c r="Z639" s="141">
        <v>57296</v>
      </c>
      <c r="AA639" s="141">
        <v>57380</v>
      </c>
      <c r="AB639" s="142">
        <v>84</v>
      </c>
    </row>
    <row r="640" spans="1:28">
      <c r="A640" s="144">
        <v>45622</v>
      </c>
      <c r="B640" s="141">
        <f t="shared" si="20"/>
        <v>77495</v>
      </c>
      <c r="C640" s="141">
        <v>77563</v>
      </c>
      <c r="D640" s="142">
        <f t="shared" si="22"/>
        <v>68</v>
      </c>
      <c r="E640" s="141">
        <v>34330</v>
      </c>
      <c r="F640" s="141">
        <v>34370</v>
      </c>
      <c r="G640" s="142">
        <v>40</v>
      </c>
      <c r="H640" s="141">
        <v>550731</v>
      </c>
      <c r="I640" s="141">
        <v>550867</v>
      </c>
      <c r="J640" s="142">
        <v>136</v>
      </c>
      <c r="Q640" s="141">
        <v>29529</v>
      </c>
      <c r="R640" s="141">
        <v>29566</v>
      </c>
      <c r="S640" s="142">
        <v>37</v>
      </c>
      <c r="T640" s="141">
        <v>5271</v>
      </c>
      <c r="U640" s="141">
        <v>5273</v>
      </c>
      <c r="V640" s="142">
        <v>2</v>
      </c>
      <c r="W640" s="141">
        <v>3870</v>
      </c>
      <c r="X640" s="141">
        <v>3870</v>
      </c>
      <c r="Y640" s="142">
        <v>0</v>
      </c>
      <c r="Z640" s="141">
        <v>57380</v>
      </c>
      <c r="AA640" s="141">
        <v>57490</v>
      </c>
      <c r="AB640" s="142">
        <v>110</v>
      </c>
    </row>
    <row r="641" spans="1:28">
      <c r="A641" s="144">
        <v>45623</v>
      </c>
      <c r="B641" s="141">
        <f t="shared" si="20"/>
        <v>77563</v>
      </c>
      <c r="C641" s="141">
        <v>77650</v>
      </c>
      <c r="D641" s="142">
        <f t="shared" si="22"/>
        <v>87</v>
      </c>
      <c r="E641" s="141">
        <v>34370</v>
      </c>
      <c r="F641" s="141">
        <v>34413</v>
      </c>
      <c r="G641" s="142">
        <v>43</v>
      </c>
      <c r="H641" s="141">
        <v>550867</v>
      </c>
      <c r="I641" s="141">
        <v>550992</v>
      </c>
      <c r="J641" s="142">
        <v>125</v>
      </c>
      <c r="Q641" s="141">
        <v>29566</v>
      </c>
      <c r="R641" s="141">
        <v>29601</v>
      </c>
      <c r="S641" s="142">
        <v>35</v>
      </c>
      <c r="T641" s="141">
        <v>5273</v>
      </c>
      <c r="U641" s="141">
        <v>5279</v>
      </c>
      <c r="V641" s="142">
        <v>6</v>
      </c>
      <c r="W641" s="141">
        <v>3870</v>
      </c>
      <c r="X641" s="141">
        <v>3870</v>
      </c>
      <c r="Y641" s="142">
        <v>0</v>
      </c>
      <c r="Z641" s="141">
        <v>57490</v>
      </c>
      <c r="AA641" s="141">
        <v>57563</v>
      </c>
      <c r="AB641" s="142">
        <v>73</v>
      </c>
    </row>
    <row r="642" spans="1:28">
      <c r="A642" s="144">
        <v>45624</v>
      </c>
      <c r="B642" s="141">
        <f t="shared" si="20"/>
        <v>77650</v>
      </c>
      <c r="C642" s="141">
        <v>77728</v>
      </c>
      <c r="D642" s="142">
        <f t="shared" si="22"/>
        <v>78</v>
      </c>
      <c r="E642" s="141">
        <v>34413</v>
      </c>
      <c r="F642" s="141">
        <v>34453</v>
      </c>
      <c r="G642" s="142">
        <v>40</v>
      </c>
      <c r="H642" s="141">
        <v>550992</v>
      </c>
      <c r="I642" s="141">
        <v>551234</v>
      </c>
      <c r="J642" s="142">
        <v>242</v>
      </c>
      <c r="Q642" s="141">
        <v>29601</v>
      </c>
      <c r="R642" s="141">
        <v>29642</v>
      </c>
      <c r="S642" s="142">
        <v>41</v>
      </c>
      <c r="T642" s="141">
        <v>5279</v>
      </c>
      <c r="U642" s="141">
        <v>5283</v>
      </c>
      <c r="V642" s="142">
        <v>4</v>
      </c>
      <c r="W642" s="141">
        <v>3870</v>
      </c>
      <c r="X642" s="141">
        <v>3870</v>
      </c>
      <c r="Y642" s="142">
        <v>0</v>
      </c>
      <c r="Z642" s="141">
        <v>57563</v>
      </c>
      <c r="AA642" s="141">
        <v>57699</v>
      </c>
      <c r="AB642" s="142">
        <v>136</v>
      </c>
    </row>
    <row r="643" spans="1:28">
      <c r="A643" s="144">
        <v>45625</v>
      </c>
      <c r="B643" s="141">
        <f t="shared" si="20"/>
        <v>77728</v>
      </c>
      <c r="C643" s="141">
        <v>77803</v>
      </c>
      <c r="D643" s="142">
        <f t="shared" si="22"/>
        <v>75</v>
      </c>
      <c r="E643" s="141">
        <v>34453</v>
      </c>
      <c r="F643" s="141">
        <v>34486</v>
      </c>
      <c r="G643" s="142">
        <v>33</v>
      </c>
      <c r="H643" s="141">
        <v>551234</v>
      </c>
      <c r="I643" s="141">
        <v>551423</v>
      </c>
      <c r="J643" s="142">
        <v>189</v>
      </c>
      <c r="Q643" s="141">
        <v>29642</v>
      </c>
      <c r="R643" s="141">
        <v>29682</v>
      </c>
      <c r="S643" s="142">
        <v>40</v>
      </c>
      <c r="T643" s="141">
        <v>5283</v>
      </c>
      <c r="U643" s="141">
        <v>5285</v>
      </c>
      <c r="V643" s="142">
        <v>2</v>
      </c>
      <c r="W643" s="141">
        <v>3870</v>
      </c>
      <c r="X643" s="141">
        <v>3870</v>
      </c>
      <c r="Y643" s="142">
        <v>0</v>
      </c>
      <c r="Z643" s="141">
        <v>57699</v>
      </c>
      <c r="AA643" s="141">
        <v>57722</v>
      </c>
      <c r="AB643" s="142">
        <v>23</v>
      </c>
    </row>
    <row r="644" spans="1:28">
      <c r="A644" s="144">
        <v>45626</v>
      </c>
      <c r="B644" s="141">
        <f t="shared" si="20"/>
        <v>77803</v>
      </c>
      <c r="C644" s="141">
        <v>77815</v>
      </c>
      <c r="D644" s="142">
        <f t="shared" si="22"/>
        <v>12</v>
      </c>
      <c r="E644" s="141">
        <v>34486</v>
      </c>
      <c r="F644" s="141">
        <v>34499</v>
      </c>
      <c r="G644" s="142">
        <v>13</v>
      </c>
      <c r="H644" s="141">
        <v>551423</v>
      </c>
      <c r="I644" s="141">
        <v>551623</v>
      </c>
      <c r="J644" s="142">
        <v>200</v>
      </c>
      <c r="Q644" s="141">
        <v>29682</v>
      </c>
      <c r="R644" s="141">
        <v>29726</v>
      </c>
      <c r="S644" s="142">
        <v>44</v>
      </c>
      <c r="T644" s="141">
        <v>5285</v>
      </c>
      <c r="U644" s="141">
        <v>5286</v>
      </c>
      <c r="V644" s="142">
        <v>1</v>
      </c>
      <c r="W644" s="141">
        <v>3870</v>
      </c>
      <c r="X644" s="141">
        <v>3870</v>
      </c>
      <c r="Y644" s="142">
        <v>0</v>
      </c>
      <c r="Z644" s="141">
        <v>57722</v>
      </c>
      <c r="AA644" s="141">
        <v>57729</v>
      </c>
      <c r="AB644" s="142">
        <v>7</v>
      </c>
    </row>
    <row r="645" spans="1:28">
      <c r="A645" s="144">
        <v>45627</v>
      </c>
      <c r="B645" s="141">
        <f t="shared" si="20"/>
        <v>77815</v>
      </c>
      <c r="C645" s="141">
        <v>77919</v>
      </c>
      <c r="D645" s="142">
        <f t="shared" si="22"/>
        <v>104</v>
      </c>
      <c r="E645" s="141">
        <v>34499</v>
      </c>
      <c r="F645" s="141">
        <v>34526</v>
      </c>
      <c r="G645" s="142">
        <v>27</v>
      </c>
      <c r="H645" s="141">
        <v>551623</v>
      </c>
      <c r="I645" s="141">
        <v>551857</v>
      </c>
      <c r="J645" s="142">
        <v>234</v>
      </c>
      <c r="Q645" s="141">
        <v>29726</v>
      </c>
      <c r="R645" s="141">
        <v>29759</v>
      </c>
      <c r="S645" s="142">
        <v>33</v>
      </c>
      <c r="T645" s="141">
        <v>5286</v>
      </c>
      <c r="U645" s="141">
        <v>5289</v>
      </c>
      <c r="V645" s="142">
        <v>3</v>
      </c>
      <c r="W645" s="141">
        <v>3870</v>
      </c>
      <c r="X645" s="141">
        <v>3870</v>
      </c>
      <c r="Y645" s="142">
        <v>0</v>
      </c>
      <c r="Z645" s="141">
        <v>57729</v>
      </c>
      <c r="AA645" s="141">
        <v>57789</v>
      </c>
      <c r="AB645" s="142">
        <v>60</v>
      </c>
    </row>
    <row r="646" spans="1:28">
      <c r="A646" s="144">
        <v>45628</v>
      </c>
      <c r="B646" s="141">
        <f t="shared" si="20"/>
        <v>77919</v>
      </c>
      <c r="C646" s="141">
        <v>78001</v>
      </c>
      <c r="D646" s="142">
        <f t="shared" si="22"/>
        <v>82</v>
      </c>
      <c r="E646" s="141">
        <v>34526</v>
      </c>
      <c r="F646" s="141">
        <v>34561</v>
      </c>
      <c r="G646" s="142">
        <v>35</v>
      </c>
      <c r="H646" s="141">
        <v>551857</v>
      </c>
      <c r="I646" s="141">
        <v>551992</v>
      </c>
      <c r="J646" s="142">
        <v>135</v>
      </c>
      <c r="Q646" s="141">
        <v>29759</v>
      </c>
      <c r="R646" s="141">
        <v>29796</v>
      </c>
      <c r="S646" s="142">
        <v>37</v>
      </c>
      <c r="T646" s="141">
        <v>5289</v>
      </c>
      <c r="U646" s="141">
        <v>5291</v>
      </c>
      <c r="V646" s="142">
        <v>2</v>
      </c>
      <c r="W646" s="141">
        <v>3870</v>
      </c>
      <c r="X646" s="141">
        <v>3870</v>
      </c>
      <c r="Y646" s="142">
        <v>0</v>
      </c>
      <c r="Z646" s="141">
        <v>57789</v>
      </c>
      <c r="AA646" s="141">
        <v>57873</v>
      </c>
      <c r="AB646" s="142">
        <v>84</v>
      </c>
    </row>
    <row r="647" spans="1:28">
      <c r="A647" s="144">
        <v>45629</v>
      </c>
      <c r="B647" s="141">
        <f t="shared" si="20"/>
        <v>78001</v>
      </c>
      <c r="C647" s="141">
        <v>78178</v>
      </c>
      <c r="D647" s="142">
        <f t="shared" si="22"/>
        <v>177</v>
      </c>
      <c r="E647" s="141">
        <v>34561</v>
      </c>
      <c r="F647" s="141">
        <v>34600</v>
      </c>
      <c r="G647" s="142">
        <v>39</v>
      </c>
      <c r="H647" s="141">
        <v>551992</v>
      </c>
      <c r="I647" s="141">
        <v>552124</v>
      </c>
      <c r="J647" s="142">
        <v>132</v>
      </c>
      <c r="Q647" s="141">
        <v>29796</v>
      </c>
      <c r="R647" s="141">
        <v>29837</v>
      </c>
      <c r="S647" s="142">
        <v>41</v>
      </c>
      <c r="T647" s="141">
        <v>5291</v>
      </c>
      <c r="U647" s="141">
        <v>5295</v>
      </c>
      <c r="V647" s="142">
        <v>4</v>
      </c>
      <c r="W647" s="141">
        <v>3870</v>
      </c>
      <c r="X647" s="141">
        <v>3870</v>
      </c>
      <c r="Y647" s="142">
        <v>0</v>
      </c>
      <c r="Z647" s="141">
        <v>57873</v>
      </c>
      <c r="AA647" s="141">
        <v>57949</v>
      </c>
      <c r="AB647" s="142">
        <v>76</v>
      </c>
    </row>
    <row r="648" spans="1:28">
      <c r="A648" s="144">
        <v>45630</v>
      </c>
      <c r="B648" s="141">
        <f t="shared" si="20"/>
        <v>78178</v>
      </c>
      <c r="C648" s="141">
        <v>78202</v>
      </c>
      <c r="D648" s="142">
        <f t="shared" si="22"/>
        <v>24</v>
      </c>
      <c r="E648" s="141">
        <v>34600</v>
      </c>
      <c r="F648" s="141">
        <v>34643</v>
      </c>
      <c r="G648" s="142">
        <v>43</v>
      </c>
      <c r="H648" s="141">
        <v>552124</v>
      </c>
      <c r="I648" s="141">
        <v>552312</v>
      </c>
      <c r="J648" s="142">
        <v>188</v>
      </c>
      <c r="Q648" s="141">
        <v>29837</v>
      </c>
      <c r="R648" s="141">
        <v>29873</v>
      </c>
      <c r="S648" s="142">
        <v>36</v>
      </c>
      <c r="T648" s="141">
        <v>5295</v>
      </c>
      <c r="U648" s="141">
        <v>5299</v>
      </c>
      <c r="V648" s="142">
        <v>4</v>
      </c>
      <c r="W648" s="141">
        <v>3870</v>
      </c>
      <c r="X648" s="141">
        <v>3870</v>
      </c>
      <c r="Y648" s="142">
        <v>0</v>
      </c>
      <c r="Z648" s="141">
        <v>57949</v>
      </c>
      <c r="AA648" s="141">
        <v>58036</v>
      </c>
      <c r="AB648" s="142">
        <v>87</v>
      </c>
    </row>
    <row r="649" spans="1:28">
      <c r="A649" s="144">
        <v>45631</v>
      </c>
      <c r="B649" s="141">
        <f t="shared" si="20"/>
        <v>78202</v>
      </c>
      <c r="C649" s="141">
        <v>78235</v>
      </c>
      <c r="D649" s="142">
        <f t="shared" si="22"/>
        <v>33</v>
      </c>
      <c r="E649" s="141">
        <v>34643</v>
      </c>
      <c r="F649" s="141">
        <v>34681</v>
      </c>
      <c r="G649" s="142">
        <v>38</v>
      </c>
      <c r="H649" s="141">
        <v>552312</v>
      </c>
      <c r="I649" s="141">
        <v>552449</v>
      </c>
      <c r="J649" s="142">
        <v>137</v>
      </c>
      <c r="Q649" s="141">
        <v>29873</v>
      </c>
      <c r="R649" s="141">
        <v>29938</v>
      </c>
      <c r="S649" s="142">
        <v>65</v>
      </c>
      <c r="T649" s="141">
        <v>5299</v>
      </c>
      <c r="U649" s="141">
        <v>5305</v>
      </c>
      <c r="V649" s="142">
        <v>6</v>
      </c>
      <c r="W649" s="141">
        <v>3870</v>
      </c>
      <c r="X649" s="141">
        <v>3870</v>
      </c>
      <c r="Y649" s="142">
        <v>0</v>
      </c>
      <c r="Z649" s="141">
        <v>58036</v>
      </c>
      <c r="AA649" s="141">
        <v>58197</v>
      </c>
      <c r="AB649" s="142">
        <v>161</v>
      </c>
    </row>
    <row r="650" spans="1:28">
      <c r="A650" s="144">
        <v>45632</v>
      </c>
      <c r="B650" s="141">
        <f t="shared" si="20"/>
        <v>78235</v>
      </c>
      <c r="C650" s="141">
        <v>78294</v>
      </c>
      <c r="D650" s="142">
        <f t="shared" si="22"/>
        <v>59</v>
      </c>
      <c r="E650" s="141">
        <v>34681</v>
      </c>
      <c r="F650" s="141">
        <v>34723</v>
      </c>
      <c r="G650" s="142">
        <v>42</v>
      </c>
      <c r="H650" s="141">
        <v>552449</v>
      </c>
      <c r="I650" s="141">
        <v>552607</v>
      </c>
      <c r="J650" s="142">
        <v>158</v>
      </c>
      <c r="Q650" s="141">
        <v>29938</v>
      </c>
      <c r="R650" s="141">
        <v>29978</v>
      </c>
      <c r="S650" s="142">
        <v>40</v>
      </c>
      <c r="T650" s="141">
        <v>5305</v>
      </c>
      <c r="U650" s="141">
        <v>5309</v>
      </c>
      <c r="V650" s="142">
        <v>4</v>
      </c>
      <c r="W650" s="141">
        <v>3870</v>
      </c>
      <c r="X650" s="141">
        <v>3870</v>
      </c>
      <c r="Y650" s="142">
        <v>0</v>
      </c>
      <c r="Z650" s="141">
        <v>58197</v>
      </c>
      <c r="AA650" s="141">
        <v>58364</v>
      </c>
      <c r="AB650" s="142">
        <v>167</v>
      </c>
    </row>
    <row r="651" spans="1:28">
      <c r="A651" s="144">
        <v>45633</v>
      </c>
      <c r="B651" s="141">
        <f t="shared" si="20"/>
        <v>78294</v>
      </c>
      <c r="C651" s="141">
        <v>78397</v>
      </c>
      <c r="D651" s="142">
        <f t="shared" si="22"/>
        <v>103</v>
      </c>
      <c r="E651" s="141">
        <v>34723</v>
      </c>
      <c r="F651" s="141">
        <v>34778</v>
      </c>
      <c r="G651" s="142">
        <v>55</v>
      </c>
      <c r="H651" s="141">
        <v>552607</v>
      </c>
      <c r="I651" s="141">
        <v>552730</v>
      </c>
      <c r="J651" s="142">
        <v>123</v>
      </c>
      <c r="Q651" s="141">
        <v>29978</v>
      </c>
      <c r="R651" s="141">
        <v>30022</v>
      </c>
      <c r="S651" s="142">
        <v>44</v>
      </c>
      <c r="T651" s="141">
        <v>5309</v>
      </c>
      <c r="U651" s="141">
        <v>5315</v>
      </c>
      <c r="V651" s="142">
        <v>6</v>
      </c>
      <c r="W651" s="141">
        <v>3870</v>
      </c>
      <c r="X651" s="141">
        <v>3870</v>
      </c>
      <c r="Y651" s="142">
        <v>0</v>
      </c>
      <c r="Z651" s="141">
        <v>58364</v>
      </c>
      <c r="AA651" s="141">
        <v>58498</v>
      </c>
      <c r="AB651" s="142">
        <v>134</v>
      </c>
    </row>
    <row r="652" spans="1:28">
      <c r="A652" s="144">
        <v>45634</v>
      </c>
      <c r="B652" s="141">
        <f t="shared" si="20"/>
        <v>78397</v>
      </c>
      <c r="C652" s="141">
        <v>78487</v>
      </c>
      <c r="D652" s="142">
        <f t="shared" si="22"/>
        <v>90</v>
      </c>
      <c r="E652" s="141">
        <v>34778</v>
      </c>
      <c r="F652" s="141">
        <v>34825</v>
      </c>
      <c r="G652" s="142">
        <v>47</v>
      </c>
      <c r="H652" s="141">
        <v>552730</v>
      </c>
      <c r="I652" s="141">
        <v>552852</v>
      </c>
      <c r="J652" s="142">
        <v>122</v>
      </c>
      <c r="Q652" s="141">
        <v>30022</v>
      </c>
      <c r="R652" s="141">
        <v>30068</v>
      </c>
      <c r="S652" s="142">
        <v>46</v>
      </c>
      <c r="T652" s="141">
        <v>5315</v>
      </c>
      <c r="U652" s="141">
        <v>5319</v>
      </c>
      <c r="V652" s="142">
        <v>4</v>
      </c>
      <c r="W652" s="141">
        <v>3870</v>
      </c>
      <c r="X652" s="141">
        <v>3870</v>
      </c>
      <c r="Y652" s="142">
        <v>0</v>
      </c>
      <c r="Z652" s="141">
        <v>58498</v>
      </c>
      <c r="AA652" s="141">
        <v>58599</v>
      </c>
      <c r="AB652" s="142">
        <v>101</v>
      </c>
    </row>
    <row r="653" spans="1:28">
      <c r="A653" s="144">
        <v>45635</v>
      </c>
      <c r="B653" s="141">
        <f t="shared" ref="B653:B659" si="23">C652</f>
        <v>78487</v>
      </c>
      <c r="C653" s="141">
        <v>78558</v>
      </c>
      <c r="D653" s="142">
        <f t="shared" si="22"/>
        <v>71</v>
      </c>
      <c r="E653" s="141">
        <v>34825</v>
      </c>
      <c r="F653" s="141">
        <v>34868</v>
      </c>
      <c r="G653" s="142">
        <v>43</v>
      </c>
      <c r="H653" s="141">
        <v>552852</v>
      </c>
      <c r="I653" s="141">
        <v>552894</v>
      </c>
      <c r="J653" s="142">
        <v>42</v>
      </c>
      <c r="Q653" s="141">
        <v>30068</v>
      </c>
      <c r="R653" s="141">
        <v>30109</v>
      </c>
      <c r="S653" s="142">
        <v>41</v>
      </c>
      <c r="T653" s="141">
        <v>5319</v>
      </c>
      <c r="U653" s="141">
        <v>5321</v>
      </c>
      <c r="V653" s="142">
        <v>2</v>
      </c>
      <c r="W653" s="141">
        <v>3870</v>
      </c>
      <c r="X653" s="141">
        <v>3870</v>
      </c>
      <c r="Y653" s="142">
        <v>0</v>
      </c>
      <c r="Z653" s="141">
        <v>58599</v>
      </c>
      <c r="AA653" s="141">
        <v>58695</v>
      </c>
      <c r="AB653" s="142">
        <v>96</v>
      </c>
    </row>
    <row r="654" spans="1:28">
      <c r="A654" s="144">
        <v>45636</v>
      </c>
      <c r="B654" s="141">
        <f t="shared" si="23"/>
        <v>78558</v>
      </c>
      <c r="C654" s="141">
        <v>78647</v>
      </c>
      <c r="D654" s="142">
        <f t="shared" si="22"/>
        <v>89</v>
      </c>
      <c r="E654" s="141">
        <v>34868</v>
      </c>
      <c r="F654" s="141">
        <v>34899</v>
      </c>
      <c r="G654" s="142">
        <v>31</v>
      </c>
      <c r="H654" s="141">
        <v>552894</v>
      </c>
      <c r="I654" s="141">
        <v>552989</v>
      </c>
      <c r="J654" s="142">
        <v>95</v>
      </c>
      <c r="Q654" s="141">
        <v>30109</v>
      </c>
      <c r="R654" s="141">
        <v>30147</v>
      </c>
      <c r="S654" s="142">
        <v>38</v>
      </c>
      <c r="T654" s="141">
        <v>5321</v>
      </c>
      <c r="U654" s="141">
        <v>5322</v>
      </c>
      <c r="V654" s="142">
        <v>1</v>
      </c>
      <c r="W654" s="141">
        <v>3870</v>
      </c>
      <c r="X654" s="141">
        <v>3870</v>
      </c>
      <c r="Y654" s="142">
        <v>0</v>
      </c>
      <c r="Z654" s="141">
        <v>58695</v>
      </c>
      <c r="AA654" s="141">
        <v>58755</v>
      </c>
      <c r="AB654" s="142">
        <v>60</v>
      </c>
    </row>
    <row r="655" spans="1:28">
      <c r="A655" s="144">
        <v>45637</v>
      </c>
      <c r="B655" s="141">
        <f t="shared" si="23"/>
        <v>78647</v>
      </c>
      <c r="C655" s="141">
        <v>78732</v>
      </c>
      <c r="D655" s="142">
        <f t="shared" si="22"/>
        <v>85</v>
      </c>
      <c r="E655" s="141">
        <v>34899</v>
      </c>
      <c r="F655" s="141">
        <v>34940</v>
      </c>
      <c r="G655" s="142">
        <v>41</v>
      </c>
      <c r="H655" s="141">
        <v>552989</v>
      </c>
      <c r="I655" s="141">
        <v>553127</v>
      </c>
      <c r="J655" s="142">
        <v>138</v>
      </c>
      <c r="Q655" s="141">
        <v>30147</v>
      </c>
      <c r="R655" s="141">
        <v>30193</v>
      </c>
      <c r="S655" s="142">
        <v>46</v>
      </c>
      <c r="T655" s="141">
        <v>5322</v>
      </c>
      <c r="U655" s="141">
        <v>5324</v>
      </c>
      <c r="V655" s="142">
        <v>2</v>
      </c>
      <c r="W655" s="141">
        <v>3870</v>
      </c>
      <c r="X655" s="141">
        <v>3870</v>
      </c>
      <c r="Y655" s="142">
        <v>0</v>
      </c>
      <c r="Z655" s="141">
        <v>58755</v>
      </c>
      <c r="AA655" s="141">
        <v>58821</v>
      </c>
      <c r="AB655" s="142">
        <v>66</v>
      </c>
    </row>
    <row r="656" spans="1:28">
      <c r="A656" s="144">
        <v>45638</v>
      </c>
      <c r="B656" s="141">
        <f t="shared" si="23"/>
        <v>78732</v>
      </c>
      <c r="C656" s="141">
        <v>78808</v>
      </c>
      <c r="D656" s="142">
        <f t="shared" si="22"/>
        <v>76</v>
      </c>
      <c r="E656" s="141">
        <v>34940</v>
      </c>
      <c r="F656" s="141">
        <v>34999</v>
      </c>
      <c r="G656" s="142">
        <v>59</v>
      </c>
      <c r="H656" s="141">
        <v>553127</v>
      </c>
      <c r="I656" s="141">
        <v>553271</v>
      </c>
      <c r="J656" s="142">
        <v>144</v>
      </c>
      <c r="Q656" s="141">
        <v>30193</v>
      </c>
      <c r="R656" s="141">
        <v>30243</v>
      </c>
      <c r="S656" s="142">
        <v>50</v>
      </c>
      <c r="T656" s="141">
        <v>5324</v>
      </c>
      <c r="U656" s="141">
        <v>5326</v>
      </c>
      <c r="V656" s="142">
        <v>2</v>
      </c>
      <c r="W656" s="141">
        <v>3870</v>
      </c>
      <c r="X656" s="141">
        <v>3870</v>
      </c>
      <c r="Y656" s="142">
        <v>0</v>
      </c>
      <c r="Z656" s="141">
        <v>58821</v>
      </c>
      <c r="AA656" s="141">
        <v>58889</v>
      </c>
      <c r="AB656" s="142">
        <v>68</v>
      </c>
    </row>
    <row r="657" spans="1:28">
      <c r="A657" s="144">
        <v>45639</v>
      </c>
      <c r="B657" s="141">
        <f t="shared" si="23"/>
        <v>78808</v>
      </c>
      <c r="C657" s="141">
        <v>78873</v>
      </c>
      <c r="D657" s="142">
        <f t="shared" si="22"/>
        <v>65</v>
      </c>
      <c r="E657" s="141">
        <v>34999</v>
      </c>
      <c r="F657" s="141">
        <v>35039</v>
      </c>
      <c r="G657" s="142">
        <v>40</v>
      </c>
      <c r="H657" s="141">
        <v>553271</v>
      </c>
      <c r="I657" s="141">
        <v>553407</v>
      </c>
      <c r="J657" s="142">
        <v>136</v>
      </c>
      <c r="Q657" s="141">
        <v>30243</v>
      </c>
      <c r="R657" s="141">
        <v>30286</v>
      </c>
      <c r="S657" s="142">
        <v>43</v>
      </c>
      <c r="T657" s="141">
        <v>5326</v>
      </c>
      <c r="U657" s="141">
        <v>5327</v>
      </c>
      <c r="V657" s="142">
        <v>1</v>
      </c>
      <c r="W657" s="141">
        <v>3870</v>
      </c>
      <c r="X657" s="141">
        <v>3870</v>
      </c>
      <c r="Y657" s="142">
        <v>0</v>
      </c>
      <c r="Z657" s="141">
        <v>58889</v>
      </c>
      <c r="AA657" s="141">
        <v>58950</v>
      </c>
      <c r="AB657" s="142">
        <v>61</v>
      </c>
    </row>
    <row r="658" spans="1:28">
      <c r="A658" s="144">
        <v>45640</v>
      </c>
      <c r="B658" s="141">
        <f t="shared" si="23"/>
        <v>78873</v>
      </c>
      <c r="C658" s="141">
        <v>78943</v>
      </c>
      <c r="D658" s="142">
        <f t="shared" si="22"/>
        <v>70</v>
      </c>
      <c r="E658" s="141">
        <v>35039</v>
      </c>
      <c r="F658" s="141">
        <v>35073</v>
      </c>
      <c r="G658" s="142">
        <v>34</v>
      </c>
      <c r="H658" s="141">
        <v>553407</v>
      </c>
      <c r="I658" s="141">
        <v>553536</v>
      </c>
      <c r="J658" s="142">
        <v>129</v>
      </c>
      <c r="Q658" s="141">
        <v>30286</v>
      </c>
      <c r="R658" s="141">
        <v>30324</v>
      </c>
      <c r="S658" s="142">
        <v>38</v>
      </c>
      <c r="T658" s="141">
        <v>5327</v>
      </c>
      <c r="U658" s="141">
        <v>5328</v>
      </c>
      <c r="V658" s="142">
        <v>1</v>
      </c>
      <c r="W658" s="141">
        <v>3870</v>
      </c>
      <c r="X658" s="141">
        <v>3870</v>
      </c>
      <c r="Y658" s="142">
        <v>0</v>
      </c>
      <c r="Z658" s="141">
        <v>58950</v>
      </c>
      <c r="AA658" s="141">
        <v>59113</v>
      </c>
      <c r="AB658" s="142">
        <v>163</v>
      </c>
    </row>
    <row r="659" spans="1:28">
      <c r="A659" s="144">
        <v>45641</v>
      </c>
      <c r="B659" s="141">
        <f t="shared" si="23"/>
        <v>78943</v>
      </c>
      <c r="C659" s="141">
        <v>79016</v>
      </c>
      <c r="D659" s="142">
        <f t="shared" si="22"/>
        <v>73</v>
      </c>
      <c r="E659" s="141">
        <v>35073</v>
      </c>
      <c r="F659" s="141">
        <v>35118</v>
      </c>
      <c r="G659" s="142">
        <v>45</v>
      </c>
      <c r="H659" s="141">
        <v>553536</v>
      </c>
      <c r="I659" s="141">
        <v>553663</v>
      </c>
      <c r="J659" s="142">
        <v>127</v>
      </c>
      <c r="Q659" s="141">
        <v>30324</v>
      </c>
      <c r="R659" s="141">
        <v>30355</v>
      </c>
      <c r="S659" s="142">
        <v>31</v>
      </c>
      <c r="T659" s="141">
        <v>5328</v>
      </c>
      <c r="U659" s="141">
        <v>5330</v>
      </c>
      <c r="V659" s="142">
        <v>2</v>
      </c>
      <c r="W659" s="141">
        <v>3870</v>
      </c>
      <c r="X659" s="141">
        <v>3870</v>
      </c>
      <c r="Y659" s="142">
        <v>0</v>
      </c>
      <c r="Z659" s="141">
        <v>59113</v>
      </c>
      <c r="AA659" s="141">
        <v>59279</v>
      </c>
      <c r="AB659" s="142">
        <v>166</v>
      </c>
    </row>
    <row r="660" spans="1:28">
      <c r="A660" s="144">
        <v>45642</v>
      </c>
      <c r="B660" s="141">
        <v>79016</v>
      </c>
      <c r="C660" s="141">
        <v>79084</v>
      </c>
      <c r="D660" s="142">
        <f t="shared" ref="D660:D691" si="24">C660-B660</f>
        <v>68</v>
      </c>
      <c r="E660" s="141">
        <v>35118</v>
      </c>
      <c r="F660" s="141">
        <v>35150</v>
      </c>
      <c r="G660" s="142">
        <v>32</v>
      </c>
      <c r="H660" s="141">
        <v>553663</v>
      </c>
      <c r="I660" s="141">
        <v>553825</v>
      </c>
      <c r="J660" s="142">
        <v>162</v>
      </c>
      <c r="Q660" s="141">
        <v>30355</v>
      </c>
      <c r="R660" s="141">
        <v>30399</v>
      </c>
      <c r="S660" s="142">
        <v>44</v>
      </c>
      <c r="T660" s="141">
        <v>5330</v>
      </c>
      <c r="U660" s="141">
        <v>5334</v>
      </c>
      <c r="V660" s="142">
        <v>4</v>
      </c>
      <c r="W660" s="141">
        <v>3870</v>
      </c>
      <c r="X660" s="141">
        <v>3870</v>
      </c>
      <c r="Y660" s="142">
        <v>0</v>
      </c>
      <c r="Z660" s="141">
        <v>59279</v>
      </c>
      <c r="AA660" s="141">
        <v>59339</v>
      </c>
      <c r="AB660" s="142">
        <v>60</v>
      </c>
    </row>
    <row r="661" spans="1:28">
      <c r="A661" s="144">
        <v>45643</v>
      </c>
      <c r="B661" s="141">
        <f t="shared" ref="B661:B692" si="25">C660</f>
        <v>79084</v>
      </c>
      <c r="C661" s="141">
        <v>79164</v>
      </c>
      <c r="D661" s="142">
        <f t="shared" si="24"/>
        <v>80</v>
      </c>
      <c r="E661" s="141">
        <v>35150</v>
      </c>
      <c r="F661" s="141">
        <v>35193</v>
      </c>
      <c r="G661" s="142">
        <v>43</v>
      </c>
      <c r="H661" s="141">
        <v>553825</v>
      </c>
      <c r="I661" s="141">
        <v>553995</v>
      </c>
      <c r="J661" s="142">
        <v>170</v>
      </c>
      <c r="Q661" s="141">
        <v>30399</v>
      </c>
      <c r="R661" s="141">
        <v>30442</v>
      </c>
      <c r="S661" s="142">
        <v>43</v>
      </c>
      <c r="T661" s="141">
        <v>5334</v>
      </c>
      <c r="U661" s="141">
        <v>5337</v>
      </c>
      <c r="V661" s="142">
        <v>3</v>
      </c>
      <c r="W661" s="141">
        <v>3870</v>
      </c>
      <c r="X661" s="141">
        <v>3870</v>
      </c>
      <c r="Y661" s="142">
        <v>0</v>
      </c>
      <c r="Z661" s="141">
        <v>59339</v>
      </c>
      <c r="AA661" s="141">
        <v>59399</v>
      </c>
      <c r="AB661" s="142">
        <v>60</v>
      </c>
    </row>
    <row r="662" spans="1:28">
      <c r="A662" s="144">
        <v>45644</v>
      </c>
      <c r="B662" s="141">
        <f t="shared" si="25"/>
        <v>79164</v>
      </c>
      <c r="C662" s="141">
        <v>79227</v>
      </c>
      <c r="D662" s="142">
        <f t="shared" si="24"/>
        <v>63</v>
      </c>
      <c r="E662" s="141">
        <v>35193</v>
      </c>
      <c r="F662" s="141">
        <v>35232</v>
      </c>
      <c r="G662" s="142">
        <v>39</v>
      </c>
      <c r="H662" s="141">
        <v>553995</v>
      </c>
      <c r="I662" s="141">
        <v>554115</v>
      </c>
      <c r="J662" s="142">
        <v>120</v>
      </c>
      <c r="Q662" s="141">
        <v>30442</v>
      </c>
      <c r="R662" s="141">
        <v>30478</v>
      </c>
      <c r="S662" s="142">
        <v>36</v>
      </c>
      <c r="T662" s="141">
        <v>5337</v>
      </c>
      <c r="U662" s="141">
        <v>5339</v>
      </c>
      <c r="V662" s="142">
        <v>2</v>
      </c>
      <c r="W662" s="141">
        <v>3870</v>
      </c>
      <c r="X662" s="141">
        <v>3870</v>
      </c>
      <c r="Y662" s="142">
        <v>0</v>
      </c>
      <c r="Z662" s="141">
        <v>59399</v>
      </c>
      <c r="AA662" s="141">
        <v>59476</v>
      </c>
      <c r="AB662" s="142">
        <v>77</v>
      </c>
    </row>
    <row r="663" spans="1:28">
      <c r="A663" s="144">
        <v>45645</v>
      </c>
      <c r="B663" s="141">
        <f t="shared" si="25"/>
        <v>79227</v>
      </c>
      <c r="C663" s="141">
        <v>79307</v>
      </c>
      <c r="D663" s="142">
        <f t="shared" si="24"/>
        <v>80</v>
      </c>
      <c r="E663" s="141">
        <v>35232</v>
      </c>
      <c r="F663" s="141">
        <v>35271</v>
      </c>
      <c r="G663" s="142">
        <v>39</v>
      </c>
      <c r="H663" s="141">
        <v>554115</v>
      </c>
      <c r="I663" s="141">
        <v>554252</v>
      </c>
      <c r="J663" s="142">
        <v>137</v>
      </c>
      <c r="Q663" s="141">
        <v>30478</v>
      </c>
      <c r="R663" s="141">
        <v>30510</v>
      </c>
      <c r="S663" s="142">
        <v>32</v>
      </c>
      <c r="T663" s="141">
        <v>5339</v>
      </c>
      <c r="U663" s="141">
        <v>5344</v>
      </c>
      <c r="V663" s="142">
        <v>5</v>
      </c>
      <c r="W663" s="141">
        <v>3870</v>
      </c>
      <c r="X663" s="141">
        <v>3870</v>
      </c>
      <c r="Y663" s="142">
        <v>0</v>
      </c>
      <c r="Z663" s="141">
        <v>59476</v>
      </c>
      <c r="AA663" s="141">
        <v>59596</v>
      </c>
      <c r="AB663" s="142">
        <v>120</v>
      </c>
    </row>
    <row r="664" spans="1:28">
      <c r="A664" s="144">
        <v>45646</v>
      </c>
      <c r="B664" s="141">
        <f t="shared" si="25"/>
        <v>79307</v>
      </c>
      <c r="C664" s="141">
        <v>79383</v>
      </c>
      <c r="D664" s="142">
        <f t="shared" si="24"/>
        <v>76</v>
      </c>
      <c r="E664" s="141">
        <v>35271</v>
      </c>
      <c r="F664" s="141">
        <v>35308</v>
      </c>
      <c r="G664" s="142">
        <v>37</v>
      </c>
      <c r="H664" s="141">
        <v>554252</v>
      </c>
      <c r="I664" s="141">
        <v>554418</v>
      </c>
      <c r="J664" s="142">
        <v>166</v>
      </c>
      <c r="Q664" s="141">
        <v>30510</v>
      </c>
      <c r="R664" s="141">
        <v>30555</v>
      </c>
      <c r="S664" s="142">
        <v>45</v>
      </c>
      <c r="T664" s="141">
        <v>5344</v>
      </c>
      <c r="U664" s="141">
        <v>5349</v>
      </c>
      <c r="V664" s="142">
        <v>5</v>
      </c>
      <c r="W664" s="141">
        <v>3870</v>
      </c>
      <c r="X664" s="141">
        <v>3870</v>
      </c>
      <c r="Y664" s="142">
        <v>0</v>
      </c>
      <c r="Z664" s="141">
        <v>59596</v>
      </c>
      <c r="AA664" s="141">
        <v>59909</v>
      </c>
      <c r="AB664" s="142">
        <v>313</v>
      </c>
    </row>
    <row r="665" spans="1:28">
      <c r="A665" s="144">
        <v>45647</v>
      </c>
      <c r="B665" s="141">
        <f t="shared" si="25"/>
        <v>79383</v>
      </c>
      <c r="C665" s="141">
        <v>79474</v>
      </c>
      <c r="D665" s="142">
        <f t="shared" si="24"/>
        <v>91</v>
      </c>
      <c r="E665" s="141">
        <v>35308</v>
      </c>
      <c r="F665" s="141">
        <v>35344</v>
      </c>
      <c r="G665" s="142">
        <v>36</v>
      </c>
      <c r="H665" s="141">
        <v>554418</v>
      </c>
      <c r="I665" s="141">
        <v>554588</v>
      </c>
      <c r="J665" s="142">
        <v>170</v>
      </c>
      <c r="Q665" s="141">
        <v>30555</v>
      </c>
      <c r="R665" s="141">
        <v>30584</v>
      </c>
      <c r="S665" s="142">
        <v>29</v>
      </c>
      <c r="T665" s="141">
        <v>5349</v>
      </c>
      <c r="U665" s="141">
        <v>5352</v>
      </c>
      <c r="V665" s="142">
        <v>3</v>
      </c>
      <c r="W665" s="141">
        <v>3870</v>
      </c>
      <c r="X665" s="141">
        <v>3870</v>
      </c>
      <c r="Y665" s="142">
        <v>0</v>
      </c>
      <c r="Z665" s="141">
        <v>59909</v>
      </c>
      <c r="AA665" s="141">
        <v>60212</v>
      </c>
      <c r="AB665" s="142">
        <v>303</v>
      </c>
    </row>
    <row r="666" spans="1:28">
      <c r="A666" s="144">
        <v>45648</v>
      </c>
      <c r="B666" s="141">
        <f t="shared" si="25"/>
        <v>79474</v>
      </c>
      <c r="C666" s="141">
        <v>79543</v>
      </c>
      <c r="D666" s="142">
        <f t="shared" si="24"/>
        <v>69</v>
      </c>
      <c r="E666" s="141">
        <v>35344</v>
      </c>
      <c r="F666" s="141">
        <v>35399</v>
      </c>
      <c r="G666" s="142">
        <v>55</v>
      </c>
      <c r="H666" s="141">
        <v>554588</v>
      </c>
      <c r="I666" s="141">
        <v>554684</v>
      </c>
      <c r="J666" s="142">
        <v>96</v>
      </c>
      <c r="Q666" s="141">
        <v>30584</v>
      </c>
      <c r="R666" s="141">
        <v>30604</v>
      </c>
      <c r="S666" s="142">
        <v>20</v>
      </c>
      <c r="T666" s="141">
        <v>5352</v>
      </c>
      <c r="U666" s="141">
        <v>5354</v>
      </c>
      <c r="V666" s="142">
        <v>2</v>
      </c>
      <c r="W666" s="141">
        <v>3870</v>
      </c>
      <c r="X666" s="141">
        <v>3870</v>
      </c>
      <c r="Y666" s="142">
        <v>0</v>
      </c>
      <c r="Z666" s="141">
        <v>60212</v>
      </c>
      <c r="AA666" s="141">
        <v>60345</v>
      </c>
      <c r="AB666" s="142">
        <v>133</v>
      </c>
    </row>
    <row r="667" spans="1:28">
      <c r="A667" s="144">
        <v>45649</v>
      </c>
      <c r="B667" s="141">
        <f t="shared" si="25"/>
        <v>79543</v>
      </c>
      <c r="C667" s="141">
        <v>79611</v>
      </c>
      <c r="D667" s="142">
        <f t="shared" si="24"/>
        <v>68</v>
      </c>
      <c r="E667" s="141">
        <v>35399</v>
      </c>
      <c r="F667" s="141">
        <v>35449</v>
      </c>
      <c r="G667" s="142">
        <v>50</v>
      </c>
      <c r="H667" s="141">
        <v>554684</v>
      </c>
      <c r="I667" s="141">
        <v>554825</v>
      </c>
      <c r="J667" s="142">
        <v>141</v>
      </c>
      <c r="Q667" s="141">
        <v>30604</v>
      </c>
      <c r="R667" s="141">
        <v>30632</v>
      </c>
      <c r="S667" s="142">
        <v>28</v>
      </c>
      <c r="T667" s="141">
        <v>5354</v>
      </c>
      <c r="U667" s="141">
        <v>5359</v>
      </c>
      <c r="V667" s="142">
        <v>5</v>
      </c>
      <c r="W667" s="141">
        <v>3870</v>
      </c>
      <c r="X667" s="141">
        <v>3870</v>
      </c>
      <c r="Y667" s="142">
        <v>0</v>
      </c>
      <c r="Z667" s="141">
        <v>60345</v>
      </c>
      <c r="AA667" s="141">
        <v>60355</v>
      </c>
      <c r="AB667" s="142">
        <v>10</v>
      </c>
    </row>
    <row r="668" spans="1:28">
      <c r="A668" s="144">
        <v>45650</v>
      </c>
      <c r="B668" s="141">
        <f t="shared" si="25"/>
        <v>79611</v>
      </c>
      <c r="C668" s="141">
        <v>79700</v>
      </c>
      <c r="D668" s="142">
        <f t="shared" si="24"/>
        <v>89</v>
      </c>
      <c r="E668" s="141">
        <v>35449</v>
      </c>
      <c r="F668" s="141">
        <v>35509</v>
      </c>
      <c r="G668" s="142">
        <v>60</v>
      </c>
      <c r="H668" s="141">
        <v>554825</v>
      </c>
      <c r="I668" s="141">
        <v>554950</v>
      </c>
      <c r="J668" s="142">
        <v>125</v>
      </c>
      <c r="Q668" s="141">
        <v>30632</v>
      </c>
      <c r="R668" s="141">
        <v>30666</v>
      </c>
      <c r="S668" s="142">
        <v>34</v>
      </c>
      <c r="T668" s="141">
        <v>5359</v>
      </c>
      <c r="U668" s="141">
        <v>5363</v>
      </c>
      <c r="V668" s="142">
        <v>4</v>
      </c>
      <c r="W668" s="141">
        <v>3870</v>
      </c>
      <c r="X668" s="141">
        <v>3870</v>
      </c>
      <c r="Y668" s="142">
        <v>0</v>
      </c>
      <c r="Z668" s="141">
        <v>60355</v>
      </c>
      <c r="AA668" s="141">
        <v>60389</v>
      </c>
      <c r="AB668" s="142">
        <v>34</v>
      </c>
    </row>
    <row r="669" spans="1:28">
      <c r="A669" s="144">
        <v>45651</v>
      </c>
      <c r="B669" s="141">
        <f t="shared" si="25"/>
        <v>79700</v>
      </c>
      <c r="C669" s="141">
        <v>79763</v>
      </c>
      <c r="D669" s="142">
        <f t="shared" si="24"/>
        <v>63</v>
      </c>
      <c r="E669" s="141">
        <v>35509</v>
      </c>
      <c r="F669" s="141">
        <v>35644</v>
      </c>
      <c r="G669" s="142">
        <v>135</v>
      </c>
      <c r="H669" s="141">
        <v>554950</v>
      </c>
      <c r="I669" s="141">
        <v>555065</v>
      </c>
      <c r="J669" s="142">
        <v>115</v>
      </c>
      <c r="Q669" s="141">
        <v>30666</v>
      </c>
      <c r="R669" s="141">
        <v>30758</v>
      </c>
      <c r="S669" s="142">
        <v>92</v>
      </c>
      <c r="T669" s="141">
        <v>5363</v>
      </c>
      <c r="U669" s="141">
        <v>5365</v>
      </c>
      <c r="V669" s="142">
        <v>2</v>
      </c>
      <c r="W669" s="141">
        <v>3870</v>
      </c>
      <c r="X669" s="141">
        <v>3871</v>
      </c>
      <c r="Y669" s="142">
        <v>1</v>
      </c>
      <c r="Z669" s="141">
        <v>60389</v>
      </c>
      <c r="AA669" s="141">
        <v>60398</v>
      </c>
      <c r="AB669" s="142">
        <v>9</v>
      </c>
    </row>
    <row r="670" spans="1:28">
      <c r="A670" s="144">
        <v>45652</v>
      </c>
      <c r="B670" s="141">
        <f t="shared" si="25"/>
        <v>79763</v>
      </c>
      <c r="C670" s="141">
        <v>79823</v>
      </c>
      <c r="D670" s="142">
        <f t="shared" si="24"/>
        <v>60</v>
      </c>
      <c r="E670" s="141">
        <v>35644</v>
      </c>
      <c r="F670" s="141">
        <v>35789</v>
      </c>
      <c r="G670" s="142">
        <v>145</v>
      </c>
      <c r="H670" s="141">
        <v>555065</v>
      </c>
      <c r="I670" s="141">
        <v>555204</v>
      </c>
      <c r="J670" s="142">
        <v>139</v>
      </c>
      <c r="Q670" s="141">
        <v>30758</v>
      </c>
      <c r="R670" s="141">
        <v>30789</v>
      </c>
      <c r="S670" s="142">
        <v>31</v>
      </c>
      <c r="T670" s="141">
        <v>5365</v>
      </c>
      <c r="U670" s="141">
        <v>5366</v>
      </c>
      <c r="V670" s="142">
        <v>1</v>
      </c>
      <c r="W670" s="141">
        <v>3871</v>
      </c>
      <c r="X670" s="141">
        <v>3872</v>
      </c>
      <c r="Y670" s="142">
        <v>1</v>
      </c>
      <c r="Z670" s="141">
        <v>60398</v>
      </c>
      <c r="AA670" s="141">
        <v>60468</v>
      </c>
      <c r="AB670" s="142">
        <v>70</v>
      </c>
    </row>
    <row r="671" spans="1:28">
      <c r="A671" s="144">
        <v>45653</v>
      </c>
      <c r="B671" s="141">
        <f t="shared" si="25"/>
        <v>79823</v>
      </c>
      <c r="C671" s="141">
        <v>79891</v>
      </c>
      <c r="D671" s="142">
        <f t="shared" si="24"/>
        <v>68</v>
      </c>
      <c r="E671" s="141">
        <v>35789</v>
      </c>
      <c r="F671" s="141">
        <v>35922</v>
      </c>
      <c r="G671" s="142">
        <v>133</v>
      </c>
      <c r="H671" s="141">
        <v>555204</v>
      </c>
      <c r="I671" s="141">
        <v>555326</v>
      </c>
      <c r="J671" s="142">
        <v>122</v>
      </c>
      <c r="Q671" s="141">
        <v>30789</v>
      </c>
      <c r="R671" s="141">
        <v>30822</v>
      </c>
      <c r="S671" s="142">
        <v>33</v>
      </c>
      <c r="T671" s="141">
        <v>5366</v>
      </c>
      <c r="U671" s="141">
        <v>5368</v>
      </c>
      <c r="V671" s="142">
        <v>2</v>
      </c>
      <c r="W671" s="141">
        <v>3872</v>
      </c>
      <c r="X671" s="141">
        <v>3874</v>
      </c>
      <c r="Y671" s="142">
        <v>2</v>
      </c>
      <c r="Z671" s="141">
        <v>60468</v>
      </c>
      <c r="AA671" s="141">
        <v>60548</v>
      </c>
      <c r="AB671" s="142">
        <v>80</v>
      </c>
    </row>
    <row r="672" spans="1:28">
      <c r="A672" s="144">
        <v>45654</v>
      </c>
      <c r="B672" s="141">
        <f t="shared" si="25"/>
        <v>79891</v>
      </c>
      <c r="C672" s="141">
        <v>79979</v>
      </c>
      <c r="D672" s="142">
        <f t="shared" si="24"/>
        <v>88</v>
      </c>
      <c r="E672" s="141">
        <v>35922</v>
      </c>
      <c r="F672" s="141">
        <v>36109</v>
      </c>
      <c r="G672" s="142">
        <v>187</v>
      </c>
      <c r="H672" s="141">
        <v>555326</v>
      </c>
      <c r="I672" s="141">
        <v>555451</v>
      </c>
      <c r="J672" s="142">
        <v>125</v>
      </c>
      <c r="Q672" s="141">
        <v>30822</v>
      </c>
      <c r="R672" s="141">
        <v>30846</v>
      </c>
      <c r="S672" s="142">
        <v>24</v>
      </c>
      <c r="T672" s="141">
        <v>5368</v>
      </c>
      <c r="U672" s="141">
        <v>5372</v>
      </c>
      <c r="V672" s="142">
        <v>4</v>
      </c>
      <c r="W672" s="141">
        <v>3874</v>
      </c>
      <c r="X672" s="141">
        <v>3875</v>
      </c>
      <c r="Y672" s="142">
        <v>1</v>
      </c>
      <c r="Z672" s="141">
        <v>60548</v>
      </c>
      <c r="AA672" s="141">
        <v>60690</v>
      </c>
      <c r="AB672" s="142">
        <v>142</v>
      </c>
    </row>
    <row r="673" spans="1:28">
      <c r="A673" s="144">
        <v>45655</v>
      </c>
      <c r="B673" s="141">
        <f t="shared" si="25"/>
        <v>79979</v>
      </c>
      <c r="C673" s="141">
        <v>80043</v>
      </c>
      <c r="D673" s="142">
        <f t="shared" si="24"/>
        <v>64</v>
      </c>
      <c r="E673" s="141">
        <v>36109</v>
      </c>
      <c r="F673" s="141">
        <v>36229</v>
      </c>
      <c r="G673" s="142">
        <v>120</v>
      </c>
      <c r="H673" s="141">
        <v>555451</v>
      </c>
      <c r="I673" s="141">
        <v>555532</v>
      </c>
      <c r="J673" s="142">
        <v>81</v>
      </c>
      <c r="Q673" s="141">
        <v>30846</v>
      </c>
      <c r="R673" s="141">
        <v>30858</v>
      </c>
      <c r="S673" s="142">
        <v>12</v>
      </c>
      <c r="T673" s="141">
        <v>5372</v>
      </c>
      <c r="U673" s="141">
        <v>5373</v>
      </c>
      <c r="V673" s="142">
        <v>1</v>
      </c>
      <c r="W673" s="141">
        <v>3875</v>
      </c>
      <c r="X673" s="141">
        <v>3876</v>
      </c>
      <c r="Y673" s="142">
        <v>1</v>
      </c>
      <c r="Z673" s="141">
        <v>60690</v>
      </c>
      <c r="AA673" s="141">
        <v>60765</v>
      </c>
      <c r="AB673" s="142">
        <v>75</v>
      </c>
    </row>
    <row r="674" spans="1:28">
      <c r="A674" s="144">
        <v>45656</v>
      </c>
      <c r="B674" s="141">
        <f t="shared" si="25"/>
        <v>80043</v>
      </c>
      <c r="C674" s="141">
        <v>80113</v>
      </c>
      <c r="D674" s="142">
        <f t="shared" si="24"/>
        <v>70</v>
      </c>
      <c r="E674" s="141">
        <v>36229</v>
      </c>
      <c r="F674" s="141">
        <v>36334</v>
      </c>
      <c r="G674" s="142">
        <v>105</v>
      </c>
      <c r="H674" s="141">
        <v>555532</v>
      </c>
      <c r="I674" s="141">
        <v>555652</v>
      </c>
      <c r="J674" s="142">
        <v>120</v>
      </c>
      <c r="Q674" s="141">
        <v>30858</v>
      </c>
      <c r="R674" s="141">
        <v>30885</v>
      </c>
      <c r="S674" s="142">
        <v>27</v>
      </c>
      <c r="T674" s="141">
        <v>5373</v>
      </c>
      <c r="U674" s="141">
        <v>5374</v>
      </c>
      <c r="V674" s="142">
        <v>1</v>
      </c>
      <c r="W674" s="141">
        <v>3876</v>
      </c>
      <c r="X674" s="141">
        <v>3877</v>
      </c>
      <c r="Y674" s="142">
        <v>1</v>
      </c>
      <c r="Z674" s="141">
        <v>60765</v>
      </c>
      <c r="AA674" s="141">
        <v>60904</v>
      </c>
      <c r="AB674" s="142">
        <v>139</v>
      </c>
    </row>
    <row r="675" spans="1:28">
      <c r="A675" s="144">
        <v>45657</v>
      </c>
      <c r="B675" s="141">
        <f t="shared" si="25"/>
        <v>80113</v>
      </c>
      <c r="C675" s="141">
        <v>80199</v>
      </c>
      <c r="D675" s="142">
        <f t="shared" si="24"/>
        <v>86</v>
      </c>
      <c r="E675" s="141">
        <v>36334</v>
      </c>
      <c r="F675" s="141">
        <v>36407</v>
      </c>
      <c r="G675" s="142">
        <v>73</v>
      </c>
      <c r="H675" s="141">
        <v>555652</v>
      </c>
      <c r="I675" s="141">
        <v>555766</v>
      </c>
      <c r="J675" s="142">
        <v>114</v>
      </c>
      <c r="Q675" s="141">
        <v>30885</v>
      </c>
      <c r="R675" s="141">
        <v>30925</v>
      </c>
      <c r="S675" s="142">
        <v>40</v>
      </c>
      <c r="T675" s="141">
        <v>5374</v>
      </c>
      <c r="U675" s="141">
        <v>5376</v>
      </c>
      <c r="V675" s="142">
        <v>2</v>
      </c>
      <c r="W675" s="141">
        <v>3877</v>
      </c>
      <c r="X675" s="141">
        <v>3878</v>
      </c>
      <c r="Y675" s="142">
        <v>1</v>
      </c>
      <c r="Z675" s="141">
        <v>60904</v>
      </c>
      <c r="AA675" s="141">
        <v>61002</v>
      </c>
      <c r="AB675" s="142">
        <v>98</v>
      </c>
    </row>
    <row r="676" spans="1:28">
      <c r="A676" s="144">
        <v>45658</v>
      </c>
      <c r="B676" s="141">
        <f t="shared" si="25"/>
        <v>80199</v>
      </c>
      <c r="C676" s="141">
        <v>80278</v>
      </c>
      <c r="D676" s="142">
        <f t="shared" si="24"/>
        <v>79</v>
      </c>
      <c r="E676" s="141">
        <v>36407</v>
      </c>
      <c r="F676" s="141">
        <v>36459</v>
      </c>
      <c r="G676" s="142">
        <v>52</v>
      </c>
      <c r="H676" s="141">
        <v>555766</v>
      </c>
      <c r="I676" s="141">
        <v>555876</v>
      </c>
      <c r="J676" s="142">
        <v>110</v>
      </c>
      <c r="Q676" s="141">
        <v>30925</v>
      </c>
      <c r="R676" s="141">
        <v>30959</v>
      </c>
      <c r="S676" s="142">
        <v>34</v>
      </c>
      <c r="T676" s="141">
        <v>5376</v>
      </c>
      <c r="U676" s="141">
        <v>5378</v>
      </c>
      <c r="V676" s="142">
        <v>2</v>
      </c>
      <c r="W676" s="141">
        <v>3878</v>
      </c>
      <c r="X676" s="141">
        <v>3879</v>
      </c>
      <c r="Y676" s="142">
        <v>1</v>
      </c>
      <c r="Z676" s="141">
        <v>61002</v>
      </c>
      <c r="AA676" s="141">
        <v>61109</v>
      </c>
      <c r="AB676" s="142">
        <v>107</v>
      </c>
    </row>
    <row r="677" spans="1:28">
      <c r="A677" s="144">
        <v>45659</v>
      </c>
      <c r="B677" s="141">
        <f t="shared" si="25"/>
        <v>80278</v>
      </c>
      <c r="C677" s="141">
        <v>80347</v>
      </c>
      <c r="D677" s="142">
        <f t="shared" si="24"/>
        <v>69</v>
      </c>
      <c r="E677" s="141">
        <v>36459</v>
      </c>
      <c r="F677" s="141">
        <v>36551</v>
      </c>
      <c r="G677" s="142">
        <v>92</v>
      </c>
      <c r="H677" s="141">
        <v>555876</v>
      </c>
      <c r="I677" s="141">
        <v>556020</v>
      </c>
      <c r="J677" s="142">
        <v>144</v>
      </c>
      <c r="Q677" s="141">
        <v>30959</v>
      </c>
      <c r="R677" s="141">
        <v>31003</v>
      </c>
      <c r="S677" s="142">
        <v>44</v>
      </c>
      <c r="T677" s="141">
        <v>5378</v>
      </c>
      <c r="U677" s="141">
        <v>5379</v>
      </c>
      <c r="V677" s="142">
        <v>1</v>
      </c>
      <c r="W677" s="141">
        <v>3879</v>
      </c>
      <c r="X677" s="141">
        <v>3881</v>
      </c>
      <c r="Y677" s="142">
        <v>2</v>
      </c>
      <c r="Z677" s="141">
        <v>61109</v>
      </c>
      <c r="AA677" s="141">
        <v>61179</v>
      </c>
      <c r="AB677" s="142">
        <v>70</v>
      </c>
    </row>
    <row r="678" spans="1:28">
      <c r="A678" s="144">
        <v>45660</v>
      </c>
      <c r="B678" s="141">
        <f t="shared" si="25"/>
        <v>80347</v>
      </c>
      <c r="C678" s="141">
        <v>80430</v>
      </c>
      <c r="D678" s="142">
        <f t="shared" si="24"/>
        <v>83</v>
      </c>
      <c r="E678" s="141">
        <v>36551</v>
      </c>
      <c r="F678" s="141">
        <v>36629</v>
      </c>
      <c r="G678" s="142">
        <v>78</v>
      </c>
      <c r="H678" s="141">
        <v>556020</v>
      </c>
      <c r="I678" s="141">
        <v>556162</v>
      </c>
      <c r="J678" s="142">
        <v>142</v>
      </c>
      <c r="Q678" s="141">
        <v>31003</v>
      </c>
      <c r="R678" s="141">
        <v>31043</v>
      </c>
      <c r="S678" s="142">
        <v>40</v>
      </c>
      <c r="T678" s="141">
        <v>5379</v>
      </c>
      <c r="U678" s="141">
        <v>5383</v>
      </c>
      <c r="V678" s="142">
        <v>4</v>
      </c>
      <c r="W678" s="141">
        <v>3881</v>
      </c>
      <c r="X678" s="141">
        <v>3883</v>
      </c>
      <c r="Y678" s="142">
        <v>2</v>
      </c>
      <c r="Z678" s="141">
        <v>61179</v>
      </c>
      <c r="AA678" s="141">
        <v>61286</v>
      </c>
      <c r="AB678" s="142">
        <v>107</v>
      </c>
    </row>
    <row r="679" spans="1:28">
      <c r="A679" s="144">
        <v>45661</v>
      </c>
      <c r="B679" s="141">
        <f t="shared" si="25"/>
        <v>80430</v>
      </c>
      <c r="C679" s="141">
        <v>80534</v>
      </c>
      <c r="D679" s="142">
        <f t="shared" si="24"/>
        <v>104</v>
      </c>
      <c r="E679" s="141">
        <v>36629</v>
      </c>
      <c r="F679" s="141">
        <v>36677</v>
      </c>
      <c r="G679" s="142">
        <v>48</v>
      </c>
      <c r="H679" s="141">
        <v>556162</v>
      </c>
      <c r="I679" s="141">
        <v>556277</v>
      </c>
      <c r="J679" s="142">
        <v>115</v>
      </c>
      <c r="Q679" s="141">
        <v>31043</v>
      </c>
      <c r="R679" s="141">
        <v>31090</v>
      </c>
      <c r="S679" s="142">
        <v>47</v>
      </c>
      <c r="T679" s="141">
        <v>5383</v>
      </c>
      <c r="U679" s="141">
        <v>5384</v>
      </c>
      <c r="V679" s="142">
        <v>1</v>
      </c>
      <c r="W679" s="141">
        <v>3883</v>
      </c>
      <c r="X679" s="141">
        <v>3885</v>
      </c>
      <c r="Y679" s="142">
        <v>2</v>
      </c>
      <c r="Z679" s="141">
        <v>61286</v>
      </c>
      <c r="AA679" s="141">
        <v>61394</v>
      </c>
      <c r="AB679" s="142">
        <v>108</v>
      </c>
    </row>
    <row r="680" spans="1:28">
      <c r="A680" s="144">
        <v>45662</v>
      </c>
      <c r="B680" s="141">
        <f t="shared" si="25"/>
        <v>80534</v>
      </c>
      <c r="C680" s="141">
        <v>80595</v>
      </c>
      <c r="D680" s="142">
        <f t="shared" si="24"/>
        <v>61</v>
      </c>
      <c r="E680" s="141">
        <v>36677</v>
      </c>
      <c r="F680" s="141">
        <v>36724</v>
      </c>
      <c r="G680" s="142">
        <v>47</v>
      </c>
      <c r="H680" s="141">
        <v>556277</v>
      </c>
      <c r="I680" s="141">
        <v>556390</v>
      </c>
      <c r="J680" s="142">
        <v>113</v>
      </c>
      <c r="Q680" s="141">
        <v>31090</v>
      </c>
      <c r="R680" s="141">
        <v>31139</v>
      </c>
      <c r="S680" s="142">
        <v>49</v>
      </c>
      <c r="T680" s="141">
        <v>5384</v>
      </c>
      <c r="U680" s="141">
        <v>5385</v>
      </c>
      <c r="V680" s="142">
        <v>1</v>
      </c>
      <c r="W680" s="141">
        <v>3885</v>
      </c>
      <c r="X680" s="141">
        <v>3887</v>
      </c>
      <c r="Y680" s="142">
        <v>2</v>
      </c>
      <c r="Z680" s="141">
        <v>61394</v>
      </c>
      <c r="AA680" s="141">
        <v>61590</v>
      </c>
      <c r="AB680" s="142">
        <v>196</v>
      </c>
    </row>
    <row r="681" spans="1:28">
      <c r="A681" s="144">
        <v>45663</v>
      </c>
      <c r="B681" s="141">
        <f t="shared" si="25"/>
        <v>80595</v>
      </c>
      <c r="C681" s="141">
        <v>80648</v>
      </c>
      <c r="D681" s="142">
        <f t="shared" si="24"/>
        <v>53</v>
      </c>
      <c r="E681" s="141">
        <v>36724</v>
      </c>
      <c r="F681" s="141">
        <v>36769</v>
      </c>
      <c r="G681" s="142">
        <v>45</v>
      </c>
      <c r="H681" s="141">
        <v>556390</v>
      </c>
      <c r="I681" s="141">
        <v>556503</v>
      </c>
      <c r="J681" s="142">
        <v>113</v>
      </c>
      <c r="Q681" s="141">
        <v>31139</v>
      </c>
      <c r="R681" s="141">
        <v>31184</v>
      </c>
      <c r="S681" s="142">
        <v>45</v>
      </c>
      <c r="T681" s="141">
        <v>5385</v>
      </c>
      <c r="U681" s="141">
        <v>5386</v>
      </c>
      <c r="V681" s="142">
        <v>1</v>
      </c>
      <c r="W681" s="141">
        <v>3887</v>
      </c>
      <c r="X681" s="141">
        <v>3889</v>
      </c>
      <c r="Y681" s="142">
        <v>2</v>
      </c>
      <c r="Z681" s="141">
        <v>61590</v>
      </c>
      <c r="AA681" s="141">
        <v>61700</v>
      </c>
      <c r="AB681" s="142">
        <v>110</v>
      </c>
    </row>
    <row r="682" spans="1:28">
      <c r="A682" s="144">
        <v>45664</v>
      </c>
      <c r="B682" s="141">
        <f t="shared" si="25"/>
        <v>80648</v>
      </c>
      <c r="C682" s="141">
        <v>80701</v>
      </c>
      <c r="D682" s="142">
        <f t="shared" si="24"/>
        <v>53</v>
      </c>
      <c r="E682" s="141">
        <v>36769</v>
      </c>
      <c r="F682" s="141">
        <v>36802</v>
      </c>
      <c r="G682" s="142">
        <v>33</v>
      </c>
      <c r="H682" s="141">
        <v>556503</v>
      </c>
      <c r="I682" s="141">
        <v>556504</v>
      </c>
      <c r="J682" s="142">
        <v>1</v>
      </c>
      <c r="Q682" s="141">
        <v>31184</v>
      </c>
      <c r="R682" s="141">
        <v>31224</v>
      </c>
      <c r="S682" s="142">
        <v>40</v>
      </c>
      <c r="T682" s="141">
        <v>5386</v>
      </c>
      <c r="U682" s="141">
        <v>5388</v>
      </c>
      <c r="V682" s="142">
        <v>2</v>
      </c>
      <c r="W682" s="141">
        <v>3889</v>
      </c>
      <c r="X682" s="141">
        <v>3891</v>
      </c>
      <c r="Y682" s="142">
        <v>2</v>
      </c>
      <c r="Z682" s="141">
        <v>61700</v>
      </c>
      <c r="AA682" s="141">
        <v>61810</v>
      </c>
      <c r="AB682" s="142">
        <v>110</v>
      </c>
    </row>
    <row r="683" spans="1:28">
      <c r="A683" s="144">
        <v>45665</v>
      </c>
      <c r="B683" s="141">
        <f t="shared" si="25"/>
        <v>80701</v>
      </c>
      <c r="C683" s="141">
        <v>80782</v>
      </c>
      <c r="D683" s="142">
        <f t="shared" si="24"/>
        <v>81</v>
      </c>
      <c r="E683" s="141">
        <v>36802</v>
      </c>
      <c r="F683" s="141">
        <v>36848</v>
      </c>
      <c r="G683" s="142">
        <v>46</v>
      </c>
      <c r="H683" s="141">
        <v>556504</v>
      </c>
      <c r="I683" s="141">
        <v>556731</v>
      </c>
      <c r="J683" s="142">
        <v>227</v>
      </c>
      <c r="Q683" s="141">
        <v>31224</v>
      </c>
      <c r="R683" s="141">
        <v>31270</v>
      </c>
      <c r="S683" s="142">
        <v>46</v>
      </c>
      <c r="T683" s="141">
        <v>5388</v>
      </c>
      <c r="U683" s="141">
        <v>5390</v>
      </c>
      <c r="V683" s="142">
        <v>2</v>
      </c>
      <c r="W683" s="141">
        <v>3891</v>
      </c>
      <c r="X683" s="141">
        <v>3891</v>
      </c>
      <c r="Y683" s="142">
        <v>0</v>
      </c>
      <c r="Z683" s="141">
        <v>61810</v>
      </c>
      <c r="AA683" s="141">
        <v>61900</v>
      </c>
      <c r="AB683" s="142">
        <v>90</v>
      </c>
    </row>
    <row r="684" spans="1:28">
      <c r="A684" s="144">
        <v>45666</v>
      </c>
      <c r="B684" s="141">
        <f t="shared" si="25"/>
        <v>80782</v>
      </c>
      <c r="C684" s="141">
        <v>80858</v>
      </c>
      <c r="D684" s="142">
        <f t="shared" si="24"/>
        <v>76</v>
      </c>
      <c r="E684" s="141">
        <v>36848</v>
      </c>
      <c r="F684" s="141">
        <v>36876</v>
      </c>
      <c r="G684" s="142">
        <v>28</v>
      </c>
      <c r="H684" s="141">
        <v>556731</v>
      </c>
      <c r="I684" s="141">
        <v>556834</v>
      </c>
      <c r="J684" s="142">
        <v>103</v>
      </c>
      <c r="Q684" s="141">
        <v>31270</v>
      </c>
      <c r="R684" s="141">
        <v>31298</v>
      </c>
      <c r="S684" s="142">
        <v>28</v>
      </c>
      <c r="T684" s="141">
        <v>5390</v>
      </c>
      <c r="U684" s="141">
        <v>5393</v>
      </c>
      <c r="V684" s="142">
        <v>3</v>
      </c>
      <c r="W684" s="141">
        <v>3891</v>
      </c>
      <c r="X684" s="141">
        <v>3892</v>
      </c>
      <c r="Y684" s="142">
        <v>1</v>
      </c>
      <c r="Z684" s="141">
        <v>61900</v>
      </c>
      <c r="AA684" s="141">
        <v>62019</v>
      </c>
      <c r="AB684" s="142">
        <v>119</v>
      </c>
    </row>
    <row r="685" spans="1:28">
      <c r="A685" s="144">
        <v>45667</v>
      </c>
      <c r="B685" s="141">
        <f t="shared" si="25"/>
        <v>80858</v>
      </c>
      <c r="C685" s="141">
        <v>80927</v>
      </c>
      <c r="D685" s="142">
        <f t="shared" si="24"/>
        <v>69</v>
      </c>
      <c r="E685" s="141">
        <v>36876</v>
      </c>
      <c r="F685" s="141">
        <v>36903</v>
      </c>
      <c r="G685" s="142">
        <v>27</v>
      </c>
      <c r="H685" s="141">
        <v>556834</v>
      </c>
      <c r="I685" s="141">
        <v>556921</v>
      </c>
      <c r="J685" s="142">
        <v>87</v>
      </c>
      <c r="Q685" s="141">
        <v>31298</v>
      </c>
      <c r="R685" s="141">
        <v>31330</v>
      </c>
      <c r="S685" s="142">
        <v>32</v>
      </c>
      <c r="T685" s="141">
        <v>5393</v>
      </c>
      <c r="U685" s="141">
        <v>5395</v>
      </c>
      <c r="V685" s="142">
        <v>2</v>
      </c>
      <c r="W685" s="141">
        <v>3892</v>
      </c>
      <c r="X685" s="141">
        <v>3893</v>
      </c>
      <c r="Y685" s="142">
        <v>1</v>
      </c>
      <c r="Z685" s="141">
        <v>62019</v>
      </c>
      <c r="AA685" s="141">
        <v>62096</v>
      </c>
      <c r="AB685" s="142">
        <v>77</v>
      </c>
    </row>
    <row r="686" spans="1:28">
      <c r="A686" s="144">
        <v>45668</v>
      </c>
      <c r="B686" s="141">
        <f t="shared" si="25"/>
        <v>80927</v>
      </c>
      <c r="C686" s="141">
        <v>81010</v>
      </c>
      <c r="D686" s="142">
        <f t="shared" si="24"/>
        <v>83</v>
      </c>
      <c r="E686" s="141">
        <v>36903</v>
      </c>
      <c r="F686" s="141">
        <v>36963</v>
      </c>
      <c r="G686" s="142">
        <v>60</v>
      </c>
      <c r="H686" s="141">
        <v>556921</v>
      </c>
      <c r="I686" s="141">
        <v>557036</v>
      </c>
      <c r="J686" s="142">
        <v>115</v>
      </c>
      <c r="Q686" s="141">
        <v>31330</v>
      </c>
      <c r="R686" s="141">
        <v>31371</v>
      </c>
      <c r="S686" s="142">
        <v>41</v>
      </c>
      <c r="T686" s="141">
        <v>5395</v>
      </c>
      <c r="U686" s="141">
        <v>5399</v>
      </c>
      <c r="V686" s="142">
        <v>4</v>
      </c>
      <c r="W686" s="141">
        <v>3893</v>
      </c>
      <c r="X686" s="141">
        <v>3895</v>
      </c>
      <c r="Y686" s="142">
        <v>2</v>
      </c>
      <c r="Z686" s="141">
        <v>62096</v>
      </c>
      <c r="AA686" s="141">
        <v>62196</v>
      </c>
      <c r="AB686" s="142">
        <v>100</v>
      </c>
    </row>
    <row r="687" spans="1:28">
      <c r="A687" s="144">
        <v>45669</v>
      </c>
      <c r="B687" s="141">
        <f t="shared" si="25"/>
        <v>81010</v>
      </c>
      <c r="C687" s="141">
        <v>81078</v>
      </c>
      <c r="D687" s="142">
        <f t="shared" si="24"/>
        <v>68</v>
      </c>
      <c r="E687" s="141">
        <v>36963</v>
      </c>
      <c r="F687" s="141">
        <v>37128</v>
      </c>
      <c r="G687" s="142">
        <v>165</v>
      </c>
      <c r="H687" s="141">
        <v>557036</v>
      </c>
      <c r="I687" s="141">
        <v>557143</v>
      </c>
      <c r="J687" s="142">
        <v>107</v>
      </c>
      <c r="Q687" s="141">
        <v>31371</v>
      </c>
      <c r="R687" s="141">
        <v>31405</v>
      </c>
      <c r="S687" s="142">
        <v>34</v>
      </c>
      <c r="T687" s="141">
        <v>5399</v>
      </c>
      <c r="U687" s="141">
        <v>5402</v>
      </c>
      <c r="V687" s="142">
        <v>3</v>
      </c>
      <c r="W687" s="141">
        <v>3895</v>
      </c>
      <c r="X687" s="141">
        <v>3897</v>
      </c>
      <c r="Y687" s="142">
        <v>2</v>
      </c>
      <c r="Z687" s="141">
        <v>62196</v>
      </c>
      <c r="AA687" s="141">
        <v>62308</v>
      </c>
      <c r="AB687" s="142">
        <v>112</v>
      </c>
    </row>
    <row r="688" spans="1:28">
      <c r="A688" s="144">
        <v>45670</v>
      </c>
      <c r="B688" s="141">
        <f t="shared" si="25"/>
        <v>81078</v>
      </c>
      <c r="C688" s="141">
        <v>81135</v>
      </c>
      <c r="D688" s="142">
        <f t="shared" si="24"/>
        <v>57</v>
      </c>
      <c r="E688" s="141">
        <v>37128</v>
      </c>
      <c r="F688" s="141">
        <v>37169</v>
      </c>
      <c r="G688" s="142">
        <v>41</v>
      </c>
      <c r="H688" s="141">
        <v>557143</v>
      </c>
      <c r="I688" s="141">
        <v>557249</v>
      </c>
      <c r="J688" s="142">
        <v>106</v>
      </c>
      <c r="Q688" s="141">
        <v>31405</v>
      </c>
      <c r="R688" s="141">
        <v>31445</v>
      </c>
      <c r="S688" s="142">
        <v>40</v>
      </c>
      <c r="T688" s="141">
        <v>5402</v>
      </c>
      <c r="U688" s="141">
        <v>5403</v>
      </c>
      <c r="V688" s="142">
        <v>1</v>
      </c>
      <c r="W688" s="141">
        <v>3897</v>
      </c>
      <c r="X688" s="141">
        <v>3899</v>
      </c>
      <c r="Y688" s="142">
        <v>2</v>
      </c>
      <c r="Z688" s="141">
        <v>62308</v>
      </c>
      <c r="AA688" s="141">
        <v>62399</v>
      </c>
      <c r="AB688" s="142">
        <v>91</v>
      </c>
    </row>
    <row r="689" spans="1:28">
      <c r="A689" s="144">
        <v>45671</v>
      </c>
      <c r="B689" s="141">
        <f t="shared" si="25"/>
        <v>81135</v>
      </c>
      <c r="C689" s="141">
        <v>81207</v>
      </c>
      <c r="D689" s="142">
        <f t="shared" si="24"/>
        <v>72</v>
      </c>
      <c r="E689" s="141">
        <v>37169</v>
      </c>
      <c r="F689" s="141">
        <v>37209</v>
      </c>
      <c r="G689" s="142">
        <v>40</v>
      </c>
      <c r="H689" s="141">
        <v>557249</v>
      </c>
      <c r="I689" s="141">
        <v>557381</v>
      </c>
      <c r="J689" s="142">
        <v>132</v>
      </c>
      <c r="Q689" s="141">
        <v>31445</v>
      </c>
      <c r="R689" s="141">
        <v>31486</v>
      </c>
      <c r="S689" s="142">
        <v>41</v>
      </c>
      <c r="T689" s="141">
        <v>5403</v>
      </c>
      <c r="U689" s="141">
        <v>5405</v>
      </c>
      <c r="V689" s="142">
        <v>2</v>
      </c>
      <c r="W689" s="141">
        <v>3899</v>
      </c>
      <c r="X689" s="141">
        <v>3901</v>
      </c>
      <c r="Y689" s="142">
        <v>2</v>
      </c>
      <c r="Z689" s="141">
        <v>62399</v>
      </c>
      <c r="AA689" s="141">
        <v>62450</v>
      </c>
      <c r="AB689" s="142">
        <v>51</v>
      </c>
    </row>
    <row r="690" spans="1:28">
      <c r="A690" s="144">
        <v>45672</v>
      </c>
      <c r="B690" s="141">
        <f t="shared" si="25"/>
        <v>81207</v>
      </c>
      <c r="C690" s="141">
        <v>81287</v>
      </c>
      <c r="D690" s="142">
        <f t="shared" si="24"/>
        <v>80</v>
      </c>
      <c r="E690" s="141">
        <v>37209</v>
      </c>
      <c r="F690" s="141">
        <v>37249</v>
      </c>
      <c r="G690" s="142">
        <v>40</v>
      </c>
      <c r="H690" s="141">
        <v>557381</v>
      </c>
      <c r="I690" s="141">
        <v>557514</v>
      </c>
      <c r="J690" s="142">
        <v>133</v>
      </c>
      <c r="Q690" s="141">
        <v>31486</v>
      </c>
      <c r="R690" s="141">
        <v>31526</v>
      </c>
      <c r="S690" s="142">
        <v>40</v>
      </c>
      <c r="T690" s="141">
        <v>5405</v>
      </c>
      <c r="U690" s="141">
        <v>5409</v>
      </c>
      <c r="V690" s="142">
        <v>4</v>
      </c>
      <c r="W690" s="141">
        <v>3901</v>
      </c>
      <c r="X690" s="141">
        <v>3903</v>
      </c>
      <c r="Y690" s="142">
        <v>2</v>
      </c>
      <c r="Z690" s="141">
        <v>62450</v>
      </c>
      <c r="AA690" s="141">
        <v>62500</v>
      </c>
      <c r="AB690" s="142">
        <v>50</v>
      </c>
    </row>
    <row r="691" spans="1:28">
      <c r="A691" s="144">
        <v>45673</v>
      </c>
      <c r="B691" s="141">
        <f t="shared" si="25"/>
        <v>81287</v>
      </c>
      <c r="C691" s="141">
        <v>81360</v>
      </c>
      <c r="D691" s="142">
        <f t="shared" si="24"/>
        <v>73</v>
      </c>
      <c r="E691" s="141">
        <v>37249</v>
      </c>
      <c r="F691" s="141">
        <v>37283</v>
      </c>
      <c r="G691" s="142">
        <v>34</v>
      </c>
      <c r="H691" s="141">
        <v>557514</v>
      </c>
      <c r="I691" s="141">
        <v>557668</v>
      </c>
      <c r="J691" s="142">
        <v>154</v>
      </c>
      <c r="Q691" s="141">
        <v>31526</v>
      </c>
      <c r="R691" s="141">
        <v>31572</v>
      </c>
      <c r="S691" s="142">
        <v>46</v>
      </c>
      <c r="T691" s="141">
        <v>5409</v>
      </c>
      <c r="U691" s="141">
        <v>5411</v>
      </c>
      <c r="V691" s="142">
        <v>2</v>
      </c>
      <c r="W691" s="141">
        <v>3903</v>
      </c>
      <c r="X691" s="141">
        <v>3904</v>
      </c>
      <c r="Y691" s="142">
        <v>1</v>
      </c>
      <c r="Z691" s="141">
        <v>62500</v>
      </c>
      <c r="AA691" s="141">
        <v>62569</v>
      </c>
      <c r="AB691" s="142">
        <v>69</v>
      </c>
    </row>
    <row r="692" spans="1:28">
      <c r="A692" s="144">
        <v>45674</v>
      </c>
      <c r="B692" s="141">
        <f t="shared" si="25"/>
        <v>81360</v>
      </c>
      <c r="C692" s="141">
        <v>81437</v>
      </c>
      <c r="D692" s="142">
        <f t="shared" ref="D692:D723" si="26">C692-B692</f>
        <v>77</v>
      </c>
      <c r="E692" s="141">
        <v>37283</v>
      </c>
      <c r="F692" s="141">
        <v>37399</v>
      </c>
      <c r="G692" s="142">
        <v>116</v>
      </c>
      <c r="H692" s="141">
        <v>557668</v>
      </c>
      <c r="I692" s="141">
        <v>557781</v>
      </c>
      <c r="J692" s="142">
        <v>113</v>
      </c>
      <c r="Q692" s="141">
        <v>31572</v>
      </c>
      <c r="R692" s="141">
        <v>31606</v>
      </c>
      <c r="S692" s="142">
        <v>34</v>
      </c>
      <c r="T692" s="141">
        <v>5411</v>
      </c>
      <c r="U692" s="141">
        <v>5416</v>
      </c>
      <c r="V692" s="142">
        <v>5</v>
      </c>
      <c r="W692" s="141">
        <v>3904</v>
      </c>
      <c r="X692" s="141">
        <v>3905</v>
      </c>
      <c r="Y692" s="142">
        <v>1</v>
      </c>
      <c r="Z692" s="141">
        <v>62569</v>
      </c>
      <c r="AA692" s="141">
        <v>62615</v>
      </c>
      <c r="AB692" s="142">
        <v>46</v>
      </c>
    </row>
    <row r="693" spans="1:28">
      <c r="A693" s="144">
        <v>45675</v>
      </c>
      <c r="B693" s="141">
        <f t="shared" ref="B693:B724" si="27">C692</f>
        <v>81437</v>
      </c>
      <c r="C693" s="141">
        <v>81532</v>
      </c>
      <c r="D693" s="142">
        <f t="shared" si="26"/>
        <v>95</v>
      </c>
      <c r="E693" s="141">
        <v>37399</v>
      </c>
      <c r="F693" s="141">
        <v>37495</v>
      </c>
      <c r="G693" s="142">
        <v>96</v>
      </c>
      <c r="H693" s="141">
        <v>557781</v>
      </c>
      <c r="I693" s="141">
        <v>557916</v>
      </c>
      <c r="J693" s="142">
        <v>135</v>
      </c>
      <c r="Q693" s="141">
        <v>31606</v>
      </c>
      <c r="R693" s="141">
        <v>31660</v>
      </c>
      <c r="S693" s="142">
        <v>54</v>
      </c>
      <c r="T693" s="141">
        <v>5416</v>
      </c>
      <c r="U693" s="141">
        <v>5418</v>
      </c>
      <c r="V693" s="142">
        <v>2</v>
      </c>
      <c r="W693" s="141">
        <v>3905</v>
      </c>
      <c r="X693" s="141">
        <v>3908</v>
      </c>
      <c r="Y693" s="142">
        <v>3</v>
      </c>
      <c r="Z693" s="141">
        <v>62615</v>
      </c>
      <c r="AA693" s="141">
        <v>62697</v>
      </c>
      <c r="AB693" s="142">
        <v>82</v>
      </c>
    </row>
    <row r="694" spans="1:28">
      <c r="A694" s="144">
        <v>45676</v>
      </c>
      <c r="B694" s="141">
        <f t="shared" si="27"/>
        <v>81532</v>
      </c>
      <c r="C694" s="141">
        <v>81592</v>
      </c>
      <c r="D694" s="142">
        <f t="shared" si="26"/>
        <v>60</v>
      </c>
      <c r="E694" s="141">
        <v>37495</v>
      </c>
      <c r="F694" s="141">
        <v>37805</v>
      </c>
      <c r="G694" s="142">
        <v>310</v>
      </c>
      <c r="H694" s="141">
        <v>557916</v>
      </c>
      <c r="I694" s="141">
        <v>558050</v>
      </c>
      <c r="J694" s="142">
        <v>134</v>
      </c>
      <c r="Q694" s="141">
        <v>31660</v>
      </c>
      <c r="R694" s="141">
        <v>31691</v>
      </c>
      <c r="S694" s="142">
        <v>31</v>
      </c>
      <c r="T694" s="141">
        <v>5418</v>
      </c>
      <c r="U694" s="141">
        <v>5419</v>
      </c>
      <c r="V694" s="142">
        <v>1</v>
      </c>
      <c r="W694" s="141">
        <v>3908</v>
      </c>
      <c r="X694" s="141">
        <v>3909</v>
      </c>
      <c r="Y694" s="142">
        <v>1</v>
      </c>
      <c r="Z694" s="141">
        <v>62697</v>
      </c>
      <c r="AA694" s="141">
        <v>62839</v>
      </c>
      <c r="AB694" s="142">
        <v>142</v>
      </c>
    </row>
    <row r="695" spans="1:28">
      <c r="A695" s="144">
        <v>45677</v>
      </c>
      <c r="B695" s="141">
        <f t="shared" si="27"/>
        <v>81592</v>
      </c>
      <c r="C695" s="141">
        <v>81667</v>
      </c>
      <c r="D695" s="142">
        <f t="shared" si="26"/>
        <v>75</v>
      </c>
      <c r="E695" s="141">
        <v>37805</v>
      </c>
      <c r="F695" s="141">
        <v>37849</v>
      </c>
      <c r="G695" s="142">
        <v>44</v>
      </c>
      <c r="H695" s="141">
        <v>558050</v>
      </c>
      <c r="I695" s="141">
        <v>558172</v>
      </c>
      <c r="J695" s="142">
        <v>122</v>
      </c>
      <c r="Q695" s="141">
        <v>31691</v>
      </c>
      <c r="R695" s="141">
        <v>31735</v>
      </c>
      <c r="S695" s="142">
        <v>44</v>
      </c>
      <c r="T695" s="141">
        <v>5419</v>
      </c>
      <c r="U695" s="141">
        <v>5421</v>
      </c>
      <c r="V695" s="142">
        <v>2</v>
      </c>
      <c r="W695" s="141">
        <v>3909</v>
      </c>
      <c r="X695" s="141">
        <v>3912</v>
      </c>
      <c r="Y695" s="142">
        <v>3</v>
      </c>
      <c r="Z695" s="141">
        <v>62839</v>
      </c>
      <c r="AA695" s="141">
        <v>62930</v>
      </c>
      <c r="AB695" s="142">
        <v>91</v>
      </c>
    </row>
    <row r="696" spans="1:28">
      <c r="A696" s="144">
        <v>45678</v>
      </c>
      <c r="B696" s="141">
        <f t="shared" si="27"/>
        <v>81667</v>
      </c>
      <c r="C696" s="141">
        <v>81747</v>
      </c>
      <c r="D696" s="142">
        <f t="shared" si="26"/>
        <v>80</v>
      </c>
      <c r="E696" s="141">
        <v>37849</v>
      </c>
      <c r="F696" s="141">
        <v>37889</v>
      </c>
      <c r="G696" s="142">
        <v>40</v>
      </c>
      <c r="H696" s="141">
        <v>558172</v>
      </c>
      <c r="I696" s="141">
        <v>558279</v>
      </c>
      <c r="J696" s="142">
        <v>107</v>
      </c>
      <c r="Q696" s="141">
        <v>31735</v>
      </c>
      <c r="R696" s="141">
        <v>31774</v>
      </c>
      <c r="S696" s="142">
        <v>39</v>
      </c>
      <c r="T696" s="141">
        <v>5421</v>
      </c>
      <c r="U696" s="141">
        <v>5425</v>
      </c>
      <c r="V696" s="142">
        <v>4</v>
      </c>
      <c r="W696" s="141">
        <v>3912</v>
      </c>
      <c r="X696" s="141">
        <v>3913</v>
      </c>
      <c r="Y696" s="142">
        <v>1</v>
      </c>
      <c r="Z696" s="141">
        <v>62930</v>
      </c>
      <c r="AA696" s="141">
        <v>63050</v>
      </c>
      <c r="AB696" s="142">
        <v>120</v>
      </c>
    </row>
    <row r="697" spans="1:28">
      <c r="A697" s="144">
        <v>45679</v>
      </c>
      <c r="B697" s="141">
        <f t="shared" si="27"/>
        <v>81747</v>
      </c>
      <c r="C697" s="141">
        <v>81830</v>
      </c>
      <c r="D697" s="142">
        <f t="shared" si="26"/>
        <v>83</v>
      </c>
      <c r="E697" s="141">
        <v>37889</v>
      </c>
      <c r="F697" s="141">
        <v>37936</v>
      </c>
      <c r="G697" s="142">
        <v>47</v>
      </c>
      <c r="H697" s="141">
        <v>558279</v>
      </c>
      <c r="I697" s="141">
        <v>558413</v>
      </c>
      <c r="J697" s="142">
        <v>134</v>
      </c>
      <c r="Q697" s="141">
        <v>31774</v>
      </c>
      <c r="R697" s="141">
        <v>31812</v>
      </c>
      <c r="S697" s="142">
        <v>38</v>
      </c>
      <c r="T697" s="141">
        <v>5425</v>
      </c>
      <c r="U697" s="141">
        <v>5427</v>
      </c>
      <c r="V697" s="142">
        <v>2</v>
      </c>
      <c r="W697" s="141">
        <v>3913</v>
      </c>
      <c r="X697" s="141">
        <v>3915</v>
      </c>
      <c r="Y697" s="142">
        <v>2</v>
      </c>
      <c r="Z697" s="141">
        <v>63050</v>
      </c>
      <c r="AA697" s="141">
        <v>63180</v>
      </c>
      <c r="AB697" s="142">
        <v>130</v>
      </c>
    </row>
    <row r="698" spans="1:28">
      <c r="A698" s="144">
        <v>45680</v>
      </c>
      <c r="B698" s="141">
        <f t="shared" si="27"/>
        <v>81830</v>
      </c>
      <c r="C698" s="141">
        <v>81910</v>
      </c>
      <c r="D698" s="142">
        <f t="shared" si="26"/>
        <v>80</v>
      </c>
      <c r="E698" s="141">
        <v>37936</v>
      </c>
      <c r="F698" s="141">
        <v>37989</v>
      </c>
      <c r="G698" s="142">
        <v>53</v>
      </c>
      <c r="H698" s="141">
        <v>558413</v>
      </c>
      <c r="I698" s="141">
        <v>558534</v>
      </c>
      <c r="J698" s="142">
        <v>121</v>
      </c>
      <c r="Q698" s="141">
        <v>31812</v>
      </c>
      <c r="R698" s="141">
        <v>31861</v>
      </c>
      <c r="S698" s="142">
        <v>49</v>
      </c>
      <c r="T698" s="141">
        <v>5427</v>
      </c>
      <c r="U698" s="141">
        <v>5428</v>
      </c>
      <c r="V698" s="142">
        <v>1</v>
      </c>
      <c r="W698" s="141">
        <v>3915</v>
      </c>
      <c r="X698" s="141">
        <v>3916</v>
      </c>
      <c r="Y698" s="142">
        <v>1</v>
      </c>
      <c r="Z698" s="141">
        <v>63180</v>
      </c>
      <c r="AA698" s="141">
        <v>63264</v>
      </c>
      <c r="AB698" s="142">
        <v>84</v>
      </c>
    </row>
    <row r="699" spans="1:28">
      <c r="A699" s="144">
        <v>45681</v>
      </c>
      <c r="B699" s="141">
        <f t="shared" si="27"/>
        <v>81910</v>
      </c>
      <c r="C699" s="141">
        <v>81987</v>
      </c>
      <c r="D699" s="142">
        <f t="shared" si="26"/>
        <v>77</v>
      </c>
      <c r="E699" s="141">
        <v>37989</v>
      </c>
      <c r="F699" s="141">
        <v>38144</v>
      </c>
      <c r="G699" s="142">
        <v>155</v>
      </c>
      <c r="H699" s="141">
        <v>558534</v>
      </c>
      <c r="I699" s="141">
        <v>558661</v>
      </c>
      <c r="J699" s="142">
        <v>127</v>
      </c>
      <c r="Q699" s="141">
        <v>31861</v>
      </c>
      <c r="R699" s="141">
        <v>31901</v>
      </c>
      <c r="S699" s="142">
        <v>40</v>
      </c>
      <c r="T699" s="141">
        <v>5428</v>
      </c>
      <c r="U699" s="141">
        <v>5429</v>
      </c>
      <c r="V699" s="142">
        <v>1</v>
      </c>
      <c r="W699" s="141">
        <v>3916</v>
      </c>
      <c r="X699" s="141">
        <v>3918</v>
      </c>
      <c r="Y699" s="142">
        <v>2</v>
      </c>
      <c r="Z699" s="141">
        <v>63264</v>
      </c>
      <c r="AA699" s="141">
        <v>63334</v>
      </c>
      <c r="AB699" s="142">
        <v>70</v>
      </c>
    </row>
    <row r="700" spans="1:28">
      <c r="A700" s="144">
        <v>45682</v>
      </c>
      <c r="B700" s="141">
        <f t="shared" si="27"/>
        <v>81987</v>
      </c>
      <c r="C700" s="141">
        <v>82053</v>
      </c>
      <c r="D700" s="142">
        <f t="shared" si="26"/>
        <v>66</v>
      </c>
      <c r="E700" s="141">
        <v>38144</v>
      </c>
      <c r="F700" s="141">
        <v>38260</v>
      </c>
      <c r="G700" s="142">
        <v>116</v>
      </c>
      <c r="H700" s="141">
        <v>558661</v>
      </c>
      <c r="I700" s="141">
        <v>558791</v>
      </c>
      <c r="J700" s="142">
        <v>130</v>
      </c>
      <c r="Q700" s="141">
        <v>31901</v>
      </c>
      <c r="R700" s="141">
        <v>31934</v>
      </c>
      <c r="S700" s="142">
        <v>33</v>
      </c>
      <c r="T700" s="141">
        <v>5429</v>
      </c>
      <c r="U700" s="141">
        <v>5432</v>
      </c>
      <c r="V700" s="142">
        <v>3</v>
      </c>
      <c r="W700" s="141">
        <v>3918</v>
      </c>
      <c r="X700" s="141">
        <v>3919</v>
      </c>
      <c r="Y700" s="142">
        <v>1</v>
      </c>
      <c r="Z700" s="141">
        <v>63334</v>
      </c>
      <c r="AA700" s="141">
        <v>63439</v>
      </c>
      <c r="AB700" s="142">
        <v>105</v>
      </c>
    </row>
    <row r="701" spans="1:28">
      <c r="A701" s="144">
        <v>45683</v>
      </c>
      <c r="B701" s="141">
        <f t="shared" si="27"/>
        <v>82053</v>
      </c>
      <c r="C701" s="141">
        <v>82138</v>
      </c>
      <c r="D701" s="142">
        <f t="shared" si="26"/>
        <v>85</v>
      </c>
      <c r="E701" s="141">
        <v>38260</v>
      </c>
      <c r="F701" s="141">
        <v>38392</v>
      </c>
      <c r="G701" s="142">
        <v>132</v>
      </c>
      <c r="H701" s="141">
        <v>558791</v>
      </c>
      <c r="I701" s="141">
        <v>558891</v>
      </c>
      <c r="J701" s="142">
        <v>100</v>
      </c>
      <c r="Q701" s="141">
        <v>31934</v>
      </c>
      <c r="R701" s="141">
        <v>31977</v>
      </c>
      <c r="S701" s="142">
        <v>43</v>
      </c>
      <c r="T701" s="141">
        <v>5432</v>
      </c>
      <c r="U701" s="141">
        <v>5437</v>
      </c>
      <c r="V701" s="142">
        <v>5</v>
      </c>
      <c r="W701" s="141">
        <v>3919</v>
      </c>
      <c r="X701" s="141">
        <v>3921</v>
      </c>
      <c r="Y701" s="142">
        <v>2</v>
      </c>
      <c r="Z701" s="141">
        <v>63439</v>
      </c>
      <c r="AA701" s="141">
        <v>63572</v>
      </c>
      <c r="AB701" s="142">
        <v>133</v>
      </c>
    </row>
    <row r="702" spans="1:28">
      <c r="A702" s="144">
        <v>45684</v>
      </c>
      <c r="B702" s="141">
        <f t="shared" si="27"/>
        <v>82138</v>
      </c>
      <c r="C702" s="141">
        <v>82225</v>
      </c>
      <c r="D702" s="142">
        <f t="shared" si="26"/>
        <v>87</v>
      </c>
      <c r="E702" s="141">
        <v>38392</v>
      </c>
      <c r="F702" s="141">
        <v>38454</v>
      </c>
      <c r="G702" s="142">
        <v>62</v>
      </c>
      <c r="H702" s="141">
        <v>558891</v>
      </c>
      <c r="I702" s="141">
        <v>559032</v>
      </c>
      <c r="J702" s="142">
        <v>141</v>
      </c>
      <c r="Q702" s="141">
        <v>31977</v>
      </c>
      <c r="R702" s="141">
        <v>32008</v>
      </c>
      <c r="S702" s="142">
        <v>31</v>
      </c>
      <c r="T702" s="141">
        <v>5437</v>
      </c>
      <c r="U702" s="141">
        <v>5438</v>
      </c>
      <c r="V702" s="142">
        <v>1</v>
      </c>
      <c r="W702" s="141">
        <v>3921</v>
      </c>
      <c r="X702" s="141">
        <v>3924</v>
      </c>
      <c r="Y702" s="142">
        <v>3</v>
      </c>
      <c r="Z702" s="141">
        <v>63572</v>
      </c>
      <c r="AA702" s="141">
        <v>63624</v>
      </c>
      <c r="AB702" s="142">
        <v>52</v>
      </c>
    </row>
    <row r="703" spans="1:28">
      <c r="A703" s="144">
        <v>45685</v>
      </c>
      <c r="B703" s="141">
        <f t="shared" si="27"/>
        <v>82225</v>
      </c>
      <c r="C703" s="141">
        <v>82298</v>
      </c>
      <c r="D703" s="142">
        <f t="shared" si="26"/>
        <v>73</v>
      </c>
      <c r="E703" s="141">
        <v>38454</v>
      </c>
      <c r="F703" s="141">
        <v>38511</v>
      </c>
      <c r="G703" s="142">
        <v>57</v>
      </c>
      <c r="H703" s="141">
        <v>559032</v>
      </c>
      <c r="I703" s="141">
        <v>559144</v>
      </c>
      <c r="J703" s="142">
        <v>112</v>
      </c>
      <c r="Q703" s="141">
        <v>32008</v>
      </c>
      <c r="R703" s="141">
        <v>32044</v>
      </c>
      <c r="S703" s="142">
        <v>36</v>
      </c>
      <c r="T703" s="141">
        <v>5438</v>
      </c>
      <c r="U703" s="141">
        <v>5440</v>
      </c>
      <c r="V703" s="142">
        <v>2</v>
      </c>
      <c r="W703" s="141">
        <v>3924</v>
      </c>
      <c r="X703" s="141">
        <v>3926</v>
      </c>
      <c r="Y703" s="142">
        <v>2</v>
      </c>
      <c r="Z703" s="141">
        <v>63624</v>
      </c>
      <c r="AA703" s="141">
        <v>63713</v>
      </c>
      <c r="AB703" s="142">
        <v>89</v>
      </c>
    </row>
    <row r="704" spans="1:28">
      <c r="A704" s="144">
        <v>45686</v>
      </c>
      <c r="B704" s="141">
        <f t="shared" si="27"/>
        <v>82298</v>
      </c>
      <c r="C704" s="141">
        <v>82372</v>
      </c>
      <c r="D704" s="142">
        <f t="shared" si="26"/>
        <v>74</v>
      </c>
      <c r="E704" s="141">
        <v>38511</v>
      </c>
      <c r="F704" s="141">
        <v>38586</v>
      </c>
      <c r="G704" s="142">
        <v>75</v>
      </c>
      <c r="H704" s="141">
        <v>559144</v>
      </c>
      <c r="I704" s="141">
        <v>559256</v>
      </c>
      <c r="J704" s="142">
        <v>112</v>
      </c>
      <c r="Q704" s="141">
        <v>32044</v>
      </c>
      <c r="R704" s="141">
        <v>32083</v>
      </c>
      <c r="S704" s="142">
        <v>39</v>
      </c>
      <c r="T704" s="141">
        <v>5440</v>
      </c>
      <c r="U704" s="141">
        <v>5443</v>
      </c>
      <c r="V704" s="142">
        <v>3</v>
      </c>
      <c r="W704" s="141">
        <v>3926</v>
      </c>
      <c r="X704" s="141">
        <v>3927</v>
      </c>
      <c r="Y704" s="142">
        <v>1</v>
      </c>
      <c r="Z704" s="141">
        <v>63713</v>
      </c>
      <c r="AA704" s="141">
        <v>63799</v>
      </c>
      <c r="AB704" s="142">
        <v>86</v>
      </c>
    </row>
    <row r="705" spans="1:28">
      <c r="A705" s="144">
        <v>45687</v>
      </c>
      <c r="B705" s="141">
        <f t="shared" si="27"/>
        <v>82372</v>
      </c>
      <c r="C705" s="141">
        <v>82451</v>
      </c>
      <c r="D705" s="142">
        <f t="shared" si="26"/>
        <v>79</v>
      </c>
      <c r="E705" s="141">
        <v>38586</v>
      </c>
      <c r="F705" s="141">
        <v>38629</v>
      </c>
      <c r="G705" s="142">
        <v>43</v>
      </c>
      <c r="H705" s="141">
        <v>559256</v>
      </c>
      <c r="I705" s="141">
        <v>559378</v>
      </c>
      <c r="J705" s="142">
        <v>122</v>
      </c>
      <c r="Q705" s="141">
        <v>32083</v>
      </c>
      <c r="R705" s="141">
        <v>32126</v>
      </c>
      <c r="S705" s="142">
        <v>43</v>
      </c>
      <c r="T705" s="141">
        <v>5443</v>
      </c>
      <c r="U705" s="141">
        <v>5445</v>
      </c>
      <c r="V705" s="142">
        <v>2</v>
      </c>
      <c r="W705" s="141">
        <v>3927</v>
      </c>
      <c r="X705" s="141">
        <v>3929</v>
      </c>
      <c r="Y705" s="142">
        <v>2</v>
      </c>
      <c r="Z705" s="141">
        <v>63799</v>
      </c>
      <c r="AA705" s="141">
        <v>63870</v>
      </c>
      <c r="AB705" s="142">
        <v>71</v>
      </c>
    </row>
    <row r="706" spans="1:28">
      <c r="A706" s="144">
        <v>45688</v>
      </c>
      <c r="B706" s="141">
        <f t="shared" si="27"/>
        <v>82451</v>
      </c>
      <c r="C706" s="141">
        <v>82544</v>
      </c>
      <c r="D706" s="142">
        <f t="shared" si="26"/>
        <v>93</v>
      </c>
      <c r="E706" s="141">
        <v>38629</v>
      </c>
      <c r="F706" s="141">
        <v>38961</v>
      </c>
      <c r="G706" s="142">
        <v>132</v>
      </c>
      <c r="H706" s="141">
        <v>559378</v>
      </c>
      <c r="I706" s="141">
        <v>559523</v>
      </c>
      <c r="J706" s="142">
        <v>145</v>
      </c>
      <c r="Q706" s="141">
        <v>32126</v>
      </c>
      <c r="R706" s="141">
        <v>32160</v>
      </c>
      <c r="S706" s="142">
        <v>34</v>
      </c>
      <c r="T706" s="141">
        <v>5445</v>
      </c>
      <c r="U706" s="141">
        <v>5448</v>
      </c>
      <c r="V706" s="142">
        <v>3</v>
      </c>
      <c r="W706" s="141">
        <v>3929</v>
      </c>
      <c r="X706" s="141">
        <v>3934</v>
      </c>
      <c r="Y706" s="142">
        <v>5</v>
      </c>
      <c r="Z706" s="141">
        <v>63870</v>
      </c>
      <c r="AA706" s="141">
        <v>63993</v>
      </c>
      <c r="AB706" s="142">
        <v>123</v>
      </c>
    </row>
    <row r="707" spans="1:28">
      <c r="A707" s="144">
        <v>45689</v>
      </c>
      <c r="B707" s="141">
        <f t="shared" si="27"/>
        <v>82544</v>
      </c>
      <c r="C707" s="141">
        <v>82659</v>
      </c>
      <c r="D707" s="142">
        <f t="shared" si="26"/>
        <v>115</v>
      </c>
      <c r="E707" s="141">
        <v>38961</v>
      </c>
      <c r="F707" s="141">
        <v>39022</v>
      </c>
      <c r="G707" s="142">
        <v>61</v>
      </c>
      <c r="H707" s="141">
        <v>559523</v>
      </c>
      <c r="I707" s="141">
        <v>559675</v>
      </c>
      <c r="J707" s="142">
        <v>152</v>
      </c>
      <c r="Q707" s="141">
        <v>32160</v>
      </c>
      <c r="R707" s="141">
        <v>32200</v>
      </c>
      <c r="S707" s="142">
        <v>40</v>
      </c>
      <c r="T707" s="141">
        <v>5448</v>
      </c>
      <c r="U707" s="141">
        <v>5452</v>
      </c>
      <c r="V707" s="142">
        <v>4</v>
      </c>
      <c r="W707" s="141">
        <v>3934</v>
      </c>
      <c r="X707" s="141">
        <v>3939</v>
      </c>
      <c r="Y707" s="142">
        <v>5</v>
      </c>
      <c r="Z707" s="141">
        <v>63993</v>
      </c>
      <c r="AA707" s="141">
        <v>64085</v>
      </c>
      <c r="AB707" s="142">
        <v>92</v>
      </c>
    </row>
    <row r="708" spans="1:28">
      <c r="A708" s="144">
        <v>45690</v>
      </c>
      <c r="B708" s="141">
        <f t="shared" si="27"/>
        <v>82659</v>
      </c>
      <c r="C708" s="141">
        <v>82818</v>
      </c>
      <c r="D708" s="142">
        <f t="shared" si="26"/>
        <v>159</v>
      </c>
      <c r="E708" s="141">
        <v>39022</v>
      </c>
      <c r="F708" s="141">
        <v>39063</v>
      </c>
      <c r="G708" s="142">
        <v>41</v>
      </c>
      <c r="H708" s="141">
        <v>559675</v>
      </c>
      <c r="I708" s="141">
        <v>559895</v>
      </c>
      <c r="J708" s="142">
        <v>220</v>
      </c>
      <c r="Q708" s="141">
        <v>32200</v>
      </c>
      <c r="R708" s="141">
        <v>32268</v>
      </c>
      <c r="S708" s="142">
        <v>68</v>
      </c>
      <c r="T708" s="141">
        <v>5452</v>
      </c>
      <c r="U708" s="141">
        <v>5453</v>
      </c>
      <c r="V708" s="142">
        <v>1</v>
      </c>
      <c r="W708" s="141">
        <v>3939</v>
      </c>
      <c r="X708" s="141">
        <v>3941</v>
      </c>
      <c r="Y708" s="142">
        <v>2</v>
      </c>
      <c r="Z708" s="141">
        <v>64085</v>
      </c>
      <c r="AA708" s="141">
        <v>64169</v>
      </c>
      <c r="AB708" s="142">
        <v>84</v>
      </c>
    </row>
    <row r="709" spans="1:28">
      <c r="A709" s="144">
        <v>45691</v>
      </c>
      <c r="B709" s="141">
        <f t="shared" si="27"/>
        <v>82818</v>
      </c>
      <c r="C709" s="141">
        <v>82956</v>
      </c>
      <c r="D709" s="142">
        <f t="shared" si="26"/>
        <v>138</v>
      </c>
      <c r="E709" s="141">
        <v>39063</v>
      </c>
      <c r="F709" s="141">
        <v>39106</v>
      </c>
      <c r="G709" s="142">
        <v>43</v>
      </c>
      <c r="H709" s="141">
        <v>559895</v>
      </c>
      <c r="I709" s="141">
        <v>560041</v>
      </c>
      <c r="J709" s="142">
        <v>146</v>
      </c>
      <c r="Q709" s="141">
        <v>32268</v>
      </c>
      <c r="R709" s="141">
        <v>32299</v>
      </c>
      <c r="S709" s="142">
        <v>31</v>
      </c>
      <c r="T709" s="141">
        <v>5453</v>
      </c>
      <c r="U709" s="141">
        <v>5455</v>
      </c>
      <c r="V709" s="142">
        <v>2</v>
      </c>
      <c r="W709" s="141">
        <v>3941</v>
      </c>
      <c r="X709" s="141">
        <v>3943</v>
      </c>
      <c r="Y709" s="142">
        <v>2</v>
      </c>
      <c r="Z709" s="141">
        <v>64169</v>
      </c>
      <c r="AA709" s="141">
        <v>64270</v>
      </c>
      <c r="AB709" s="142">
        <v>101</v>
      </c>
    </row>
    <row r="710" spans="1:28">
      <c r="A710" s="144">
        <v>45692</v>
      </c>
      <c r="B710" s="141">
        <f t="shared" si="27"/>
        <v>82956</v>
      </c>
      <c r="C710" s="141">
        <v>83135</v>
      </c>
      <c r="D710" s="142">
        <f t="shared" si="26"/>
        <v>179</v>
      </c>
      <c r="E710" s="141">
        <v>39106</v>
      </c>
      <c r="F710" s="141">
        <v>39156</v>
      </c>
      <c r="G710" s="142">
        <v>50</v>
      </c>
      <c r="H710" s="141">
        <v>560041</v>
      </c>
      <c r="I710" s="141">
        <v>560172</v>
      </c>
      <c r="J710" s="142">
        <v>131</v>
      </c>
      <c r="Q710" s="141">
        <v>32299</v>
      </c>
      <c r="R710" s="141">
        <v>32338</v>
      </c>
      <c r="S710" s="142">
        <v>39</v>
      </c>
      <c r="T710" s="141">
        <v>5455</v>
      </c>
      <c r="U710" s="141">
        <v>5458</v>
      </c>
      <c r="V710" s="142">
        <v>3</v>
      </c>
      <c r="W710" s="141">
        <v>3943</v>
      </c>
      <c r="X710" s="141">
        <v>3944</v>
      </c>
      <c r="Y710" s="142">
        <v>1</v>
      </c>
      <c r="Z710" s="141">
        <v>64270</v>
      </c>
      <c r="AA710" s="141">
        <v>64389</v>
      </c>
      <c r="AB710" s="142">
        <v>119</v>
      </c>
    </row>
    <row r="711" spans="1:28">
      <c r="A711" s="144">
        <v>45693</v>
      </c>
      <c r="B711" s="141">
        <f t="shared" si="27"/>
        <v>83135</v>
      </c>
      <c r="C711" s="141">
        <v>83259</v>
      </c>
      <c r="D711" s="142">
        <f t="shared" si="26"/>
        <v>124</v>
      </c>
      <c r="E711" s="141">
        <v>39156</v>
      </c>
      <c r="F711" s="141">
        <v>39210</v>
      </c>
      <c r="G711" s="142">
        <v>54</v>
      </c>
      <c r="H711" s="141">
        <v>560172</v>
      </c>
      <c r="I711" s="141">
        <v>560313</v>
      </c>
      <c r="J711" s="142">
        <v>141</v>
      </c>
      <c r="Q711" s="141">
        <v>32338</v>
      </c>
      <c r="R711" s="141">
        <v>32372</v>
      </c>
      <c r="S711" s="142">
        <v>34</v>
      </c>
      <c r="T711" s="141">
        <v>5458</v>
      </c>
      <c r="U711" s="141">
        <v>5460</v>
      </c>
      <c r="V711" s="142">
        <v>2</v>
      </c>
      <c r="W711" s="141">
        <v>3944</v>
      </c>
      <c r="X711" s="141">
        <v>3945</v>
      </c>
      <c r="Y711" s="142">
        <v>1</v>
      </c>
      <c r="Z711" s="141">
        <v>64389</v>
      </c>
      <c r="AA711" s="141">
        <v>64496</v>
      </c>
      <c r="AB711" s="142">
        <v>107</v>
      </c>
    </row>
    <row r="712" spans="1:28">
      <c r="A712" s="144">
        <v>45694</v>
      </c>
      <c r="B712" s="141">
        <f t="shared" si="27"/>
        <v>83259</v>
      </c>
      <c r="C712" s="141">
        <v>83360</v>
      </c>
      <c r="D712" s="142">
        <f t="shared" si="26"/>
        <v>101</v>
      </c>
      <c r="E712" s="141">
        <v>39210</v>
      </c>
      <c r="F712" s="141">
        <v>39269</v>
      </c>
      <c r="G712" s="142">
        <v>59</v>
      </c>
      <c r="H712" s="141">
        <v>560313</v>
      </c>
      <c r="I712" s="141">
        <v>560413</v>
      </c>
      <c r="J712" s="142">
        <v>100</v>
      </c>
      <c r="Q712" s="141">
        <v>32372</v>
      </c>
      <c r="R712" s="141">
        <v>32405</v>
      </c>
      <c r="S712" s="142">
        <v>33</v>
      </c>
      <c r="T712" s="141">
        <v>5460</v>
      </c>
      <c r="U712" s="141">
        <v>5464</v>
      </c>
      <c r="V712" s="142">
        <v>4</v>
      </c>
      <c r="W712" s="141">
        <v>3945</v>
      </c>
      <c r="X712" s="141">
        <v>3947</v>
      </c>
      <c r="Y712" s="142">
        <v>2</v>
      </c>
      <c r="Z712" s="141">
        <v>64496</v>
      </c>
      <c r="AA712" s="141">
        <v>64559</v>
      </c>
      <c r="AB712" s="142">
        <v>63</v>
      </c>
    </row>
    <row r="713" spans="1:28">
      <c r="A713" s="144">
        <v>45695</v>
      </c>
      <c r="B713" s="141">
        <f t="shared" si="27"/>
        <v>83360</v>
      </c>
      <c r="C713" s="141">
        <v>83450</v>
      </c>
      <c r="D713" s="142">
        <f t="shared" si="26"/>
        <v>90</v>
      </c>
      <c r="E713" s="141">
        <v>39269</v>
      </c>
      <c r="F713" s="141">
        <v>39339</v>
      </c>
      <c r="G713" s="142">
        <v>70</v>
      </c>
      <c r="H713" s="141">
        <v>560413</v>
      </c>
      <c r="I713" s="141">
        <v>560499</v>
      </c>
      <c r="J713" s="142">
        <v>86</v>
      </c>
      <c r="Q713" s="141">
        <v>32405</v>
      </c>
      <c r="R713" s="141">
        <v>32444</v>
      </c>
      <c r="S713" s="142">
        <v>39</v>
      </c>
      <c r="T713" s="141">
        <v>5464</v>
      </c>
      <c r="U713" s="141">
        <v>5466</v>
      </c>
      <c r="V713" s="142">
        <v>2</v>
      </c>
      <c r="W713" s="141">
        <v>3947</v>
      </c>
      <c r="X713" s="141">
        <v>3949</v>
      </c>
      <c r="Y713" s="142">
        <v>2</v>
      </c>
      <c r="Z713" s="141">
        <v>64559</v>
      </c>
      <c r="AA713" s="141">
        <v>64629</v>
      </c>
      <c r="AB713" s="142">
        <v>70</v>
      </c>
    </row>
    <row r="714" spans="1:28">
      <c r="A714" s="144">
        <v>45696</v>
      </c>
      <c r="B714" s="141">
        <f t="shared" si="27"/>
        <v>83450</v>
      </c>
      <c r="C714" s="141">
        <v>83494</v>
      </c>
      <c r="D714" s="142">
        <f t="shared" si="26"/>
        <v>44</v>
      </c>
      <c r="E714" s="141">
        <v>39339</v>
      </c>
      <c r="F714" s="141">
        <v>39390</v>
      </c>
      <c r="G714" s="142">
        <v>51</v>
      </c>
      <c r="H714" s="141">
        <v>560499</v>
      </c>
      <c r="I714" s="141">
        <v>560535</v>
      </c>
      <c r="J714" s="142">
        <v>36</v>
      </c>
      <c r="Q714" s="141">
        <v>32444</v>
      </c>
      <c r="R714" s="141">
        <v>32454</v>
      </c>
      <c r="S714" s="142">
        <v>10</v>
      </c>
      <c r="T714" s="141">
        <v>5466</v>
      </c>
      <c r="U714" s="141">
        <v>5469</v>
      </c>
      <c r="V714" s="142">
        <v>3</v>
      </c>
      <c r="W714" s="141">
        <v>3949</v>
      </c>
      <c r="X714" s="141">
        <v>3953</v>
      </c>
      <c r="Y714" s="142">
        <v>4</v>
      </c>
      <c r="Z714" s="141">
        <v>64629</v>
      </c>
      <c r="AA714" s="141">
        <v>64699</v>
      </c>
      <c r="AB714" s="142">
        <v>70</v>
      </c>
    </row>
    <row r="715" spans="1:28">
      <c r="A715" s="144">
        <v>45697</v>
      </c>
      <c r="B715" s="141">
        <f t="shared" si="27"/>
        <v>83494</v>
      </c>
      <c r="C715" s="141">
        <v>83578</v>
      </c>
      <c r="D715" s="142">
        <f t="shared" si="26"/>
        <v>84</v>
      </c>
      <c r="E715" s="141">
        <v>39390</v>
      </c>
      <c r="F715" s="141">
        <v>39445</v>
      </c>
      <c r="G715" s="142">
        <v>55</v>
      </c>
      <c r="H715" s="141">
        <v>560535</v>
      </c>
      <c r="I715" s="141">
        <v>560655</v>
      </c>
      <c r="J715" s="142">
        <v>120</v>
      </c>
      <c r="Q715" s="141">
        <v>32454</v>
      </c>
      <c r="R715" s="141">
        <v>32504</v>
      </c>
      <c r="S715" s="142">
        <v>50</v>
      </c>
      <c r="T715" s="141">
        <v>5469</v>
      </c>
      <c r="U715" s="141">
        <v>5471</v>
      </c>
      <c r="V715" s="142">
        <v>2</v>
      </c>
      <c r="W715" s="141">
        <v>3953</v>
      </c>
      <c r="X715" s="141">
        <v>3956</v>
      </c>
      <c r="Y715" s="142">
        <v>3</v>
      </c>
      <c r="Z715" s="141">
        <v>64699</v>
      </c>
      <c r="AA715" s="141">
        <v>64781</v>
      </c>
      <c r="AB715" s="142">
        <v>82</v>
      </c>
    </row>
    <row r="716" spans="1:28">
      <c r="A716" s="144">
        <v>45698</v>
      </c>
      <c r="B716" s="141">
        <f t="shared" si="27"/>
        <v>83578</v>
      </c>
      <c r="C716" s="141">
        <v>83685</v>
      </c>
      <c r="D716" s="142">
        <f t="shared" si="26"/>
        <v>107</v>
      </c>
      <c r="E716" s="141">
        <v>39445</v>
      </c>
      <c r="F716" s="141">
        <v>39505</v>
      </c>
      <c r="G716" s="142">
        <v>60</v>
      </c>
      <c r="H716" s="141">
        <v>560655</v>
      </c>
      <c r="I716" s="141">
        <v>560758</v>
      </c>
      <c r="J716" s="142">
        <v>103</v>
      </c>
      <c r="Q716" s="141">
        <v>32504</v>
      </c>
      <c r="R716" s="141">
        <v>32544</v>
      </c>
      <c r="S716" s="142">
        <v>40</v>
      </c>
      <c r="T716" s="141">
        <v>5471</v>
      </c>
      <c r="U716" s="141">
        <v>5473</v>
      </c>
      <c r="V716" s="142">
        <v>2</v>
      </c>
      <c r="W716" s="141">
        <v>3956</v>
      </c>
      <c r="X716" s="141">
        <v>3960</v>
      </c>
      <c r="Y716" s="142">
        <v>4</v>
      </c>
      <c r="Z716" s="141">
        <v>64781</v>
      </c>
      <c r="AA716" s="141">
        <v>64845</v>
      </c>
      <c r="AB716" s="142">
        <v>64</v>
      </c>
    </row>
    <row r="717" spans="1:28">
      <c r="A717" s="144">
        <v>45699</v>
      </c>
      <c r="B717" s="141">
        <f t="shared" si="27"/>
        <v>83685</v>
      </c>
      <c r="C717" s="141">
        <v>83797</v>
      </c>
      <c r="D717" s="142">
        <f t="shared" si="26"/>
        <v>112</v>
      </c>
      <c r="E717" s="141">
        <v>39505</v>
      </c>
      <c r="F717" s="141">
        <v>39563</v>
      </c>
      <c r="G717" s="142">
        <v>58</v>
      </c>
      <c r="H717" s="141">
        <v>560758</v>
      </c>
      <c r="I717" s="141">
        <v>560879</v>
      </c>
      <c r="J717" s="142">
        <v>121</v>
      </c>
      <c r="Q717" s="141">
        <v>32544</v>
      </c>
      <c r="R717" s="141">
        <v>32590</v>
      </c>
      <c r="S717" s="142">
        <v>46</v>
      </c>
      <c r="T717" s="141">
        <v>5473</v>
      </c>
      <c r="U717" s="141">
        <v>5476</v>
      </c>
      <c r="V717" s="142">
        <v>3</v>
      </c>
      <c r="W717" s="141">
        <v>3960</v>
      </c>
      <c r="X717" s="141">
        <v>3963</v>
      </c>
      <c r="Y717" s="142">
        <v>3</v>
      </c>
      <c r="Z717" s="141">
        <v>64845</v>
      </c>
      <c r="AA717" s="141">
        <v>64899</v>
      </c>
      <c r="AB717" s="142">
        <v>54</v>
      </c>
    </row>
    <row r="718" spans="1:28">
      <c r="A718" s="144">
        <v>45700</v>
      </c>
      <c r="B718" s="141">
        <f t="shared" si="27"/>
        <v>83797</v>
      </c>
      <c r="C718" s="141">
        <v>83901</v>
      </c>
      <c r="D718" s="142">
        <f t="shared" si="26"/>
        <v>104</v>
      </c>
      <c r="E718" s="141">
        <v>39563</v>
      </c>
      <c r="F718" s="141">
        <v>39621</v>
      </c>
      <c r="G718" s="142">
        <v>58</v>
      </c>
      <c r="H718" s="141">
        <v>560879</v>
      </c>
      <c r="I718" s="141">
        <v>561016</v>
      </c>
      <c r="J718" s="142">
        <v>137</v>
      </c>
      <c r="Q718" s="141">
        <v>32590</v>
      </c>
      <c r="R718" s="141">
        <v>32629</v>
      </c>
      <c r="S718" s="142">
        <v>39</v>
      </c>
      <c r="T718" s="141">
        <v>5476</v>
      </c>
      <c r="U718" s="141">
        <v>5479</v>
      </c>
      <c r="V718" s="142">
        <v>3</v>
      </c>
      <c r="W718" s="141">
        <v>3963</v>
      </c>
      <c r="X718" s="141">
        <v>3965</v>
      </c>
      <c r="Y718" s="142">
        <v>2</v>
      </c>
      <c r="Z718" s="141">
        <v>64899</v>
      </c>
      <c r="AA718" s="141">
        <v>64950</v>
      </c>
      <c r="AB718" s="142">
        <v>51</v>
      </c>
    </row>
    <row r="719" spans="1:28">
      <c r="A719" s="144">
        <v>45701</v>
      </c>
      <c r="B719" s="141">
        <f t="shared" si="27"/>
        <v>83901</v>
      </c>
      <c r="C719" s="141">
        <v>83994</v>
      </c>
      <c r="D719" s="142">
        <f t="shared" si="26"/>
        <v>93</v>
      </c>
      <c r="E719" s="141">
        <v>39621</v>
      </c>
      <c r="F719" s="141">
        <v>39673</v>
      </c>
      <c r="G719" s="142">
        <v>52</v>
      </c>
      <c r="H719" s="141">
        <v>561016</v>
      </c>
      <c r="I719" s="141">
        <v>561147</v>
      </c>
      <c r="J719" s="142">
        <v>131</v>
      </c>
      <c r="Q719" s="141">
        <v>32629</v>
      </c>
      <c r="R719" s="141">
        <v>32671</v>
      </c>
      <c r="S719" s="142">
        <v>42</v>
      </c>
      <c r="T719" s="141">
        <v>5479</v>
      </c>
      <c r="U719" s="141">
        <v>5483</v>
      </c>
      <c r="V719" s="142">
        <v>4</v>
      </c>
      <c r="W719" s="141">
        <v>3965</v>
      </c>
      <c r="X719" s="141">
        <v>3967</v>
      </c>
      <c r="Y719" s="142">
        <v>2</v>
      </c>
      <c r="Z719" s="141">
        <v>64950</v>
      </c>
      <c r="AA719" s="141">
        <v>65000</v>
      </c>
      <c r="AB719" s="142">
        <v>50</v>
      </c>
    </row>
    <row r="720" spans="1:28">
      <c r="A720" s="144">
        <v>45702</v>
      </c>
      <c r="B720" s="141">
        <f t="shared" si="27"/>
        <v>83994</v>
      </c>
      <c r="C720" s="141">
        <v>84070</v>
      </c>
      <c r="D720" s="142">
        <f t="shared" si="26"/>
        <v>76</v>
      </c>
      <c r="E720" s="141">
        <v>39673</v>
      </c>
      <c r="F720" s="141">
        <v>39723</v>
      </c>
      <c r="G720" s="142">
        <v>50</v>
      </c>
      <c r="H720" s="141">
        <v>561147</v>
      </c>
      <c r="I720" s="141">
        <v>561259</v>
      </c>
      <c r="J720" s="142">
        <v>112</v>
      </c>
      <c r="Q720" s="141">
        <v>32671</v>
      </c>
      <c r="R720" s="141">
        <v>32716</v>
      </c>
      <c r="S720" s="142">
        <v>45</v>
      </c>
      <c r="T720" s="141">
        <v>5483</v>
      </c>
      <c r="U720" s="141">
        <v>5485</v>
      </c>
      <c r="V720" s="142">
        <v>2</v>
      </c>
      <c r="W720" s="141">
        <v>3967</v>
      </c>
      <c r="X720" s="141">
        <v>3968</v>
      </c>
      <c r="Y720" s="142">
        <v>1</v>
      </c>
      <c r="Z720" s="141">
        <v>65000</v>
      </c>
      <c r="AA720" s="141">
        <v>65095</v>
      </c>
      <c r="AB720" s="142">
        <v>95</v>
      </c>
    </row>
    <row r="721" spans="1:28">
      <c r="A721" s="144">
        <v>45703</v>
      </c>
      <c r="B721" s="141">
        <f t="shared" si="27"/>
        <v>84070</v>
      </c>
      <c r="C721" s="141">
        <v>84195</v>
      </c>
      <c r="D721" s="142">
        <f t="shared" si="26"/>
        <v>125</v>
      </c>
      <c r="E721" s="141">
        <v>39723</v>
      </c>
      <c r="F721" s="141">
        <v>39810</v>
      </c>
      <c r="G721" s="142">
        <v>87</v>
      </c>
      <c r="H721" s="141">
        <v>561259</v>
      </c>
      <c r="I721" s="141">
        <v>561359</v>
      </c>
      <c r="J721" s="142">
        <v>100</v>
      </c>
      <c r="Q721" s="141">
        <v>32716</v>
      </c>
      <c r="R721" s="141">
        <v>32760</v>
      </c>
      <c r="S721" s="142">
        <v>44</v>
      </c>
      <c r="T721" s="141">
        <v>5485</v>
      </c>
      <c r="U721" s="141">
        <v>5487</v>
      </c>
      <c r="V721" s="142">
        <v>2</v>
      </c>
      <c r="W721" s="141">
        <v>3968</v>
      </c>
      <c r="X721" s="141">
        <v>3969</v>
      </c>
      <c r="Y721" s="142">
        <v>1</v>
      </c>
      <c r="Z721" s="141">
        <v>65095</v>
      </c>
      <c r="AA721" s="141">
        <v>65200</v>
      </c>
      <c r="AB721" s="142">
        <v>105</v>
      </c>
    </row>
    <row r="722" spans="1:28">
      <c r="A722" s="144">
        <v>45704</v>
      </c>
      <c r="B722" s="141">
        <f t="shared" si="27"/>
        <v>84195</v>
      </c>
      <c r="C722" s="141">
        <v>84287</v>
      </c>
      <c r="D722" s="142">
        <f t="shared" si="26"/>
        <v>92</v>
      </c>
      <c r="E722" s="141">
        <v>39810</v>
      </c>
      <c r="F722" s="141">
        <v>39940</v>
      </c>
      <c r="G722" s="142">
        <v>45</v>
      </c>
      <c r="H722" s="141">
        <v>561359</v>
      </c>
      <c r="I722" s="141">
        <v>561454</v>
      </c>
      <c r="J722" s="142">
        <v>95</v>
      </c>
      <c r="Q722" s="141">
        <v>32760</v>
      </c>
      <c r="R722" s="141">
        <v>32792</v>
      </c>
      <c r="S722" s="142">
        <v>32</v>
      </c>
      <c r="T722" s="141">
        <v>5487</v>
      </c>
      <c r="U722" s="141">
        <v>5489</v>
      </c>
      <c r="V722" s="142">
        <v>2</v>
      </c>
      <c r="W722" s="141">
        <v>3969</v>
      </c>
      <c r="X722" s="141">
        <v>3970</v>
      </c>
      <c r="Y722" s="142">
        <v>1</v>
      </c>
      <c r="Z722" s="141">
        <v>65200</v>
      </c>
      <c r="AA722" s="141">
        <v>65295</v>
      </c>
      <c r="AB722" s="142">
        <v>95</v>
      </c>
    </row>
    <row r="723" spans="1:28">
      <c r="A723" s="144">
        <v>45705</v>
      </c>
      <c r="B723" s="141">
        <f t="shared" si="27"/>
        <v>84287</v>
      </c>
      <c r="C723" s="141">
        <v>84374</v>
      </c>
      <c r="D723" s="142">
        <f t="shared" si="26"/>
        <v>87</v>
      </c>
      <c r="E723" s="141">
        <v>39940</v>
      </c>
      <c r="F723" s="141">
        <v>40280</v>
      </c>
      <c r="G723" s="142">
        <v>60</v>
      </c>
      <c r="H723" s="141">
        <v>561454</v>
      </c>
      <c r="I723" s="141">
        <v>561540</v>
      </c>
      <c r="J723" s="142">
        <v>86</v>
      </c>
      <c r="Q723" s="141">
        <v>32792</v>
      </c>
      <c r="R723" s="141">
        <v>32836</v>
      </c>
      <c r="S723" s="142">
        <v>44</v>
      </c>
      <c r="T723" s="141">
        <v>5489</v>
      </c>
      <c r="U723" s="141">
        <v>5490</v>
      </c>
      <c r="V723" s="142">
        <v>1</v>
      </c>
      <c r="W723" s="141">
        <v>3970</v>
      </c>
      <c r="X723" s="141">
        <v>3971</v>
      </c>
      <c r="Y723" s="142">
        <v>1</v>
      </c>
      <c r="Z723" s="141">
        <v>65295</v>
      </c>
      <c r="AA723" s="141">
        <v>65345</v>
      </c>
      <c r="AB723" s="142">
        <v>50</v>
      </c>
    </row>
    <row r="724" spans="1:28">
      <c r="A724" s="144">
        <v>45706</v>
      </c>
      <c r="B724" s="141">
        <f t="shared" si="27"/>
        <v>84374</v>
      </c>
      <c r="C724" s="141">
        <v>84473</v>
      </c>
      <c r="D724" s="142">
        <f t="shared" ref="D724:D741" si="28">C724-B724</f>
        <v>99</v>
      </c>
      <c r="E724" s="141">
        <v>40280</v>
      </c>
      <c r="F724" s="141">
        <v>40340</v>
      </c>
      <c r="G724" s="142">
        <v>60</v>
      </c>
      <c r="H724" s="141">
        <v>561540</v>
      </c>
      <c r="I724" s="141">
        <v>561662</v>
      </c>
      <c r="J724" s="142">
        <v>122</v>
      </c>
      <c r="Q724" s="141">
        <v>32836</v>
      </c>
      <c r="R724" s="141">
        <v>32872</v>
      </c>
      <c r="S724" s="142">
        <v>36</v>
      </c>
      <c r="T724" s="141">
        <v>5490</v>
      </c>
      <c r="U724" s="141">
        <v>5492</v>
      </c>
      <c r="V724" s="142">
        <v>2</v>
      </c>
      <c r="W724" s="141">
        <v>3971</v>
      </c>
      <c r="X724" s="141">
        <v>3972</v>
      </c>
      <c r="Y724" s="142">
        <v>1</v>
      </c>
      <c r="Z724" s="141">
        <v>65345</v>
      </c>
      <c r="AA724" s="141">
        <v>65399</v>
      </c>
      <c r="AB724" s="142">
        <v>54</v>
      </c>
    </row>
    <row r="725" spans="1:28">
      <c r="A725" s="144">
        <v>45707</v>
      </c>
      <c r="B725" s="141">
        <f t="shared" ref="B725:B756" si="29">C724</f>
        <v>84473</v>
      </c>
      <c r="C725" s="141">
        <v>84578</v>
      </c>
      <c r="D725" s="142">
        <f t="shared" si="28"/>
        <v>105</v>
      </c>
      <c r="E725" s="141">
        <v>40340</v>
      </c>
      <c r="F725" s="141">
        <v>40399</v>
      </c>
      <c r="G725" s="142">
        <v>59</v>
      </c>
      <c r="H725" s="141">
        <v>561662</v>
      </c>
      <c r="I725" s="141">
        <v>561785</v>
      </c>
      <c r="J725" s="142">
        <v>123</v>
      </c>
      <c r="Q725" s="141">
        <v>32872</v>
      </c>
      <c r="R725" s="141">
        <v>32931</v>
      </c>
      <c r="S725" s="142">
        <v>59</v>
      </c>
      <c r="T725" s="141">
        <v>5492</v>
      </c>
      <c r="U725" s="141">
        <v>5495</v>
      </c>
      <c r="V725" s="142">
        <v>3</v>
      </c>
      <c r="W725" s="141">
        <v>3972</v>
      </c>
      <c r="X725" s="141">
        <v>3973</v>
      </c>
      <c r="Y725" s="142">
        <v>1</v>
      </c>
      <c r="Z725" s="141">
        <v>65399</v>
      </c>
      <c r="AA725" s="141">
        <v>65463</v>
      </c>
      <c r="AB725" s="142">
        <v>64</v>
      </c>
    </row>
    <row r="726" spans="1:28">
      <c r="A726" s="144">
        <v>45708</v>
      </c>
      <c r="B726" s="141">
        <f t="shared" si="29"/>
        <v>84578</v>
      </c>
      <c r="C726" s="141">
        <v>84682</v>
      </c>
      <c r="D726" s="142">
        <f t="shared" si="28"/>
        <v>104</v>
      </c>
      <c r="E726" s="141">
        <v>40399</v>
      </c>
      <c r="F726" s="141">
        <v>40458</v>
      </c>
      <c r="G726" s="142">
        <v>59</v>
      </c>
      <c r="H726" s="141">
        <v>561785</v>
      </c>
      <c r="I726" s="141">
        <v>561902</v>
      </c>
      <c r="J726" s="142">
        <v>117</v>
      </c>
      <c r="Q726" s="141">
        <v>32931</v>
      </c>
      <c r="R726" s="141">
        <v>32975</v>
      </c>
      <c r="S726" s="142">
        <v>44</v>
      </c>
      <c r="T726" s="141">
        <v>5495</v>
      </c>
      <c r="U726" s="141">
        <v>5496</v>
      </c>
      <c r="V726" s="142">
        <v>1</v>
      </c>
      <c r="W726" s="141">
        <v>3973</v>
      </c>
      <c r="X726" s="141">
        <v>3974</v>
      </c>
      <c r="Y726" s="142">
        <v>1</v>
      </c>
      <c r="Z726" s="141">
        <v>65463</v>
      </c>
      <c r="AA726" s="141">
        <v>65569</v>
      </c>
      <c r="AB726" s="142">
        <v>106</v>
      </c>
    </row>
    <row r="727" spans="1:28">
      <c r="A727" s="144">
        <v>45709</v>
      </c>
      <c r="B727" s="141">
        <f t="shared" si="29"/>
        <v>84682</v>
      </c>
      <c r="C727" s="141">
        <v>84782</v>
      </c>
      <c r="D727" s="142">
        <f t="shared" si="28"/>
        <v>100</v>
      </c>
      <c r="E727" s="141">
        <v>40458</v>
      </c>
      <c r="F727" s="141">
        <v>40509</v>
      </c>
      <c r="G727" s="142">
        <v>51</v>
      </c>
      <c r="H727" s="141">
        <v>561902</v>
      </c>
      <c r="I727" s="141">
        <v>562003</v>
      </c>
      <c r="J727" s="142">
        <v>101</v>
      </c>
      <c r="Q727" s="141">
        <v>32975</v>
      </c>
      <c r="R727" s="141">
        <v>33018</v>
      </c>
      <c r="S727" s="142">
        <v>43</v>
      </c>
      <c r="T727" s="141">
        <v>5496</v>
      </c>
      <c r="U727" s="141">
        <v>5498</v>
      </c>
      <c r="V727" s="142">
        <v>2</v>
      </c>
      <c r="W727" s="141">
        <v>3974</v>
      </c>
      <c r="X727" s="141">
        <v>3975</v>
      </c>
      <c r="Y727" s="142">
        <v>1</v>
      </c>
      <c r="Z727" s="141">
        <v>65569</v>
      </c>
      <c r="AA727" s="141">
        <v>65625</v>
      </c>
      <c r="AB727" s="142">
        <v>56</v>
      </c>
    </row>
    <row r="728" spans="1:28">
      <c r="A728" s="144">
        <v>45710</v>
      </c>
      <c r="B728" s="141">
        <f t="shared" si="29"/>
        <v>84782</v>
      </c>
      <c r="C728" s="141">
        <v>84868</v>
      </c>
      <c r="D728" s="142">
        <f t="shared" si="28"/>
        <v>86</v>
      </c>
      <c r="E728" s="141">
        <v>40509</v>
      </c>
      <c r="F728" s="141">
        <v>40666</v>
      </c>
      <c r="G728" s="142">
        <v>75</v>
      </c>
      <c r="H728" s="141">
        <v>562003</v>
      </c>
      <c r="I728" s="141">
        <v>562127</v>
      </c>
      <c r="J728" s="142">
        <v>124</v>
      </c>
      <c r="Q728" s="141">
        <v>33018</v>
      </c>
      <c r="R728" s="141">
        <v>33070</v>
      </c>
      <c r="S728" s="142">
        <v>52</v>
      </c>
      <c r="T728" s="141">
        <v>5498</v>
      </c>
      <c r="U728" s="141">
        <v>5499</v>
      </c>
      <c r="V728" s="142">
        <v>1</v>
      </c>
      <c r="W728" s="141">
        <v>3975</v>
      </c>
      <c r="X728" s="141">
        <v>3976</v>
      </c>
      <c r="Y728" s="142">
        <v>1</v>
      </c>
      <c r="Z728" s="141">
        <v>65625</v>
      </c>
      <c r="AA728" s="141">
        <v>65805</v>
      </c>
      <c r="AB728" s="142">
        <v>180</v>
      </c>
    </row>
    <row r="729" spans="1:28">
      <c r="A729" s="144">
        <v>45711</v>
      </c>
      <c r="B729" s="141">
        <f t="shared" si="29"/>
        <v>84868</v>
      </c>
      <c r="C729" s="141">
        <v>84994</v>
      </c>
      <c r="D729" s="142">
        <f t="shared" si="28"/>
        <v>126</v>
      </c>
      <c r="E729" s="141">
        <v>40666</v>
      </c>
      <c r="F729" s="141">
        <v>40735</v>
      </c>
      <c r="G729" s="142">
        <v>69</v>
      </c>
      <c r="H729" s="141">
        <v>562127</v>
      </c>
      <c r="I729" s="141">
        <v>562230</v>
      </c>
      <c r="J729" s="142">
        <v>103</v>
      </c>
      <c r="Q729" s="141">
        <v>33070</v>
      </c>
      <c r="R729" s="141">
        <v>33109</v>
      </c>
      <c r="S729" s="142">
        <v>39</v>
      </c>
      <c r="T729" s="141">
        <v>5499</v>
      </c>
      <c r="U729" s="141">
        <v>5500</v>
      </c>
      <c r="V729" s="142">
        <v>1</v>
      </c>
      <c r="W729" s="141">
        <v>3976</v>
      </c>
      <c r="X729" s="141">
        <v>3977</v>
      </c>
      <c r="Y729" s="142">
        <v>1</v>
      </c>
      <c r="Z729" s="141">
        <v>65805</v>
      </c>
      <c r="AA729" s="141">
        <v>65899</v>
      </c>
      <c r="AB729" s="142">
        <v>94</v>
      </c>
    </row>
    <row r="730" spans="1:28">
      <c r="A730" s="144">
        <v>45712</v>
      </c>
      <c r="B730" s="141">
        <f t="shared" si="29"/>
        <v>84994</v>
      </c>
      <c r="C730" s="141">
        <v>85083</v>
      </c>
      <c r="D730" s="142">
        <f t="shared" si="28"/>
        <v>89</v>
      </c>
      <c r="E730" s="141">
        <v>40735</v>
      </c>
      <c r="F730" s="141">
        <v>40821</v>
      </c>
      <c r="G730" s="142">
        <v>86</v>
      </c>
      <c r="H730" s="141">
        <v>562230</v>
      </c>
      <c r="I730" s="141">
        <v>562344</v>
      </c>
      <c r="J730" s="142">
        <v>114</v>
      </c>
      <c r="Q730" s="141">
        <v>33109</v>
      </c>
      <c r="R730" s="141">
        <v>33151</v>
      </c>
      <c r="S730" s="142">
        <v>42</v>
      </c>
      <c r="T730" s="141">
        <v>5500</v>
      </c>
      <c r="U730" s="141">
        <v>5501</v>
      </c>
      <c r="V730" s="142">
        <v>1</v>
      </c>
      <c r="W730" s="141">
        <v>3977</v>
      </c>
      <c r="X730" s="141">
        <v>3978</v>
      </c>
      <c r="Y730" s="142">
        <v>1</v>
      </c>
      <c r="Z730" s="141">
        <v>65899</v>
      </c>
      <c r="AA730" s="141">
        <v>65979</v>
      </c>
      <c r="AB730" s="142">
        <v>80</v>
      </c>
    </row>
    <row r="731" spans="1:28">
      <c r="A731" s="144">
        <v>45713</v>
      </c>
      <c r="B731" s="141">
        <f t="shared" si="29"/>
        <v>85083</v>
      </c>
      <c r="C731" s="141">
        <v>85174</v>
      </c>
      <c r="D731" s="142">
        <f t="shared" si="28"/>
        <v>91</v>
      </c>
      <c r="E731" s="141">
        <v>40821</v>
      </c>
      <c r="F731" s="141">
        <v>40880</v>
      </c>
      <c r="G731" s="142">
        <v>59</v>
      </c>
      <c r="H731" s="141">
        <v>562344</v>
      </c>
      <c r="I731" s="141">
        <v>562464</v>
      </c>
      <c r="J731" s="142">
        <v>120</v>
      </c>
      <c r="Q731" s="141">
        <v>33151</v>
      </c>
      <c r="R731" s="141">
        <v>33232</v>
      </c>
      <c r="S731" s="142">
        <v>81</v>
      </c>
      <c r="T731" s="141">
        <v>5501</v>
      </c>
      <c r="U731" s="141">
        <v>5502</v>
      </c>
      <c r="V731" s="142">
        <v>1</v>
      </c>
      <c r="W731" s="141">
        <v>3978</v>
      </c>
      <c r="X731" s="141">
        <v>3979</v>
      </c>
      <c r="Y731" s="142">
        <v>1</v>
      </c>
      <c r="Z731" s="141">
        <v>65979</v>
      </c>
      <c r="AA731" s="141">
        <v>66099</v>
      </c>
      <c r="AB731" s="142">
        <v>120</v>
      </c>
    </row>
    <row r="732" spans="1:28">
      <c r="A732" s="144">
        <v>45714</v>
      </c>
      <c r="B732" s="141">
        <f t="shared" si="29"/>
        <v>85174</v>
      </c>
      <c r="C732" s="141">
        <v>85255</v>
      </c>
      <c r="D732" s="142">
        <f t="shared" si="28"/>
        <v>81</v>
      </c>
      <c r="E732" s="141">
        <v>40880</v>
      </c>
      <c r="F732" s="141">
        <v>40945</v>
      </c>
      <c r="G732" s="142">
        <v>65</v>
      </c>
      <c r="H732" s="141">
        <v>562464</v>
      </c>
      <c r="I732" s="141">
        <v>562585</v>
      </c>
      <c r="J732" s="142">
        <v>121</v>
      </c>
      <c r="Q732" s="141">
        <v>33232</v>
      </c>
      <c r="R732" s="141">
        <v>33270</v>
      </c>
      <c r="S732" s="142">
        <v>38</v>
      </c>
      <c r="T732" s="141">
        <v>5502</v>
      </c>
      <c r="U732" s="141">
        <v>5504</v>
      </c>
      <c r="V732" s="142">
        <v>2</v>
      </c>
      <c r="W732" s="141">
        <v>3979</v>
      </c>
      <c r="X732" s="141">
        <v>3980</v>
      </c>
      <c r="Y732" s="142">
        <v>1</v>
      </c>
      <c r="Z732" s="141">
        <v>66099</v>
      </c>
      <c r="AA732" s="141">
        <v>66173</v>
      </c>
      <c r="AB732" s="142">
        <v>74</v>
      </c>
    </row>
    <row r="733" spans="1:28">
      <c r="A733" s="144">
        <v>45715</v>
      </c>
      <c r="B733" s="141">
        <f t="shared" si="29"/>
        <v>85255</v>
      </c>
      <c r="C733" s="141">
        <v>85314</v>
      </c>
      <c r="D733" s="142">
        <f t="shared" si="28"/>
        <v>59</v>
      </c>
      <c r="E733" s="141">
        <v>40945</v>
      </c>
      <c r="F733" s="141">
        <v>40997</v>
      </c>
      <c r="G733" s="142">
        <v>52</v>
      </c>
      <c r="H733" s="141">
        <v>562585</v>
      </c>
      <c r="I733" s="141">
        <v>562695</v>
      </c>
      <c r="J733" s="142">
        <v>110</v>
      </c>
      <c r="Q733" s="141">
        <v>33270</v>
      </c>
      <c r="R733" s="141">
        <v>33300</v>
      </c>
      <c r="S733" s="142">
        <v>30</v>
      </c>
      <c r="T733" s="141">
        <v>5504</v>
      </c>
      <c r="U733" s="141">
        <v>5505</v>
      </c>
      <c r="V733" s="142">
        <v>1</v>
      </c>
      <c r="W733" s="141">
        <v>3980</v>
      </c>
      <c r="X733" s="141">
        <v>3981</v>
      </c>
      <c r="Y733" s="142">
        <v>1</v>
      </c>
      <c r="Z733" s="141">
        <v>66173</v>
      </c>
      <c r="AA733" s="141">
        <v>66229</v>
      </c>
      <c r="AB733" s="142">
        <v>56</v>
      </c>
    </row>
    <row r="734" spans="1:28">
      <c r="A734" s="144">
        <v>45716</v>
      </c>
      <c r="B734" s="141">
        <f t="shared" si="29"/>
        <v>85314</v>
      </c>
      <c r="C734" s="141">
        <v>85393</v>
      </c>
      <c r="D734" s="142">
        <f t="shared" si="28"/>
        <v>79</v>
      </c>
      <c r="E734" s="141">
        <v>40997</v>
      </c>
      <c r="F734" s="141">
        <v>41054</v>
      </c>
      <c r="G734" s="142">
        <v>57</v>
      </c>
      <c r="H734" s="141">
        <v>562695</v>
      </c>
      <c r="I734" s="141">
        <v>562798</v>
      </c>
      <c r="J734" s="142">
        <v>103</v>
      </c>
      <c r="Q734" s="141">
        <v>33300</v>
      </c>
      <c r="R734" s="141">
        <v>33345</v>
      </c>
      <c r="S734" s="142">
        <v>45</v>
      </c>
      <c r="T734" s="141">
        <v>5505</v>
      </c>
      <c r="U734" s="141">
        <v>5506</v>
      </c>
      <c r="V734" s="142">
        <v>1</v>
      </c>
      <c r="W734" s="141">
        <v>3981</v>
      </c>
      <c r="X734" s="141">
        <v>3982</v>
      </c>
      <c r="Y734" s="142">
        <v>1</v>
      </c>
      <c r="Z734" s="141">
        <v>66229</v>
      </c>
      <c r="AA734" s="141">
        <v>66287</v>
      </c>
      <c r="AB734" s="142">
        <v>58</v>
      </c>
    </row>
    <row r="735" spans="1:28">
      <c r="A735" s="144">
        <v>45717</v>
      </c>
      <c r="B735" s="141">
        <f t="shared" si="29"/>
        <v>85393</v>
      </c>
      <c r="C735" s="141">
        <v>85518</v>
      </c>
      <c r="D735" s="142">
        <f t="shared" si="28"/>
        <v>125</v>
      </c>
      <c r="E735" s="141">
        <v>41054</v>
      </c>
      <c r="F735" s="141">
        <v>41099</v>
      </c>
      <c r="G735" s="142">
        <v>45</v>
      </c>
      <c r="H735" s="141">
        <v>562798</v>
      </c>
      <c r="I735" s="141">
        <v>562898</v>
      </c>
      <c r="J735" s="142">
        <v>100</v>
      </c>
      <c r="Q735" s="141">
        <v>33345</v>
      </c>
      <c r="R735" s="141">
        <v>33370</v>
      </c>
      <c r="S735" s="142">
        <v>25</v>
      </c>
      <c r="T735" s="141">
        <v>5506</v>
      </c>
      <c r="U735" s="141">
        <v>5508</v>
      </c>
      <c r="V735" s="142">
        <v>2</v>
      </c>
      <c r="W735" s="141">
        <v>3982</v>
      </c>
      <c r="X735" s="141">
        <v>3983</v>
      </c>
      <c r="Y735" s="142">
        <v>1</v>
      </c>
      <c r="Z735" s="141">
        <v>66287</v>
      </c>
      <c r="AA735" s="141">
        <v>66349</v>
      </c>
      <c r="AB735" s="142">
        <v>62</v>
      </c>
    </row>
    <row r="736" spans="1:28">
      <c r="A736" s="144">
        <v>45718</v>
      </c>
      <c r="B736" s="141">
        <f t="shared" si="29"/>
        <v>85518</v>
      </c>
      <c r="C736" s="141">
        <v>85582</v>
      </c>
      <c r="D736" s="142">
        <f t="shared" si="28"/>
        <v>64</v>
      </c>
      <c r="E736" s="141">
        <v>41099</v>
      </c>
      <c r="F736" s="141">
        <v>41154</v>
      </c>
      <c r="G736" s="142">
        <v>55</v>
      </c>
      <c r="H736" s="141">
        <v>562898</v>
      </c>
      <c r="I736" s="141">
        <v>562999</v>
      </c>
      <c r="J736" s="142">
        <v>101</v>
      </c>
      <c r="Q736" s="141">
        <v>33370</v>
      </c>
      <c r="R736" s="141">
        <v>33400</v>
      </c>
      <c r="S736" s="142">
        <v>30</v>
      </c>
      <c r="T736" s="141">
        <v>5508</v>
      </c>
      <c r="U736" s="141">
        <v>5509</v>
      </c>
      <c r="V736" s="142">
        <v>1</v>
      </c>
      <c r="W736" s="141">
        <v>3983</v>
      </c>
      <c r="X736" s="141">
        <v>3984</v>
      </c>
      <c r="Y736" s="142">
        <v>1</v>
      </c>
      <c r="Z736" s="141">
        <v>66349</v>
      </c>
      <c r="AA736" s="141">
        <v>66445</v>
      </c>
      <c r="AB736" s="142">
        <v>96</v>
      </c>
    </row>
    <row r="737" spans="1:28">
      <c r="A737" s="144">
        <v>45719</v>
      </c>
      <c r="B737" s="141">
        <f t="shared" si="29"/>
        <v>85582</v>
      </c>
      <c r="C737" s="141">
        <v>85672</v>
      </c>
      <c r="D737" s="142">
        <f t="shared" si="28"/>
        <v>90</v>
      </c>
      <c r="E737" s="141">
        <v>41154</v>
      </c>
      <c r="F737" s="141">
        <v>41205</v>
      </c>
      <c r="G737" s="142">
        <v>51</v>
      </c>
      <c r="H737" s="141">
        <v>562999</v>
      </c>
      <c r="I737" s="141">
        <v>563186</v>
      </c>
      <c r="J737" s="142">
        <v>187</v>
      </c>
      <c r="Q737" s="141">
        <v>33400</v>
      </c>
      <c r="R737" s="141">
        <v>33440</v>
      </c>
      <c r="S737" s="142">
        <v>40</v>
      </c>
      <c r="T737" s="141">
        <v>5509</v>
      </c>
      <c r="U737" s="141">
        <v>5512</v>
      </c>
      <c r="V737" s="142">
        <v>3</v>
      </c>
      <c r="W737" s="141">
        <v>3984</v>
      </c>
      <c r="X737" s="141">
        <v>3985</v>
      </c>
      <c r="Y737" s="142">
        <v>1</v>
      </c>
      <c r="Z737" s="141">
        <v>66445</v>
      </c>
      <c r="AA737" s="141">
        <v>66545</v>
      </c>
      <c r="AB737" s="142">
        <v>100</v>
      </c>
    </row>
    <row r="738" spans="1:28">
      <c r="A738" s="144">
        <v>45720</v>
      </c>
      <c r="B738" s="141">
        <f t="shared" si="29"/>
        <v>85672</v>
      </c>
      <c r="C738" s="141">
        <v>85773</v>
      </c>
      <c r="D738" s="142">
        <f t="shared" si="28"/>
        <v>101</v>
      </c>
      <c r="E738" s="141">
        <v>41205</v>
      </c>
      <c r="F738" s="141">
        <v>41225</v>
      </c>
      <c r="G738" s="142">
        <v>20</v>
      </c>
      <c r="H738" s="141">
        <v>563186</v>
      </c>
      <c r="I738" s="141">
        <v>563218</v>
      </c>
      <c r="J738" s="142">
        <v>32</v>
      </c>
      <c r="Q738" s="141">
        <v>33440</v>
      </c>
      <c r="R738" s="141">
        <v>33485</v>
      </c>
      <c r="S738" s="142">
        <v>45</v>
      </c>
      <c r="T738" s="141">
        <v>5512</v>
      </c>
      <c r="U738" s="141">
        <v>5513</v>
      </c>
      <c r="V738" s="142">
        <v>1</v>
      </c>
      <c r="W738" s="141">
        <v>3985</v>
      </c>
      <c r="X738" s="141">
        <v>3985</v>
      </c>
      <c r="Y738" s="142">
        <v>0</v>
      </c>
      <c r="Z738" s="141">
        <v>66545</v>
      </c>
      <c r="AA738" s="141">
        <v>66565</v>
      </c>
      <c r="AB738" s="142">
        <v>20</v>
      </c>
    </row>
    <row r="739" spans="1:28">
      <c r="A739" s="144">
        <v>45721</v>
      </c>
      <c r="B739" s="141">
        <f t="shared" si="29"/>
        <v>85773</v>
      </c>
      <c r="C739" s="141">
        <v>85884</v>
      </c>
      <c r="D739" s="142">
        <f t="shared" si="28"/>
        <v>111</v>
      </c>
      <c r="E739" s="141">
        <v>41225</v>
      </c>
      <c r="F739" s="141">
        <v>41286</v>
      </c>
      <c r="G739" s="142">
        <v>61</v>
      </c>
      <c r="H739" s="141">
        <v>563218</v>
      </c>
      <c r="I739" s="141">
        <v>563383</v>
      </c>
      <c r="J739" s="142">
        <v>165</v>
      </c>
      <c r="Q739" s="141">
        <v>33485</v>
      </c>
      <c r="R739" s="141">
        <v>33526</v>
      </c>
      <c r="S739" s="142">
        <v>41</v>
      </c>
      <c r="T739" s="141">
        <v>5513</v>
      </c>
      <c r="U739" s="141">
        <v>5514</v>
      </c>
      <c r="V739" s="142">
        <v>1</v>
      </c>
      <c r="W739" s="141">
        <v>3985</v>
      </c>
      <c r="X739" s="141">
        <v>3986</v>
      </c>
      <c r="Y739" s="142">
        <v>1</v>
      </c>
      <c r="Z739" s="141">
        <v>66565</v>
      </c>
      <c r="AA739" s="141">
        <v>66698</v>
      </c>
      <c r="AB739" s="142">
        <v>133</v>
      </c>
    </row>
    <row r="740" spans="1:28">
      <c r="A740" s="144">
        <v>45722</v>
      </c>
      <c r="B740" s="141">
        <f t="shared" si="29"/>
        <v>85884</v>
      </c>
      <c r="C740" s="141">
        <v>85990</v>
      </c>
      <c r="D740" s="142">
        <f t="shared" si="28"/>
        <v>106</v>
      </c>
      <c r="E740" s="141">
        <v>41286</v>
      </c>
      <c r="F740" s="141">
        <v>41330</v>
      </c>
      <c r="G740" s="142">
        <v>44</v>
      </c>
      <c r="H740" s="141">
        <v>563383</v>
      </c>
      <c r="I740" s="141">
        <v>563466</v>
      </c>
      <c r="J740" s="142">
        <v>83</v>
      </c>
      <c r="Q740" s="141">
        <v>33526</v>
      </c>
      <c r="R740" s="141">
        <v>33579</v>
      </c>
      <c r="S740" s="142">
        <v>53</v>
      </c>
      <c r="T740" s="141">
        <v>5514</v>
      </c>
      <c r="U740" s="141">
        <v>5515</v>
      </c>
      <c r="V740" s="142">
        <v>1</v>
      </c>
      <c r="W740" s="141">
        <v>3986</v>
      </c>
      <c r="X740" s="141">
        <v>3987</v>
      </c>
      <c r="Y740" s="142">
        <v>1</v>
      </c>
      <c r="Z740" s="141">
        <v>66698</v>
      </c>
      <c r="AA740" s="141">
        <v>66850</v>
      </c>
      <c r="AB740" s="142">
        <v>152</v>
      </c>
    </row>
    <row r="741" spans="1:28">
      <c r="A741" s="144">
        <v>45723</v>
      </c>
      <c r="B741" s="141">
        <f t="shared" si="29"/>
        <v>85990</v>
      </c>
      <c r="C741" s="141">
        <v>86075</v>
      </c>
      <c r="D741" s="142">
        <f t="shared" si="28"/>
        <v>85</v>
      </c>
      <c r="E741" s="141">
        <v>41330</v>
      </c>
      <c r="F741" s="141">
        <v>41389</v>
      </c>
      <c r="G741" s="142">
        <v>59</v>
      </c>
      <c r="H741" s="141">
        <v>563466</v>
      </c>
      <c r="I741" s="141">
        <v>563581</v>
      </c>
      <c r="J741" s="142">
        <v>115</v>
      </c>
      <c r="Q741" s="141">
        <v>33579</v>
      </c>
      <c r="R741" s="141">
        <v>33621</v>
      </c>
      <c r="S741" s="142">
        <v>42</v>
      </c>
      <c r="T741" s="141">
        <v>5515</v>
      </c>
      <c r="U741" s="141">
        <v>5516</v>
      </c>
      <c r="V741" s="142">
        <v>1</v>
      </c>
      <c r="W741" s="141">
        <v>3987</v>
      </c>
      <c r="X741" s="141">
        <v>3988</v>
      </c>
      <c r="Y741" s="142">
        <v>1</v>
      </c>
      <c r="Z741" s="141">
        <v>66850</v>
      </c>
      <c r="AA741" s="141">
        <v>66959</v>
      </c>
      <c r="AB741" s="142">
        <v>109</v>
      </c>
    </row>
    <row r="742" spans="1:28">
      <c r="A742" s="144">
        <v>45724</v>
      </c>
      <c r="B742" s="141">
        <f t="shared" si="29"/>
        <v>86075</v>
      </c>
      <c r="C742" s="141">
        <v>86210</v>
      </c>
      <c r="D742" s="142">
        <v>55</v>
      </c>
      <c r="E742" s="141">
        <v>41389</v>
      </c>
      <c r="F742" s="141">
        <v>41585</v>
      </c>
      <c r="G742" s="142">
        <v>196</v>
      </c>
      <c r="H742" s="141">
        <v>563581</v>
      </c>
      <c r="I742" s="141">
        <v>563686</v>
      </c>
      <c r="J742" s="142">
        <v>105</v>
      </c>
      <c r="Q742" s="141">
        <v>33621</v>
      </c>
      <c r="R742" s="141">
        <v>33655</v>
      </c>
      <c r="S742" s="142">
        <v>34</v>
      </c>
      <c r="T742" s="141">
        <v>5516</v>
      </c>
      <c r="U742" s="141">
        <v>5517</v>
      </c>
      <c r="V742" s="142">
        <v>1</v>
      </c>
      <c r="W742" s="141">
        <v>3988</v>
      </c>
      <c r="X742" s="141">
        <v>3989</v>
      </c>
      <c r="Y742" s="142">
        <v>1</v>
      </c>
      <c r="Z742" s="141">
        <v>66959</v>
      </c>
      <c r="AA742" s="141">
        <v>67126</v>
      </c>
      <c r="AB742" s="142">
        <v>167</v>
      </c>
    </row>
    <row r="743" spans="1:28">
      <c r="A743" s="144">
        <v>45725</v>
      </c>
      <c r="B743" s="141">
        <f t="shared" si="29"/>
        <v>86210</v>
      </c>
      <c r="C743" s="141">
        <v>86307</v>
      </c>
      <c r="D743" s="142">
        <f>C743-B743</f>
        <v>97</v>
      </c>
      <c r="E743" s="141">
        <v>41585</v>
      </c>
      <c r="F743" s="141">
        <v>41695</v>
      </c>
      <c r="G743" s="142">
        <v>110</v>
      </c>
      <c r="H743" s="141">
        <v>563686</v>
      </c>
      <c r="I743" s="141">
        <v>563758</v>
      </c>
      <c r="J743" s="142">
        <v>72</v>
      </c>
      <c r="Q743" s="141">
        <v>33655</v>
      </c>
      <c r="R743" s="141">
        <v>33683</v>
      </c>
      <c r="S743" s="142">
        <v>28</v>
      </c>
      <c r="T743" s="141">
        <v>5517</v>
      </c>
      <c r="U743" s="141">
        <v>5518</v>
      </c>
      <c r="V743" s="142">
        <v>1</v>
      </c>
      <c r="W743" s="141">
        <v>3989</v>
      </c>
      <c r="X743" s="141">
        <v>3990</v>
      </c>
      <c r="Y743" s="142">
        <v>1</v>
      </c>
      <c r="Z743" s="141">
        <v>67126</v>
      </c>
      <c r="AA743" s="141">
        <v>67201</v>
      </c>
      <c r="AB743" s="142">
        <v>75</v>
      </c>
    </row>
    <row r="744" spans="1:28">
      <c r="A744" s="144">
        <v>45726</v>
      </c>
      <c r="B744" s="141">
        <f t="shared" si="29"/>
        <v>86307</v>
      </c>
      <c r="C744" s="141">
        <v>86442</v>
      </c>
      <c r="D744" s="142">
        <v>65</v>
      </c>
      <c r="E744" s="141">
        <v>41695</v>
      </c>
      <c r="F744" s="141">
        <v>41793</v>
      </c>
      <c r="G744" s="142">
        <v>98</v>
      </c>
      <c r="H744" s="141">
        <v>563758</v>
      </c>
      <c r="I744" s="141">
        <v>563855</v>
      </c>
      <c r="J744" s="142">
        <v>97</v>
      </c>
      <c r="Q744" s="141">
        <v>33683</v>
      </c>
      <c r="R744" s="141">
        <v>33709</v>
      </c>
      <c r="S744" s="142">
        <v>26</v>
      </c>
      <c r="T744" s="141">
        <v>5518</v>
      </c>
      <c r="U744" s="141">
        <v>5519</v>
      </c>
      <c r="V744" s="142">
        <v>1</v>
      </c>
      <c r="W744" s="141">
        <v>3990</v>
      </c>
      <c r="X744" s="141">
        <v>3991</v>
      </c>
      <c r="Y744" s="142">
        <v>1</v>
      </c>
      <c r="Z744" s="141">
        <v>67201</v>
      </c>
      <c r="AA744" s="141">
        <v>67299</v>
      </c>
      <c r="AB744" s="142">
        <v>98</v>
      </c>
    </row>
    <row r="745" spans="1:28">
      <c r="A745" s="144">
        <v>45727</v>
      </c>
      <c r="B745" s="141">
        <f t="shared" si="29"/>
        <v>86442</v>
      </c>
      <c r="C745" s="141">
        <v>86589</v>
      </c>
      <c r="D745" s="142">
        <v>71</v>
      </c>
      <c r="E745" s="141">
        <v>41793</v>
      </c>
      <c r="F745" s="141">
        <v>41863</v>
      </c>
      <c r="G745" s="142">
        <v>70</v>
      </c>
      <c r="H745" s="141">
        <v>563855</v>
      </c>
      <c r="I745" s="141">
        <v>563974</v>
      </c>
      <c r="J745" s="142">
        <v>119</v>
      </c>
      <c r="Q745" s="141">
        <v>33709</v>
      </c>
      <c r="R745" s="141">
        <v>33767</v>
      </c>
      <c r="S745" s="142">
        <v>58</v>
      </c>
      <c r="T745" s="141">
        <v>5519</v>
      </c>
      <c r="U745" s="141">
        <v>5520</v>
      </c>
      <c r="V745" s="142">
        <v>1</v>
      </c>
      <c r="W745" s="141">
        <v>3991</v>
      </c>
      <c r="X745" s="141">
        <v>3992</v>
      </c>
      <c r="Y745" s="142">
        <v>1</v>
      </c>
      <c r="Z745" s="141">
        <v>67299</v>
      </c>
      <c r="AA745" s="141">
        <v>67396</v>
      </c>
      <c r="AB745" s="142">
        <v>97</v>
      </c>
    </row>
    <row r="746" spans="1:28">
      <c r="A746" s="144">
        <v>45728</v>
      </c>
      <c r="B746" s="141">
        <f t="shared" si="29"/>
        <v>86589</v>
      </c>
      <c r="C746" s="141">
        <v>86670</v>
      </c>
      <c r="D746" s="142">
        <f t="shared" ref="D746:D756" si="30">C746-B746</f>
        <v>81</v>
      </c>
      <c r="E746" s="141">
        <v>41863</v>
      </c>
      <c r="F746" s="141">
        <v>41960</v>
      </c>
      <c r="G746" s="142">
        <v>97</v>
      </c>
      <c r="H746" s="141">
        <v>563974</v>
      </c>
      <c r="I746" s="141">
        <v>564072</v>
      </c>
      <c r="J746" s="142">
        <v>98</v>
      </c>
      <c r="Q746" s="141">
        <v>33767</v>
      </c>
      <c r="R746" s="141">
        <v>33809</v>
      </c>
      <c r="S746" s="142">
        <v>42</v>
      </c>
      <c r="T746" s="141">
        <v>5520</v>
      </c>
      <c r="U746" s="141">
        <v>5521</v>
      </c>
      <c r="V746" s="142">
        <v>1</v>
      </c>
      <c r="W746" s="141">
        <v>3992</v>
      </c>
      <c r="X746" s="141">
        <v>3993</v>
      </c>
      <c r="Y746" s="142">
        <v>1</v>
      </c>
      <c r="Z746" s="141">
        <v>67396</v>
      </c>
      <c r="AA746" s="141">
        <v>67400</v>
      </c>
      <c r="AB746" s="142">
        <v>4</v>
      </c>
    </row>
    <row r="747" spans="1:28">
      <c r="A747" s="144">
        <v>45729</v>
      </c>
      <c r="B747" s="141">
        <f t="shared" si="29"/>
        <v>86670</v>
      </c>
      <c r="C747" s="141">
        <v>86686</v>
      </c>
      <c r="D747" s="142">
        <f t="shared" si="30"/>
        <v>16</v>
      </c>
      <c r="E747" s="141">
        <v>41960</v>
      </c>
      <c r="F747" s="141">
        <v>41972</v>
      </c>
      <c r="G747" s="142">
        <v>12</v>
      </c>
      <c r="H747" s="141">
        <v>564072</v>
      </c>
      <c r="I747" s="141">
        <v>564141</v>
      </c>
      <c r="J747" s="142">
        <v>69</v>
      </c>
      <c r="Q747" s="141">
        <v>33809</v>
      </c>
      <c r="R747" s="141">
        <v>33835</v>
      </c>
      <c r="S747" s="142">
        <v>26</v>
      </c>
      <c r="T747" s="141">
        <v>5521</v>
      </c>
      <c r="U747" s="141">
        <v>5521</v>
      </c>
      <c r="V747" s="142">
        <v>0</v>
      </c>
      <c r="W747" s="141">
        <v>3993</v>
      </c>
      <c r="X747" s="141">
        <v>3994</v>
      </c>
      <c r="Y747" s="142">
        <v>1</v>
      </c>
      <c r="Z747" s="141">
        <v>67400</v>
      </c>
      <c r="AA747" s="141">
        <v>67400</v>
      </c>
      <c r="AB747" s="142">
        <v>0</v>
      </c>
    </row>
    <row r="748" spans="1:28">
      <c r="A748" s="144">
        <v>45730</v>
      </c>
      <c r="B748" s="141">
        <f t="shared" si="29"/>
        <v>86686</v>
      </c>
      <c r="C748" s="141">
        <v>86737</v>
      </c>
      <c r="D748" s="142">
        <f t="shared" si="30"/>
        <v>51</v>
      </c>
      <c r="E748" s="141">
        <v>41972</v>
      </c>
      <c r="F748" s="141">
        <v>42070</v>
      </c>
      <c r="G748" s="142">
        <v>98</v>
      </c>
      <c r="H748" s="141">
        <v>564141</v>
      </c>
      <c r="I748" s="141">
        <v>564260</v>
      </c>
      <c r="J748" s="142">
        <v>119</v>
      </c>
      <c r="Q748" s="141">
        <v>33835</v>
      </c>
      <c r="R748" s="141">
        <v>33882</v>
      </c>
      <c r="S748" s="142">
        <v>47</v>
      </c>
      <c r="T748" s="141">
        <v>5521</v>
      </c>
      <c r="U748" s="141">
        <v>5522</v>
      </c>
      <c r="V748" s="142">
        <v>1</v>
      </c>
      <c r="W748" s="141">
        <v>3994</v>
      </c>
      <c r="X748" s="141">
        <v>3995</v>
      </c>
      <c r="Y748" s="142">
        <v>1</v>
      </c>
      <c r="Z748" s="141">
        <v>67400</v>
      </c>
      <c r="AA748" s="141">
        <v>67442</v>
      </c>
      <c r="AB748" s="142">
        <v>42</v>
      </c>
    </row>
    <row r="749" spans="1:28">
      <c r="A749" s="144">
        <v>45731</v>
      </c>
      <c r="B749" s="141">
        <f t="shared" si="29"/>
        <v>86737</v>
      </c>
      <c r="C749" s="141">
        <v>86815</v>
      </c>
      <c r="D749" s="142">
        <f t="shared" si="30"/>
        <v>78</v>
      </c>
      <c r="E749" s="141">
        <v>42070</v>
      </c>
      <c r="F749" s="141">
        <v>42146</v>
      </c>
      <c r="G749" s="142">
        <v>76</v>
      </c>
      <c r="H749" s="141">
        <v>564260</v>
      </c>
      <c r="I749" s="141">
        <v>564415</v>
      </c>
      <c r="J749" s="142">
        <v>155</v>
      </c>
      <c r="Q749" s="141">
        <v>33882</v>
      </c>
      <c r="R749" s="141">
        <v>33931</v>
      </c>
      <c r="S749" s="142">
        <v>49</v>
      </c>
      <c r="T749" s="141">
        <v>5522</v>
      </c>
      <c r="U749" s="141">
        <v>5523</v>
      </c>
      <c r="V749" s="142">
        <v>1</v>
      </c>
      <c r="W749" s="141">
        <v>3995</v>
      </c>
      <c r="X749" s="141">
        <v>3996</v>
      </c>
      <c r="Y749" s="142">
        <v>1</v>
      </c>
      <c r="Z749" s="141">
        <v>67442</v>
      </c>
      <c r="AA749" s="141">
        <v>67528</v>
      </c>
      <c r="AB749" s="142">
        <v>86</v>
      </c>
    </row>
    <row r="750" spans="1:28">
      <c r="A750" s="144">
        <v>45732</v>
      </c>
      <c r="B750" s="141">
        <f t="shared" si="29"/>
        <v>86815</v>
      </c>
      <c r="C750" s="141">
        <v>86896</v>
      </c>
      <c r="D750" s="142">
        <f t="shared" si="30"/>
        <v>81</v>
      </c>
      <c r="E750" s="141">
        <v>42146</v>
      </c>
      <c r="F750" s="141">
        <v>42225</v>
      </c>
      <c r="G750" s="142">
        <v>79</v>
      </c>
      <c r="H750" s="141">
        <v>564415</v>
      </c>
      <c r="I750" s="141">
        <v>564578</v>
      </c>
      <c r="J750" s="142">
        <v>163</v>
      </c>
      <c r="Q750" s="141">
        <v>33931</v>
      </c>
      <c r="R750" s="141">
        <v>33964</v>
      </c>
      <c r="S750" s="142">
        <v>33</v>
      </c>
      <c r="T750" s="141">
        <v>5523</v>
      </c>
      <c r="U750" s="141">
        <v>5524</v>
      </c>
      <c r="V750" s="142">
        <v>1</v>
      </c>
      <c r="W750" s="141">
        <v>3996</v>
      </c>
      <c r="X750" s="141">
        <v>3997</v>
      </c>
      <c r="Y750" s="142">
        <v>1</v>
      </c>
      <c r="Z750" s="141">
        <v>67528</v>
      </c>
      <c r="AA750" s="141">
        <v>67617</v>
      </c>
      <c r="AB750" s="142">
        <v>89</v>
      </c>
    </row>
    <row r="751" spans="1:28">
      <c r="A751" s="144">
        <v>45733</v>
      </c>
      <c r="B751" s="141">
        <f t="shared" si="29"/>
        <v>86896</v>
      </c>
      <c r="C751" s="141">
        <v>86960</v>
      </c>
      <c r="D751" s="142">
        <f t="shared" si="30"/>
        <v>64</v>
      </c>
      <c r="E751" s="141">
        <v>42225</v>
      </c>
      <c r="F751" s="141">
        <v>42299</v>
      </c>
      <c r="G751" s="142">
        <v>74</v>
      </c>
      <c r="H751" s="141">
        <v>564578</v>
      </c>
      <c r="I751" s="141">
        <v>564724</v>
      </c>
      <c r="J751" s="142">
        <v>146</v>
      </c>
      <c r="Q751" s="141">
        <v>33964</v>
      </c>
      <c r="R751" s="141">
        <v>33999</v>
      </c>
      <c r="S751" s="142">
        <v>35</v>
      </c>
      <c r="T751" s="141">
        <v>5524</v>
      </c>
      <c r="U751" s="141">
        <v>5525</v>
      </c>
      <c r="V751" s="142">
        <v>1</v>
      </c>
      <c r="W751" s="141">
        <v>3997</v>
      </c>
      <c r="X751" s="141">
        <v>3998</v>
      </c>
      <c r="Y751" s="142">
        <v>1</v>
      </c>
      <c r="Z751" s="141">
        <v>67617</v>
      </c>
      <c r="AA751" s="141">
        <v>67700</v>
      </c>
      <c r="AB751" s="142">
        <v>83</v>
      </c>
    </row>
    <row r="752" spans="1:28">
      <c r="A752" s="144">
        <v>45734</v>
      </c>
      <c r="B752" s="141">
        <f t="shared" si="29"/>
        <v>86960</v>
      </c>
      <c r="C752" s="141">
        <v>87024</v>
      </c>
      <c r="D752" s="142">
        <f t="shared" si="30"/>
        <v>64</v>
      </c>
      <c r="E752" s="141">
        <v>42299</v>
      </c>
      <c r="F752" s="141">
        <v>42369</v>
      </c>
      <c r="G752" s="142">
        <v>70</v>
      </c>
      <c r="H752" s="141">
        <v>564724</v>
      </c>
      <c r="I752" s="141">
        <v>564845</v>
      </c>
      <c r="J752" s="142">
        <v>121</v>
      </c>
      <c r="Q752" s="141">
        <v>33999</v>
      </c>
      <c r="R752" s="141">
        <v>34040</v>
      </c>
      <c r="S752" s="142">
        <v>41</v>
      </c>
      <c r="T752" s="141">
        <v>5525</v>
      </c>
      <c r="U752" s="141">
        <v>5526</v>
      </c>
      <c r="V752" s="142">
        <v>1</v>
      </c>
      <c r="W752" s="141">
        <v>3998</v>
      </c>
      <c r="X752" s="141">
        <v>3999</v>
      </c>
      <c r="Y752" s="142">
        <v>1</v>
      </c>
      <c r="Z752" s="141">
        <v>67700</v>
      </c>
      <c r="AA752" s="141">
        <v>67795</v>
      </c>
      <c r="AB752" s="142">
        <v>95</v>
      </c>
    </row>
    <row r="753" spans="1:28">
      <c r="A753" s="144">
        <v>45735</v>
      </c>
      <c r="B753" s="141">
        <f t="shared" si="29"/>
        <v>87024</v>
      </c>
      <c r="C753" s="141">
        <v>87112</v>
      </c>
      <c r="D753" s="142">
        <f t="shared" si="30"/>
        <v>88</v>
      </c>
      <c r="E753" s="141">
        <v>42369</v>
      </c>
      <c r="F753" s="141">
        <v>42476</v>
      </c>
      <c r="G753" s="142">
        <v>107</v>
      </c>
      <c r="H753" s="141">
        <v>564845</v>
      </c>
      <c r="I753" s="141">
        <v>564971</v>
      </c>
      <c r="J753" s="142">
        <v>126</v>
      </c>
      <c r="Q753" s="141">
        <v>34040</v>
      </c>
      <c r="R753" s="141">
        <v>34073</v>
      </c>
      <c r="S753" s="142">
        <v>33</v>
      </c>
      <c r="T753" s="141">
        <v>5526</v>
      </c>
      <c r="U753" s="141">
        <v>5527</v>
      </c>
      <c r="V753" s="142">
        <v>1</v>
      </c>
      <c r="W753" s="141">
        <v>3999</v>
      </c>
      <c r="X753" s="141">
        <v>4000</v>
      </c>
      <c r="Y753" s="142">
        <v>1</v>
      </c>
      <c r="Z753" s="141">
        <v>67795</v>
      </c>
      <c r="AA753" s="141">
        <v>67846</v>
      </c>
      <c r="AB753" s="142">
        <v>51</v>
      </c>
    </row>
    <row r="754" spans="1:28">
      <c r="A754" s="144">
        <v>45736</v>
      </c>
      <c r="B754" s="141">
        <f t="shared" si="29"/>
        <v>87112</v>
      </c>
      <c r="C754" s="141">
        <v>87179</v>
      </c>
      <c r="D754" s="142">
        <f t="shared" si="30"/>
        <v>67</v>
      </c>
      <c r="E754" s="141">
        <v>42476</v>
      </c>
      <c r="F754" s="141">
        <v>42552</v>
      </c>
      <c r="G754" s="142">
        <v>76</v>
      </c>
      <c r="H754" s="141">
        <v>564971</v>
      </c>
      <c r="I754" s="141">
        <v>565073</v>
      </c>
      <c r="J754" s="142">
        <v>102</v>
      </c>
      <c r="Q754" s="141">
        <v>34073</v>
      </c>
      <c r="R754" s="141">
        <v>34131</v>
      </c>
      <c r="S754" s="142">
        <v>58</v>
      </c>
      <c r="T754" s="141">
        <v>5527</v>
      </c>
      <c r="U754" s="141">
        <v>5528</v>
      </c>
      <c r="V754" s="142">
        <v>1</v>
      </c>
      <c r="W754" s="141">
        <v>4000</v>
      </c>
      <c r="X754" s="141">
        <v>4001</v>
      </c>
      <c r="Y754" s="142">
        <v>1</v>
      </c>
      <c r="Z754" s="141">
        <v>67846</v>
      </c>
      <c r="AA754" s="141">
        <v>67925</v>
      </c>
      <c r="AB754" s="142">
        <v>79</v>
      </c>
    </row>
    <row r="755" spans="1:28">
      <c r="A755" s="144">
        <v>45737</v>
      </c>
      <c r="B755" s="141">
        <f t="shared" si="29"/>
        <v>87179</v>
      </c>
      <c r="C755" s="141">
        <v>87276</v>
      </c>
      <c r="D755" s="142">
        <f t="shared" si="30"/>
        <v>97</v>
      </c>
      <c r="E755" s="141">
        <v>42552</v>
      </c>
      <c r="F755" s="141">
        <v>42628</v>
      </c>
      <c r="G755" s="142">
        <v>76</v>
      </c>
      <c r="H755" s="141">
        <v>565073</v>
      </c>
      <c r="I755" s="141">
        <v>565209</v>
      </c>
      <c r="J755" s="142">
        <v>136</v>
      </c>
      <c r="Q755" s="141">
        <v>34131</v>
      </c>
      <c r="R755" s="141">
        <v>34152</v>
      </c>
      <c r="S755" s="142">
        <v>21</v>
      </c>
      <c r="T755" s="141">
        <v>5528</v>
      </c>
      <c r="U755" s="141">
        <v>5529</v>
      </c>
      <c r="V755" s="142">
        <v>1</v>
      </c>
      <c r="W755" s="141">
        <v>4001</v>
      </c>
      <c r="X755" s="141">
        <v>4002</v>
      </c>
      <c r="Y755" s="142">
        <v>1</v>
      </c>
      <c r="Z755" s="141">
        <v>67925</v>
      </c>
      <c r="AA755" s="141">
        <v>67998</v>
      </c>
      <c r="AB755" s="142">
        <v>73</v>
      </c>
    </row>
    <row r="756" spans="1:28">
      <c r="A756" s="144">
        <v>45738</v>
      </c>
      <c r="B756" s="141">
        <f t="shared" si="29"/>
        <v>87276</v>
      </c>
      <c r="C756" s="141">
        <v>87368</v>
      </c>
      <c r="D756" s="142">
        <f t="shared" si="30"/>
        <v>92</v>
      </c>
      <c r="E756" s="141">
        <v>42628</v>
      </c>
      <c r="F756" s="141">
        <v>42719</v>
      </c>
      <c r="G756" s="142">
        <v>91</v>
      </c>
      <c r="H756" s="141">
        <v>565209</v>
      </c>
      <c r="I756" s="141">
        <v>565301</v>
      </c>
      <c r="J756" s="142">
        <v>92</v>
      </c>
      <c r="Q756" s="141">
        <v>34152</v>
      </c>
      <c r="R756" s="141">
        <v>34202</v>
      </c>
      <c r="S756" s="142">
        <v>50</v>
      </c>
      <c r="T756" s="141">
        <v>5529</v>
      </c>
      <c r="U756" s="141">
        <v>5530</v>
      </c>
      <c r="V756" s="142">
        <v>1</v>
      </c>
      <c r="W756" s="141">
        <v>4002</v>
      </c>
      <c r="X756" s="141">
        <v>4003</v>
      </c>
      <c r="Y756" s="142">
        <v>1</v>
      </c>
      <c r="Z756" s="141">
        <v>67998</v>
      </c>
      <c r="AA756" s="141">
        <v>68083</v>
      </c>
      <c r="AB756" s="142">
        <v>85</v>
      </c>
    </row>
    <row r="757" spans="1:28">
      <c r="A757" s="144">
        <v>45739</v>
      </c>
      <c r="B757" s="141">
        <f t="shared" ref="B757:B778" si="31">C756</f>
        <v>87368</v>
      </c>
      <c r="C757" s="141">
        <v>87488</v>
      </c>
      <c r="D757" s="142">
        <v>50</v>
      </c>
      <c r="E757" s="141">
        <v>42719</v>
      </c>
      <c r="F757" s="141">
        <v>42809</v>
      </c>
      <c r="G757" s="142">
        <v>90</v>
      </c>
      <c r="H757" s="141">
        <v>565301</v>
      </c>
      <c r="I757" s="141">
        <v>565478</v>
      </c>
      <c r="J757" s="142">
        <v>177</v>
      </c>
      <c r="Q757" s="141">
        <v>34202</v>
      </c>
      <c r="R757" s="141">
        <v>34247</v>
      </c>
      <c r="S757" s="142">
        <v>45</v>
      </c>
      <c r="T757" s="141">
        <v>5530</v>
      </c>
      <c r="U757" s="141">
        <v>5531</v>
      </c>
      <c r="V757" s="142">
        <v>1</v>
      </c>
      <c r="W757" s="141">
        <v>4003</v>
      </c>
      <c r="X757" s="141">
        <v>4004</v>
      </c>
      <c r="Y757" s="142">
        <v>1</v>
      </c>
      <c r="Z757" s="141">
        <v>68083</v>
      </c>
      <c r="AA757" s="141">
        <v>68153</v>
      </c>
      <c r="AB757" s="142">
        <v>70</v>
      </c>
    </row>
    <row r="758" spans="1:28">
      <c r="A758" s="144">
        <v>45740</v>
      </c>
      <c r="B758" s="141">
        <f t="shared" si="31"/>
        <v>87488</v>
      </c>
      <c r="C758" s="141">
        <v>87578</v>
      </c>
      <c r="D758" s="142">
        <f t="shared" ref="D758:D789" si="32">C758-B758</f>
        <v>90</v>
      </c>
      <c r="E758" s="141">
        <v>42809</v>
      </c>
      <c r="F758" s="141">
        <v>42894</v>
      </c>
      <c r="G758" s="142">
        <v>85</v>
      </c>
      <c r="H758" s="141">
        <v>565478</v>
      </c>
      <c r="I758" s="141">
        <v>565556</v>
      </c>
      <c r="J758" s="142">
        <v>78</v>
      </c>
      <c r="L758" s="141">
        <v>47052</v>
      </c>
      <c r="M758" s="142">
        <f t="shared" ref="M758:M789" si="33">L758-K758</f>
        <v>47052</v>
      </c>
      <c r="Q758" s="141">
        <v>34247</v>
      </c>
      <c r="R758" s="141">
        <v>34298</v>
      </c>
      <c r="S758" s="142">
        <v>51</v>
      </c>
      <c r="T758" s="141">
        <v>5531</v>
      </c>
      <c r="U758" s="141">
        <v>5532</v>
      </c>
      <c r="V758" s="142">
        <v>1</v>
      </c>
      <c r="W758" s="141">
        <v>4004</v>
      </c>
      <c r="X758" s="141">
        <v>4005</v>
      </c>
      <c r="Y758" s="142">
        <v>1</v>
      </c>
      <c r="Z758" s="141">
        <v>68153</v>
      </c>
      <c r="AA758" s="141">
        <v>68235</v>
      </c>
      <c r="AB758" s="142">
        <v>82</v>
      </c>
    </row>
    <row r="759" spans="1:28">
      <c r="A759" s="144">
        <v>45741</v>
      </c>
      <c r="B759" s="141">
        <f t="shared" si="31"/>
        <v>87578</v>
      </c>
      <c r="C759" s="141">
        <v>87666</v>
      </c>
      <c r="D759" s="142">
        <f t="shared" si="32"/>
        <v>88</v>
      </c>
      <c r="E759" s="141">
        <v>42894</v>
      </c>
      <c r="F759" s="141">
        <v>42980</v>
      </c>
      <c r="G759" s="142">
        <v>86</v>
      </c>
      <c r="H759" s="141">
        <v>565556</v>
      </c>
      <c r="I759" s="141">
        <v>565628</v>
      </c>
      <c r="J759" s="142">
        <v>72</v>
      </c>
      <c r="K759" s="141">
        <f t="shared" ref="K759:K790" si="34">L758</f>
        <v>47052</v>
      </c>
      <c r="L759" s="141">
        <v>47107</v>
      </c>
      <c r="M759" s="142">
        <f t="shared" si="33"/>
        <v>55</v>
      </c>
      <c r="Q759" s="141">
        <v>34298</v>
      </c>
      <c r="R759" s="141">
        <v>34332</v>
      </c>
      <c r="S759" s="142">
        <v>34</v>
      </c>
      <c r="T759" s="141">
        <v>5532</v>
      </c>
      <c r="U759" s="141">
        <v>5533</v>
      </c>
      <c r="V759" s="142">
        <v>1</v>
      </c>
      <c r="W759" s="141">
        <v>4005</v>
      </c>
      <c r="X759" s="141">
        <v>4006</v>
      </c>
      <c r="Y759" s="142">
        <v>1</v>
      </c>
      <c r="Z759" s="141">
        <v>68235</v>
      </c>
      <c r="AA759" s="141">
        <v>68320</v>
      </c>
      <c r="AB759" s="142">
        <v>85</v>
      </c>
    </row>
    <row r="760" spans="1:28">
      <c r="A760" s="144">
        <v>45742</v>
      </c>
      <c r="B760" s="141">
        <f t="shared" si="31"/>
        <v>87666</v>
      </c>
      <c r="C760" s="141">
        <v>87762</v>
      </c>
      <c r="D760" s="142">
        <f t="shared" si="32"/>
        <v>96</v>
      </c>
      <c r="E760" s="141">
        <v>42980</v>
      </c>
      <c r="F760" s="141">
        <v>43032</v>
      </c>
      <c r="G760" s="142">
        <v>52</v>
      </c>
      <c r="H760" s="141">
        <v>565628</v>
      </c>
      <c r="I760" s="141">
        <v>565699</v>
      </c>
      <c r="J760" s="142">
        <v>71</v>
      </c>
      <c r="K760" s="141">
        <f t="shared" si="34"/>
        <v>47107</v>
      </c>
      <c r="L760" s="141">
        <v>47144</v>
      </c>
      <c r="M760" s="142">
        <f t="shared" si="33"/>
        <v>37</v>
      </c>
      <c r="Q760" s="141">
        <v>34332</v>
      </c>
      <c r="R760" s="141">
        <v>34384</v>
      </c>
      <c r="S760" s="142">
        <v>52</v>
      </c>
      <c r="T760" s="141">
        <v>5533</v>
      </c>
      <c r="U760" s="141">
        <v>5534</v>
      </c>
      <c r="V760" s="142">
        <v>1</v>
      </c>
      <c r="W760" s="141">
        <v>4006</v>
      </c>
      <c r="X760" s="141">
        <v>4007</v>
      </c>
      <c r="Y760" s="142">
        <v>1</v>
      </c>
      <c r="Z760" s="141">
        <v>68320</v>
      </c>
      <c r="AA760" s="141">
        <v>68396</v>
      </c>
      <c r="AB760" s="142">
        <v>76</v>
      </c>
    </row>
    <row r="761" spans="1:28">
      <c r="A761" s="144">
        <v>45743</v>
      </c>
      <c r="B761" s="141">
        <f t="shared" si="31"/>
        <v>87762</v>
      </c>
      <c r="C761" s="141">
        <v>87849</v>
      </c>
      <c r="D761" s="142">
        <f t="shared" si="32"/>
        <v>87</v>
      </c>
      <c r="E761" s="141">
        <v>43032</v>
      </c>
      <c r="F761" s="141">
        <v>43139</v>
      </c>
      <c r="G761" s="142">
        <v>107</v>
      </c>
      <c r="H761" s="141">
        <v>565699</v>
      </c>
      <c r="I761" s="141">
        <v>565788</v>
      </c>
      <c r="J761" s="142">
        <v>89</v>
      </c>
      <c r="K761" s="141">
        <f t="shared" si="34"/>
        <v>47144</v>
      </c>
      <c r="L761" s="141">
        <v>47199</v>
      </c>
      <c r="M761" s="142">
        <f t="shared" si="33"/>
        <v>55</v>
      </c>
      <c r="Q761" s="141">
        <v>34384</v>
      </c>
      <c r="R761" s="141">
        <v>34432</v>
      </c>
      <c r="S761" s="142">
        <v>48</v>
      </c>
      <c r="T761" s="141">
        <v>5534</v>
      </c>
      <c r="V761" s="142">
        <v>-5534</v>
      </c>
      <c r="W761" s="141">
        <v>4007</v>
      </c>
      <c r="Y761" s="142">
        <v>-4007</v>
      </c>
      <c r="Z761" s="141">
        <v>68396</v>
      </c>
      <c r="AA761" s="141">
        <v>68396</v>
      </c>
      <c r="AB761" s="142">
        <v>0</v>
      </c>
    </row>
    <row r="762" spans="1:28">
      <c r="A762" s="144">
        <v>45744</v>
      </c>
      <c r="B762" s="141">
        <f t="shared" si="31"/>
        <v>87849</v>
      </c>
      <c r="C762" s="141">
        <v>87952</v>
      </c>
      <c r="D762" s="142">
        <f t="shared" si="32"/>
        <v>103</v>
      </c>
      <c r="E762" s="141">
        <v>43139</v>
      </c>
      <c r="F762" s="141">
        <v>43214</v>
      </c>
      <c r="G762" s="142">
        <v>75</v>
      </c>
      <c r="H762" s="141">
        <v>565788</v>
      </c>
      <c r="I762" s="141">
        <v>565910</v>
      </c>
      <c r="J762" s="142">
        <v>122</v>
      </c>
      <c r="K762" s="141">
        <f t="shared" si="34"/>
        <v>47199</v>
      </c>
      <c r="L762" s="141">
        <v>47240</v>
      </c>
      <c r="M762" s="142">
        <f t="shared" si="33"/>
        <v>41</v>
      </c>
      <c r="Q762" s="141">
        <v>34432</v>
      </c>
      <c r="R762" s="141">
        <v>34460</v>
      </c>
      <c r="S762" s="142">
        <v>28</v>
      </c>
      <c r="Z762" s="141">
        <v>68396</v>
      </c>
      <c r="AA762" s="141">
        <v>68418</v>
      </c>
      <c r="AB762" s="142">
        <v>22</v>
      </c>
    </row>
    <row r="763" spans="1:28">
      <c r="A763" s="144">
        <v>45745</v>
      </c>
      <c r="B763" s="141">
        <f t="shared" si="31"/>
        <v>87952</v>
      </c>
      <c r="C763" s="141">
        <v>88061</v>
      </c>
      <c r="D763" s="142">
        <f t="shared" si="32"/>
        <v>109</v>
      </c>
      <c r="E763" s="141">
        <v>43214</v>
      </c>
      <c r="F763" s="141">
        <v>43276</v>
      </c>
      <c r="G763" s="142">
        <v>62</v>
      </c>
      <c r="H763" s="141">
        <v>565910</v>
      </c>
      <c r="I763" s="141">
        <v>566039</v>
      </c>
      <c r="J763" s="142">
        <v>129</v>
      </c>
      <c r="K763" s="141">
        <f t="shared" si="34"/>
        <v>47240</v>
      </c>
      <c r="L763" s="141">
        <v>47290</v>
      </c>
      <c r="M763" s="142">
        <f t="shared" si="33"/>
        <v>50</v>
      </c>
      <c r="Q763" s="141">
        <v>34460</v>
      </c>
      <c r="R763" s="141">
        <v>34480</v>
      </c>
      <c r="S763" s="142">
        <v>20</v>
      </c>
      <c r="Z763" s="141">
        <v>68418</v>
      </c>
      <c r="AA763" s="141">
        <v>68438</v>
      </c>
      <c r="AB763" s="142">
        <v>20</v>
      </c>
    </row>
    <row r="764" spans="1:28">
      <c r="A764" s="144">
        <v>45746</v>
      </c>
      <c r="B764" s="141">
        <f t="shared" si="31"/>
        <v>88061</v>
      </c>
      <c r="C764" s="141">
        <v>88118</v>
      </c>
      <c r="D764" s="142">
        <f t="shared" si="32"/>
        <v>57</v>
      </c>
      <c r="E764" s="141">
        <v>43276</v>
      </c>
      <c r="F764" s="141">
        <v>43341</v>
      </c>
      <c r="G764" s="142">
        <v>65</v>
      </c>
      <c r="H764" s="141">
        <v>566039</v>
      </c>
      <c r="I764" s="141">
        <v>566153</v>
      </c>
      <c r="J764" s="142">
        <v>114</v>
      </c>
      <c r="K764" s="141">
        <f t="shared" si="34"/>
        <v>47290</v>
      </c>
      <c r="L764" s="141">
        <v>47350</v>
      </c>
      <c r="M764" s="142">
        <f t="shared" si="33"/>
        <v>60</v>
      </c>
      <c r="Q764" s="141">
        <v>34480</v>
      </c>
      <c r="R764" s="141">
        <v>34512</v>
      </c>
      <c r="S764" s="142">
        <v>32</v>
      </c>
      <c r="Z764" s="141">
        <v>68438</v>
      </c>
      <c r="AA764" s="141">
        <v>68463</v>
      </c>
      <c r="AB764" s="142">
        <v>25</v>
      </c>
    </row>
    <row r="765" spans="1:28">
      <c r="A765" s="144">
        <v>45747</v>
      </c>
      <c r="B765" s="141">
        <f t="shared" si="31"/>
        <v>88118</v>
      </c>
      <c r="C765" s="141">
        <v>88196</v>
      </c>
      <c r="D765" s="142">
        <f t="shared" si="32"/>
        <v>78</v>
      </c>
      <c r="E765" s="141">
        <v>43341</v>
      </c>
      <c r="F765" s="141">
        <v>43394</v>
      </c>
      <c r="G765" s="142">
        <v>53</v>
      </c>
      <c r="H765" s="141">
        <v>566153</v>
      </c>
      <c r="I765" s="141">
        <v>566317</v>
      </c>
      <c r="J765" s="142">
        <v>164</v>
      </c>
      <c r="K765" s="141">
        <f t="shared" si="34"/>
        <v>47350</v>
      </c>
      <c r="L765" s="141">
        <v>47382</v>
      </c>
      <c r="M765" s="142">
        <f t="shared" si="33"/>
        <v>32</v>
      </c>
      <c r="Q765" s="141">
        <v>34512</v>
      </c>
      <c r="R765" s="141">
        <v>34540</v>
      </c>
      <c r="S765" s="142">
        <v>28</v>
      </c>
      <c r="Z765" s="141">
        <v>68463</v>
      </c>
      <c r="AA765" s="141">
        <v>68472</v>
      </c>
      <c r="AB765" s="142">
        <v>9</v>
      </c>
    </row>
    <row r="766" spans="1:28">
      <c r="A766" s="144">
        <v>45748</v>
      </c>
      <c r="B766" s="141">
        <f t="shared" si="31"/>
        <v>88196</v>
      </c>
      <c r="C766" s="141">
        <v>88367</v>
      </c>
      <c r="D766" s="142">
        <f t="shared" si="32"/>
        <v>171</v>
      </c>
      <c r="E766" s="141">
        <v>43394</v>
      </c>
      <c r="F766" s="141">
        <v>43450</v>
      </c>
      <c r="G766" s="142">
        <v>56</v>
      </c>
      <c r="H766" s="141">
        <v>566317</v>
      </c>
      <c r="I766" s="141">
        <v>566510</v>
      </c>
      <c r="J766" s="142">
        <v>193</v>
      </c>
      <c r="K766" s="141">
        <f t="shared" si="34"/>
        <v>47382</v>
      </c>
      <c r="L766" s="141">
        <v>47441</v>
      </c>
      <c r="M766" s="142">
        <f t="shared" si="33"/>
        <v>59</v>
      </c>
      <c r="Q766" s="141">
        <v>34540</v>
      </c>
      <c r="R766" s="141">
        <v>34572</v>
      </c>
      <c r="S766" s="142">
        <v>32</v>
      </c>
      <c r="Z766" s="141">
        <v>68472</v>
      </c>
      <c r="AA766" s="141">
        <v>68490</v>
      </c>
      <c r="AB766" s="142">
        <v>18</v>
      </c>
    </row>
    <row r="767" spans="1:28">
      <c r="A767" s="144">
        <v>45749</v>
      </c>
      <c r="B767" s="141">
        <f t="shared" si="31"/>
        <v>88367</v>
      </c>
      <c r="C767" s="141">
        <v>88445</v>
      </c>
      <c r="D767" s="142">
        <f t="shared" si="32"/>
        <v>78</v>
      </c>
      <c r="E767" s="141">
        <v>43450</v>
      </c>
      <c r="F767" s="141">
        <v>43511</v>
      </c>
      <c r="G767" s="142">
        <v>61</v>
      </c>
      <c r="H767" s="141">
        <v>566510</v>
      </c>
      <c r="I767" s="141">
        <v>566617</v>
      </c>
      <c r="J767" s="142">
        <v>107</v>
      </c>
      <c r="K767" s="141">
        <f t="shared" si="34"/>
        <v>47441</v>
      </c>
      <c r="L767" s="141">
        <v>47468</v>
      </c>
      <c r="M767" s="142">
        <f t="shared" si="33"/>
        <v>27</v>
      </c>
      <c r="Q767" s="141">
        <v>34572</v>
      </c>
      <c r="R767" s="141">
        <v>34712</v>
      </c>
      <c r="S767" s="142">
        <v>140</v>
      </c>
      <c r="Z767" s="141">
        <v>68490</v>
      </c>
      <c r="AA767" s="141">
        <v>68511</v>
      </c>
      <c r="AB767" s="142">
        <v>21</v>
      </c>
    </row>
    <row r="768" spans="1:28">
      <c r="A768" s="144">
        <v>45750</v>
      </c>
      <c r="B768" s="141">
        <f t="shared" si="31"/>
        <v>88445</v>
      </c>
      <c r="C768" s="141">
        <v>88505</v>
      </c>
      <c r="D768" s="142">
        <f t="shared" si="32"/>
        <v>60</v>
      </c>
      <c r="E768" s="141">
        <v>43511</v>
      </c>
      <c r="F768" s="141">
        <v>43548</v>
      </c>
      <c r="G768" s="142">
        <v>37</v>
      </c>
      <c r="H768" s="141">
        <v>566617</v>
      </c>
      <c r="I768" s="141">
        <v>566735</v>
      </c>
      <c r="J768" s="142">
        <v>118</v>
      </c>
      <c r="K768" s="141">
        <f t="shared" si="34"/>
        <v>47468</v>
      </c>
      <c r="L768" s="141">
        <v>47505</v>
      </c>
      <c r="M768" s="142">
        <f t="shared" si="33"/>
        <v>37</v>
      </c>
      <c r="Q768" s="141">
        <v>34712</v>
      </c>
      <c r="R768" s="141">
        <v>34744</v>
      </c>
      <c r="S768" s="142">
        <v>32</v>
      </c>
      <c r="Z768" s="141">
        <v>68511</v>
      </c>
      <c r="AA768" s="141">
        <v>68547</v>
      </c>
      <c r="AB768" s="142">
        <v>36</v>
      </c>
    </row>
    <row r="769" spans="1:28">
      <c r="A769" s="144">
        <v>45751</v>
      </c>
      <c r="B769" s="141">
        <f t="shared" si="31"/>
        <v>88505</v>
      </c>
      <c r="C769" s="141">
        <v>88630</v>
      </c>
      <c r="D769" s="142">
        <f t="shared" si="32"/>
        <v>125</v>
      </c>
      <c r="E769" s="141">
        <v>43548</v>
      </c>
      <c r="F769" s="141">
        <v>43588</v>
      </c>
      <c r="G769" s="142">
        <v>40</v>
      </c>
      <c r="H769" s="141">
        <v>566735</v>
      </c>
      <c r="I769" s="141">
        <v>566859</v>
      </c>
      <c r="J769" s="142">
        <v>124</v>
      </c>
      <c r="K769" s="141">
        <f t="shared" si="34"/>
        <v>47505</v>
      </c>
      <c r="L769" s="141">
        <v>47525</v>
      </c>
      <c r="M769" s="142">
        <f t="shared" si="33"/>
        <v>20</v>
      </c>
      <c r="Q769" s="141">
        <v>34744</v>
      </c>
      <c r="R769" s="141">
        <v>34789</v>
      </c>
      <c r="S769" s="142">
        <v>45</v>
      </c>
      <c r="Z769" s="141">
        <v>68547</v>
      </c>
      <c r="AA769" s="141">
        <v>68564</v>
      </c>
      <c r="AB769" s="142">
        <v>17</v>
      </c>
    </row>
    <row r="770" spans="1:28">
      <c r="A770" s="144">
        <v>45752</v>
      </c>
      <c r="B770" s="141">
        <f t="shared" si="31"/>
        <v>88630</v>
      </c>
      <c r="C770" s="141">
        <v>88732</v>
      </c>
      <c r="D770" s="142">
        <f t="shared" si="32"/>
        <v>102</v>
      </c>
      <c r="E770" s="141">
        <v>43588</v>
      </c>
      <c r="F770" s="141">
        <v>43616</v>
      </c>
      <c r="G770" s="142">
        <v>28</v>
      </c>
      <c r="H770" s="141">
        <v>566859</v>
      </c>
      <c r="I770" s="141">
        <v>566978</v>
      </c>
      <c r="J770" s="142">
        <v>119</v>
      </c>
      <c r="K770" s="141">
        <f t="shared" si="34"/>
        <v>47525</v>
      </c>
      <c r="L770" s="141">
        <v>47556</v>
      </c>
      <c r="M770" s="142">
        <f t="shared" si="33"/>
        <v>31</v>
      </c>
      <c r="Q770" s="141">
        <v>34789</v>
      </c>
      <c r="R770" s="141">
        <v>34823</v>
      </c>
      <c r="S770" s="142">
        <v>34</v>
      </c>
      <c r="Z770" s="141">
        <v>68564</v>
      </c>
      <c r="AA770" s="141">
        <v>68594</v>
      </c>
      <c r="AB770" s="142">
        <v>30</v>
      </c>
    </row>
    <row r="771" spans="1:28">
      <c r="A771" s="144">
        <v>45753</v>
      </c>
      <c r="B771" s="141">
        <f t="shared" si="31"/>
        <v>88732</v>
      </c>
      <c r="C771" s="141">
        <v>88816</v>
      </c>
      <c r="D771" s="142">
        <f t="shared" si="32"/>
        <v>84</v>
      </c>
      <c r="E771" s="141">
        <v>43616</v>
      </c>
      <c r="F771" s="141">
        <v>43669</v>
      </c>
      <c r="G771" s="142">
        <v>53</v>
      </c>
      <c r="H771" s="141">
        <v>566978</v>
      </c>
      <c r="I771" s="141">
        <v>567051</v>
      </c>
      <c r="J771" s="142">
        <v>73</v>
      </c>
      <c r="K771" s="141">
        <f t="shared" si="34"/>
        <v>47556</v>
      </c>
      <c r="L771" s="141">
        <v>47595</v>
      </c>
      <c r="M771" s="142">
        <f t="shared" si="33"/>
        <v>39</v>
      </c>
      <c r="Q771" s="141">
        <v>34823</v>
      </c>
      <c r="R771" s="141">
        <v>34865</v>
      </c>
      <c r="S771" s="142">
        <v>42</v>
      </c>
      <c r="Z771" s="141">
        <v>68594</v>
      </c>
      <c r="AA771" s="141">
        <v>68615</v>
      </c>
      <c r="AB771" s="142">
        <v>21</v>
      </c>
    </row>
    <row r="772" spans="1:28">
      <c r="A772" s="144">
        <v>45754</v>
      </c>
      <c r="B772" s="141">
        <f t="shared" si="31"/>
        <v>88816</v>
      </c>
      <c r="C772" s="141">
        <v>88900</v>
      </c>
      <c r="D772" s="142">
        <f t="shared" si="32"/>
        <v>84</v>
      </c>
      <c r="E772" s="141">
        <v>43669</v>
      </c>
      <c r="F772" s="141">
        <v>43708</v>
      </c>
      <c r="G772" s="142">
        <v>39</v>
      </c>
      <c r="H772" s="141">
        <v>567051</v>
      </c>
      <c r="I772" s="141">
        <v>567154</v>
      </c>
      <c r="J772" s="142">
        <v>103</v>
      </c>
      <c r="K772" s="141">
        <f t="shared" si="34"/>
        <v>47595</v>
      </c>
      <c r="L772" s="141">
        <v>47691</v>
      </c>
      <c r="M772" s="142">
        <f t="shared" si="33"/>
        <v>96</v>
      </c>
      <c r="Q772" s="141">
        <v>34865</v>
      </c>
      <c r="R772" s="141">
        <v>34915</v>
      </c>
      <c r="S772" s="142">
        <v>50</v>
      </c>
      <c r="Z772" s="141">
        <v>68615</v>
      </c>
      <c r="AA772" s="141">
        <v>68635</v>
      </c>
      <c r="AB772" s="142">
        <v>20</v>
      </c>
    </row>
    <row r="773" spans="1:28">
      <c r="A773" s="144">
        <v>45755</v>
      </c>
      <c r="B773" s="141">
        <f t="shared" si="31"/>
        <v>88900</v>
      </c>
      <c r="C773" s="141">
        <v>88989</v>
      </c>
      <c r="D773" s="142">
        <f t="shared" si="32"/>
        <v>89</v>
      </c>
      <c r="E773" s="141">
        <v>43708</v>
      </c>
      <c r="F773" s="141">
        <v>43744</v>
      </c>
      <c r="G773" s="142">
        <v>36</v>
      </c>
      <c r="H773" s="141">
        <v>567154</v>
      </c>
      <c r="I773" s="141">
        <v>567251</v>
      </c>
      <c r="J773" s="142">
        <v>97</v>
      </c>
      <c r="K773" s="141">
        <f t="shared" si="34"/>
        <v>47691</v>
      </c>
      <c r="L773" s="141">
        <v>47717</v>
      </c>
      <c r="M773" s="142">
        <f t="shared" si="33"/>
        <v>26</v>
      </c>
      <c r="Q773" s="141">
        <v>34915</v>
      </c>
      <c r="R773" s="141">
        <v>34945</v>
      </c>
      <c r="S773" s="142">
        <v>30</v>
      </c>
      <c r="Z773" s="141">
        <v>68635</v>
      </c>
      <c r="AA773" s="141">
        <v>68654</v>
      </c>
      <c r="AB773" s="142">
        <v>19</v>
      </c>
    </row>
    <row r="774" spans="1:28">
      <c r="A774" s="144">
        <v>45756</v>
      </c>
      <c r="B774" s="141">
        <f t="shared" si="31"/>
        <v>88989</v>
      </c>
      <c r="C774" s="141">
        <v>89092</v>
      </c>
      <c r="D774" s="142">
        <f t="shared" si="32"/>
        <v>103</v>
      </c>
      <c r="E774" s="141">
        <v>43744</v>
      </c>
      <c r="F774" s="141">
        <v>43771</v>
      </c>
      <c r="G774" s="142">
        <v>27</v>
      </c>
      <c r="H774" s="141">
        <v>567251</v>
      </c>
      <c r="I774" s="141">
        <v>567344</v>
      </c>
      <c r="J774" s="142">
        <v>93</v>
      </c>
      <c r="K774" s="141">
        <f t="shared" si="34"/>
        <v>47717</v>
      </c>
      <c r="L774" s="141">
        <v>47771</v>
      </c>
      <c r="M774" s="142">
        <f t="shared" si="33"/>
        <v>54</v>
      </c>
      <c r="Q774" s="141">
        <v>34945</v>
      </c>
      <c r="R774" s="141">
        <v>34996</v>
      </c>
      <c r="S774" s="142">
        <v>51</v>
      </c>
      <c r="Z774" s="141">
        <v>68654</v>
      </c>
      <c r="AA774" s="141">
        <v>68686</v>
      </c>
      <c r="AB774" s="142">
        <v>32</v>
      </c>
    </row>
    <row r="775" spans="1:28">
      <c r="A775" s="144">
        <v>45757</v>
      </c>
      <c r="B775" s="141">
        <f t="shared" si="31"/>
        <v>89092</v>
      </c>
      <c r="C775" s="141">
        <v>89192</v>
      </c>
      <c r="D775" s="142">
        <f t="shared" si="32"/>
        <v>100</v>
      </c>
      <c r="E775" s="141">
        <v>43771</v>
      </c>
      <c r="F775" s="141">
        <v>43830</v>
      </c>
      <c r="G775" s="142">
        <v>59</v>
      </c>
      <c r="H775" s="141">
        <v>567344</v>
      </c>
      <c r="I775" s="141">
        <v>567487</v>
      </c>
      <c r="J775" s="142">
        <v>143</v>
      </c>
      <c r="K775" s="141">
        <f t="shared" si="34"/>
        <v>47771</v>
      </c>
      <c r="L775" s="141">
        <v>47835</v>
      </c>
      <c r="M775" s="142">
        <f t="shared" si="33"/>
        <v>64</v>
      </c>
      <c r="Q775" s="141">
        <v>34996</v>
      </c>
      <c r="R775" s="141">
        <v>35013</v>
      </c>
      <c r="S775" s="142">
        <v>17</v>
      </c>
      <c r="Z775" s="141">
        <v>68686</v>
      </c>
      <c r="AA775" s="141">
        <v>68710</v>
      </c>
      <c r="AB775" s="142">
        <v>24</v>
      </c>
    </row>
    <row r="776" spans="1:28">
      <c r="A776" s="144">
        <v>45758</v>
      </c>
      <c r="B776" s="141">
        <f t="shared" si="31"/>
        <v>89192</v>
      </c>
      <c r="C776" s="141">
        <v>89293</v>
      </c>
      <c r="D776" s="142">
        <f t="shared" si="32"/>
        <v>101</v>
      </c>
      <c r="E776" s="141">
        <v>43830</v>
      </c>
      <c r="F776" s="141">
        <v>43891</v>
      </c>
      <c r="G776" s="142">
        <v>61</v>
      </c>
      <c r="H776" s="141">
        <v>567487</v>
      </c>
      <c r="I776" s="141">
        <v>567593</v>
      </c>
      <c r="J776" s="142">
        <v>106</v>
      </c>
      <c r="K776" s="141">
        <f t="shared" si="34"/>
        <v>47835</v>
      </c>
      <c r="L776" s="141">
        <v>47877</v>
      </c>
      <c r="M776" s="142">
        <f t="shared" si="33"/>
        <v>42</v>
      </c>
      <c r="Q776" s="141">
        <v>35013</v>
      </c>
      <c r="R776" s="141">
        <v>35087</v>
      </c>
      <c r="S776" s="142">
        <v>74</v>
      </c>
      <c r="Z776" s="141">
        <v>68710</v>
      </c>
      <c r="AA776" s="141">
        <v>68742</v>
      </c>
      <c r="AB776" s="142">
        <v>32</v>
      </c>
    </row>
    <row r="777" spans="1:28">
      <c r="A777" s="144">
        <v>45759</v>
      </c>
      <c r="B777" s="141">
        <f t="shared" si="31"/>
        <v>89293</v>
      </c>
      <c r="C777" s="141">
        <v>89413</v>
      </c>
      <c r="D777" s="142">
        <f t="shared" si="32"/>
        <v>120</v>
      </c>
      <c r="E777" s="141">
        <v>43891</v>
      </c>
      <c r="F777" s="141">
        <v>43973</v>
      </c>
      <c r="G777" s="142">
        <v>82</v>
      </c>
      <c r="H777" s="141">
        <v>567593</v>
      </c>
      <c r="I777" s="141">
        <v>567689</v>
      </c>
      <c r="J777" s="142">
        <v>96</v>
      </c>
      <c r="K777" s="141">
        <f t="shared" si="34"/>
        <v>47877</v>
      </c>
      <c r="L777" s="141">
        <v>47908</v>
      </c>
      <c r="M777" s="142">
        <f t="shared" si="33"/>
        <v>31</v>
      </c>
      <c r="Q777" s="141">
        <v>35087</v>
      </c>
      <c r="R777" s="141">
        <v>35137</v>
      </c>
      <c r="S777" s="142">
        <v>50</v>
      </c>
      <c r="Z777" s="141">
        <v>68742</v>
      </c>
      <c r="AA777" s="141">
        <v>68772</v>
      </c>
      <c r="AB777" s="142">
        <v>30</v>
      </c>
    </row>
    <row r="778" spans="1:28">
      <c r="A778" s="144">
        <v>45760</v>
      </c>
      <c r="B778" s="141">
        <f t="shared" si="31"/>
        <v>89413</v>
      </c>
      <c r="C778" s="141">
        <v>89488</v>
      </c>
      <c r="D778" s="142">
        <f t="shared" si="32"/>
        <v>75</v>
      </c>
      <c r="E778" s="141">
        <v>43973</v>
      </c>
      <c r="F778" s="141">
        <v>44017</v>
      </c>
      <c r="G778" s="142">
        <v>44</v>
      </c>
      <c r="H778" s="141">
        <v>567689</v>
      </c>
      <c r="I778" s="141">
        <v>567800</v>
      </c>
      <c r="J778" s="142">
        <v>111</v>
      </c>
      <c r="K778" s="141">
        <f t="shared" si="34"/>
        <v>47908</v>
      </c>
      <c r="L778" s="141">
        <v>47958</v>
      </c>
      <c r="M778" s="142">
        <f t="shared" si="33"/>
        <v>50</v>
      </c>
      <c r="Q778" s="141">
        <v>35137</v>
      </c>
      <c r="R778" s="141">
        <v>35180</v>
      </c>
      <c r="S778" s="142">
        <v>43</v>
      </c>
      <c r="Z778" s="141">
        <v>68772</v>
      </c>
      <c r="AA778" s="141">
        <v>68808</v>
      </c>
      <c r="AB778" s="142">
        <v>36</v>
      </c>
    </row>
    <row r="779" spans="1:28">
      <c r="A779" s="144">
        <v>45761</v>
      </c>
      <c r="B779" s="141">
        <v>89488</v>
      </c>
      <c r="C779" s="141">
        <v>89578</v>
      </c>
      <c r="D779" s="142">
        <f t="shared" si="32"/>
        <v>90</v>
      </c>
      <c r="E779" s="141">
        <v>44017</v>
      </c>
      <c r="F779" s="141">
        <v>44077</v>
      </c>
      <c r="G779" s="142">
        <v>60</v>
      </c>
      <c r="H779" s="141">
        <v>567800</v>
      </c>
      <c r="I779" s="141">
        <v>567902</v>
      </c>
      <c r="J779" s="142">
        <v>102</v>
      </c>
      <c r="K779" s="141">
        <f t="shared" si="34"/>
        <v>47958</v>
      </c>
      <c r="L779" s="141">
        <v>48012</v>
      </c>
      <c r="M779" s="142">
        <f t="shared" si="33"/>
        <v>54</v>
      </c>
      <c r="Q779" s="141">
        <v>35180</v>
      </c>
      <c r="R779" s="141">
        <v>35204</v>
      </c>
      <c r="S779" s="142">
        <v>24</v>
      </c>
      <c r="Z779" s="141">
        <v>68808</v>
      </c>
      <c r="AA779" s="141">
        <v>68852</v>
      </c>
      <c r="AB779" s="142">
        <v>44</v>
      </c>
    </row>
    <row r="780" spans="1:28">
      <c r="A780" s="144">
        <v>45762</v>
      </c>
      <c r="B780" s="141">
        <v>89578</v>
      </c>
      <c r="C780" s="141">
        <v>89716</v>
      </c>
      <c r="D780" s="142">
        <f t="shared" si="32"/>
        <v>138</v>
      </c>
      <c r="E780" s="141">
        <v>44077</v>
      </c>
      <c r="F780" s="141">
        <v>44140</v>
      </c>
      <c r="G780" s="142">
        <v>63</v>
      </c>
      <c r="H780" s="141">
        <v>567902</v>
      </c>
      <c r="I780" s="141">
        <v>568094</v>
      </c>
      <c r="J780" s="142">
        <v>192</v>
      </c>
      <c r="K780" s="141">
        <f t="shared" si="34"/>
        <v>48012</v>
      </c>
      <c r="L780" s="141">
        <v>48067</v>
      </c>
      <c r="M780" s="142">
        <f t="shared" si="33"/>
        <v>55</v>
      </c>
      <c r="Q780" s="141">
        <v>35204</v>
      </c>
      <c r="R780" s="141">
        <v>35286</v>
      </c>
      <c r="S780" s="142">
        <v>82</v>
      </c>
      <c r="Z780" s="141">
        <v>68852</v>
      </c>
      <c r="AA780" s="141">
        <v>68895</v>
      </c>
      <c r="AB780" s="142">
        <v>43</v>
      </c>
    </row>
    <row r="781" spans="1:28">
      <c r="A781" s="144">
        <v>45763</v>
      </c>
      <c r="B781" s="141">
        <v>89716</v>
      </c>
      <c r="C781" s="141">
        <v>89803</v>
      </c>
      <c r="D781" s="142">
        <f t="shared" si="32"/>
        <v>87</v>
      </c>
      <c r="E781" s="141">
        <v>44140</v>
      </c>
      <c r="F781" s="141">
        <v>44185</v>
      </c>
      <c r="G781" s="142">
        <v>45</v>
      </c>
      <c r="H781" s="141">
        <v>568094</v>
      </c>
      <c r="I781" s="141">
        <v>568206</v>
      </c>
      <c r="J781" s="142">
        <v>112</v>
      </c>
      <c r="K781" s="141">
        <f t="shared" si="34"/>
        <v>48067</v>
      </c>
      <c r="L781" s="141">
        <v>48128</v>
      </c>
      <c r="M781" s="142">
        <f t="shared" si="33"/>
        <v>61</v>
      </c>
      <c r="Q781" s="141">
        <v>35286</v>
      </c>
      <c r="R781" s="141">
        <v>35311</v>
      </c>
      <c r="S781" s="142">
        <v>25</v>
      </c>
      <c r="Z781" s="141">
        <v>68895</v>
      </c>
      <c r="AA781" s="141">
        <v>68929</v>
      </c>
      <c r="AB781" s="142">
        <v>34</v>
      </c>
    </row>
    <row r="782" spans="1:28">
      <c r="A782" s="144">
        <v>45764</v>
      </c>
      <c r="B782" s="141">
        <f t="shared" ref="B782:B813" si="35">C781</f>
        <v>89803</v>
      </c>
      <c r="C782" s="141">
        <v>89885</v>
      </c>
      <c r="D782" s="142">
        <f t="shared" si="32"/>
        <v>82</v>
      </c>
      <c r="E782" s="141">
        <v>44185</v>
      </c>
      <c r="F782" s="141">
        <v>44245</v>
      </c>
      <c r="G782" s="142">
        <v>60</v>
      </c>
      <c r="H782" s="141">
        <v>568206</v>
      </c>
      <c r="I782" s="141">
        <v>568272</v>
      </c>
      <c r="J782" s="142">
        <v>66</v>
      </c>
      <c r="K782" s="141">
        <f t="shared" si="34"/>
        <v>48128</v>
      </c>
      <c r="L782" s="141">
        <v>48170</v>
      </c>
      <c r="M782" s="142">
        <f t="shared" si="33"/>
        <v>42</v>
      </c>
      <c r="Q782" s="141">
        <v>35311</v>
      </c>
      <c r="R782" s="141">
        <v>35311</v>
      </c>
      <c r="S782" s="142">
        <v>0</v>
      </c>
      <c r="Z782" s="141">
        <v>68929</v>
      </c>
      <c r="AB782" s="142">
        <v>-68929</v>
      </c>
    </row>
    <row r="783" spans="1:28">
      <c r="A783" s="144">
        <v>45765</v>
      </c>
      <c r="B783" s="141">
        <f t="shared" si="35"/>
        <v>89885</v>
      </c>
      <c r="C783" s="141">
        <v>89991</v>
      </c>
      <c r="D783" s="142">
        <f t="shared" si="32"/>
        <v>106</v>
      </c>
      <c r="E783" s="141">
        <v>44245</v>
      </c>
      <c r="F783" s="141">
        <v>44295</v>
      </c>
      <c r="G783" s="142">
        <v>50</v>
      </c>
      <c r="H783" s="141">
        <v>568272</v>
      </c>
      <c r="I783" s="141">
        <v>568378</v>
      </c>
      <c r="J783" s="142">
        <v>106</v>
      </c>
      <c r="K783" s="141">
        <f t="shared" si="34"/>
        <v>48170</v>
      </c>
      <c r="L783" s="141">
        <v>48225</v>
      </c>
      <c r="M783" s="142">
        <f t="shared" si="33"/>
        <v>55</v>
      </c>
      <c r="Q783" s="141">
        <v>35311</v>
      </c>
      <c r="R783" s="141">
        <v>35311</v>
      </c>
      <c r="S783" s="142">
        <v>0</v>
      </c>
    </row>
    <row r="784" spans="1:28">
      <c r="A784" s="144">
        <v>45766</v>
      </c>
      <c r="B784" s="141">
        <f t="shared" si="35"/>
        <v>89991</v>
      </c>
      <c r="C784" s="141">
        <v>90085</v>
      </c>
      <c r="D784" s="142">
        <f t="shared" si="32"/>
        <v>94</v>
      </c>
      <c r="E784" s="141">
        <v>44295</v>
      </c>
      <c r="F784" s="141">
        <v>44339</v>
      </c>
      <c r="G784" s="142">
        <v>44</v>
      </c>
      <c r="H784" s="141">
        <v>568378</v>
      </c>
      <c r="I784" s="141">
        <v>568505</v>
      </c>
      <c r="J784" s="142">
        <v>127</v>
      </c>
      <c r="K784" s="141">
        <f t="shared" si="34"/>
        <v>48225</v>
      </c>
      <c r="L784" s="141">
        <v>48263</v>
      </c>
      <c r="M784" s="142">
        <f t="shared" si="33"/>
        <v>38</v>
      </c>
      <c r="Q784" s="141">
        <v>35311</v>
      </c>
      <c r="S784" s="142">
        <v>-35311</v>
      </c>
    </row>
    <row r="785" spans="1:13">
      <c r="A785" s="144">
        <v>45767</v>
      </c>
      <c r="B785" s="141">
        <f t="shared" si="35"/>
        <v>90085</v>
      </c>
      <c r="C785" s="141">
        <v>90129</v>
      </c>
      <c r="D785" s="142">
        <f t="shared" si="32"/>
        <v>44</v>
      </c>
      <c r="E785" s="141">
        <v>44339</v>
      </c>
      <c r="F785" s="141">
        <v>44384</v>
      </c>
      <c r="G785" s="142">
        <v>45</v>
      </c>
      <c r="H785" s="141">
        <v>568505</v>
      </c>
      <c r="I785" s="141">
        <v>568616</v>
      </c>
      <c r="J785" s="142">
        <v>111</v>
      </c>
      <c r="K785" s="141">
        <f t="shared" si="34"/>
        <v>48263</v>
      </c>
      <c r="L785" s="141">
        <v>48305</v>
      </c>
      <c r="M785" s="142">
        <f t="shared" si="33"/>
        <v>42</v>
      </c>
    </row>
    <row r="786" spans="1:13">
      <c r="A786" s="144">
        <v>45768</v>
      </c>
      <c r="B786" s="141">
        <f t="shared" si="35"/>
        <v>90129</v>
      </c>
      <c r="C786" s="141">
        <v>90185</v>
      </c>
      <c r="D786" s="142">
        <f t="shared" si="32"/>
        <v>56</v>
      </c>
      <c r="E786" s="141">
        <v>44384</v>
      </c>
      <c r="F786" s="141">
        <v>44424</v>
      </c>
      <c r="G786" s="142">
        <v>40</v>
      </c>
      <c r="H786" s="141">
        <v>568616</v>
      </c>
      <c r="I786" s="141">
        <v>568707</v>
      </c>
      <c r="J786" s="142">
        <v>91</v>
      </c>
      <c r="K786" s="141">
        <f t="shared" si="34"/>
        <v>48305</v>
      </c>
      <c r="L786" s="141">
        <v>48357</v>
      </c>
      <c r="M786" s="142">
        <f t="shared" si="33"/>
        <v>52</v>
      </c>
    </row>
    <row r="787" spans="1:13">
      <c r="A787" s="144">
        <v>45769</v>
      </c>
      <c r="B787" s="141">
        <f t="shared" si="35"/>
        <v>90185</v>
      </c>
      <c r="C787" s="141">
        <v>90251</v>
      </c>
      <c r="D787" s="142">
        <f t="shared" si="32"/>
        <v>66</v>
      </c>
      <c r="E787" s="141">
        <v>44424</v>
      </c>
      <c r="F787" s="141">
        <v>44469</v>
      </c>
      <c r="G787" s="142">
        <v>45</v>
      </c>
      <c r="H787" s="141">
        <v>568707</v>
      </c>
      <c r="I787" s="141">
        <v>568827</v>
      </c>
      <c r="J787" s="142">
        <v>120</v>
      </c>
      <c r="K787" s="141">
        <f t="shared" si="34"/>
        <v>48357</v>
      </c>
      <c r="L787" s="141">
        <v>48385</v>
      </c>
      <c r="M787" s="142">
        <f t="shared" si="33"/>
        <v>28</v>
      </c>
    </row>
    <row r="788" spans="1:13">
      <c r="A788" s="144">
        <v>45770</v>
      </c>
      <c r="B788" s="141">
        <f t="shared" si="35"/>
        <v>90251</v>
      </c>
      <c r="C788" s="141">
        <v>90297</v>
      </c>
      <c r="D788" s="142">
        <f t="shared" si="32"/>
        <v>46</v>
      </c>
      <c r="E788" s="141">
        <v>44469</v>
      </c>
      <c r="F788" s="141">
        <v>44526</v>
      </c>
      <c r="G788" s="142">
        <v>57</v>
      </c>
      <c r="H788" s="141">
        <v>568827</v>
      </c>
      <c r="I788" s="141">
        <v>568929</v>
      </c>
      <c r="J788" s="142">
        <v>102</v>
      </c>
      <c r="K788" s="141">
        <f t="shared" si="34"/>
        <v>48385</v>
      </c>
      <c r="L788" s="141">
        <v>48449</v>
      </c>
      <c r="M788" s="142">
        <f t="shared" si="33"/>
        <v>64</v>
      </c>
    </row>
    <row r="789" spans="1:13">
      <c r="A789" s="144">
        <v>45771</v>
      </c>
      <c r="B789" s="141">
        <f t="shared" si="35"/>
        <v>90297</v>
      </c>
      <c r="C789" s="141">
        <v>90319</v>
      </c>
      <c r="D789" s="142">
        <f t="shared" si="32"/>
        <v>22</v>
      </c>
      <c r="E789" s="141">
        <v>44526</v>
      </c>
      <c r="F789" s="141">
        <v>44566</v>
      </c>
      <c r="G789" s="142">
        <v>40</v>
      </c>
      <c r="H789" s="141">
        <v>568929</v>
      </c>
      <c r="I789" s="141">
        <v>569020</v>
      </c>
      <c r="J789" s="142">
        <f>I789-H789</f>
        <v>91</v>
      </c>
      <c r="K789" s="141">
        <f t="shared" si="34"/>
        <v>48449</v>
      </c>
      <c r="L789" s="141">
        <v>48501</v>
      </c>
      <c r="M789" s="142">
        <f t="shared" si="33"/>
        <v>52</v>
      </c>
    </row>
    <row r="790" spans="1:13">
      <c r="A790" s="144">
        <v>45772</v>
      </c>
      <c r="B790" s="141">
        <f t="shared" si="35"/>
        <v>90319</v>
      </c>
      <c r="C790" s="141">
        <v>90391</v>
      </c>
      <c r="D790" s="142">
        <f t="shared" ref="D790:D821" si="36">C790-B790</f>
        <v>72</v>
      </c>
      <c r="E790" s="141">
        <v>44566</v>
      </c>
      <c r="F790" s="141">
        <v>44642</v>
      </c>
      <c r="G790" s="142">
        <f>F790-E790</f>
        <v>76</v>
      </c>
      <c r="H790" s="141">
        <v>569020</v>
      </c>
      <c r="I790" s="141">
        <v>569132</v>
      </c>
      <c r="J790" s="142">
        <f t="shared" ref="J790:J853" si="37">I790-H790</f>
        <v>112</v>
      </c>
      <c r="K790" s="141">
        <f t="shared" si="34"/>
        <v>48501</v>
      </c>
      <c r="L790" s="141">
        <v>48543</v>
      </c>
      <c r="M790" s="142">
        <f t="shared" ref="M790:M824" si="38">L790-K790</f>
        <v>42</v>
      </c>
    </row>
    <row r="791" spans="1:13">
      <c r="A791" s="144">
        <v>45773</v>
      </c>
      <c r="B791" s="141">
        <f t="shared" si="35"/>
        <v>90391</v>
      </c>
      <c r="C791" s="141">
        <v>90437</v>
      </c>
      <c r="D791" s="142">
        <f t="shared" si="36"/>
        <v>46</v>
      </c>
      <c r="E791" s="141">
        <v>44642</v>
      </c>
      <c r="F791" s="141">
        <v>44722</v>
      </c>
      <c r="G791" s="142">
        <f t="shared" ref="G791:G854" si="39">F791-E791</f>
        <v>80</v>
      </c>
      <c r="H791" s="141">
        <v>569132</v>
      </c>
      <c r="I791" s="141">
        <v>569250</v>
      </c>
      <c r="J791" s="142">
        <f t="shared" si="37"/>
        <v>118</v>
      </c>
      <c r="K791" s="141">
        <f t="shared" ref="K791:K816" si="40">L790</f>
        <v>48543</v>
      </c>
      <c r="L791" s="141">
        <v>48591</v>
      </c>
      <c r="M791" s="142">
        <f t="shared" si="38"/>
        <v>48</v>
      </c>
    </row>
    <row r="792" spans="1:13">
      <c r="A792" s="144">
        <v>45774</v>
      </c>
      <c r="B792" s="141">
        <f t="shared" si="35"/>
        <v>90437</v>
      </c>
      <c r="C792" s="141">
        <v>90488</v>
      </c>
      <c r="D792" s="142">
        <f t="shared" si="36"/>
        <v>51</v>
      </c>
      <c r="E792" s="141">
        <v>44722</v>
      </c>
      <c r="F792" s="141">
        <v>44769</v>
      </c>
      <c r="G792" s="142">
        <f t="shared" si="39"/>
        <v>47</v>
      </c>
      <c r="H792" s="141">
        <v>569250</v>
      </c>
      <c r="I792" s="141">
        <v>569351</v>
      </c>
      <c r="J792" s="142">
        <f t="shared" si="37"/>
        <v>101</v>
      </c>
      <c r="K792" s="141">
        <f t="shared" si="40"/>
        <v>48591</v>
      </c>
      <c r="L792" s="141">
        <v>48624</v>
      </c>
      <c r="M792" s="142">
        <f t="shared" si="38"/>
        <v>33</v>
      </c>
    </row>
    <row r="793" spans="1:13">
      <c r="A793" s="144">
        <v>45775</v>
      </c>
      <c r="B793" s="141">
        <f t="shared" si="35"/>
        <v>90488</v>
      </c>
      <c r="C793" s="141">
        <v>90588</v>
      </c>
      <c r="D793" s="142">
        <f t="shared" si="36"/>
        <v>100</v>
      </c>
      <c r="E793" s="141">
        <v>44769</v>
      </c>
      <c r="F793" s="141">
        <v>44854</v>
      </c>
      <c r="G793" s="142">
        <f t="shared" si="39"/>
        <v>85</v>
      </c>
      <c r="H793" s="141">
        <v>569351</v>
      </c>
      <c r="I793" s="141">
        <v>569429</v>
      </c>
      <c r="J793" s="142">
        <f t="shared" si="37"/>
        <v>78</v>
      </c>
      <c r="K793" s="141">
        <f t="shared" si="40"/>
        <v>48624</v>
      </c>
      <c r="L793" s="141">
        <v>48659</v>
      </c>
      <c r="M793" s="142">
        <f t="shared" si="38"/>
        <v>35</v>
      </c>
    </row>
    <row r="794" spans="1:13">
      <c r="A794" s="144">
        <v>45776</v>
      </c>
      <c r="B794" s="141">
        <f t="shared" si="35"/>
        <v>90588</v>
      </c>
      <c r="C794" s="141">
        <v>90642</v>
      </c>
      <c r="D794" s="142">
        <f t="shared" si="36"/>
        <v>54</v>
      </c>
      <c r="E794" s="141">
        <v>44854</v>
      </c>
      <c r="F794" s="141">
        <v>44961</v>
      </c>
      <c r="G794" s="142">
        <f t="shared" si="39"/>
        <v>107</v>
      </c>
      <c r="H794" s="141">
        <v>569429</v>
      </c>
      <c r="I794" s="141">
        <v>569529</v>
      </c>
      <c r="J794" s="142">
        <f t="shared" si="37"/>
        <v>100</v>
      </c>
      <c r="K794" s="141">
        <f t="shared" si="40"/>
        <v>48659</v>
      </c>
      <c r="L794" s="141">
        <v>48722</v>
      </c>
      <c r="M794" s="142">
        <f t="shared" si="38"/>
        <v>63</v>
      </c>
    </row>
    <row r="795" spans="1:13">
      <c r="A795" s="144">
        <v>45777</v>
      </c>
      <c r="B795" s="141">
        <f t="shared" si="35"/>
        <v>90642</v>
      </c>
      <c r="C795" s="141">
        <v>90711</v>
      </c>
      <c r="D795" s="142">
        <f t="shared" si="36"/>
        <v>69</v>
      </c>
      <c r="E795" s="141">
        <v>44961</v>
      </c>
      <c r="F795" s="141">
        <v>45059</v>
      </c>
      <c r="G795" s="142">
        <f t="shared" si="39"/>
        <v>98</v>
      </c>
      <c r="H795" s="141">
        <v>569529</v>
      </c>
      <c r="I795" s="141">
        <v>569651</v>
      </c>
      <c r="J795" s="142">
        <f t="shared" si="37"/>
        <v>122</v>
      </c>
      <c r="K795" s="141">
        <f t="shared" si="40"/>
        <v>48722</v>
      </c>
      <c r="L795" s="141">
        <v>48785</v>
      </c>
      <c r="M795" s="142">
        <f t="shared" si="38"/>
        <v>63</v>
      </c>
    </row>
    <row r="796" spans="1:13">
      <c r="A796" s="144">
        <v>45778</v>
      </c>
      <c r="B796" s="141">
        <f t="shared" si="35"/>
        <v>90711</v>
      </c>
      <c r="C796" s="141">
        <v>90788</v>
      </c>
      <c r="D796" s="142">
        <f t="shared" si="36"/>
        <v>77</v>
      </c>
      <c r="E796" s="141">
        <f>F795</f>
        <v>45059</v>
      </c>
      <c r="F796" s="141">
        <v>45120</v>
      </c>
      <c r="G796" s="142">
        <f t="shared" si="39"/>
        <v>61</v>
      </c>
      <c r="H796" s="141">
        <f>I795</f>
        <v>569651</v>
      </c>
      <c r="I796" s="141">
        <v>569727</v>
      </c>
      <c r="J796" s="142">
        <f t="shared" si="37"/>
        <v>76</v>
      </c>
      <c r="K796" s="141">
        <f t="shared" si="40"/>
        <v>48785</v>
      </c>
      <c r="L796" s="141">
        <v>48830</v>
      </c>
      <c r="M796" s="142">
        <f t="shared" si="38"/>
        <v>45</v>
      </c>
    </row>
    <row r="797" spans="1:13">
      <c r="A797" s="144">
        <v>45779</v>
      </c>
      <c r="B797" s="141">
        <f t="shared" si="35"/>
        <v>90788</v>
      </c>
      <c r="C797" s="141">
        <v>90851</v>
      </c>
      <c r="D797" s="142">
        <f t="shared" si="36"/>
        <v>63</v>
      </c>
      <c r="E797" s="141">
        <f t="shared" ref="E797:E860" si="41">F796</f>
        <v>45120</v>
      </c>
      <c r="F797" s="141">
        <v>45193</v>
      </c>
      <c r="G797" s="142">
        <f t="shared" si="39"/>
        <v>73</v>
      </c>
      <c r="H797" s="141">
        <f>I796</f>
        <v>569727</v>
      </c>
      <c r="I797" s="141">
        <v>569855</v>
      </c>
      <c r="J797" s="142">
        <f t="shared" si="37"/>
        <v>128</v>
      </c>
      <c r="K797" s="141">
        <f t="shared" si="40"/>
        <v>48830</v>
      </c>
      <c r="L797" s="141">
        <v>48881</v>
      </c>
      <c r="M797" s="142">
        <f t="shared" si="38"/>
        <v>51</v>
      </c>
    </row>
    <row r="798" spans="1:13">
      <c r="A798" s="144">
        <v>45780</v>
      </c>
      <c r="B798" s="141">
        <f t="shared" si="35"/>
        <v>90851</v>
      </c>
      <c r="C798" s="141">
        <v>90925</v>
      </c>
      <c r="D798" s="142">
        <f t="shared" si="36"/>
        <v>74</v>
      </c>
      <c r="E798" s="141">
        <f t="shared" si="41"/>
        <v>45193</v>
      </c>
      <c r="F798" s="141">
        <v>45256</v>
      </c>
      <c r="G798" s="142">
        <f t="shared" si="39"/>
        <v>63</v>
      </c>
      <c r="H798" s="141">
        <f t="shared" ref="H798:H861" si="42">I797</f>
        <v>569855</v>
      </c>
      <c r="I798" s="141">
        <v>569999</v>
      </c>
      <c r="J798" s="142">
        <f t="shared" si="37"/>
        <v>144</v>
      </c>
      <c r="K798" s="141">
        <f t="shared" si="40"/>
        <v>48881</v>
      </c>
      <c r="L798" s="141">
        <v>48908</v>
      </c>
      <c r="M798" s="142">
        <f t="shared" si="38"/>
        <v>27</v>
      </c>
    </row>
    <row r="799" spans="1:13">
      <c r="A799" s="144">
        <v>45781</v>
      </c>
      <c r="B799" s="141">
        <f t="shared" si="35"/>
        <v>90925</v>
      </c>
      <c r="C799" s="141">
        <v>90959</v>
      </c>
      <c r="D799" s="142">
        <f t="shared" si="36"/>
        <v>34</v>
      </c>
      <c r="E799" s="141">
        <f t="shared" si="41"/>
        <v>45256</v>
      </c>
      <c r="F799" s="141">
        <v>45309</v>
      </c>
      <c r="G799" s="142">
        <f t="shared" si="39"/>
        <v>53</v>
      </c>
      <c r="H799" s="141">
        <f t="shared" si="42"/>
        <v>569999</v>
      </c>
      <c r="I799" s="141">
        <v>570101</v>
      </c>
      <c r="J799" s="142">
        <f t="shared" si="37"/>
        <v>102</v>
      </c>
      <c r="K799" s="141">
        <f t="shared" si="40"/>
        <v>48908</v>
      </c>
      <c r="L799" s="141">
        <v>48967</v>
      </c>
      <c r="M799" s="142">
        <f t="shared" si="38"/>
        <v>59</v>
      </c>
    </row>
    <row r="800" spans="1:13">
      <c r="A800" s="144">
        <v>45782</v>
      </c>
      <c r="B800" s="141">
        <f t="shared" si="35"/>
        <v>90959</v>
      </c>
      <c r="C800" s="141">
        <v>91029</v>
      </c>
      <c r="D800" s="142">
        <f t="shared" si="36"/>
        <v>70</v>
      </c>
      <c r="E800" s="141">
        <f t="shared" si="41"/>
        <v>45309</v>
      </c>
      <c r="F800" s="141">
        <v>45363</v>
      </c>
      <c r="G800" s="142">
        <f t="shared" si="39"/>
        <v>54</v>
      </c>
      <c r="H800" s="141">
        <f t="shared" si="42"/>
        <v>570101</v>
      </c>
      <c r="I800" s="141">
        <v>570211</v>
      </c>
      <c r="J800" s="142">
        <f t="shared" si="37"/>
        <v>110</v>
      </c>
      <c r="K800" s="141">
        <f t="shared" si="40"/>
        <v>48967</v>
      </c>
      <c r="L800" s="141">
        <v>49009</v>
      </c>
      <c r="M800" s="142">
        <f t="shared" si="38"/>
        <v>42</v>
      </c>
    </row>
    <row r="801" spans="1:13">
      <c r="A801" s="144">
        <v>45783</v>
      </c>
      <c r="B801" s="141">
        <f t="shared" si="35"/>
        <v>91029</v>
      </c>
      <c r="C801" s="141">
        <v>91085</v>
      </c>
      <c r="D801" s="142">
        <f t="shared" si="36"/>
        <v>56</v>
      </c>
      <c r="E801" s="141">
        <f t="shared" si="41"/>
        <v>45363</v>
      </c>
      <c r="F801" s="141">
        <v>45383</v>
      </c>
      <c r="G801" s="142">
        <f t="shared" si="39"/>
        <v>20</v>
      </c>
      <c r="H801" s="141">
        <f t="shared" si="42"/>
        <v>570211</v>
      </c>
      <c r="I801" s="141">
        <v>570323</v>
      </c>
      <c r="J801" s="142">
        <f t="shared" si="37"/>
        <v>112</v>
      </c>
      <c r="K801" s="141">
        <f t="shared" si="40"/>
        <v>49009</v>
      </c>
      <c r="L801" s="141">
        <v>49088</v>
      </c>
      <c r="M801" s="142">
        <f t="shared" si="38"/>
        <v>79</v>
      </c>
    </row>
    <row r="802" spans="1:13">
      <c r="A802" s="144">
        <v>45784</v>
      </c>
      <c r="B802" s="141">
        <f t="shared" si="35"/>
        <v>91085</v>
      </c>
      <c r="C802" s="141">
        <v>91146</v>
      </c>
      <c r="D802" s="142">
        <f t="shared" si="36"/>
        <v>61</v>
      </c>
      <c r="E802" s="141">
        <f t="shared" si="41"/>
        <v>45383</v>
      </c>
      <c r="F802" s="141">
        <v>45485</v>
      </c>
      <c r="G802" s="142">
        <f t="shared" si="39"/>
        <v>102</v>
      </c>
      <c r="H802" s="141">
        <f t="shared" si="42"/>
        <v>570323</v>
      </c>
      <c r="I802" s="141">
        <v>570441</v>
      </c>
      <c r="J802" s="142">
        <f t="shared" si="37"/>
        <v>118</v>
      </c>
      <c r="K802" s="141">
        <f t="shared" si="40"/>
        <v>49088</v>
      </c>
      <c r="L802" s="141">
        <v>49145</v>
      </c>
      <c r="M802" s="142">
        <f t="shared" si="38"/>
        <v>57</v>
      </c>
    </row>
    <row r="803" spans="1:13">
      <c r="A803" s="144">
        <v>45785</v>
      </c>
      <c r="B803" s="141">
        <f t="shared" si="35"/>
        <v>91146</v>
      </c>
      <c r="C803" s="141">
        <v>91190</v>
      </c>
      <c r="D803" s="142">
        <f t="shared" si="36"/>
        <v>44</v>
      </c>
      <c r="E803" s="141">
        <f t="shared" si="41"/>
        <v>45485</v>
      </c>
      <c r="F803" s="141">
        <v>45559</v>
      </c>
      <c r="G803" s="142">
        <f t="shared" si="39"/>
        <v>74</v>
      </c>
      <c r="H803" s="141">
        <f t="shared" si="42"/>
        <v>570441</v>
      </c>
      <c r="I803" s="141">
        <v>570535</v>
      </c>
      <c r="J803" s="142">
        <f t="shared" si="37"/>
        <v>94</v>
      </c>
      <c r="K803" s="141">
        <f t="shared" si="40"/>
        <v>49145</v>
      </c>
      <c r="L803" s="141">
        <v>49192</v>
      </c>
      <c r="M803" s="142">
        <f t="shared" si="38"/>
        <v>47</v>
      </c>
    </row>
    <row r="804" spans="1:13">
      <c r="A804" s="144">
        <v>45786</v>
      </c>
      <c r="B804" s="141">
        <f t="shared" si="35"/>
        <v>91190</v>
      </c>
      <c r="C804" s="141">
        <v>91257</v>
      </c>
      <c r="D804" s="142">
        <f t="shared" si="36"/>
        <v>67</v>
      </c>
      <c r="E804" s="141">
        <f t="shared" si="41"/>
        <v>45559</v>
      </c>
      <c r="F804" s="141">
        <v>45640</v>
      </c>
      <c r="G804" s="142">
        <f t="shared" si="39"/>
        <v>81</v>
      </c>
      <c r="H804" s="141">
        <f t="shared" si="42"/>
        <v>570535</v>
      </c>
      <c r="I804" s="141">
        <v>570658</v>
      </c>
      <c r="J804" s="142">
        <f t="shared" si="37"/>
        <v>123</v>
      </c>
      <c r="K804" s="141">
        <f t="shared" si="40"/>
        <v>49192</v>
      </c>
      <c r="L804" s="141">
        <v>49235</v>
      </c>
      <c r="M804" s="142">
        <f t="shared" si="38"/>
        <v>43</v>
      </c>
    </row>
    <row r="805" spans="1:13">
      <c r="A805" s="144">
        <v>45787</v>
      </c>
      <c r="B805" s="141">
        <f t="shared" si="35"/>
        <v>91257</v>
      </c>
      <c r="C805" s="141">
        <v>91330</v>
      </c>
      <c r="D805" s="142">
        <f t="shared" si="36"/>
        <v>73</v>
      </c>
      <c r="E805" s="141">
        <f t="shared" si="41"/>
        <v>45640</v>
      </c>
      <c r="F805" s="141">
        <v>45692</v>
      </c>
      <c r="G805" s="142">
        <f t="shared" si="39"/>
        <v>52</v>
      </c>
      <c r="H805" s="141">
        <f t="shared" si="42"/>
        <v>570658</v>
      </c>
      <c r="I805" s="141">
        <v>570764</v>
      </c>
      <c r="J805" s="142">
        <f t="shared" si="37"/>
        <v>106</v>
      </c>
      <c r="K805" s="141">
        <f t="shared" si="40"/>
        <v>49235</v>
      </c>
      <c r="L805" s="141">
        <v>49285</v>
      </c>
      <c r="M805" s="142">
        <f t="shared" si="38"/>
        <v>50</v>
      </c>
    </row>
    <row r="806" spans="1:13">
      <c r="A806" s="144">
        <v>45788</v>
      </c>
      <c r="B806" s="141">
        <f t="shared" si="35"/>
        <v>91330</v>
      </c>
      <c r="C806" s="141">
        <v>91390</v>
      </c>
      <c r="D806" s="142">
        <f t="shared" si="36"/>
        <v>60</v>
      </c>
      <c r="E806" s="141">
        <f t="shared" si="41"/>
        <v>45692</v>
      </c>
      <c r="F806" s="141">
        <v>45771</v>
      </c>
      <c r="G806" s="142">
        <f t="shared" si="39"/>
        <v>79</v>
      </c>
      <c r="H806" s="141">
        <f t="shared" si="42"/>
        <v>570764</v>
      </c>
      <c r="I806" s="141">
        <v>570861</v>
      </c>
      <c r="J806" s="142">
        <f t="shared" si="37"/>
        <v>97</v>
      </c>
      <c r="K806" s="141">
        <f t="shared" si="40"/>
        <v>49285</v>
      </c>
      <c r="L806" s="141">
        <v>49303</v>
      </c>
      <c r="M806" s="142">
        <f t="shared" si="38"/>
        <v>18</v>
      </c>
    </row>
    <row r="807" spans="1:13">
      <c r="A807" s="144">
        <v>45789</v>
      </c>
      <c r="B807" s="141">
        <f t="shared" si="35"/>
        <v>91390</v>
      </c>
      <c r="C807" s="141">
        <v>91440</v>
      </c>
      <c r="D807" s="142">
        <f t="shared" si="36"/>
        <v>50</v>
      </c>
      <c r="E807" s="141">
        <f t="shared" si="41"/>
        <v>45771</v>
      </c>
      <c r="F807" s="141">
        <v>45806</v>
      </c>
      <c r="G807" s="142">
        <f t="shared" si="39"/>
        <v>35</v>
      </c>
      <c r="H807" s="141">
        <f t="shared" si="42"/>
        <v>570861</v>
      </c>
      <c r="I807" s="141">
        <v>570992</v>
      </c>
      <c r="J807" s="142">
        <f t="shared" si="37"/>
        <v>131</v>
      </c>
      <c r="K807" s="141">
        <f t="shared" si="40"/>
        <v>49303</v>
      </c>
      <c r="L807" s="141">
        <v>49345</v>
      </c>
      <c r="M807" s="142">
        <f t="shared" si="38"/>
        <v>42</v>
      </c>
    </row>
    <row r="808" spans="1:13">
      <c r="A808" s="144">
        <v>45790</v>
      </c>
      <c r="B808" s="141">
        <f t="shared" si="35"/>
        <v>91440</v>
      </c>
      <c r="C808" s="141">
        <v>91495</v>
      </c>
      <c r="D808" s="142">
        <f t="shared" si="36"/>
        <v>55</v>
      </c>
      <c r="E808" s="141">
        <f t="shared" si="41"/>
        <v>45806</v>
      </c>
      <c r="F808" s="141">
        <v>45864</v>
      </c>
      <c r="G808" s="142">
        <f t="shared" si="39"/>
        <v>58</v>
      </c>
      <c r="H808" s="141">
        <f t="shared" si="42"/>
        <v>570992</v>
      </c>
      <c r="I808" s="141">
        <v>571067</v>
      </c>
      <c r="J808" s="142">
        <f t="shared" si="37"/>
        <v>75</v>
      </c>
      <c r="K808" s="141">
        <f t="shared" si="40"/>
        <v>49345</v>
      </c>
      <c r="L808" s="141">
        <v>49400</v>
      </c>
      <c r="M808" s="142">
        <f t="shared" si="38"/>
        <v>55</v>
      </c>
    </row>
    <row r="809" spans="1:13">
      <c r="A809" s="144">
        <v>45791</v>
      </c>
      <c r="B809" s="141">
        <f t="shared" si="35"/>
        <v>91495</v>
      </c>
      <c r="C809" s="141">
        <v>91558</v>
      </c>
      <c r="D809" s="142">
        <f t="shared" si="36"/>
        <v>63</v>
      </c>
      <c r="E809" s="141">
        <f t="shared" si="41"/>
        <v>45864</v>
      </c>
      <c r="F809" s="141">
        <v>45910</v>
      </c>
      <c r="G809" s="142">
        <f t="shared" si="39"/>
        <v>46</v>
      </c>
      <c r="H809" s="141">
        <f t="shared" si="42"/>
        <v>571067</v>
      </c>
      <c r="I809" s="141">
        <v>571183</v>
      </c>
      <c r="J809" s="142">
        <f t="shared" si="37"/>
        <v>116</v>
      </c>
      <c r="K809" s="141">
        <f t="shared" si="40"/>
        <v>49400</v>
      </c>
      <c r="L809" s="141">
        <v>49455</v>
      </c>
      <c r="M809" s="142">
        <f t="shared" si="38"/>
        <v>55</v>
      </c>
    </row>
    <row r="810" spans="1:13">
      <c r="A810" s="144">
        <v>45792</v>
      </c>
      <c r="B810" s="141">
        <f t="shared" si="35"/>
        <v>91558</v>
      </c>
      <c r="C810" s="141">
        <v>91632</v>
      </c>
      <c r="D810" s="142">
        <f t="shared" si="36"/>
        <v>74</v>
      </c>
      <c r="E810" s="141">
        <f t="shared" si="41"/>
        <v>45910</v>
      </c>
      <c r="F810" s="141">
        <v>45984</v>
      </c>
      <c r="G810" s="142">
        <f t="shared" si="39"/>
        <v>74</v>
      </c>
      <c r="H810" s="141">
        <f t="shared" si="42"/>
        <v>571183</v>
      </c>
      <c r="I810" s="141">
        <v>571294</v>
      </c>
      <c r="J810" s="142">
        <f t="shared" si="37"/>
        <v>111</v>
      </c>
      <c r="K810" s="141">
        <f t="shared" si="40"/>
        <v>49455</v>
      </c>
      <c r="L810" s="141">
        <v>49530</v>
      </c>
      <c r="M810" s="142">
        <f t="shared" si="38"/>
        <v>75</v>
      </c>
    </row>
    <row r="811" spans="1:13">
      <c r="A811" s="144">
        <v>45793</v>
      </c>
      <c r="B811" s="141">
        <f t="shared" si="35"/>
        <v>91632</v>
      </c>
      <c r="C811" s="141">
        <v>91694</v>
      </c>
      <c r="D811" s="142">
        <f t="shared" si="36"/>
        <v>62</v>
      </c>
      <c r="E811" s="141">
        <f t="shared" si="41"/>
        <v>45984</v>
      </c>
      <c r="F811" s="141">
        <v>46039</v>
      </c>
      <c r="G811" s="142">
        <f t="shared" si="39"/>
        <v>55</v>
      </c>
      <c r="H811" s="141">
        <f t="shared" si="42"/>
        <v>571294</v>
      </c>
      <c r="I811" s="141">
        <v>571392</v>
      </c>
      <c r="J811" s="142">
        <f t="shared" si="37"/>
        <v>98</v>
      </c>
      <c r="K811" s="141">
        <f t="shared" si="40"/>
        <v>49530</v>
      </c>
      <c r="L811" s="141">
        <v>49575</v>
      </c>
      <c r="M811" s="142">
        <f t="shared" si="38"/>
        <v>45</v>
      </c>
    </row>
    <row r="812" spans="1:13">
      <c r="A812" s="144">
        <v>45794</v>
      </c>
      <c r="B812" s="141">
        <f t="shared" si="35"/>
        <v>91694</v>
      </c>
      <c r="C812" s="141">
        <v>91771</v>
      </c>
      <c r="D812" s="142">
        <f t="shared" si="36"/>
        <v>77</v>
      </c>
      <c r="E812" s="141">
        <f t="shared" si="41"/>
        <v>46039</v>
      </c>
      <c r="F812" s="141">
        <v>46096</v>
      </c>
      <c r="G812" s="142">
        <f t="shared" si="39"/>
        <v>57</v>
      </c>
      <c r="H812" s="141">
        <f t="shared" si="42"/>
        <v>571392</v>
      </c>
      <c r="I812" s="141">
        <v>571553</v>
      </c>
      <c r="J812" s="142">
        <f t="shared" si="37"/>
        <v>161</v>
      </c>
      <c r="K812" s="141">
        <f t="shared" si="40"/>
        <v>49575</v>
      </c>
      <c r="L812" s="141">
        <v>49619</v>
      </c>
      <c r="M812" s="142">
        <f t="shared" si="38"/>
        <v>44</v>
      </c>
    </row>
    <row r="813" spans="1:13">
      <c r="A813" s="144">
        <v>45795</v>
      </c>
      <c r="B813" s="141">
        <f t="shared" si="35"/>
        <v>91771</v>
      </c>
      <c r="C813" s="141">
        <v>91842</v>
      </c>
      <c r="D813" s="142">
        <f t="shared" si="36"/>
        <v>71</v>
      </c>
      <c r="E813" s="141">
        <f t="shared" si="41"/>
        <v>46096</v>
      </c>
      <c r="F813" s="141">
        <v>46153</v>
      </c>
      <c r="G813" s="142">
        <f t="shared" si="39"/>
        <v>57</v>
      </c>
      <c r="H813" s="141">
        <f t="shared" si="42"/>
        <v>571553</v>
      </c>
      <c r="I813" s="141">
        <v>571773</v>
      </c>
      <c r="J813" s="142">
        <f t="shared" si="37"/>
        <v>220</v>
      </c>
      <c r="K813" s="141">
        <f t="shared" si="40"/>
        <v>49619</v>
      </c>
      <c r="L813" s="141">
        <v>49661</v>
      </c>
      <c r="M813" s="142">
        <f t="shared" si="38"/>
        <v>42</v>
      </c>
    </row>
    <row r="814" spans="1:13">
      <c r="A814" s="144">
        <v>45796</v>
      </c>
      <c r="B814" s="141">
        <f t="shared" ref="B814:B845" si="43">C813</f>
        <v>91842</v>
      </c>
      <c r="C814" s="141">
        <v>91914</v>
      </c>
      <c r="D814" s="142">
        <f t="shared" si="36"/>
        <v>72</v>
      </c>
      <c r="E814" s="141">
        <f t="shared" si="41"/>
        <v>46153</v>
      </c>
      <c r="F814" s="141">
        <v>46207</v>
      </c>
      <c r="G814" s="142">
        <f t="shared" si="39"/>
        <v>54</v>
      </c>
      <c r="H814" s="141">
        <f t="shared" si="42"/>
        <v>571773</v>
      </c>
      <c r="I814" s="141">
        <v>571889</v>
      </c>
      <c r="J814" s="142">
        <f t="shared" si="37"/>
        <v>116</v>
      </c>
      <c r="K814" s="141">
        <f t="shared" si="40"/>
        <v>49661</v>
      </c>
      <c r="L814" s="141">
        <v>49700</v>
      </c>
      <c r="M814" s="142">
        <f t="shared" si="38"/>
        <v>39</v>
      </c>
    </row>
    <row r="815" spans="1:13">
      <c r="A815" s="144">
        <v>45797</v>
      </c>
      <c r="B815" s="141">
        <f t="shared" si="43"/>
        <v>91914</v>
      </c>
      <c r="C815" s="141">
        <v>91982</v>
      </c>
      <c r="D815" s="142">
        <f t="shared" si="36"/>
        <v>68</v>
      </c>
      <c r="E815" s="141">
        <f t="shared" si="41"/>
        <v>46207</v>
      </c>
      <c r="F815" s="141">
        <v>46278</v>
      </c>
      <c r="G815" s="142">
        <f t="shared" si="39"/>
        <v>71</v>
      </c>
      <c r="H815" s="141">
        <f t="shared" si="42"/>
        <v>571889</v>
      </c>
      <c r="I815" s="141">
        <v>572088</v>
      </c>
      <c r="J815" s="142">
        <f t="shared" si="37"/>
        <v>199</v>
      </c>
      <c r="K815" s="141">
        <f t="shared" si="40"/>
        <v>49700</v>
      </c>
      <c r="L815" s="141">
        <v>49717</v>
      </c>
      <c r="M815" s="142">
        <f t="shared" si="38"/>
        <v>17</v>
      </c>
    </row>
    <row r="816" spans="1:13">
      <c r="A816" s="144">
        <v>45798</v>
      </c>
      <c r="B816" s="141">
        <f t="shared" si="43"/>
        <v>91982</v>
      </c>
      <c r="C816" s="141">
        <v>92032</v>
      </c>
      <c r="D816" s="142">
        <f t="shared" si="36"/>
        <v>50</v>
      </c>
      <c r="E816" s="141">
        <f t="shared" si="41"/>
        <v>46278</v>
      </c>
      <c r="F816" s="141">
        <v>46338</v>
      </c>
      <c r="G816" s="142">
        <f t="shared" si="39"/>
        <v>60</v>
      </c>
      <c r="H816" s="141">
        <f t="shared" si="42"/>
        <v>572088</v>
      </c>
      <c r="I816" s="141">
        <v>572192</v>
      </c>
      <c r="J816" s="142">
        <f t="shared" si="37"/>
        <v>104</v>
      </c>
      <c r="K816" s="141">
        <f t="shared" si="40"/>
        <v>49717</v>
      </c>
      <c r="L816" s="141">
        <v>49757</v>
      </c>
      <c r="M816" s="142">
        <f t="shared" si="38"/>
        <v>40</v>
      </c>
    </row>
    <row r="817" spans="1:13">
      <c r="A817" s="144">
        <v>45799</v>
      </c>
      <c r="B817" s="141">
        <f t="shared" si="43"/>
        <v>92032</v>
      </c>
      <c r="C817" s="148">
        <v>92103</v>
      </c>
      <c r="D817" s="142">
        <f t="shared" si="36"/>
        <v>71</v>
      </c>
      <c r="E817" s="141">
        <f t="shared" si="41"/>
        <v>46338</v>
      </c>
      <c r="F817" s="141">
        <v>46403</v>
      </c>
      <c r="G817" s="142">
        <f t="shared" si="39"/>
        <v>65</v>
      </c>
      <c r="H817" s="141">
        <f t="shared" si="42"/>
        <v>572192</v>
      </c>
      <c r="I817" s="141">
        <v>572289</v>
      </c>
      <c r="J817" s="142">
        <f t="shared" si="37"/>
        <v>97</v>
      </c>
      <c r="K817" s="141">
        <f>L816</f>
        <v>49757</v>
      </c>
      <c r="L817" s="141">
        <v>49818</v>
      </c>
      <c r="M817" s="142">
        <f t="shared" si="38"/>
        <v>61</v>
      </c>
    </row>
    <row r="818" spans="1:13">
      <c r="A818" s="144">
        <v>45800</v>
      </c>
      <c r="B818" s="141">
        <f t="shared" si="43"/>
        <v>92103</v>
      </c>
      <c r="C818" s="141">
        <v>92160</v>
      </c>
      <c r="D818" s="142">
        <f t="shared" si="36"/>
        <v>57</v>
      </c>
      <c r="E818" s="141">
        <f t="shared" si="41"/>
        <v>46403</v>
      </c>
      <c r="F818" s="141">
        <v>46453</v>
      </c>
      <c r="G818" s="142">
        <f t="shared" si="39"/>
        <v>50</v>
      </c>
      <c r="H818" s="141">
        <f t="shared" si="42"/>
        <v>572289</v>
      </c>
      <c r="I818" s="141">
        <v>572391</v>
      </c>
      <c r="J818" s="142">
        <f t="shared" si="37"/>
        <v>102</v>
      </c>
      <c r="K818" s="141">
        <f t="shared" ref="K818:K824" si="44">L817</f>
        <v>49818</v>
      </c>
      <c r="L818" s="141">
        <v>49854</v>
      </c>
      <c r="M818" s="142">
        <f t="shared" si="38"/>
        <v>36</v>
      </c>
    </row>
    <row r="819" spans="1:13">
      <c r="A819" s="144">
        <v>45801</v>
      </c>
      <c r="B819" s="141">
        <f t="shared" si="43"/>
        <v>92160</v>
      </c>
      <c r="C819" s="141">
        <v>92190</v>
      </c>
      <c r="D819" s="142">
        <f t="shared" si="36"/>
        <v>30</v>
      </c>
      <c r="E819" s="141">
        <f t="shared" si="41"/>
        <v>46453</v>
      </c>
      <c r="F819" s="141">
        <v>46526</v>
      </c>
      <c r="G819" s="142">
        <f t="shared" si="39"/>
        <v>73</v>
      </c>
      <c r="H819" s="141">
        <f t="shared" si="42"/>
        <v>572391</v>
      </c>
      <c r="I819" s="141">
        <v>572465</v>
      </c>
      <c r="J819" s="142">
        <f t="shared" si="37"/>
        <v>74</v>
      </c>
      <c r="K819" s="141">
        <f t="shared" si="44"/>
        <v>49854</v>
      </c>
      <c r="L819" s="141">
        <v>49888</v>
      </c>
      <c r="M819" s="142">
        <f t="shared" si="38"/>
        <v>34</v>
      </c>
    </row>
    <row r="820" spans="1:13">
      <c r="A820" s="144">
        <v>45802</v>
      </c>
      <c r="B820" s="141">
        <f t="shared" si="43"/>
        <v>92190</v>
      </c>
      <c r="C820" s="141">
        <v>92249</v>
      </c>
      <c r="D820" s="142">
        <f t="shared" si="36"/>
        <v>59</v>
      </c>
      <c r="E820" s="141">
        <f t="shared" si="41"/>
        <v>46526</v>
      </c>
      <c r="F820" s="141">
        <v>46585</v>
      </c>
      <c r="G820" s="142">
        <f t="shared" si="39"/>
        <v>59</v>
      </c>
      <c r="H820" s="141">
        <f t="shared" si="42"/>
        <v>572465</v>
      </c>
      <c r="I820" s="141">
        <v>572569</v>
      </c>
      <c r="J820" s="142">
        <f t="shared" si="37"/>
        <v>104</v>
      </c>
      <c r="K820" s="141">
        <f t="shared" si="44"/>
        <v>49888</v>
      </c>
      <c r="L820" s="141">
        <v>49918</v>
      </c>
      <c r="M820" s="142">
        <f t="shared" si="38"/>
        <v>30</v>
      </c>
    </row>
    <row r="821" spans="1:13">
      <c r="A821" s="144">
        <v>45803</v>
      </c>
      <c r="B821" s="141">
        <f t="shared" si="43"/>
        <v>92249</v>
      </c>
      <c r="C821" s="141">
        <v>92318</v>
      </c>
      <c r="D821" s="142">
        <f t="shared" si="36"/>
        <v>69</v>
      </c>
      <c r="E821" s="141">
        <f t="shared" si="41"/>
        <v>46585</v>
      </c>
      <c r="F821" s="141">
        <v>46639</v>
      </c>
      <c r="G821" s="142">
        <f t="shared" si="39"/>
        <v>54</v>
      </c>
      <c r="H821" s="141">
        <f t="shared" si="42"/>
        <v>572569</v>
      </c>
      <c r="I821" s="141">
        <v>572695</v>
      </c>
      <c r="J821" s="142">
        <f t="shared" si="37"/>
        <v>126</v>
      </c>
      <c r="K821" s="141">
        <f t="shared" si="44"/>
        <v>49918</v>
      </c>
      <c r="L821" s="141">
        <v>49954</v>
      </c>
      <c r="M821" s="142">
        <f t="shared" si="38"/>
        <v>36</v>
      </c>
    </row>
    <row r="822" spans="1:13">
      <c r="A822" s="144">
        <v>45804</v>
      </c>
      <c r="B822" s="141">
        <f t="shared" si="43"/>
        <v>92318</v>
      </c>
      <c r="C822" s="141">
        <v>92407</v>
      </c>
      <c r="D822" s="142">
        <f t="shared" ref="D822:D853" si="45">C822-B822</f>
        <v>89</v>
      </c>
      <c r="E822" s="141">
        <f t="shared" si="41"/>
        <v>46639</v>
      </c>
      <c r="F822" s="141">
        <v>46716</v>
      </c>
      <c r="G822" s="142">
        <f t="shared" si="39"/>
        <v>77</v>
      </c>
      <c r="H822" s="141">
        <f t="shared" si="42"/>
        <v>572695</v>
      </c>
      <c r="I822" s="141">
        <v>572817</v>
      </c>
      <c r="J822" s="142">
        <f t="shared" si="37"/>
        <v>122</v>
      </c>
      <c r="K822" s="141">
        <f t="shared" si="44"/>
        <v>49954</v>
      </c>
      <c r="L822" s="141">
        <v>50015</v>
      </c>
      <c r="M822" s="142">
        <f t="shared" si="38"/>
        <v>61</v>
      </c>
    </row>
    <row r="823" spans="1:13">
      <c r="A823" s="144">
        <v>45805</v>
      </c>
      <c r="B823" s="141">
        <f t="shared" si="43"/>
        <v>92407</v>
      </c>
      <c r="C823" s="141">
        <v>92460</v>
      </c>
      <c r="D823" s="142">
        <f t="shared" si="45"/>
        <v>53</v>
      </c>
      <c r="E823" s="141">
        <f t="shared" si="41"/>
        <v>46716</v>
      </c>
      <c r="F823" s="141">
        <v>46783</v>
      </c>
      <c r="G823" s="142">
        <f t="shared" si="39"/>
        <v>67</v>
      </c>
      <c r="H823" s="141">
        <f t="shared" si="42"/>
        <v>572817</v>
      </c>
      <c r="I823" s="141">
        <v>572933</v>
      </c>
      <c r="J823" s="142">
        <f t="shared" si="37"/>
        <v>116</v>
      </c>
      <c r="K823" s="141">
        <f t="shared" si="44"/>
        <v>50015</v>
      </c>
      <c r="L823" s="141">
        <v>50065</v>
      </c>
      <c r="M823" s="142">
        <f t="shared" si="38"/>
        <v>50</v>
      </c>
    </row>
    <row r="824" spans="1:13">
      <c r="A824" s="144">
        <v>45806</v>
      </c>
      <c r="B824" s="141">
        <f t="shared" si="43"/>
        <v>92460</v>
      </c>
      <c r="C824" s="141">
        <v>92538</v>
      </c>
      <c r="D824" s="142">
        <f t="shared" si="45"/>
        <v>78</v>
      </c>
      <c r="E824" s="141">
        <f t="shared" si="41"/>
        <v>46783</v>
      </c>
      <c r="F824" s="141">
        <v>46857</v>
      </c>
      <c r="G824" s="142">
        <f t="shared" si="39"/>
        <v>74</v>
      </c>
      <c r="H824" s="141">
        <f t="shared" si="42"/>
        <v>572933</v>
      </c>
      <c r="I824" s="141">
        <v>573036</v>
      </c>
      <c r="J824" s="142">
        <f t="shared" si="37"/>
        <v>103</v>
      </c>
      <c r="K824" s="141">
        <f t="shared" si="44"/>
        <v>50065</v>
      </c>
      <c r="L824" s="141">
        <v>50105</v>
      </c>
      <c r="M824" s="142">
        <f t="shared" si="38"/>
        <v>40</v>
      </c>
    </row>
    <row r="825" spans="1:13">
      <c r="A825" s="144">
        <v>45807</v>
      </c>
      <c r="B825" s="141">
        <f t="shared" si="43"/>
        <v>92538</v>
      </c>
      <c r="C825" s="141">
        <v>92615</v>
      </c>
      <c r="D825" s="142">
        <f t="shared" si="45"/>
        <v>77</v>
      </c>
      <c r="E825" s="141">
        <f t="shared" si="41"/>
        <v>46857</v>
      </c>
      <c r="F825" s="141">
        <v>46919</v>
      </c>
      <c r="G825" s="142">
        <f t="shared" si="39"/>
        <v>62</v>
      </c>
      <c r="H825" s="141">
        <f t="shared" si="42"/>
        <v>573036</v>
      </c>
      <c r="I825" s="141">
        <v>573164</v>
      </c>
      <c r="J825" s="142">
        <f t="shared" si="37"/>
        <v>128</v>
      </c>
      <c r="K825" s="141">
        <f t="shared" ref="K825:K826" si="46">L824</f>
        <v>50105</v>
      </c>
      <c r="L825" s="141">
        <v>50151</v>
      </c>
      <c r="M825" s="142">
        <f t="shared" ref="M825" si="47">L825-K825</f>
        <v>46</v>
      </c>
    </row>
    <row r="826" spans="1:13">
      <c r="A826" s="144">
        <v>45808</v>
      </c>
      <c r="B826" s="141">
        <f t="shared" si="43"/>
        <v>92615</v>
      </c>
      <c r="C826" s="141">
        <v>92683</v>
      </c>
      <c r="D826" s="142">
        <f t="shared" si="45"/>
        <v>68</v>
      </c>
      <c r="E826" s="141">
        <f t="shared" si="41"/>
        <v>46919</v>
      </c>
      <c r="F826" s="141">
        <v>46999</v>
      </c>
      <c r="G826" s="142">
        <f t="shared" si="39"/>
        <v>80</v>
      </c>
      <c r="H826" s="141">
        <f t="shared" si="42"/>
        <v>573164</v>
      </c>
      <c r="I826" s="141">
        <v>573299</v>
      </c>
      <c r="J826" s="142">
        <f t="shared" si="37"/>
        <v>135</v>
      </c>
      <c r="K826" s="141">
        <f t="shared" si="46"/>
        <v>50151</v>
      </c>
      <c r="L826" s="141">
        <v>50214</v>
      </c>
      <c r="M826" s="142">
        <f t="shared" ref="M826:M889" si="48">L826-K826</f>
        <v>63</v>
      </c>
    </row>
    <row r="827" spans="1:13">
      <c r="A827" s="144">
        <v>45809</v>
      </c>
      <c r="B827" s="141">
        <f t="shared" si="43"/>
        <v>92683</v>
      </c>
      <c r="C827" s="141">
        <v>92737</v>
      </c>
      <c r="D827" s="142">
        <f t="shared" si="45"/>
        <v>54</v>
      </c>
      <c r="E827" s="141">
        <v>46999</v>
      </c>
      <c r="F827" s="141">
        <v>47074</v>
      </c>
      <c r="G827" s="142">
        <f t="shared" si="39"/>
        <v>75</v>
      </c>
      <c r="H827" s="141">
        <f t="shared" si="42"/>
        <v>573299</v>
      </c>
      <c r="I827" s="141">
        <v>573381</v>
      </c>
      <c r="J827" s="142">
        <f t="shared" si="37"/>
        <v>82</v>
      </c>
      <c r="K827" s="141">
        <f t="shared" ref="K827:K890" si="49">L826</f>
        <v>50214</v>
      </c>
      <c r="L827" s="141">
        <v>50277</v>
      </c>
      <c r="M827" s="142">
        <f t="shared" si="48"/>
        <v>63</v>
      </c>
    </row>
    <row r="828" spans="1:13">
      <c r="A828" s="144">
        <v>45810</v>
      </c>
      <c r="B828" s="141">
        <f t="shared" si="43"/>
        <v>92737</v>
      </c>
      <c r="C828" s="141">
        <v>92792</v>
      </c>
      <c r="D828" s="142">
        <f t="shared" si="45"/>
        <v>55</v>
      </c>
      <c r="E828" s="141">
        <f>F827</f>
        <v>47074</v>
      </c>
      <c r="F828" s="141">
        <v>47153</v>
      </c>
      <c r="G828" s="142">
        <f t="shared" si="39"/>
        <v>79</v>
      </c>
      <c r="H828" s="141">
        <f t="shared" si="42"/>
        <v>573381</v>
      </c>
      <c r="I828" s="141">
        <v>573456</v>
      </c>
      <c r="J828" s="142">
        <f t="shared" si="37"/>
        <v>75</v>
      </c>
      <c r="K828" s="141">
        <f t="shared" si="49"/>
        <v>50277</v>
      </c>
      <c r="L828" s="141">
        <v>50334</v>
      </c>
      <c r="M828" s="142">
        <f t="shared" si="48"/>
        <v>57</v>
      </c>
    </row>
    <row r="829" spans="1:13">
      <c r="A829" s="144">
        <v>45811</v>
      </c>
      <c r="B829" s="141">
        <f t="shared" si="43"/>
        <v>92792</v>
      </c>
      <c r="C829" s="141">
        <v>92854</v>
      </c>
      <c r="D829" s="142">
        <f t="shared" si="45"/>
        <v>62</v>
      </c>
      <c r="E829" s="141">
        <v>47153</v>
      </c>
      <c r="F829" s="141">
        <v>47218</v>
      </c>
      <c r="G829" s="142">
        <f t="shared" si="39"/>
        <v>65</v>
      </c>
      <c r="H829" s="141">
        <f t="shared" si="42"/>
        <v>573456</v>
      </c>
      <c r="I829" s="141">
        <v>573596</v>
      </c>
      <c r="J829" s="142">
        <f t="shared" si="37"/>
        <v>140</v>
      </c>
      <c r="K829" s="141">
        <f t="shared" si="49"/>
        <v>50334</v>
      </c>
      <c r="L829" s="141">
        <v>50374</v>
      </c>
      <c r="M829" s="142">
        <f t="shared" si="48"/>
        <v>40</v>
      </c>
    </row>
    <row r="830" spans="1:13">
      <c r="A830" s="144">
        <v>45812</v>
      </c>
      <c r="B830" s="141">
        <f t="shared" si="43"/>
        <v>92854</v>
      </c>
      <c r="C830" s="141">
        <v>92922</v>
      </c>
      <c r="D830" s="142">
        <f t="shared" si="45"/>
        <v>68</v>
      </c>
      <c r="E830" s="141">
        <v>47218</v>
      </c>
      <c r="F830" s="141">
        <v>47313</v>
      </c>
      <c r="G830" s="142">
        <f t="shared" si="39"/>
        <v>95</v>
      </c>
      <c r="H830" s="141">
        <f t="shared" si="42"/>
        <v>573596</v>
      </c>
      <c r="I830" s="141">
        <v>573696</v>
      </c>
      <c r="J830" s="142">
        <f t="shared" si="37"/>
        <v>100</v>
      </c>
      <c r="K830" s="141">
        <f t="shared" si="49"/>
        <v>50374</v>
      </c>
      <c r="L830" s="141">
        <v>50434</v>
      </c>
      <c r="M830" s="142">
        <f t="shared" si="48"/>
        <v>60</v>
      </c>
    </row>
    <row r="831" spans="1:13">
      <c r="A831" s="144">
        <v>45813</v>
      </c>
      <c r="B831" s="141">
        <f t="shared" si="43"/>
        <v>92922</v>
      </c>
      <c r="C831" s="141">
        <v>93007</v>
      </c>
      <c r="D831" s="142">
        <f t="shared" si="45"/>
        <v>85</v>
      </c>
      <c r="E831" s="141">
        <v>47313</v>
      </c>
      <c r="F831" s="141">
        <v>47383</v>
      </c>
      <c r="G831" s="142">
        <f t="shared" si="39"/>
        <v>70</v>
      </c>
      <c r="H831" s="141">
        <f t="shared" si="42"/>
        <v>573696</v>
      </c>
      <c r="I831" s="141">
        <v>573791</v>
      </c>
      <c r="J831" s="142">
        <f t="shared" si="37"/>
        <v>95</v>
      </c>
      <c r="K831" s="141">
        <f t="shared" si="49"/>
        <v>50434</v>
      </c>
      <c r="L831" s="141">
        <v>50481</v>
      </c>
      <c r="M831" s="142">
        <f t="shared" si="48"/>
        <v>47</v>
      </c>
    </row>
    <row r="832" spans="1:13">
      <c r="A832" s="144">
        <v>45814</v>
      </c>
      <c r="B832" s="141">
        <f t="shared" si="43"/>
        <v>93007</v>
      </c>
      <c r="C832" s="141">
        <v>93097</v>
      </c>
      <c r="D832" s="142">
        <f t="shared" si="45"/>
        <v>90</v>
      </c>
      <c r="E832" s="141">
        <v>47383</v>
      </c>
      <c r="F832" s="141">
        <v>47482</v>
      </c>
      <c r="G832" s="142">
        <f t="shared" si="39"/>
        <v>99</v>
      </c>
      <c r="H832" s="141">
        <f t="shared" si="42"/>
        <v>573791</v>
      </c>
      <c r="I832" s="141">
        <v>573882</v>
      </c>
      <c r="J832" s="142">
        <f t="shared" si="37"/>
        <v>91</v>
      </c>
      <c r="K832" s="141">
        <f t="shared" si="49"/>
        <v>50481</v>
      </c>
      <c r="L832" s="141">
        <v>50544</v>
      </c>
      <c r="M832" s="142">
        <f t="shared" si="48"/>
        <v>63</v>
      </c>
    </row>
    <row r="833" spans="1:13">
      <c r="A833" s="144">
        <v>45815</v>
      </c>
      <c r="B833" s="141">
        <f t="shared" si="43"/>
        <v>93097</v>
      </c>
      <c r="C833" s="141">
        <v>93159</v>
      </c>
      <c r="D833" s="142">
        <f t="shared" si="45"/>
        <v>62</v>
      </c>
      <c r="E833" s="141">
        <v>47482</v>
      </c>
      <c r="F833" s="141">
        <v>47622</v>
      </c>
      <c r="G833" s="142">
        <f t="shared" si="39"/>
        <v>140</v>
      </c>
      <c r="H833" s="141">
        <f t="shared" si="42"/>
        <v>573882</v>
      </c>
      <c r="I833" s="141">
        <v>574001</v>
      </c>
      <c r="J833" s="142">
        <f t="shared" si="37"/>
        <v>119</v>
      </c>
      <c r="K833" s="141">
        <f t="shared" si="49"/>
        <v>50544</v>
      </c>
      <c r="L833" s="141">
        <v>50594</v>
      </c>
      <c r="M833" s="142">
        <f t="shared" si="48"/>
        <v>50</v>
      </c>
    </row>
    <row r="834" spans="1:13">
      <c r="A834" s="144">
        <v>45816</v>
      </c>
      <c r="B834" s="141">
        <f t="shared" si="43"/>
        <v>93159</v>
      </c>
      <c r="C834" s="141">
        <v>93215</v>
      </c>
      <c r="D834" s="142">
        <f t="shared" si="45"/>
        <v>56</v>
      </c>
      <c r="E834" s="141">
        <v>47622</v>
      </c>
      <c r="F834" s="141">
        <v>47712</v>
      </c>
      <c r="G834" s="142">
        <f t="shared" si="39"/>
        <v>90</v>
      </c>
      <c r="H834" s="141">
        <f t="shared" si="42"/>
        <v>574001</v>
      </c>
      <c r="I834" s="141">
        <v>574167</v>
      </c>
      <c r="J834" s="142">
        <f t="shared" si="37"/>
        <v>166</v>
      </c>
      <c r="K834" s="141">
        <f t="shared" si="49"/>
        <v>50594</v>
      </c>
      <c r="L834" s="141">
        <v>50634</v>
      </c>
      <c r="M834" s="142">
        <f t="shared" si="48"/>
        <v>40</v>
      </c>
    </row>
    <row r="835" spans="1:13">
      <c r="A835" s="144">
        <v>45817</v>
      </c>
      <c r="B835" s="141">
        <f t="shared" si="43"/>
        <v>93215</v>
      </c>
      <c r="C835" s="141">
        <v>93272</v>
      </c>
      <c r="D835" s="142">
        <f t="shared" si="45"/>
        <v>57</v>
      </c>
      <c r="E835" s="141">
        <v>47712</v>
      </c>
      <c r="F835" s="141">
        <v>47817</v>
      </c>
      <c r="G835" s="142">
        <f t="shared" si="39"/>
        <v>105</v>
      </c>
      <c r="H835" s="141">
        <f t="shared" si="42"/>
        <v>574167</v>
      </c>
      <c r="I835" s="141">
        <v>574247</v>
      </c>
      <c r="J835" s="142">
        <f t="shared" si="37"/>
        <v>80</v>
      </c>
      <c r="K835" s="141">
        <f t="shared" si="49"/>
        <v>50634</v>
      </c>
      <c r="L835" s="141">
        <v>50703</v>
      </c>
      <c r="M835" s="142">
        <f t="shared" si="48"/>
        <v>69</v>
      </c>
    </row>
    <row r="836" spans="1:13">
      <c r="A836" s="144">
        <v>45818</v>
      </c>
      <c r="B836" s="141">
        <f t="shared" si="43"/>
        <v>93272</v>
      </c>
      <c r="C836" s="141">
        <v>93324</v>
      </c>
      <c r="D836" s="142">
        <f t="shared" si="45"/>
        <v>52</v>
      </c>
      <c r="E836" s="141">
        <v>47817</v>
      </c>
      <c r="F836" s="141">
        <v>47918</v>
      </c>
      <c r="G836" s="142">
        <f t="shared" si="39"/>
        <v>101</v>
      </c>
      <c r="H836" s="141">
        <f t="shared" si="42"/>
        <v>574247</v>
      </c>
      <c r="I836" s="141">
        <v>574355</v>
      </c>
      <c r="J836" s="142">
        <f t="shared" si="37"/>
        <v>108</v>
      </c>
      <c r="K836" s="141">
        <f t="shared" si="49"/>
        <v>50703</v>
      </c>
      <c r="L836" s="141">
        <v>50753</v>
      </c>
      <c r="M836" s="142">
        <f t="shared" si="48"/>
        <v>50</v>
      </c>
    </row>
    <row r="837" spans="1:13" ht="14.25" customHeight="1">
      <c r="A837" s="144">
        <v>45819</v>
      </c>
      <c r="B837" s="141">
        <f t="shared" si="43"/>
        <v>93324</v>
      </c>
      <c r="C837" s="141">
        <v>93385</v>
      </c>
      <c r="D837" s="142">
        <f t="shared" si="45"/>
        <v>61</v>
      </c>
      <c r="E837" s="141">
        <v>47918</v>
      </c>
      <c r="F837" s="141">
        <v>48033</v>
      </c>
      <c r="G837" s="142">
        <f t="shared" si="39"/>
        <v>115</v>
      </c>
      <c r="H837" s="141">
        <f t="shared" si="42"/>
        <v>574355</v>
      </c>
      <c r="I837" s="141">
        <v>574425</v>
      </c>
      <c r="J837" s="142">
        <f t="shared" si="37"/>
        <v>70</v>
      </c>
      <c r="K837" s="141">
        <f t="shared" si="49"/>
        <v>50753</v>
      </c>
      <c r="L837" s="141">
        <v>50800</v>
      </c>
      <c r="M837" s="142">
        <f t="shared" si="48"/>
        <v>47</v>
      </c>
    </row>
    <row r="838" spans="1:13">
      <c r="A838" s="144">
        <v>45820</v>
      </c>
      <c r="B838" s="141">
        <f t="shared" si="43"/>
        <v>93385</v>
      </c>
      <c r="C838" s="141">
        <v>93443</v>
      </c>
      <c r="D838" s="142">
        <f t="shared" si="45"/>
        <v>58</v>
      </c>
      <c r="E838" s="141">
        <v>48033</v>
      </c>
      <c r="F838" s="141">
        <v>48143</v>
      </c>
      <c r="G838" s="142">
        <f t="shared" si="39"/>
        <v>110</v>
      </c>
      <c r="H838" s="141">
        <f t="shared" si="42"/>
        <v>574425</v>
      </c>
      <c r="I838" s="141">
        <v>574539</v>
      </c>
      <c r="J838" s="142">
        <f t="shared" si="37"/>
        <v>114</v>
      </c>
      <c r="K838" s="141">
        <f t="shared" si="49"/>
        <v>50800</v>
      </c>
      <c r="L838" s="141">
        <v>50863</v>
      </c>
      <c r="M838" s="142">
        <f t="shared" si="48"/>
        <v>63</v>
      </c>
    </row>
    <row r="839" spans="1:13">
      <c r="A839" s="144">
        <v>45821</v>
      </c>
      <c r="B839" s="141">
        <f t="shared" si="43"/>
        <v>93443</v>
      </c>
      <c r="C839" s="141">
        <v>93499</v>
      </c>
      <c r="D839" s="142">
        <f t="shared" si="45"/>
        <v>56</v>
      </c>
      <c r="E839" s="141">
        <v>48143</v>
      </c>
      <c r="F839" s="141">
        <v>48232</v>
      </c>
      <c r="G839" s="142">
        <f t="shared" si="39"/>
        <v>89</v>
      </c>
      <c r="H839" s="141">
        <f t="shared" si="42"/>
        <v>574539</v>
      </c>
      <c r="I839" s="141">
        <v>574658</v>
      </c>
      <c r="J839" s="142">
        <f t="shared" si="37"/>
        <v>119</v>
      </c>
      <c r="K839" s="141">
        <f t="shared" si="49"/>
        <v>50863</v>
      </c>
      <c r="L839" s="141">
        <v>50905</v>
      </c>
      <c r="M839" s="142">
        <f t="shared" si="48"/>
        <v>42</v>
      </c>
    </row>
    <row r="840" spans="1:13">
      <c r="A840" s="144">
        <v>45822</v>
      </c>
      <c r="B840" s="141">
        <f t="shared" si="43"/>
        <v>93499</v>
      </c>
      <c r="C840" s="141">
        <v>93596</v>
      </c>
      <c r="D840" s="142">
        <f t="shared" si="45"/>
        <v>97</v>
      </c>
      <c r="E840" s="141">
        <v>48232</v>
      </c>
      <c r="F840" s="141">
        <v>48313</v>
      </c>
      <c r="G840" s="142">
        <f t="shared" si="39"/>
        <v>81</v>
      </c>
      <c r="H840" s="141">
        <f t="shared" si="42"/>
        <v>574658</v>
      </c>
      <c r="I840" s="141">
        <v>574738</v>
      </c>
      <c r="J840" s="142">
        <f t="shared" si="37"/>
        <v>80</v>
      </c>
      <c r="K840" s="141">
        <f t="shared" si="49"/>
        <v>50905</v>
      </c>
      <c r="L840" s="141">
        <v>50966</v>
      </c>
      <c r="M840" s="142">
        <f t="shared" si="48"/>
        <v>61</v>
      </c>
    </row>
    <row r="841" spans="1:13">
      <c r="A841" s="144">
        <v>45823</v>
      </c>
      <c r="B841" s="141">
        <f t="shared" si="43"/>
        <v>93596</v>
      </c>
      <c r="C841" s="141">
        <v>93706</v>
      </c>
      <c r="D841" s="142">
        <f t="shared" si="45"/>
        <v>110</v>
      </c>
      <c r="E841" s="141">
        <v>48313</v>
      </c>
      <c r="F841" s="141">
        <v>48398</v>
      </c>
      <c r="G841" s="142">
        <f t="shared" si="39"/>
        <v>85</v>
      </c>
      <c r="H841" s="141">
        <f t="shared" si="42"/>
        <v>574738</v>
      </c>
      <c r="I841" s="141">
        <v>574813</v>
      </c>
      <c r="J841" s="142">
        <f t="shared" si="37"/>
        <v>75</v>
      </c>
      <c r="K841" s="141">
        <f t="shared" si="49"/>
        <v>50966</v>
      </c>
      <c r="L841" s="141">
        <v>51024</v>
      </c>
      <c r="M841" s="142">
        <f t="shared" si="48"/>
        <v>58</v>
      </c>
    </row>
    <row r="842" spans="1:13">
      <c r="A842" s="144">
        <v>45824</v>
      </c>
      <c r="B842" s="141">
        <f t="shared" si="43"/>
        <v>93706</v>
      </c>
      <c r="C842" s="141">
        <v>93774</v>
      </c>
      <c r="D842" s="142">
        <f t="shared" si="45"/>
        <v>68</v>
      </c>
      <c r="E842" s="141">
        <v>48398</v>
      </c>
      <c r="F842" s="141">
        <v>48476</v>
      </c>
      <c r="G842" s="142">
        <f t="shared" si="39"/>
        <v>78</v>
      </c>
      <c r="H842" s="141">
        <f t="shared" si="42"/>
        <v>574813</v>
      </c>
      <c r="I842" s="141">
        <v>574884</v>
      </c>
      <c r="J842" s="142">
        <f t="shared" si="37"/>
        <v>71</v>
      </c>
      <c r="K842" s="141">
        <f t="shared" si="49"/>
        <v>51024</v>
      </c>
      <c r="L842" s="141">
        <v>51064</v>
      </c>
      <c r="M842" s="142">
        <f t="shared" si="48"/>
        <v>40</v>
      </c>
    </row>
    <row r="843" spans="1:13">
      <c r="A843" s="144">
        <v>45825</v>
      </c>
      <c r="B843" s="141">
        <f t="shared" si="43"/>
        <v>93774</v>
      </c>
      <c r="C843" s="141">
        <v>93854</v>
      </c>
      <c r="D843" s="142">
        <f t="shared" si="45"/>
        <v>80</v>
      </c>
      <c r="E843" s="141">
        <v>48476</v>
      </c>
      <c r="F843" s="141">
        <v>48566</v>
      </c>
      <c r="G843" s="142">
        <f t="shared" si="39"/>
        <v>90</v>
      </c>
      <c r="H843" s="141">
        <f t="shared" si="42"/>
        <v>574884</v>
      </c>
      <c r="I843" s="141">
        <v>574965</v>
      </c>
      <c r="J843" s="142">
        <f t="shared" si="37"/>
        <v>81</v>
      </c>
      <c r="K843" s="141">
        <f t="shared" si="49"/>
        <v>51064</v>
      </c>
      <c r="L843" s="141">
        <v>51110</v>
      </c>
      <c r="M843" s="142">
        <f t="shared" si="48"/>
        <v>46</v>
      </c>
    </row>
    <row r="844" spans="1:13">
      <c r="A844" s="144">
        <v>45826</v>
      </c>
      <c r="B844" s="141">
        <f t="shared" si="43"/>
        <v>93854</v>
      </c>
      <c r="C844" s="141">
        <v>93908</v>
      </c>
      <c r="D844" s="142">
        <f t="shared" si="45"/>
        <v>54</v>
      </c>
      <c r="E844" s="141">
        <v>48566</v>
      </c>
      <c r="F844" s="141">
        <v>48628</v>
      </c>
      <c r="G844" s="142">
        <f t="shared" si="39"/>
        <v>62</v>
      </c>
      <c r="H844" s="141">
        <f t="shared" si="42"/>
        <v>574965</v>
      </c>
      <c r="I844" s="141">
        <v>575035</v>
      </c>
      <c r="J844" s="142">
        <f t="shared" si="37"/>
        <v>70</v>
      </c>
      <c r="K844" s="141">
        <f t="shared" si="49"/>
        <v>51110</v>
      </c>
      <c r="L844" s="141">
        <v>51147</v>
      </c>
      <c r="M844" s="142">
        <f t="shared" si="48"/>
        <v>37</v>
      </c>
    </row>
    <row r="845" spans="1:13">
      <c r="A845" s="144">
        <v>45827</v>
      </c>
      <c r="B845" s="141">
        <f t="shared" si="43"/>
        <v>93908</v>
      </c>
      <c r="C845" s="141">
        <v>93973</v>
      </c>
      <c r="D845" s="142">
        <f t="shared" si="45"/>
        <v>65</v>
      </c>
      <c r="E845" s="141">
        <v>48628</v>
      </c>
      <c r="F845" s="141">
        <v>48694</v>
      </c>
      <c r="G845" s="142">
        <f t="shared" si="39"/>
        <v>66</v>
      </c>
      <c r="H845" s="141">
        <f t="shared" si="42"/>
        <v>575035</v>
      </c>
      <c r="I845" s="141">
        <v>575127</v>
      </c>
      <c r="J845" s="142">
        <f t="shared" si="37"/>
        <v>92</v>
      </c>
      <c r="K845" s="141">
        <f t="shared" si="49"/>
        <v>51147</v>
      </c>
      <c r="L845" s="141">
        <v>51180</v>
      </c>
      <c r="M845" s="142">
        <f t="shared" si="48"/>
        <v>33</v>
      </c>
    </row>
    <row r="846" spans="1:13">
      <c r="A846" s="144">
        <v>45828</v>
      </c>
      <c r="B846" s="141">
        <f t="shared" ref="B846:B877" si="50">C845</f>
        <v>93973</v>
      </c>
      <c r="C846" s="141">
        <v>94111</v>
      </c>
      <c r="D846" s="142">
        <f t="shared" si="45"/>
        <v>138</v>
      </c>
      <c r="E846" s="141">
        <v>48694</v>
      </c>
      <c r="F846" s="141">
        <v>48768</v>
      </c>
      <c r="G846" s="142">
        <f t="shared" si="39"/>
        <v>74</v>
      </c>
      <c r="H846" s="141">
        <f t="shared" si="42"/>
        <v>575127</v>
      </c>
      <c r="I846" s="141">
        <v>575329</v>
      </c>
      <c r="J846" s="142">
        <f t="shared" si="37"/>
        <v>202</v>
      </c>
      <c r="K846" s="141">
        <f t="shared" si="49"/>
        <v>51180</v>
      </c>
      <c r="L846" s="141">
        <v>51235</v>
      </c>
      <c r="M846" s="142">
        <f t="shared" si="48"/>
        <v>55</v>
      </c>
    </row>
    <row r="847" spans="1:13">
      <c r="A847" s="144">
        <v>45829</v>
      </c>
      <c r="B847" s="141">
        <f t="shared" si="50"/>
        <v>94111</v>
      </c>
      <c r="C847" s="141">
        <v>94228</v>
      </c>
      <c r="D847" s="142">
        <f t="shared" si="45"/>
        <v>117</v>
      </c>
      <c r="E847" s="141">
        <v>48768</v>
      </c>
      <c r="F847" s="141">
        <v>48861</v>
      </c>
      <c r="G847" s="142">
        <f t="shared" si="39"/>
        <v>93</v>
      </c>
      <c r="H847" s="141">
        <f t="shared" si="42"/>
        <v>575329</v>
      </c>
      <c r="I847" s="141">
        <v>575442</v>
      </c>
      <c r="J847" s="142">
        <f t="shared" si="37"/>
        <v>113</v>
      </c>
      <c r="K847" s="141">
        <f t="shared" si="49"/>
        <v>51235</v>
      </c>
      <c r="L847" s="141">
        <v>51284</v>
      </c>
      <c r="M847" s="142">
        <f t="shared" si="48"/>
        <v>49</v>
      </c>
    </row>
    <row r="848" spans="1:13">
      <c r="A848" s="144">
        <v>45830</v>
      </c>
      <c r="B848" s="141">
        <f t="shared" si="50"/>
        <v>94228</v>
      </c>
      <c r="C848" s="141">
        <v>94309</v>
      </c>
      <c r="D848" s="142">
        <f t="shared" si="45"/>
        <v>81</v>
      </c>
      <c r="E848" s="141">
        <v>48861</v>
      </c>
      <c r="F848" s="141">
        <v>48948</v>
      </c>
      <c r="G848" s="142">
        <f t="shared" si="39"/>
        <v>87</v>
      </c>
      <c r="H848" s="141">
        <f t="shared" si="42"/>
        <v>575442</v>
      </c>
      <c r="I848" s="141">
        <v>575543</v>
      </c>
      <c r="J848" s="142">
        <f t="shared" si="37"/>
        <v>101</v>
      </c>
      <c r="K848" s="141">
        <f t="shared" si="49"/>
        <v>51284</v>
      </c>
      <c r="L848" s="141">
        <v>51323</v>
      </c>
      <c r="M848" s="142">
        <f t="shared" si="48"/>
        <v>39</v>
      </c>
    </row>
    <row r="849" spans="1:13">
      <c r="A849" s="144">
        <v>45831</v>
      </c>
      <c r="B849" s="141">
        <f t="shared" si="50"/>
        <v>94309</v>
      </c>
      <c r="C849" s="141">
        <v>94412</v>
      </c>
      <c r="D849" s="142">
        <f t="shared" si="45"/>
        <v>103</v>
      </c>
      <c r="E849" s="141">
        <v>48948</v>
      </c>
      <c r="F849" s="141">
        <v>49000</v>
      </c>
      <c r="G849" s="142">
        <f t="shared" si="39"/>
        <v>52</v>
      </c>
      <c r="H849" s="141">
        <f t="shared" si="42"/>
        <v>575543</v>
      </c>
      <c r="I849" s="141">
        <v>575626</v>
      </c>
      <c r="J849" s="142">
        <f t="shared" si="37"/>
        <v>83</v>
      </c>
      <c r="K849" s="141">
        <f t="shared" si="49"/>
        <v>51323</v>
      </c>
      <c r="L849" s="141">
        <v>51391</v>
      </c>
      <c r="M849" s="142">
        <f t="shared" si="48"/>
        <v>68</v>
      </c>
    </row>
    <row r="850" spans="1:13">
      <c r="A850" s="144">
        <v>45832</v>
      </c>
      <c r="B850" s="141">
        <f t="shared" si="50"/>
        <v>94412</v>
      </c>
      <c r="C850" s="141">
        <v>94550</v>
      </c>
      <c r="D850" s="142">
        <f t="shared" si="45"/>
        <v>138</v>
      </c>
      <c r="E850" s="141">
        <v>49000</v>
      </c>
      <c r="F850" s="141">
        <v>49044</v>
      </c>
      <c r="G850" s="142">
        <f t="shared" si="39"/>
        <v>44</v>
      </c>
      <c r="H850" s="141">
        <f t="shared" si="42"/>
        <v>575626</v>
      </c>
      <c r="I850" s="141">
        <v>575766</v>
      </c>
      <c r="J850" s="142">
        <f t="shared" si="37"/>
        <v>140</v>
      </c>
      <c r="K850" s="141">
        <f t="shared" si="49"/>
        <v>51391</v>
      </c>
      <c r="L850" s="141">
        <v>51444</v>
      </c>
      <c r="M850" s="142">
        <f t="shared" si="48"/>
        <v>53</v>
      </c>
    </row>
    <row r="851" spans="1:13">
      <c r="A851" s="144">
        <v>45833</v>
      </c>
      <c r="B851" s="141">
        <f t="shared" si="50"/>
        <v>94550</v>
      </c>
      <c r="C851" s="141">
        <v>94570</v>
      </c>
      <c r="D851" s="142">
        <f t="shared" si="45"/>
        <v>20</v>
      </c>
      <c r="E851" s="141">
        <v>49044</v>
      </c>
      <c r="F851" s="141">
        <v>49099</v>
      </c>
      <c r="G851" s="142">
        <f t="shared" si="39"/>
        <v>55</v>
      </c>
      <c r="H851" s="141">
        <f t="shared" si="42"/>
        <v>575766</v>
      </c>
      <c r="I851" s="141">
        <v>575924</v>
      </c>
      <c r="J851" s="142">
        <f t="shared" si="37"/>
        <v>158</v>
      </c>
      <c r="K851" s="141">
        <f t="shared" si="49"/>
        <v>51444</v>
      </c>
      <c r="L851" s="141">
        <v>51480</v>
      </c>
      <c r="M851" s="142">
        <f t="shared" si="48"/>
        <v>36</v>
      </c>
    </row>
    <row r="852" spans="1:13">
      <c r="A852" s="144">
        <v>45834</v>
      </c>
      <c r="B852" s="141">
        <f t="shared" si="50"/>
        <v>94570</v>
      </c>
      <c r="C852" s="141">
        <v>94680</v>
      </c>
      <c r="D852" s="142">
        <f t="shared" si="45"/>
        <v>110</v>
      </c>
      <c r="E852" s="141">
        <v>49099</v>
      </c>
      <c r="F852" s="141">
        <v>49179</v>
      </c>
      <c r="G852" s="142">
        <f t="shared" si="39"/>
        <v>80</v>
      </c>
      <c r="H852" s="141">
        <f t="shared" si="42"/>
        <v>575924</v>
      </c>
      <c r="I852" s="141">
        <v>576008</v>
      </c>
      <c r="J852" s="142">
        <f t="shared" si="37"/>
        <v>84</v>
      </c>
      <c r="K852" s="141">
        <f t="shared" si="49"/>
        <v>51480</v>
      </c>
      <c r="L852" s="141">
        <v>51515</v>
      </c>
      <c r="M852" s="142">
        <f t="shared" si="48"/>
        <v>35</v>
      </c>
    </row>
    <row r="853" spans="1:13">
      <c r="A853" s="144">
        <v>45835</v>
      </c>
      <c r="B853" s="141">
        <f t="shared" si="50"/>
        <v>94680</v>
      </c>
      <c r="C853" s="141">
        <v>94800</v>
      </c>
      <c r="D853" s="142">
        <f t="shared" si="45"/>
        <v>120</v>
      </c>
      <c r="E853" s="141">
        <v>49179</v>
      </c>
      <c r="F853" s="141">
        <v>49230</v>
      </c>
      <c r="G853" s="142">
        <f t="shared" si="39"/>
        <v>51</v>
      </c>
      <c r="H853" s="141">
        <f t="shared" si="42"/>
        <v>576008</v>
      </c>
      <c r="I853" s="141">
        <v>576127</v>
      </c>
      <c r="J853" s="142">
        <f t="shared" si="37"/>
        <v>119</v>
      </c>
      <c r="K853" s="141">
        <f t="shared" si="49"/>
        <v>51515</v>
      </c>
      <c r="L853" s="141">
        <v>51565</v>
      </c>
      <c r="M853" s="142">
        <f t="shared" si="48"/>
        <v>50</v>
      </c>
    </row>
    <row r="854" spans="1:13">
      <c r="A854" s="144">
        <v>45836</v>
      </c>
      <c r="B854" s="141">
        <f t="shared" si="50"/>
        <v>94800</v>
      </c>
      <c r="C854" s="141">
        <v>94908</v>
      </c>
      <c r="D854" s="142">
        <f t="shared" ref="D854:D885" si="51">C854-B854</f>
        <v>108</v>
      </c>
      <c r="E854" s="141">
        <v>49230</v>
      </c>
      <c r="F854" s="141">
        <v>49280</v>
      </c>
      <c r="G854" s="142">
        <f t="shared" si="39"/>
        <v>50</v>
      </c>
      <c r="H854" s="141">
        <f t="shared" si="42"/>
        <v>576127</v>
      </c>
      <c r="I854" s="141">
        <v>576302</v>
      </c>
      <c r="J854" s="142">
        <f t="shared" ref="J854:J920" si="52">I854-H854</f>
        <v>175</v>
      </c>
      <c r="K854" s="141">
        <f t="shared" si="49"/>
        <v>51565</v>
      </c>
      <c r="L854" s="141">
        <v>51607</v>
      </c>
      <c r="M854" s="142">
        <f t="shared" si="48"/>
        <v>42</v>
      </c>
    </row>
    <row r="855" spans="1:13">
      <c r="A855" s="144">
        <v>45837</v>
      </c>
      <c r="B855" s="141">
        <f t="shared" si="50"/>
        <v>94908</v>
      </c>
      <c r="C855" s="141">
        <v>94973</v>
      </c>
      <c r="D855" s="142">
        <f t="shared" si="51"/>
        <v>65</v>
      </c>
      <c r="E855" s="141">
        <v>49280</v>
      </c>
      <c r="F855" s="141">
        <v>49320</v>
      </c>
      <c r="G855" s="142">
        <f t="shared" ref="G855:G856" si="53">F855-E855</f>
        <v>40</v>
      </c>
      <c r="H855" s="141">
        <f t="shared" si="42"/>
        <v>576302</v>
      </c>
      <c r="I855" s="141">
        <v>576396</v>
      </c>
      <c r="J855" s="142">
        <f t="shared" si="52"/>
        <v>94</v>
      </c>
      <c r="K855" s="141">
        <f t="shared" si="49"/>
        <v>51607</v>
      </c>
      <c r="L855" s="141">
        <v>51653</v>
      </c>
      <c r="M855" s="142">
        <f t="shared" si="48"/>
        <v>46</v>
      </c>
    </row>
    <row r="856" spans="1:13">
      <c r="A856" s="144">
        <v>45838</v>
      </c>
      <c r="B856" s="141">
        <f t="shared" si="50"/>
        <v>94973</v>
      </c>
      <c r="C856" s="141">
        <v>95091</v>
      </c>
      <c r="D856" s="142">
        <f t="shared" si="51"/>
        <v>118</v>
      </c>
      <c r="E856" s="141">
        <v>49320</v>
      </c>
      <c r="F856" s="141">
        <v>49364</v>
      </c>
      <c r="G856" s="142">
        <f t="shared" si="53"/>
        <v>44</v>
      </c>
      <c r="H856" s="141">
        <f t="shared" si="42"/>
        <v>576396</v>
      </c>
      <c r="I856" s="141">
        <v>576560</v>
      </c>
      <c r="J856" s="142">
        <f t="shared" si="52"/>
        <v>164</v>
      </c>
      <c r="K856" s="141">
        <f t="shared" si="49"/>
        <v>51653</v>
      </c>
      <c r="L856" s="141">
        <v>51710</v>
      </c>
      <c r="M856" s="142">
        <f t="shared" si="48"/>
        <v>57</v>
      </c>
    </row>
    <row r="857" spans="1:13">
      <c r="A857" s="144">
        <v>45839</v>
      </c>
      <c r="B857" s="141">
        <f t="shared" si="50"/>
        <v>95091</v>
      </c>
      <c r="C857" s="141">
        <v>95199</v>
      </c>
      <c r="D857" s="142">
        <f t="shared" si="51"/>
        <v>108</v>
      </c>
      <c r="E857" s="141">
        <v>49364</v>
      </c>
      <c r="F857" s="141">
        <v>49404</v>
      </c>
      <c r="G857" s="142">
        <f t="shared" ref="G857" si="54">F857-E857</f>
        <v>40</v>
      </c>
      <c r="H857" s="141">
        <f t="shared" si="42"/>
        <v>576560</v>
      </c>
      <c r="I857" s="141">
        <v>576702</v>
      </c>
      <c r="J857" s="142">
        <f t="shared" si="52"/>
        <v>142</v>
      </c>
      <c r="K857" s="141">
        <f t="shared" si="49"/>
        <v>51710</v>
      </c>
      <c r="L857" s="141">
        <v>51788</v>
      </c>
      <c r="M857" s="142">
        <f t="shared" si="48"/>
        <v>78</v>
      </c>
    </row>
    <row r="858" spans="1:13">
      <c r="A858" s="144">
        <v>45840</v>
      </c>
      <c r="B858" s="141">
        <f t="shared" si="50"/>
        <v>95199</v>
      </c>
      <c r="C858" s="141">
        <v>95289</v>
      </c>
      <c r="D858" s="142">
        <f t="shared" si="51"/>
        <v>90</v>
      </c>
      <c r="E858" s="141">
        <v>49404</v>
      </c>
      <c r="F858" s="141">
        <v>49470</v>
      </c>
      <c r="G858" s="142">
        <f t="shared" ref="G858:G921" si="55">F858-E858</f>
        <v>66</v>
      </c>
      <c r="H858" s="141">
        <f t="shared" si="42"/>
        <v>576702</v>
      </c>
      <c r="I858" s="141">
        <v>576827</v>
      </c>
      <c r="J858" s="142">
        <f t="shared" si="52"/>
        <v>125</v>
      </c>
      <c r="K858" s="141">
        <f t="shared" si="49"/>
        <v>51788</v>
      </c>
      <c r="L858" s="141">
        <v>51795</v>
      </c>
      <c r="M858" s="142">
        <f t="shared" si="48"/>
        <v>7</v>
      </c>
    </row>
    <row r="859" spans="1:13">
      <c r="A859" s="144">
        <v>45841</v>
      </c>
      <c r="B859" s="141">
        <f t="shared" si="50"/>
        <v>95289</v>
      </c>
      <c r="C859" s="141">
        <v>95393</v>
      </c>
      <c r="D859" s="142">
        <f t="shared" si="51"/>
        <v>104</v>
      </c>
      <c r="E859" s="141">
        <v>49470</v>
      </c>
      <c r="F859" s="141">
        <v>49550</v>
      </c>
      <c r="G859" s="142">
        <f t="shared" si="55"/>
        <v>80</v>
      </c>
      <c r="H859" s="141">
        <f t="shared" si="42"/>
        <v>576827</v>
      </c>
      <c r="I859" s="141">
        <v>576939</v>
      </c>
      <c r="J859" s="142">
        <f t="shared" si="52"/>
        <v>112</v>
      </c>
      <c r="K859" s="141">
        <f t="shared" si="49"/>
        <v>51795</v>
      </c>
      <c r="L859" s="141">
        <v>51803</v>
      </c>
      <c r="M859" s="142">
        <f t="shared" si="48"/>
        <v>8</v>
      </c>
    </row>
    <row r="860" spans="1:13">
      <c r="A860" s="144">
        <v>45842</v>
      </c>
      <c r="B860" s="141">
        <f t="shared" si="50"/>
        <v>95393</v>
      </c>
      <c r="C860" s="141">
        <v>95454</v>
      </c>
      <c r="D860" s="142">
        <f t="shared" si="51"/>
        <v>61</v>
      </c>
      <c r="E860" s="141">
        <f t="shared" si="41"/>
        <v>49550</v>
      </c>
      <c r="F860" s="141">
        <v>49650</v>
      </c>
      <c r="G860" s="142">
        <f t="shared" si="55"/>
        <v>100</v>
      </c>
      <c r="H860" s="141">
        <f t="shared" si="42"/>
        <v>576939</v>
      </c>
      <c r="I860" s="141">
        <v>577002</v>
      </c>
      <c r="J860" s="142">
        <f t="shared" si="52"/>
        <v>63</v>
      </c>
      <c r="K860" s="141">
        <f t="shared" si="49"/>
        <v>51803</v>
      </c>
      <c r="L860" s="141">
        <v>51863</v>
      </c>
      <c r="M860" s="142">
        <f t="shared" si="48"/>
        <v>60</v>
      </c>
    </row>
    <row r="861" spans="1:13">
      <c r="A861" s="144">
        <v>45843</v>
      </c>
      <c r="B861" s="141">
        <f t="shared" si="50"/>
        <v>95454</v>
      </c>
      <c r="C861" s="141">
        <v>95521</v>
      </c>
      <c r="D861" s="142">
        <f t="shared" si="51"/>
        <v>67</v>
      </c>
      <c r="E861" s="141">
        <f t="shared" ref="E861:E898" si="56">F860</f>
        <v>49650</v>
      </c>
      <c r="F861" s="141">
        <v>49721</v>
      </c>
      <c r="G861" s="142">
        <f t="shared" si="55"/>
        <v>71</v>
      </c>
      <c r="H861" s="141">
        <f t="shared" si="42"/>
        <v>577002</v>
      </c>
      <c r="I861" s="141">
        <v>577131</v>
      </c>
      <c r="J861" s="142">
        <f t="shared" si="52"/>
        <v>129</v>
      </c>
      <c r="K861" s="141">
        <f t="shared" si="49"/>
        <v>51863</v>
      </c>
      <c r="L861" s="141">
        <v>51921</v>
      </c>
      <c r="M861" s="142">
        <f t="shared" si="48"/>
        <v>58</v>
      </c>
    </row>
    <row r="862" spans="1:13">
      <c r="A862" s="144">
        <v>45844</v>
      </c>
      <c r="B862" s="141">
        <f t="shared" si="50"/>
        <v>95521</v>
      </c>
      <c r="C862" s="141">
        <v>95605</v>
      </c>
      <c r="D862" s="142">
        <f t="shared" si="51"/>
        <v>84</v>
      </c>
      <c r="E862" s="141">
        <f t="shared" si="56"/>
        <v>49721</v>
      </c>
      <c r="F862" s="141">
        <v>49790</v>
      </c>
      <c r="G862" s="142">
        <f t="shared" si="55"/>
        <v>69</v>
      </c>
      <c r="H862" s="141">
        <f t="shared" ref="H862:H925" si="57">I861</f>
        <v>577131</v>
      </c>
      <c r="I862" s="141">
        <v>577264</v>
      </c>
      <c r="J862" s="142">
        <f t="shared" si="52"/>
        <v>133</v>
      </c>
      <c r="K862" s="141">
        <f t="shared" si="49"/>
        <v>51921</v>
      </c>
      <c r="L862" s="141">
        <v>51970</v>
      </c>
      <c r="M862" s="142">
        <f t="shared" si="48"/>
        <v>49</v>
      </c>
    </row>
    <row r="863" spans="1:13">
      <c r="A863" s="144">
        <v>45845</v>
      </c>
      <c r="B863" s="141">
        <f t="shared" si="50"/>
        <v>95605</v>
      </c>
      <c r="C863" s="141">
        <v>95650</v>
      </c>
      <c r="D863" s="142">
        <f t="shared" si="51"/>
        <v>45</v>
      </c>
      <c r="E863" s="141">
        <f t="shared" si="56"/>
        <v>49790</v>
      </c>
      <c r="F863" s="141">
        <v>49880</v>
      </c>
      <c r="G863" s="142">
        <f t="shared" si="55"/>
        <v>90</v>
      </c>
      <c r="H863" s="141">
        <f t="shared" si="57"/>
        <v>577264</v>
      </c>
      <c r="I863" s="141">
        <v>577327</v>
      </c>
      <c r="J863" s="142">
        <f t="shared" si="52"/>
        <v>63</v>
      </c>
      <c r="K863" s="141">
        <f t="shared" si="49"/>
        <v>51970</v>
      </c>
      <c r="L863" s="141">
        <v>51971</v>
      </c>
      <c r="M863" s="142">
        <f t="shared" si="48"/>
        <v>1</v>
      </c>
    </row>
    <row r="864" spans="1:13">
      <c r="A864" s="144">
        <v>45846</v>
      </c>
      <c r="B864" s="141">
        <f t="shared" si="50"/>
        <v>95650</v>
      </c>
      <c r="C864" s="141">
        <v>95729</v>
      </c>
      <c r="D864" s="142">
        <f t="shared" si="51"/>
        <v>79</v>
      </c>
      <c r="E864" s="141">
        <f t="shared" si="56"/>
        <v>49880</v>
      </c>
      <c r="F864" s="141">
        <v>49950</v>
      </c>
      <c r="G864" s="142">
        <f t="shared" si="55"/>
        <v>70</v>
      </c>
      <c r="H864" s="141">
        <f t="shared" si="57"/>
        <v>577327</v>
      </c>
      <c r="I864" s="141">
        <v>577327</v>
      </c>
      <c r="J864" s="142">
        <f t="shared" si="52"/>
        <v>0</v>
      </c>
      <c r="K864" s="141">
        <f t="shared" si="49"/>
        <v>51971</v>
      </c>
      <c r="L864" s="141">
        <v>51999</v>
      </c>
      <c r="M864" s="142">
        <f t="shared" si="48"/>
        <v>28</v>
      </c>
    </row>
    <row r="865" spans="1:13">
      <c r="A865" s="144">
        <v>45847</v>
      </c>
      <c r="B865" s="141">
        <f t="shared" si="50"/>
        <v>95729</v>
      </c>
      <c r="C865" s="141">
        <v>95817</v>
      </c>
      <c r="D865" s="142">
        <f t="shared" si="51"/>
        <v>88</v>
      </c>
      <c r="E865" s="141">
        <f t="shared" si="56"/>
        <v>49950</v>
      </c>
      <c r="F865" s="141">
        <v>50038</v>
      </c>
      <c r="G865" s="142">
        <f t="shared" si="55"/>
        <v>88</v>
      </c>
      <c r="H865" s="141">
        <f t="shared" si="57"/>
        <v>577327</v>
      </c>
      <c r="I865" s="141">
        <v>577531</v>
      </c>
      <c r="J865" s="142">
        <f t="shared" si="52"/>
        <v>204</v>
      </c>
      <c r="K865" s="141">
        <f t="shared" si="49"/>
        <v>51999</v>
      </c>
      <c r="L865" s="141">
        <v>52085</v>
      </c>
      <c r="M865" s="142">
        <f t="shared" si="48"/>
        <v>86</v>
      </c>
    </row>
    <row r="866" spans="1:13">
      <c r="A866" s="144">
        <v>45848</v>
      </c>
      <c r="B866" s="141">
        <f t="shared" si="50"/>
        <v>95817</v>
      </c>
      <c r="C866" s="141">
        <v>95855</v>
      </c>
      <c r="D866" s="142">
        <f t="shared" si="51"/>
        <v>38</v>
      </c>
      <c r="E866" s="141">
        <f t="shared" si="56"/>
        <v>50038</v>
      </c>
      <c r="F866" s="141">
        <v>50099</v>
      </c>
      <c r="G866" s="142">
        <f t="shared" si="55"/>
        <v>61</v>
      </c>
      <c r="H866" s="141">
        <f t="shared" si="57"/>
        <v>577531</v>
      </c>
      <c r="I866" s="141">
        <v>577655</v>
      </c>
      <c r="J866" s="142">
        <f t="shared" si="52"/>
        <v>124</v>
      </c>
      <c r="K866" s="141">
        <f t="shared" si="49"/>
        <v>52085</v>
      </c>
      <c r="L866" s="141">
        <v>52121</v>
      </c>
      <c r="M866" s="142">
        <f t="shared" si="48"/>
        <v>36</v>
      </c>
    </row>
    <row r="867" spans="1:13">
      <c r="A867" s="144">
        <v>45849</v>
      </c>
      <c r="B867" s="141">
        <f t="shared" si="50"/>
        <v>95855</v>
      </c>
      <c r="C867" s="141">
        <v>95892</v>
      </c>
      <c r="D867" s="142">
        <f t="shared" si="51"/>
        <v>37</v>
      </c>
      <c r="E867" s="141">
        <f t="shared" si="56"/>
        <v>50099</v>
      </c>
      <c r="F867" s="141">
        <v>50187</v>
      </c>
      <c r="G867" s="142">
        <f t="shared" si="55"/>
        <v>88</v>
      </c>
      <c r="H867" s="141">
        <f t="shared" si="57"/>
        <v>577655</v>
      </c>
      <c r="I867" s="141">
        <v>577759</v>
      </c>
      <c r="J867" s="142">
        <f t="shared" si="52"/>
        <v>104</v>
      </c>
      <c r="K867" s="141">
        <f t="shared" si="49"/>
        <v>52121</v>
      </c>
      <c r="L867" s="141">
        <v>52166</v>
      </c>
      <c r="M867" s="142">
        <f t="shared" si="48"/>
        <v>45</v>
      </c>
    </row>
    <row r="868" spans="1:13">
      <c r="A868" s="144">
        <v>45850</v>
      </c>
      <c r="B868" s="141">
        <f t="shared" si="50"/>
        <v>95892</v>
      </c>
      <c r="C868" s="141">
        <v>95961</v>
      </c>
      <c r="D868" s="142">
        <f t="shared" si="51"/>
        <v>69</v>
      </c>
      <c r="E868" s="141">
        <f t="shared" si="56"/>
        <v>50187</v>
      </c>
      <c r="F868" s="141">
        <v>50251</v>
      </c>
      <c r="G868" s="142">
        <f t="shared" si="55"/>
        <v>64</v>
      </c>
      <c r="H868" s="141">
        <f t="shared" si="57"/>
        <v>577759</v>
      </c>
      <c r="I868" s="141">
        <v>577852</v>
      </c>
      <c r="J868" s="142">
        <f t="shared" si="52"/>
        <v>93</v>
      </c>
      <c r="K868" s="141">
        <f t="shared" si="49"/>
        <v>52166</v>
      </c>
      <c r="L868" s="141">
        <v>52211</v>
      </c>
      <c r="M868" s="142">
        <f t="shared" si="48"/>
        <v>45</v>
      </c>
    </row>
    <row r="869" spans="1:13">
      <c r="A869" s="144">
        <v>45851</v>
      </c>
      <c r="B869" s="141">
        <f t="shared" si="50"/>
        <v>95961</v>
      </c>
      <c r="C869" s="141">
        <v>96055</v>
      </c>
      <c r="D869" s="142">
        <f t="shared" si="51"/>
        <v>94</v>
      </c>
      <c r="E869" s="141">
        <f t="shared" si="56"/>
        <v>50251</v>
      </c>
      <c r="F869" s="141">
        <v>50312</v>
      </c>
      <c r="G869" s="142">
        <f t="shared" si="55"/>
        <v>61</v>
      </c>
      <c r="H869" s="141">
        <f t="shared" si="57"/>
        <v>577852</v>
      </c>
      <c r="I869" s="141">
        <v>577908</v>
      </c>
      <c r="J869" s="142">
        <f t="shared" si="52"/>
        <v>56</v>
      </c>
      <c r="K869" s="141">
        <f t="shared" si="49"/>
        <v>52211</v>
      </c>
      <c r="L869" s="141">
        <v>52265</v>
      </c>
      <c r="M869" s="142">
        <f t="shared" si="48"/>
        <v>54</v>
      </c>
    </row>
    <row r="870" spans="1:13">
      <c r="A870" s="144">
        <v>45852</v>
      </c>
      <c r="B870" s="141">
        <f t="shared" si="50"/>
        <v>96055</v>
      </c>
      <c r="C870" s="141">
        <v>96136</v>
      </c>
      <c r="D870" s="142">
        <f t="shared" si="51"/>
        <v>81</v>
      </c>
      <c r="E870" s="141">
        <f t="shared" si="56"/>
        <v>50312</v>
      </c>
      <c r="F870" s="141">
        <v>50382</v>
      </c>
      <c r="G870" s="142">
        <f t="shared" si="55"/>
        <v>70</v>
      </c>
      <c r="H870" s="141">
        <f t="shared" si="57"/>
        <v>577908</v>
      </c>
      <c r="I870" s="141">
        <v>578008</v>
      </c>
      <c r="J870" s="142">
        <f t="shared" si="52"/>
        <v>100</v>
      </c>
      <c r="K870" s="141">
        <f t="shared" si="49"/>
        <v>52265</v>
      </c>
      <c r="L870" s="141">
        <v>52314</v>
      </c>
      <c r="M870" s="142">
        <f t="shared" si="48"/>
        <v>49</v>
      </c>
    </row>
    <row r="871" spans="1:13">
      <c r="A871" s="144">
        <v>45853</v>
      </c>
      <c r="B871" s="141">
        <f t="shared" si="50"/>
        <v>96136</v>
      </c>
      <c r="C871" s="141">
        <v>96213</v>
      </c>
      <c r="D871" s="142">
        <f t="shared" si="51"/>
        <v>77</v>
      </c>
      <c r="E871" s="141">
        <f t="shared" si="56"/>
        <v>50382</v>
      </c>
      <c r="F871" s="141">
        <v>50456</v>
      </c>
      <c r="G871" s="142">
        <f t="shared" si="55"/>
        <v>74</v>
      </c>
      <c r="H871" s="141">
        <f t="shared" si="57"/>
        <v>578008</v>
      </c>
      <c r="I871" s="141">
        <v>578139</v>
      </c>
      <c r="J871" s="142">
        <f t="shared" si="52"/>
        <v>131</v>
      </c>
      <c r="K871" s="141">
        <f t="shared" si="49"/>
        <v>52314</v>
      </c>
      <c r="L871" s="141">
        <v>52352</v>
      </c>
      <c r="M871" s="142">
        <f t="shared" si="48"/>
        <v>38</v>
      </c>
    </row>
    <row r="872" spans="1:13">
      <c r="A872" s="144">
        <v>45854</v>
      </c>
      <c r="B872" s="141">
        <f t="shared" si="50"/>
        <v>96213</v>
      </c>
      <c r="C872" s="141">
        <v>96278</v>
      </c>
      <c r="D872" s="142">
        <f t="shared" si="51"/>
        <v>65</v>
      </c>
      <c r="E872" s="141">
        <f t="shared" si="56"/>
        <v>50456</v>
      </c>
      <c r="F872" s="141">
        <v>50506</v>
      </c>
      <c r="G872" s="142">
        <f t="shared" si="55"/>
        <v>50</v>
      </c>
      <c r="H872" s="141">
        <f t="shared" si="57"/>
        <v>578139</v>
      </c>
      <c r="I872" s="141">
        <v>578233</v>
      </c>
      <c r="J872" s="142">
        <f t="shared" si="52"/>
        <v>94</v>
      </c>
      <c r="K872" s="141">
        <f t="shared" si="49"/>
        <v>52352</v>
      </c>
      <c r="L872" s="141">
        <v>52393</v>
      </c>
      <c r="M872" s="142">
        <f t="shared" si="48"/>
        <v>41</v>
      </c>
    </row>
    <row r="873" spans="1:13">
      <c r="A873" s="144">
        <v>45855</v>
      </c>
      <c r="B873" s="141">
        <f t="shared" si="50"/>
        <v>96278</v>
      </c>
      <c r="C873" s="141">
        <v>96358</v>
      </c>
      <c r="D873" s="142">
        <f t="shared" si="51"/>
        <v>80</v>
      </c>
      <c r="E873" s="141">
        <f t="shared" si="56"/>
        <v>50506</v>
      </c>
      <c r="F873" s="141">
        <v>50583</v>
      </c>
      <c r="G873" s="142">
        <f t="shared" si="55"/>
        <v>77</v>
      </c>
      <c r="H873" s="141">
        <f t="shared" si="57"/>
        <v>578233</v>
      </c>
      <c r="I873" s="141">
        <v>578354</v>
      </c>
      <c r="J873" s="142">
        <f t="shared" si="52"/>
        <v>121</v>
      </c>
      <c r="K873" s="141">
        <f t="shared" si="49"/>
        <v>52393</v>
      </c>
      <c r="L873" s="141">
        <v>52430</v>
      </c>
      <c r="M873" s="142">
        <f t="shared" si="48"/>
        <v>37</v>
      </c>
    </row>
    <row r="874" spans="1:13">
      <c r="A874" s="144">
        <v>45856</v>
      </c>
      <c r="B874" s="141">
        <f t="shared" si="50"/>
        <v>96358</v>
      </c>
      <c r="C874" s="141">
        <v>96399</v>
      </c>
      <c r="D874" s="142">
        <f t="shared" si="51"/>
        <v>41</v>
      </c>
      <c r="E874" s="141">
        <f t="shared" si="56"/>
        <v>50583</v>
      </c>
      <c r="F874" s="141">
        <v>50603</v>
      </c>
      <c r="G874" s="142">
        <f t="shared" si="55"/>
        <v>20</v>
      </c>
      <c r="H874" s="141">
        <f t="shared" si="57"/>
        <v>578354</v>
      </c>
      <c r="I874" s="141">
        <v>578441</v>
      </c>
      <c r="J874" s="142">
        <f t="shared" si="52"/>
        <v>87</v>
      </c>
      <c r="K874" s="141">
        <f t="shared" si="49"/>
        <v>52430</v>
      </c>
      <c r="L874" s="141">
        <v>52465</v>
      </c>
      <c r="M874" s="142">
        <f t="shared" si="48"/>
        <v>35</v>
      </c>
    </row>
    <row r="875" spans="1:13">
      <c r="A875" s="144">
        <v>45857</v>
      </c>
      <c r="B875" s="141">
        <f t="shared" si="50"/>
        <v>96399</v>
      </c>
      <c r="C875" s="141">
        <v>96452</v>
      </c>
      <c r="D875" s="142">
        <f t="shared" si="51"/>
        <v>53</v>
      </c>
      <c r="E875" s="141">
        <f t="shared" si="56"/>
        <v>50603</v>
      </c>
      <c r="F875" s="141">
        <v>50659</v>
      </c>
      <c r="G875" s="142">
        <f t="shared" si="55"/>
        <v>56</v>
      </c>
      <c r="H875" s="141">
        <f t="shared" si="57"/>
        <v>578441</v>
      </c>
      <c r="I875" s="141">
        <v>578544</v>
      </c>
      <c r="J875" s="142">
        <f t="shared" si="52"/>
        <v>103</v>
      </c>
      <c r="K875" s="141">
        <f t="shared" si="49"/>
        <v>52465</v>
      </c>
      <c r="L875" s="141">
        <v>52498</v>
      </c>
      <c r="M875" s="142">
        <f t="shared" si="48"/>
        <v>33</v>
      </c>
    </row>
    <row r="876" spans="1:13">
      <c r="A876" s="144">
        <v>45858</v>
      </c>
      <c r="B876" s="141">
        <f t="shared" si="50"/>
        <v>96452</v>
      </c>
      <c r="C876" s="141">
        <v>96558</v>
      </c>
      <c r="D876" s="142">
        <f t="shared" si="51"/>
        <v>106</v>
      </c>
      <c r="E876" s="141">
        <f t="shared" si="56"/>
        <v>50659</v>
      </c>
      <c r="F876" s="141">
        <v>50721</v>
      </c>
      <c r="G876" s="142">
        <f t="shared" si="55"/>
        <v>62</v>
      </c>
      <c r="H876" s="141">
        <f t="shared" si="57"/>
        <v>578544</v>
      </c>
      <c r="I876" s="141">
        <v>578654</v>
      </c>
      <c r="J876" s="142">
        <f t="shared" si="52"/>
        <v>110</v>
      </c>
      <c r="K876" s="141">
        <f t="shared" si="49"/>
        <v>52498</v>
      </c>
      <c r="L876" s="141">
        <v>52512</v>
      </c>
      <c r="M876" s="142">
        <f t="shared" si="48"/>
        <v>14</v>
      </c>
    </row>
    <row r="877" spans="1:13">
      <c r="A877" s="144">
        <v>45859</v>
      </c>
      <c r="B877" s="141">
        <f t="shared" si="50"/>
        <v>96558</v>
      </c>
      <c r="C877" s="141">
        <v>96625</v>
      </c>
      <c r="D877" s="142">
        <f t="shared" si="51"/>
        <v>67</v>
      </c>
      <c r="E877" s="141">
        <f t="shared" si="56"/>
        <v>50721</v>
      </c>
      <c r="F877" s="141">
        <v>50784</v>
      </c>
      <c r="G877" s="142">
        <f t="shared" si="55"/>
        <v>63</v>
      </c>
      <c r="H877" s="141">
        <f t="shared" si="57"/>
        <v>578654</v>
      </c>
      <c r="I877" s="141">
        <v>578745</v>
      </c>
      <c r="J877" s="142">
        <f t="shared" si="52"/>
        <v>91</v>
      </c>
      <c r="K877" s="141">
        <f t="shared" si="49"/>
        <v>52512</v>
      </c>
      <c r="L877" s="141">
        <v>52589</v>
      </c>
      <c r="M877" s="142">
        <f t="shared" si="48"/>
        <v>77</v>
      </c>
    </row>
    <row r="878" spans="1:13">
      <c r="A878" s="144">
        <v>45860</v>
      </c>
      <c r="B878" s="141">
        <f t="shared" ref="B878:B909" si="58">C877</f>
        <v>96625</v>
      </c>
      <c r="C878" s="141">
        <v>96738</v>
      </c>
      <c r="D878" s="142">
        <f t="shared" si="51"/>
        <v>113</v>
      </c>
      <c r="E878" s="141">
        <f t="shared" si="56"/>
        <v>50784</v>
      </c>
      <c r="F878" s="141">
        <v>50872</v>
      </c>
      <c r="G878" s="142">
        <f t="shared" si="55"/>
        <v>88</v>
      </c>
      <c r="H878" s="141">
        <f t="shared" si="57"/>
        <v>578745</v>
      </c>
      <c r="I878" s="141">
        <v>578887</v>
      </c>
      <c r="J878" s="142">
        <f t="shared" si="52"/>
        <v>142</v>
      </c>
      <c r="K878" s="141">
        <f t="shared" si="49"/>
        <v>52589</v>
      </c>
      <c r="L878" s="141">
        <v>52638</v>
      </c>
      <c r="M878" s="142">
        <f t="shared" si="48"/>
        <v>49</v>
      </c>
    </row>
    <row r="879" spans="1:13">
      <c r="A879" s="144">
        <v>45861</v>
      </c>
      <c r="B879" s="141">
        <f t="shared" si="58"/>
        <v>96738</v>
      </c>
      <c r="C879" s="141">
        <v>96795</v>
      </c>
      <c r="D879" s="142">
        <f t="shared" si="51"/>
        <v>57</v>
      </c>
      <c r="E879" s="141">
        <f t="shared" si="56"/>
        <v>50872</v>
      </c>
      <c r="F879" s="141">
        <v>50969</v>
      </c>
      <c r="G879" s="142">
        <f t="shared" si="55"/>
        <v>97</v>
      </c>
      <c r="H879" s="141">
        <f t="shared" si="57"/>
        <v>578887</v>
      </c>
      <c r="I879" s="141">
        <v>578975</v>
      </c>
      <c r="J879" s="142">
        <f t="shared" si="52"/>
        <v>88</v>
      </c>
      <c r="K879" s="141">
        <f t="shared" si="49"/>
        <v>52638</v>
      </c>
      <c r="L879" s="141">
        <v>52686</v>
      </c>
      <c r="M879" s="142">
        <f t="shared" si="48"/>
        <v>48</v>
      </c>
    </row>
    <row r="880" spans="1:13">
      <c r="A880" s="144">
        <v>45862</v>
      </c>
      <c r="B880" s="141">
        <f t="shared" si="58"/>
        <v>96795</v>
      </c>
      <c r="C880" s="141">
        <v>96863</v>
      </c>
      <c r="D880" s="142">
        <f t="shared" si="51"/>
        <v>68</v>
      </c>
      <c r="E880" s="141">
        <f t="shared" si="56"/>
        <v>50969</v>
      </c>
      <c r="F880" s="141">
        <v>51034</v>
      </c>
      <c r="G880" s="142">
        <f t="shared" si="55"/>
        <v>65</v>
      </c>
      <c r="H880" s="141">
        <f t="shared" si="57"/>
        <v>578975</v>
      </c>
      <c r="I880" s="141">
        <v>579072</v>
      </c>
      <c r="J880" s="142">
        <f t="shared" si="52"/>
        <v>97</v>
      </c>
      <c r="K880" s="141">
        <f t="shared" si="49"/>
        <v>52686</v>
      </c>
      <c r="L880" s="141">
        <v>52709</v>
      </c>
      <c r="M880" s="142">
        <f t="shared" si="48"/>
        <v>23</v>
      </c>
    </row>
    <row r="881" spans="1:13">
      <c r="A881" s="144">
        <v>45863</v>
      </c>
      <c r="B881" s="141">
        <f t="shared" si="58"/>
        <v>96863</v>
      </c>
      <c r="C881" s="141">
        <v>96898</v>
      </c>
      <c r="D881" s="142">
        <f t="shared" si="51"/>
        <v>35</v>
      </c>
      <c r="E881" s="141">
        <f t="shared" si="56"/>
        <v>51034</v>
      </c>
      <c r="F881" s="141">
        <v>51134</v>
      </c>
      <c r="G881" s="142">
        <f t="shared" si="55"/>
        <v>100</v>
      </c>
      <c r="H881" s="141">
        <f t="shared" si="57"/>
        <v>579072</v>
      </c>
      <c r="I881" s="141">
        <v>579198</v>
      </c>
      <c r="J881" s="142">
        <f t="shared" si="52"/>
        <v>126</v>
      </c>
      <c r="K881" s="141">
        <f t="shared" si="49"/>
        <v>52709</v>
      </c>
      <c r="L881" s="141">
        <v>52740</v>
      </c>
      <c r="M881" s="142">
        <f t="shared" si="48"/>
        <v>31</v>
      </c>
    </row>
    <row r="882" spans="1:13">
      <c r="A882" s="144">
        <v>45864</v>
      </c>
      <c r="B882" s="141">
        <f t="shared" si="58"/>
        <v>96898</v>
      </c>
      <c r="C882" s="141">
        <v>97018</v>
      </c>
      <c r="D882" s="142">
        <f t="shared" si="51"/>
        <v>120</v>
      </c>
      <c r="E882" s="141">
        <f t="shared" si="56"/>
        <v>51134</v>
      </c>
      <c r="F882" s="141">
        <v>51225</v>
      </c>
      <c r="G882" s="142">
        <f t="shared" si="55"/>
        <v>91</v>
      </c>
      <c r="H882" s="141">
        <f t="shared" si="57"/>
        <v>579198</v>
      </c>
      <c r="I882" s="141">
        <v>579318</v>
      </c>
      <c r="J882" s="142">
        <f t="shared" si="52"/>
        <v>120</v>
      </c>
      <c r="K882" s="141">
        <f t="shared" si="49"/>
        <v>52740</v>
      </c>
      <c r="L882" s="141">
        <v>52781</v>
      </c>
      <c r="M882" s="142">
        <f t="shared" si="48"/>
        <v>41</v>
      </c>
    </row>
    <row r="883" spans="1:13">
      <c r="A883" s="144">
        <v>45865</v>
      </c>
      <c r="B883" s="141">
        <f t="shared" si="58"/>
        <v>97018</v>
      </c>
      <c r="C883" s="141">
        <v>97115</v>
      </c>
      <c r="D883" s="142">
        <f t="shared" si="51"/>
        <v>97</v>
      </c>
      <c r="E883" s="141">
        <f t="shared" si="56"/>
        <v>51225</v>
      </c>
      <c r="F883" s="141">
        <v>51335</v>
      </c>
      <c r="G883" s="142">
        <f t="shared" si="55"/>
        <v>110</v>
      </c>
      <c r="H883" s="141">
        <f t="shared" si="57"/>
        <v>579318</v>
      </c>
      <c r="I883" s="141">
        <v>579404</v>
      </c>
      <c r="J883" s="142">
        <f t="shared" si="52"/>
        <v>86</v>
      </c>
      <c r="K883" s="141">
        <f t="shared" si="49"/>
        <v>52781</v>
      </c>
      <c r="L883" s="141">
        <v>52793</v>
      </c>
      <c r="M883" s="142">
        <f t="shared" si="48"/>
        <v>12</v>
      </c>
    </row>
    <row r="884" spans="1:13">
      <c r="A884" s="144">
        <v>45866</v>
      </c>
      <c r="B884" s="141">
        <f t="shared" si="58"/>
        <v>97115</v>
      </c>
      <c r="C884" s="141">
        <v>97192</v>
      </c>
      <c r="D884" s="142">
        <f t="shared" si="51"/>
        <v>77</v>
      </c>
      <c r="E884" s="141">
        <f t="shared" si="56"/>
        <v>51335</v>
      </c>
      <c r="F884" s="141">
        <v>51434</v>
      </c>
      <c r="G884" s="142">
        <f t="shared" si="55"/>
        <v>99</v>
      </c>
      <c r="H884" s="141">
        <f t="shared" si="57"/>
        <v>579404</v>
      </c>
      <c r="I884" s="141">
        <v>579430</v>
      </c>
      <c r="J884" s="142">
        <f t="shared" si="52"/>
        <v>26</v>
      </c>
      <c r="K884" s="141">
        <f t="shared" si="49"/>
        <v>52793</v>
      </c>
      <c r="L884" s="141">
        <v>52804</v>
      </c>
      <c r="M884" s="142">
        <f t="shared" si="48"/>
        <v>11</v>
      </c>
    </row>
    <row r="885" spans="1:13">
      <c r="A885" s="144">
        <v>45867</v>
      </c>
      <c r="B885" s="141">
        <f t="shared" si="58"/>
        <v>97192</v>
      </c>
      <c r="C885" s="141">
        <v>97308</v>
      </c>
      <c r="D885" s="142">
        <f t="shared" si="51"/>
        <v>116</v>
      </c>
      <c r="E885" s="141">
        <f t="shared" si="56"/>
        <v>51434</v>
      </c>
      <c r="F885" s="141">
        <v>51530</v>
      </c>
      <c r="G885" s="142">
        <f t="shared" si="55"/>
        <v>96</v>
      </c>
      <c r="H885" s="141">
        <f t="shared" si="57"/>
        <v>579430</v>
      </c>
      <c r="I885" s="141">
        <v>579567</v>
      </c>
      <c r="J885" s="142">
        <f t="shared" si="52"/>
        <v>137</v>
      </c>
      <c r="K885" s="141">
        <f t="shared" si="49"/>
        <v>52804</v>
      </c>
      <c r="L885" s="141">
        <v>52818</v>
      </c>
      <c r="M885" s="142">
        <f t="shared" si="48"/>
        <v>14</v>
      </c>
    </row>
    <row r="886" spans="1:13">
      <c r="A886" s="144">
        <v>45868</v>
      </c>
      <c r="B886" s="141">
        <f t="shared" si="58"/>
        <v>97308</v>
      </c>
      <c r="C886" s="141">
        <v>97406</v>
      </c>
      <c r="D886" s="142">
        <f t="shared" ref="D886:D952" si="59">C886-B886</f>
        <v>98</v>
      </c>
      <c r="E886" s="141">
        <f t="shared" si="56"/>
        <v>51530</v>
      </c>
      <c r="F886" s="141">
        <v>51590</v>
      </c>
      <c r="G886" s="142">
        <f t="shared" si="55"/>
        <v>60</v>
      </c>
      <c r="H886" s="141">
        <f t="shared" si="57"/>
        <v>579567</v>
      </c>
      <c r="I886" s="141">
        <v>579677</v>
      </c>
      <c r="J886" s="142">
        <f t="shared" si="52"/>
        <v>110</v>
      </c>
      <c r="K886" s="141">
        <f t="shared" si="49"/>
        <v>52818</v>
      </c>
      <c r="L886" s="141">
        <v>52862</v>
      </c>
      <c r="M886" s="142">
        <f t="shared" si="48"/>
        <v>44</v>
      </c>
    </row>
    <row r="887" spans="1:13">
      <c r="A887" s="144">
        <v>45869</v>
      </c>
      <c r="B887" s="141">
        <f t="shared" si="58"/>
        <v>97406</v>
      </c>
      <c r="C887" s="141">
        <v>97460</v>
      </c>
      <c r="D887" s="142">
        <f t="shared" si="59"/>
        <v>54</v>
      </c>
      <c r="E887" s="141">
        <f t="shared" si="56"/>
        <v>51590</v>
      </c>
      <c r="F887" s="141">
        <v>51660</v>
      </c>
      <c r="G887" s="142">
        <f t="shared" si="55"/>
        <v>70</v>
      </c>
      <c r="H887" s="141">
        <f t="shared" si="57"/>
        <v>579677</v>
      </c>
      <c r="I887" s="141">
        <v>579794</v>
      </c>
      <c r="J887" s="142">
        <f t="shared" si="52"/>
        <v>117</v>
      </c>
      <c r="K887" s="141">
        <f t="shared" si="49"/>
        <v>52862</v>
      </c>
      <c r="L887" s="141">
        <v>52881</v>
      </c>
      <c r="M887" s="142">
        <f t="shared" si="48"/>
        <v>19</v>
      </c>
    </row>
    <row r="888" spans="1:13">
      <c r="A888" s="144">
        <v>45870</v>
      </c>
      <c r="B888" s="141">
        <f t="shared" si="58"/>
        <v>97460</v>
      </c>
      <c r="C888" s="141">
        <v>97507</v>
      </c>
      <c r="D888" s="142">
        <f t="shared" si="59"/>
        <v>47</v>
      </c>
      <c r="E888" s="141">
        <f t="shared" si="56"/>
        <v>51660</v>
      </c>
      <c r="F888" s="141">
        <v>51720</v>
      </c>
      <c r="G888" s="142">
        <f t="shared" si="55"/>
        <v>60</v>
      </c>
      <c r="H888" s="141">
        <f t="shared" si="57"/>
        <v>579794</v>
      </c>
      <c r="I888" s="141">
        <v>579937</v>
      </c>
      <c r="J888" s="142">
        <f t="shared" si="52"/>
        <v>143</v>
      </c>
      <c r="K888" s="141">
        <f t="shared" si="49"/>
        <v>52881</v>
      </c>
      <c r="L888" s="141">
        <v>52941</v>
      </c>
      <c r="M888" s="142">
        <f t="shared" si="48"/>
        <v>60</v>
      </c>
    </row>
    <row r="889" spans="1:13">
      <c r="A889" s="144">
        <v>45871</v>
      </c>
      <c r="B889" s="141">
        <f t="shared" si="58"/>
        <v>97507</v>
      </c>
      <c r="C889" s="141">
        <v>97593</v>
      </c>
      <c r="D889" s="142">
        <f t="shared" si="59"/>
        <v>86</v>
      </c>
      <c r="E889" s="141">
        <f t="shared" si="56"/>
        <v>51720</v>
      </c>
      <c r="F889" s="141">
        <v>51799</v>
      </c>
      <c r="G889" s="142">
        <f t="shared" si="55"/>
        <v>79</v>
      </c>
      <c r="H889" s="141">
        <f t="shared" si="57"/>
        <v>579937</v>
      </c>
      <c r="I889" s="141">
        <v>580026</v>
      </c>
      <c r="J889" s="142">
        <f t="shared" si="52"/>
        <v>89</v>
      </c>
      <c r="K889" s="141">
        <f t="shared" si="49"/>
        <v>52941</v>
      </c>
      <c r="L889" s="141">
        <v>53005</v>
      </c>
      <c r="M889" s="142">
        <f t="shared" si="48"/>
        <v>64</v>
      </c>
    </row>
    <row r="890" spans="1:13">
      <c r="A890" s="144">
        <v>45872</v>
      </c>
      <c r="B890" s="141">
        <f t="shared" si="58"/>
        <v>97593</v>
      </c>
      <c r="C890" s="141">
        <v>97688</v>
      </c>
      <c r="D890" s="142">
        <f t="shared" si="59"/>
        <v>95</v>
      </c>
      <c r="E890" s="141">
        <f t="shared" si="56"/>
        <v>51799</v>
      </c>
      <c r="F890" s="141">
        <v>51865</v>
      </c>
      <c r="G890" s="142">
        <f t="shared" si="55"/>
        <v>66</v>
      </c>
      <c r="H890" s="141">
        <f t="shared" si="57"/>
        <v>580026</v>
      </c>
      <c r="I890" s="141">
        <v>580099</v>
      </c>
      <c r="J890" s="142">
        <f t="shared" si="52"/>
        <v>73</v>
      </c>
      <c r="K890" s="141">
        <f t="shared" si="49"/>
        <v>53005</v>
      </c>
      <c r="L890" s="141">
        <v>53053</v>
      </c>
      <c r="M890" s="142">
        <f t="shared" ref="M890:M954" si="60">L890-K890</f>
        <v>48</v>
      </c>
    </row>
    <row r="891" spans="1:13">
      <c r="A891" s="144">
        <v>45873</v>
      </c>
      <c r="B891" s="141">
        <f t="shared" si="58"/>
        <v>97688</v>
      </c>
      <c r="C891" s="141">
        <v>97764</v>
      </c>
      <c r="D891" s="142">
        <f t="shared" si="59"/>
        <v>76</v>
      </c>
      <c r="E891" s="141">
        <f t="shared" si="56"/>
        <v>51865</v>
      </c>
      <c r="F891" s="142">
        <v>51934</v>
      </c>
      <c r="G891" s="142">
        <f t="shared" si="55"/>
        <v>69</v>
      </c>
      <c r="H891" s="141">
        <f t="shared" si="57"/>
        <v>580099</v>
      </c>
      <c r="I891" s="141">
        <v>580249</v>
      </c>
      <c r="J891" s="142">
        <f t="shared" si="52"/>
        <v>150</v>
      </c>
      <c r="K891" s="141">
        <f t="shared" ref="K891:K954" si="61">L890</f>
        <v>53053</v>
      </c>
      <c r="L891" s="141">
        <v>53122</v>
      </c>
      <c r="M891" s="142">
        <f t="shared" si="60"/>
        <v>69</v>
      </c>
    </row>
    <row r="892" spans="1:13">
      <c r="A892" s="144">
        <v>45874</v>
      </c>
      <c r="B892" s="141">
        <f t="shared" si="58"/>
        <v>97764</v>
      </c>
      <c r="C892" s="141">
        <v>97832</v>
      </c>
      <c r="D892" s="142">
        <f t="shared" si="59"/>
        <v>68</v>
      </c>
      <c r="E892" s="141">
        <f t="shared" si="56"/>
        <v>51934</v>
      </c>
      <c r="F892" s="141">
        <v>52003</v>
      </c>
      <c r="G892" s="142">
        <f t="shared" si="55"/>
        <v>69</v>
      </c>
      <c r="H892" s="141">
        <f t="shared" si="57"/>
        <v>580249</v>
      </c>
      <c r="I892" s="141">
        <v>580375</v>
      </c>
      <c r="J892" s="142">
        <f t="shared" si="52"/>
        <v>126</v>
      </c>
      <c r="K892" s="141">
        <f t="shared" si="61"/>
        <v>53122</v>
      </c>
      <c r="L892" s="141">
        <v>53193</v>
      </c>
      <c r="M892" s="142">
        <f t="shared" si="60"/>
        <v>71</v>
      </c>
    </row>
    <row r="893" spans="1:13">
      <c r="A893" s="144">
        <v>45875</v>
      </c>
      <c r="B893" s="141">
        <f t="shared" si="58"/>
        <v>97832</v>
      </c>
      <c r="C893" s="141">
        <v>97964</v>
      </c>
      <c r="D893" s="142">
        <f t="shared" si="59"/>
        <v>132</v>
      </c>
      <c r="E893" s="141">
        <f t="shared" si="56"/>
        <v>52003</v>
      </c>
      <c r="F893" s="141">
        <v>52056</v>
      </c>
      <c r="G893" s="142">
        <f t="shared" si="55"/>
        <v>53</v>
      </c>
      <c r="H893" s="141">
        <f t="shared" si="57"/>
        <v>580375</v>
      </c>
      <c r="I893" s="141">
        <v>580475</v>
      </c>
      <c r="J893" s="142">
        <f t="shared" si="52"/>
        <v>100</v>
      </c>
      <c r="K893" s="141">
        <f t="shared" si="61"/>
        <v>53193</v>
      </c>
      <c r="L893" s="141">
        <v>53246</v>
      </c>
      <c r="M893" s="142">
        <f t="shared" si="60"/>
        <v>53</v>
      </c>
    </row>
    <row r="894" spans="1:13">
      <c r="A894" s="144">
        <v>45876</v>
      </c>
      <c r="B894" s="141">
        <f t="shared" si="58"/>
        <v>97964</v>
      </c>
      <c r="C894" s="141">
        <v>98140</v>
      </c>
      <c r="D894" s="142">
        <f t="shared" si="59"/>
        <v>176</v>
      </c>
      <c r="E894" s="141">
        <f t="shared" si="56"/>
        <v>52056</v>
      </c>
      <c r="F894" s="141">
        <v>52125</v>
      </c>
      <c r="G894" s="142">
        <f t="shared" si="55"/>
        <v>69</v>
      </c>
      <c r="H894" s="141">
        <f t="shared" si="57"/>
        <v>580475</v>
      </c>
      <c r="I894" s="141">
        <v>580595</v>
      </c>
      <c r="J894" s="142">
        <f t="shared" si="52"/>
        <v>120</v>
      </c>
      <c r="K894" s="141">
        <f t="shared" si="61"/>
        <v>53246</v>
      </c>
      <c r="L894" s="141">
        <v>53356</v>
      </c>
      <c r="M894" s="142">
        <f t="shared" si="60"/>
        <v>110</v>
      </c>
    </row>
    <row r="895" spans="1:13">
      <c r="A895" s="144">
        <v>45877</v>
      </c>
      <c r="B895" s="141">
        <f t="shared" si="58"/>
        <v>98140</v>
      </c>
      <c r="C895" s="141">
        <v>98287</v>
      </c>
      <c r="D895" s="142">
        <f t="shared" si="59"/>
        <v>147</v>
      </c>
      <c r="E895" s="141">
        <v>52125</v>
      </c>
      <c r="F895" s="141">
        <v>52176</v>
      </c>
      <c r="G895" s="142">
        <f t="shared" si="55"/>
        <v>51</v>
      </c>
      <c r="H895" s="141">
        <f t="shared" si="57"/>
        <v>580595</v>
      </c>
      <c r="I895" s="141">
        <v>580655</v>
      </c>
      <c r="J895" s="142">
        <f t="shared" si="52"/>
        <v>60</v>
      </c>
      <c r="K895" s="141">
        <f t="shared" si="61"/>
        <v>53356</v>
      </c>
      <c r="L895" s="141">
        <v>53424</v>
      </c>
      <c r="M895" s="142">
        <f t="shared" si="60"/>
        <v>68</v>
      </c>
    </row>
    <row r="896" spans="1:13">
      <c r="A896" s="144">
        <v>45878</v>
      </c>
      <c r="B896" s="141">
        <f t="shared" si="58"/>
        <v>98287</v>
      </c>
      <c r="C896" s="141">
        <v>98457</v>
      </c>
      <c r="D896" s="142">
        <f t="shared" si="59"/>
        <v>170</v>
      </c>
      <c r="E896" s="141">
        <f t="shared" si="56"/>
        <v>52176</v>
      </c>
      <c r="F896" s="141">
        <v>52221</v>
      </c>
      <c r="G896" s="142">
        <f t="shared" si="55"/>
        <v>45</v>
      </c>
      <c r="H896" s="141">
        <f t="shared" si="57"/>
        <v>580655</v>
      </c>
      <c r="I896" s="141">
        <v>580771</v>
      </c>
      <c r="J896" s="142">
        <f t="shared" si="52"/>
        <v>116</v>
      </c>
      <c r="K896" s="141">
        <f t="shared" si="61"/>
        <v>53424</v>
      </c>
      <c r="L896" s="141">
        <v>53501</v>
      </c>
      <c r="M896" s="142">
        <f t="shared" si="60"/>
        <v>77</v>
      </c>
    </row>
    <row r="897" spans="1:13">
      <c r="A897" s="144">
        <v>45879</v>
      </c>
      <c r="B897" s="141">
        <f t="shared" si="58"/>
        <v>98457</v>
      </c>
      <c r="C897" s="141">
        <v>98649</v>
      </c>
      <c r="D897" s="142">
        <f t="shared" si="59"/>
        <v>192</v>
      </c>
      <c r="E897" s="141">
        <f t="shared" si="56"/>
        <v>52221</v>
      </c>
      <c r="F897" s="141">
        <v>52298</v>
      </c>
      <c r="G897" s="142">
        <f t="shared" si="55"/>
        <v>77</v>
      </c>
      <c r="H897" s="141">
        <f t="shared" si="57"/>
        <v>580771</v>
      </c>
      <c r="I897" s="141">
        <v>580847</v>
      </c>
      <c r="J897" s="142">
        <f t="shared" si="52"/>
        <v>76</v>
      </c>
      <c r="K897" s="141">
        <f t="shared" si="61"/>
        <v>53501</v>
      </c>
      <c r="L897" s="141">
        <v>53554</v>
      </c>
      <c r="M897" s="142">
        <f t="shared" si="60"/>
        <v>53</v>
      </c>
    </row>
    <row r="898" spans="1:13">
      <c r="A898" s="144">
        <v>45880</v>
      </c>
      <c r="B898" s="141">
        <f t="shared" si="58"/>
        <v>98649</v>
      </c>
      <c r="C898" s="141">
        <v>98905</v>
      </c>
      <c r="D898" s="142">
        <f t="shared" si="59"/>
        <v>256</v>
      </c>
      <c r="E898" s="141">
        <f t="shared" si="56"/>
        <v>52298</v>
      </c>
      <c r="F898" s="141">
        <v>52361</v>
      </c>
      <c r="G898" s="142">
        <f t="shared" si="55"/>
        <v>63</v>
      </c>
      <c r="H898" s="141">
        <f t="shared" si="57"/>
        <v>580847</v>
      </c>
      <c r="I898" s="141">
        <v>580963</v>
      </c>
      <c r="J898" s="142">
        <f t="shared" si="52"/>
        <v>116</v>
      </c>
      <c r="K898" s="141">
        <f t="shared" si="61"/>
        <v>53554</v>
      </c>
      <c r="L898" s="141">
        <v>53597</v>
      </c>
      <c r="M898" s="142">
        <f t="shared" si="60"/>
        <v>43</v>
      </c>
    </row>
    <row r="899" spans="1:13">
      <c r="A899" s="144">
        <v>45881</v>
      </c>
      <c r="B899" s="141">
        <f t="shared" si="58"/>
        <v>98905</v>
      </c>
      <c r="C899" s="141">
        <v>99073</v>
      </c>
      <c r="D899" s="142">
        <f t="shared" si="59"/>
        <v>168</v>
      </c>
      <c r="E899" s="141">
        <f t="shared" ref="E899:E962" si="62">F898</f>
        <v>52361</v>
      </c>
      <c r="F899" s="141">
        <v>52391</v>
      </c>
      <c r="G899" s="142">
        <f t="shared" si="55"/>
        <v>30</v>
      </c>
      <c r="H899" s="141">
        <f t="shared" si="57"/>
        <v>580963</v>
      </c>
      <c r="I899" s="141">
        <v>581088</v>
      </c>
      <c r="J899" s="142">
        <f t="shared" si="52"/>
        <v>125</v>
      </c>
      <c r="K899" s="141">
        <f t="shared" si="61"/>
        <v>53597</v>
      </c>
      <c r="L899" s="141">
        <v>53637</v>
      </c>
      <c r="M899" s="142">
        <f t="shared" si="60"/>
        <v>40</v>
      </c>
    </row>
    <row r="900" spans="1:13">
      <c r="A900" s="144">
        <v>45882</v>
      </c>
      <c r="B900" s="141">
        <f t="shared" si="58"/>
        <v>99073</v>
      </c>
      <c r="C900" s="141">
        <v>99154</v>
      </c>
      <c r="D900" s="142">
        <f t="shared" si="59"/>
        <v>81</v>
      </c>
      <c r="E900" s="141">
        <f t="shared" si="62"/>
        <v>52391</v>
      </c>
      <c r="F900" s="141">
        <v>52412</v>
      </c>
      <c r="G900" s="142">
        <f t="shared" si="55"/>
        <v>21</v>
      </c>
      <c r="H900" s="141">
        <f t="shared" si="57"/>
        <v>581088</v>
      </c>
      <c r="I900" s="141">
        <v>581172</v>
      </c>
      <c r="J900" s="142">
        <f t="shared" si="52"/>
        <v>84</v>
      </c>
      <c r="K900" s="141">
        <f t="shared" si="61"/>
        <v>53637</v>
      </c>
      <c r="L900" s="141">
        <v>53684</v>
      </c>
      <c r="M900" s="142">
        <f t="shared" si="60"/>
        <v>47</v>
      </c>
    </row>
    <row r="901" spans="1:13">
      <c r="A901" s="144">
        <v>45883</v>
      </c>
      <c r="B901" s="141">
        <f t="shared" si="58"/>
        <v>99154</v>
      </c>
      <c r="C901" s="141">
        <v>99250</v>
      </c>
      <c r="D901" s="142">
        <f t="shared" si="59"/>
        <v>96</v>
      </c>
      <c r="E901" s="141">
        <f t="shared" si="62"/>
        <v>52412</v>
      </c>
      <c r="F901" s="141">
        <v>52475</v>
      </c>
      <c r="G901" s="142">
        <f t="shared" si="55"/>
        <v>63</v>
      </c>
      <c r="H901" s="141">
        <f t="shared" si="57"/>
        <v>581172</v>
      </c>
      <c r="I901" s="141">
        <v>581264</v>
      </c>
      <c r="J901" s="142">
        <f t="shared" si="52"/>
        <v>92</v>
      </c>
      <c r="K901" s="141">
        <f t="shared" si="61"/>
        <v>53684</v>
      </c>
      <c r="L901" s="141">
        <v>53710</v>
      </c>
      <c r="M901" s="142">
        <f t="shared" si="60"/>
        <v>26</v>
      </c>
    </row>
    <row r="902" spans="1:13">
      <c r="A902" s="144">
        <v>45884</v>
      </c>
      <c r="B902" s="141">
        <f t="shared" si="58"/>
        <v>99250</v>
      </c>
      <c r="C902" s="141">
        <v>99341</v>
      </c>
      <c r="D902" s="142">
        <f t="shared" si="59"/>
        <v>91</v>
      </c>
      <c r="E902" s="141">
        <v>52475</v>
      </c>
      <c r="F902" s="141">
        <v>52547</v>
      </c>
      <c r="G902" s="142">
        <f t="shared" si="55"/>
        <v>72</v>
      </c>
      <c r="H902" s="141">
        <f t="shared" si="57"/>
        <v>581264</v>
      </c>
      <c r="I902" s="141">
        <v>581361</v>
      </c>
      <c r="J902" s="142">
        <f t="shared" si="52"/>
        <v>97</v>
      </c>
      <c r="K902" s="141">
        <f t="shared" si="61"/>
        <v>53710</v>
      </c>
      <c r="L902" s="141">
        <v>53745</v>
      </c>
      <c r="M902" s="142">
        <f t="shared" si="60"/>
        <v>35</v>
      </c>
    </row>
    <row r="903" spans="1:13">
      <c r="A903" s="144">
        <v>45885</v>
      </c>
      <c r="B903" s="141">
        <f t="shared" si="58"/>
        <v>99341</v>
      </c>
      <c r="C903" s="141">
        <v>99411</v>
      </c>
      <c r="D903" s="142">
        <f t="shared" si="59"/>
        <v>70</v>
      </c>
      <c r="E903" s="141">
        <v>52547</v>
      </c>
      <c r="F903" s="141">
        <v>52605</v>
      </c>
      <c r="G903" s="142">
        <f t="shared" si="55"/>
        <v>58</v>
      </c>
      <c r="H903" s="141">
        <f t="shared" si="57"/>
        <v>581361</v>
      </c>
      <c r="I903" s="141">
        <v>581684</v>
      </c>
      <c r="J903" s="142">
        <f t="shared" si="52"/>
        <v>323</v>
      </c>
      <c r="K903" s="141">
        <f t="shared" si="61"/>
        <v>53745</v>
      </c>
      <c r="L903" s="141">
        <v>53774</v>
      </c>
      <c r="M903" s="142">
        <f t="shared" si="60"/>
        <v>29</v>
      </c>
    </row>
    <row r="904" spans="1:13">
      <c r="A904" s="144">
        <v>45886</v>
      </c>
      <c r="B904" s="141">
        <f t="shared" si="58"/>
        <v>99411</v>
      </c>
      <c r="C904" s="141">
        <v>99510</v>
      </c>
      <c r="D904" s="142">
        <f t="shared" si="59"/>
        <v>99</v>
      </c>
      <c r="E904" s="141">
        <f t="shared" si="62"/>
        <v>52605</v>
      </c>
      <c r="F904" s="141">
        <v>52674</v>
      </c>
      <c r="G904" s="142">
        <f t="shared" si="55"/>
        <v>69</v>
      </c>
      <c r="H904" s="141">
        <f t="shared" si="57"/>
        <v>581684</v>
      </c>
      <c r="I904" s="141">
        <v>582248</v>
      </c>
      <c r="J904" s="142">
        <f t="shared" si="52"/>
        <v>564</v>
      </c>
      <c r="K904" s="141">
        <f t="shared" si="61"/>
        <v>53774</v>
      </c>
      <c r="L904" s="141">
        <v>53804</v>
      </c>
      <c r="M904" s="142">
        <f t="shared" si="60"/>
        <v>30</v>
      </c>
    </row>
    <row r="905" spans="1:13">
      <c r="A905" s="144">
        <v>45887</v>
      </c>
      <c r="B905" s="141">
        <f t="shared" si="58"/>
        <v>99510</v>
      </c>
      <c r="C905" s="141">
        <v>99600</v>
      </c>
      <c r="D905" s="142">
        <f t="shared" si="59"/>
        <v>90</v>
      </c>
      <c r="E905" s="141">
        <f t="shared" si="62"/>
        <v>52674</v>
      </c>
      <c r="F905" s="141">
        <v>52745</v>
      </c>
      <c r="G905" s="142">
        <f t="shared" si="55"/>
        <v>71</v>
      </c>
      <c r="H905" s="141">
        <f t="shared" si="57"/>
        <v>582248</v>
      </c>
      <c r="I905" s="141">
        <v>582627</v>
      </c>
      <c r="J905" s="142">
        <f t="shared" si="52"/>
        <v>379</v>
      </c>
      <c r="K905" s="141">
        <f t="shared" si="61"/>
        <v>53804</v>
      </c>
      <c r="L905" s="141">
        <v>53835</v>
      </c>
      <c r="M905" s="142">
        <f t="shared" si="60"/>
        <v>31</v>
      </c>
    </row>
    <row r="906" spans="1:13">
      <c r="A906" s="144">
        <v>45888</v>
      </c>
      <c r="B906" s="141">
        <f t="shared" si="58"/>
        <v>99600</v>
      </c>
      <c r="C906" s="141">
        <v>99680</v>
      </c>
      <c r="D906" s="142">
        <f t="shared" si="59"/>
        <v>80</v>
      </c>
      <c r="E906" s="141">
        <f t="shared" si="62"/>
        <v>52745</v>
      </c>
      <c r="F906" s="141">
        <v>52805</v>
      </c>
      <c r="G906" s="142">
        <f t="shared" si="55"/>
        <v>60</v>
      </c>
      <c r="H906" s="141">
        <f t="shared" si="57"/>
        <v>582627</v>
      </c>
      <c r="I906" s="141">
        <v>582804</v>
      </c>
      <c r="J906" s="142">
        <f t="shared" si="52"/>
        <v>177</v>
      </c>
      <c r="K906" s="141">
        <f t="shared" si="61"/>
        <v>53835</v>
      </c>
      <c r="L906" s="141">
        <v>53872</v>
      </c>
      <c r="M906" s="142">
        <f t="shared" si="60"/>
        <v>37</v>
      </c>
    </row>
    <row r="907" spans="1:13">
      <c r="A907" s="144">
        <v>45889</v>
      </c>
      <c r="B907" s="141">
        <f t="shared" si="58"/>
        <v>99680</v>
      </c>
      <c r="C907" s="141">
        <v>99753</v>
      </c>
      <c r="D907" s="142">
        <f t="shared" si="59"/>
        <v>73</v>
      </c>
      <c r="E907" s="141">
        <f t="shared" si="62"/>
        <v>52805</v>
      </c>
      <c r="F907" s="141">
        <v>52867</v>
      </c>
      <c r="G907" s="142">
        <f t="shared" si="55"/>
        <v>62</v>
      </c>
      <c r="H907" s="141">
        <f t="shared" si="57"/>
        <v>582804</v>
      </c>
      <c r="I907" s="141">
        <v>582906</v>
      </c>
      <c r="J907" s="142">
        <f t="shared" si="52"/>
        <v>102</v>
      </c>
      <c r="K907" s="141">
        <f t="shared" si="61"/>
        <v>53872</v>
      </c>
      <c r="L907" s="141">
        <v>53926</v>
      </c>
      <c r="M907" s="142">
        <f t="shared" si="60"/>
        <v>54</v>
      </c>
    </row>
    <row r="908" spans="1:13">
      <c r="A908" s="144">
        <v>45890</v>
      </c>
      <c r="B908" s="141">
        <f t="shared" si="58"/>
        <v>99753</v>
      </c>
      <c r="C908" s="141">
        <v>99836</v>
      </c>
      <c r="D908" s="142">
        <f t="shared" si="59"/>
        <v>83</v>
      </c>
      <c r="E908" s="141">
        <f t="shared" si="62"/>
        <v>52867</v>
      </c>
      <c r="F908" s="141">
        <v>52908</v>
      </c>
      <c r="G908" s="142">
        <f t="shared" si="55"/>
        <v>41</v>
      </c>
      <c r="H908" s="141">
        <f t="shared" si="57"/>
        <v>582906</v>
      </c>
      <c r="I908" s="141">
        <v>583043</v>
      </c>
      <c r="J908" s="142">
        <f t="shared" si="52"/>
        <v>137</v>
      </c>
      <c r="K908" s="141">
        <f t="shared" si="61"/>
        <v>53926</v>
      </c>
      <c r="L908" s="141">
        <v>53951</v>
      </c>
      <c r="M908" s="142">
        <f t="shared" si="60"/>
        <v>25</v>
      </c>
    </row>
    <row r="909" spans="1:13">
      <c r="A909" s="144">
        <v>45891</v>
      </c>
      <c r="B909" s="141">
        <f t="shared" si="58"/>
        <v>99836</v>
      </c>
      <c r="C909" s="141">
        <v>99924</v>
      </c>
      <c r="D909" s="142">
        <f t="shared" si="59"/>
        <v>88</v>
      </c>
      <c r="E909" s="141">
        <f t="shared" si="62"/>
        <v>52908</v>
      </c>
      <c r="F909" s="141">
        <v>52953</v>
      </c>
      <c r="G909" s="142">
        <f t="shared" si="55"/>
        <v>45</v>
      </c>
      <c r="H909" s="141">
        <f t="shared" si="57"/>
        <v>583043</v>
      </c>
      <c r="I909" s="141">
        <v>583151</v>
      </c>
      <c r="J909" s="142">
        <f t="shared" si="52"/>
        <v>108</v>
      </c>
      <c r="K909" s="141">
        <f t="shared" si="61"/>
        <v>53951</v>
      </c>
      <c r="L909" s="141">
        <v>53999</v>
      </c>
      <c r="M909" s="142">
        <f t="shared" si="60"/>
        <v>48</v>
      </c>
    </row>
    <row r="910" spans="1:13">
      <c r="A910" s="144">
        <v>45892</v>
      </c>
      <c r="B910" s="141">
        <f t="shared" ref="B910:B973" si="63">C909</f>
        <v>99924</v>
      </c>
      <c r="C910" s="141">
        <v>99974</v>
      </c>
      <c r="D910" s="142">
        <f t="shared" si="59"/>
        <v>50</v>
      </c>
      <c r="E910" s="141">
        <f t="shared" si="62"/>
        <v>52953</v>
      </c>
      <c r="F910" s="141">
        <v>53026</v>
      </c>
      <c r="G910" s="142">
        <f t="shared" si="55"/>
        <v>73</v>
      </c>
      <c r="H910" s="141">
        <f t="shared" si="57"/>
        <v>583151</v>
      </c>
      <c r="I910" s="141">
        <v>583238</v>
      </c>
      <c r="J910" s="142">
        <f t="shared" si="52"/>
        <v>87</v>
      </c>
      <c r="K910" s="141">
        <f t="shared" si="61"/>
        <v>53999</v>
      </c>
      <c r="L910" s="141">
        <v>54077</v>
      </c>
      <c r="M910" s="142">
        <f t="shared" si="60"/>
        <v>78</v>
      </c>
    </row>
    <row r="911" spans="1:13">
      <c r="A911" s="144">
        <v>45893</v>
      </c>
      <c r="B911" s="141">
        <f t="shared" si="63"/>
        <v>99974</v>
      </c>
      <c r="C911" s="141">
        <v>100046</v>
      </c>
      <c r="D911" s="142">
        <f t="shared" si="59"/>
        <v>72</v>
      </c>
      <c r="E911" s="141">
        <f t="shared" si="62"/>
        <v>53026</v>
      </c>
      <c r="F911" s="141">
        <v>53165</v>
      </c>
      <c r="G911" s="142">
        <f t="shared" si="55"/>
        <v>139</v>
      </c>
      <c r="H911" s="141">
        <f t="shared" si="57"/>
        <v>583238</v>
      </c>
      <c r="I911" s="141">
        <v>583337</v>
      </c>
      <c r="J911" s="142">
        <f t="shared" si="52"/>
        <v>99</v>
      </c>
      <c r="K911" s="141">
        <f t="shared" si="61"/>
        <v>54077</v>
      </c>
      <c r="L911" s="141">
        <v>54118</v>
      </c>
      <c r="M911" s="142">
        <f t="shared" si="60"/>
        <v>41</v>
      </c>
    </row>
    <row r="912" spans="1:13">
      <c r="A912" s="144">
        <v>45894</v>
      </c>
      <c r="B912" s="141">
        <f t="shared" si="63"/>
        <v>100046</v>
      </c>
      <c r="C912" s="141">
        <v>100131</v>
      </c>
      <c r="D912" s="142">
        <f t="shared" si="59"/>
        <v>85</v>
      </c>
      <c r="E912" s="141">
        <f t="shared" si="62"/>
        <v>53165</v>
      </c>
      <c r="F912" s="141">
        <v>53198</v>
      </c>
      <c r="G912" s="142">
        <f t="shared" si="55"/>
        <v>33</v>
      </c>
      <c r="H912" s="141">
        <f t="shared" si="57"/>
        <v>583337</v>
      </c>
      <c r="I912" s="141">
        <v>583451</v>
      </c>
      <c r="J912" s="142">
        <f t="shared" si="52"/>
        <v>114</v>
      </c>
      <c r="K912" s="141">
        <f t="shared" si="61"/>
        <v>54118</v>
      </c>
      <c r="L912" s="141">
        <v>54164</v>
      </c>
      <c r="M912" s="142">
        <f t="shared" si="60"/>
        <v>46</v>
      </c>
    </row>
    <row r="913" spans="1:17">
      <c r="A913" s="144">
        <v>45895</v>
      </c>
      <c r="B913" s="141">
        <f t="shared" si="63"/>
        <v>100131</v>
      </c>
      <c r="C913" s="141">
        <v>100208</v>
      </c>
      <c r="D913" s="142">
        <f t="shared" si="59"/>
        <v>77</v>
      </c>
      <c r="E913" s="141">
        <f t="shared" si="62"/>
        <v>53198</v>
      </c>
      <c r="F913" s="141">
        <v>53268</v>
      </c>
      <c r="G913" s="142">
        <f t="shared" si="55"/>
        <v>70</v>
      </c>
      <c r="H913" s="141">
        <f t="shared" si="57"/>
        <v>583451</v>
      </c>
      <c r="I913" s="141">
        <v>583541</v>
      </c>
      <c r="J913" s="142">
        <f t="shared" si="52"/>
        <v>90</v>
      </c>
      <c r="K913" s="141">
        <f t="shared" si="61"/>
        <v>54164</v>
      </c>
      <c r="L913" s="141">
        <v>54225</v>
      </c>
      <c r="M913" s="142">
        <f t="shared" si="60"/>
        <v>61</v>
      </c>
    </row>
    <row r="914" spans="1:17">
      <c r="A914" s="144">
        <v>45896</v>
      </c>
      <c r="B914" s="141">
        <f t="shared" si="63"/>
        <v>100208</v>
      </c>
      <c r="C914" s="141">
        <v>100237</v>
      </c>
      <c r="D914" s="142">
        <f t="shared" si="59"/>
        <v>29</v>
      </c>
      <c r="E914" s="141">
        <f t="shared" si="62"/>
        <v>53268</v>
      </c>
      <c r="F914" s="141">
        <v>53302</v>
      </c>
      <c r="G914" s="142">
        <f t="shared" si="55"/>
        <v>34</v>
      </c>
      <c r="H914" s="141">
        <f t="shared" si="57"/>
        <v>583541</v>
      </c>
      <c r="I914" s="141">
        <v>583632</v>
      </c>
      <c r="J914" s="142">
        <f t="shared" si="52"/>
        <v>91</v>
      </c>
      <c r="K914" s="141">
        <f t="shared" si="61"/>
        <v>54225</v>
      </c>
      <c r="L914" s="141">
        <v>54292</v>
      </c>
      <c r="M914" s="142">
        <f t="shared" si="60"/>
        <v>67</v>
      </c>
    </row>
    <row r="915" spans="1:17">
      <c r="A915" s="144">
        <v>45897</v>
      </c>
      <c r="B915" s="141">
        <f t="shared" si="63"/>
        <v>100237</v>
      </c>
      <c r="C915" s="141">
        <v>100294</v>
      </c>
      <c r="D915" s="142">
        <f t="shared" si="59"/>
        <v>57</v>
      </c>
      <c r="E915" s="141">
        <f t="shared" si="62"/>
        <v>53302</v>
      </c>
      <c r="F915" s="141">
        <v>53387</v>
      </c>
      <c r="G915" s="142">
        <f t="shared" si="55"/>
        <v>85</v>
      </c>
      <c r="H915" s="141">
        <f t="shared" si="57"/>
        <v>583632</v>
      </c>
      <c r="I915" s="141">
        <v>583738</v>
      </c>
      <c r="J915" s="142">
        <f t="shared" si="52"/>
        <v>106</v>
      </c>
      <c r="K915" s="141">
        <f t="shared" si="61"/>
        <v>54292</v>
      </c>
      <c r="L915" s="141">
        <v>54343</v>
      </c>
      <c r="M915" s="142">
        <f t="shared" si="60"/>
        <v>51</v>
      </c>
    </row>
    <row r="916" spans="1:17">
      <c r="A916" s="144">
        <v>45898</v>
      </c>
      <c r="B916" s="141">
        <f t="shared" si="63"/>
        <v>100294</v>
      </c>
      <c r="C916" s="141">
        <v>100383</v>
      </c>
      <c r="D916" s="142">
        <f t="shared" si="59"/>
        <v>89</v>
      </c>
      <c r="E916" s="141">
        <f t="shared" si="62"/>
        <v>53387</v>
      </c>
      <c r="F916" s="141">
        <v>53490</v>
      </c>
      <c r="G916" s="142">
        <f t="shared" si="55"/>
        <v>103</v>
      </c>
      <c r="H916" s="141">
        <f t="shared" si="57"/>
        <v>583738</v>
      </c>
      <c r="I916" s="141">
        <v>583816</v>
      </c>
      <c r="J916" s="142">
        <f t="shared" si="52"/>
        <v>78</v>
      </c>
      <c r="K916" s="141">
        <f t="shared" si="61"/>
        <v>54343</v>
      </c>
      <c r="L916" s="141">
        <v>54401</v>
      </c>
      <c r="M916" s="142">
        <f t="shared" si="60"/>
        <v>58</v>
      </c>
    </row>
    <row r="917" spans="1:17">
      <c r="A917" s="144">
        <v>45899</v>
      </c>
      <c r="B917" s="141">
        <f t="shared" si="63"/>
        <v>100383</v>
      </c>
      <c r="C917" s="141">
        <v>100488</v>
      </c>
      <c r="D917" s="142">
        <f t="shared" si="59"/>
        <v>105</v>
      </c>
      <c r="E917" s="141">
        <f t="shared" si="62"/>
        <v>53490</v>
      </c>
      <c r="F917" s="141">
        <v>53578</v>
      </c>
      <c r="G917" s="142">
        <f t="shared" si="55"/>
        <v>88</v>
      </c>
      <c r="H917" s="141">
        <f t="shared" si="57"/>
        <v>583816</v>
      </c>
      <c r="I917" s="141">
        <v>583885</v>
      </c>
      <c r="J917" s="142">
        <f t="shared" si="52"/>
        <v>69</v>
      </c>
      <c r="K917" s="141">
        <f t="shared" si="61"/>
        <v>54401</v>
      </c>
      <c r="L917" s="141">
        <v>54461</v>
      </c>
      <c r="M917" s="142">
        <f t="shared" si="60"/>
        <v>60</v>
      </c>
    </row>
    <row r="918" spans="1:17">
      <c r="A918" s="144">
        <v>45900</v>
      </c>
      <c r="B918" s="141">
        <f t="shared" si="63"/>
        <v>100488</v>
      </c>
      <c r="C918" s="141">
        <v>100549</v>
      </c>
      <c r="D918" s="142">
        <f t="shared" si="59"/>
        <v>61</v>
      </c>
      <c r="E918" s="141">
        <f t="shared" si="62"/>
        <v>53578</v>
      </c>
      <c r="F918" s="141">
        <v>53658</v>
      </c>
      <c r="G918" s="142">
        <f t="shared" si="55"/>
        <v>80</v>
      </c>
      <c r="H918" s="141">
        <f t="shared" si="57"/>
        <v>583885</v>
      </c>
      <c r="I918" s="141">
        <v>583973</v>
      </c>
      <c r="J918" s="142">
        <f t="shared" si="52"/>
        <v>88</v>
      </c>
      <c r="K918" s="141">
        <f t="shared" si="61"/>
        <v>54461</v>
      </c>
      <c r="L918" s="141">
        <v>54514</v>
      </c>
      <c r="M918" s="142">
        <f t="shared" si="60"/>
        <v>53</v>
      </c>
    </row>
    <row r="919" spans="1:17">
      <c r="A919" s="144">
        <v>45901</v>
      </c>
      <c r="B919" s="141">
        <f t="shared" si="63"/>
        <v>100549</v>
      </c>
      <c r="C919" s="141">
        <v>100615</v>
      </c>
      <c r="D919" s="142">
        <f t="shared" si="59"/>
        <v>66</v>
      </c>
      <c r="E919" s="141">
        <f t="shared" si="62"/>
        <v>53658</v>
      </c>
      <c r="F919" s="141">
        <v>53768</v>
      </c>
      <c r="G919" s="142">
        <f t="shared" si="55"/>
        <v>110</v>
      </c>
      <c r="H919" s="141">
        <f t="shared" si="57"/>
        <v>583973</v>
      </c>
      <c r="I919" s="141">
        <v>584115</v>
      </c>
      <c r="J919" s="142">
        <f t="shared" si="52"/>
        <v>142</v>
      </c>
      <c r="K919" s="141">
        <f t="shared" si="61"/>
        <v>54514</v>
      </c>
      <c r="L919" s="141">
        <v>54566</v>
      </c>
      <c r="M919" s="142">
        <f t="shared" si="60"/>
        <v>52</v>
      </c>
      <c r="Q919" s="149" t="s">
        <v>2001</v>
      </c>
    </row>
    <row r="920" spans="1:17">
      <c r="A920" s="144">
        <v>45902</v>
      </c>
      <c r="B920" s="141">
        <f t="shared" si="63"/>
        <v>100615</v>
      </c>
      <c r="C920" s="141">
        <v>100684</v>
      </c>
      <c r="D920" s="142">
        <f t="shared" si="59"/>
        <v>69</v>
      </c>
      <c r="E920" s="141">
        <f t="shared" si="62"/>
        <v>53768</v>
      </c>
      <c r="F920" s="141">
        <v>53847</v>
      </c>
      <c r="G920" s="142">
        <f t="shared" si="55"/>
        <v>79</v>
      </c>
      <c r="H920" s="141">
        <f t="shared" si="57"/>
        <v>584115</v>
      </c>
      <c r="I920" s="141">
        <v>584191</v>
      </c>
      <c r="J920" s="142">
        <f t="shared" si="52"/>
        <v>76</v>
      </c>
      <c r="K920" s="141">
        <f t="shared" si="61"/>
        <v>54566</v>
      </c>
      <c r="L920" s="141">
        <v>54631</v>
      </c>
      <c r="M920" s="142">
        <f t="shared" si="60"/>
        <v>65</v>
      </c>
    </row>
    <row r="921" spans="1:17">
      <c r="A921" s="144">
        <v>45903</v>
      </c>
      <c r="B921" s="141">
        <v>172907</v>
      </c>
      <c r="C921" s="141">
        <v>173021</v>
      </c>
      <c r="D921" s="142">
        <f t="shared" si="59"/>
        <v>114</v>
      </c>
      <c r="E921" s="141">
        <f t="shared" si="62"/>
        <v>53847</v>
      </c>
      <c r="F921" s="141">
        <v>53901</v>
      </c>
      <c r="G921" s="142">
        <f t="shared" si="55"/>
        <v>54</v>
      </c>
      <c r="H921" s="141">
        <f t="shared" si="57"/>
        <v>584191</v>
      </c>
      <c r="I921" s="141">
        <v>584279</v>
      </c>
      <c r="J921" s="142">
        <f t="shared" ref="J921:J984" si="64">I921-H921</f>
        <v>88</v>
      </c>
      <c r="K921" s="141">
        <f t="shared" si="61"/>
        <v>54631</v>
      </c>
      <c r="L921" s="141">
        <v>54676</v>
      </c>
      <c r="M921" s="142">
        <f t="shared" si="60"/>
        <v>45</v>
      </c>
    </row>
    <row r="922" spans="1:17">
      <c r="A922" s="144">
        <v>45904</v>
      </c>
      <c r="B922" s="141">
        <f t="shared" si="63"/>
        <v>173021</v>
      </c>
      <c r="C922" s="141">
        <v>173121</v>
      </c>
      <c r="D922" s="142">
        <f t="shared" si="59"/>
        <v>100</v>
      </c>
      <c r="E922" s="141">
        <f t="shared" si="62"/>
        <v>53901</v>
      </c>
      <c r="F922" s="141">
        <v>53981</v>
      </c>
      <c r="G922" s="142">
        <f t="shared" ref="G922:G980" si="65">F922-E922</f>
        <v>80</v>
      </c>
      <c r="H922" s="141">
        <f t="shared" si="57"/>
        <v>584279</v>
      </c>
      <c r="I922" s="141">
        <v>584379</v>
      </c>
      <c r="J922" s="142">
        <f t="shared" si="64"/>
        <v>100</v>
      </c>
      <c r="K922" s="141">
        <f t="shared" si="61"/>
        <v>54676</v>
      </c>
      <c r="L922" s="141">
        <v>54715</v>
      </c>
      <c r="M922" s="142">
        <f t="shared" si="60"/>
        <v>39</v>
      </c>
    </row>
    <row r="923" spans="1:17">
      <c r="A923" s="144">
        <v>45905</v>
      </c>
      <c r="B923" s="141">
        <f t="shared" si="63"/>
        <v>173121</v>
      </c>
      <c r="C923" s="141">
        <v>173220</v>
      </c>
      <c r="D923" s="142">
        <f t="shared" si="59"/>
        <v>99</v>
      </c>
      <c r="E923" s="141">
        <f t="shared" si="62"/>
        <v>53981</v>
      </c>
      <c r="F923" s="141">
        <v>54080</v>
      </c>
      <c r="G923" s="142">
        <f t="shared" si="65"/>
        <v>99</v>
      </c>
      <c r="H923" s="141">
        <f t="shared" si="57"/>
        <v>584379</v>
      </c>
      <c r="I923" s="141">
        <v>584505</v>
      </c>
      <c r="J923" s="142">
        <f t="shared" si="64"/>
        <v>126</v>
      </c>
      <c r="K923" s="141">
        <f t="shared" si="61"/>
        <v>54715</v>
      </c>
      <c r="L923" s="141">
        <v>54779</v>
      </c>
      <c r="M923" s="142">
        <f t="shared" si="60"/>
        <v>64</v>
      </c>
    </row>
    <row r="924" spans="1:17">
      <c r="A924" s="144">
        <v>45906</v>
      </c>
      <c r="B924" s="141">
        <f t="shared" si="63"/>
        <v>173220</v>
      </c>
      <c r="C924" s="141">
        <v>173290</v>
      </c>
      <c r="D924" s="142">
        <f t="shared" si="59"/>
        <v>70</v>
      </c>
      <c r="E924" s="141">
        <f t="shared" si="62"/>
        <v>54080</v>
      </c>
      <c r="F924" s="141">
        <v>54162</v>
      </c>
      <c r="G924" s="142">
        <f t="shared" si="65"/>
        <v>82</v>
      </c>
      <c r="H924" s="141">
        <f t="shared" si="57"/>
        <v>584505</v>
      </c>
      <c r="I924" s="141">
        <v>584602</v>
      </c>
      <c r="J924" s="142">
        <f t="shared" si="64"/>
        <v>97</v>
      </c>
      <c r="K924" s="141">
        <f t="shared" si="61"/>
        <v>54779</v>
      </c>
      <c r="L924" s="141">
        <v>54848</v>
      </c>
      <c r="M924" s="142">
        <f t="shared" si="60"/>
        <v>69</v>
      </c>
    </row>
    <row r="925" spans="1:17">
      <c r="A925" s="144">
        <v>45907</v>
      </c>
      <c r="B925" s="141">
        <f t="shared" si="63"/>
        <v>173290</v>
      </c>
      <c r="C925" s="141">
        <v>173401</v>
      </c>
      <c r="D925" s="142">
        <f t="shared" si="59"/>
        <v>111</v>
      </c>
      <c r="E925" s="141">
        <f t="shared" si="62"/>
        <v>54162</v>
      </c>
      <c r="F925" s="141">
        <v>54242</v>
      </c>
      <c r="G925" s="142">
        <f t="shared" si="65"/>
        <v>80</v>
      </c>
      <c r="H925" s="141">
        <f t="shared" si="57"/>
        <v>584602</v>
      </c>
      <c r="I925" s="141">
        <v>584702</v>
      </c>
      <c r="J925" s="142">
        <f t="shared" si="64"/>
        <v>100</v>
      </c>
      <c r="K925" s="141">
        <f t="shared" si="61"/>
        <v>54848</v>
      </c>
      <c r="L925" s="141">
        <v>54905</v>
      </c>
      <c r="M925" s="142">
        <f t="shared" si="60"/>
        <v>57</v>
      </c>
    </row>
    <row r="926" spans="1:17">
      <c r="A926" s="144">
        <v>45908</v>
      </c>
      <c r="B926" s="141">
        <f t="shared" si="63"/>
        <v>173401</v>
      </c>
      <c r="C926" s="141">
        <v>173491</v>
      </c>
      <c r="D926" s="142">
        <f t="shared" si="59"/>
        <v>90</v>
      </c>
      <c r="E926" s="141">
        <f t="shared" si="62"/>
        <v>54242</v>
      </c>
      <c r="F926" s="141">
        <v>54321</v>
      </c>
      <c r="G926" s="142">
        <f t="shared" si="65"/>
        <v>79</v>
      </c>
      <c r="H926" s="141">
        <f t="shared" ref="H926:H983" si="66">I925</f>
        <v>584702</v>
      </c>
      <c r="I926" s="141">
        <v>584801</v>
      </c>
      <c r="J926" s="142">
        <f t="shared" si="64"/>
        <v>99</v>
      </c>
      <c r="K926" s="141">
        <f t="shared" si="61"/>
        <v>54905</v>
      </c>
      <c r="L926" s="141">
        <v>54951</v>
      </c>
      <c r="M926" s="142">
        <f t="shared" si="60"/>
        <v>46</v>
      </c>
    </row>
    <row r="927" spans="1:17">
      <c r="A927" s="144">
        <v>45909</v>
      </c>
      <c r="B927" s="141">
        <f t="shared" si="63"/>
        <v>173491</v>
      </c>
      <c r="C927" s="141">
        <v>173591</v>
      </c>
      <c r="D927" s="142">
        <f t="shared" si="59"/>
        <v>100</v>
      </c>
      <c r="E927" s="141">
        <f t="shared" si="62"/>
        <v>54321</v>
      </c>
      <c r="F927" s="141">
        <v>54409</v>
      </c>
      <c r="G927" s="142">
        <f t="shared" si="65"/>
        <v>88</v>
      </c>
      <c r="H927" s="141">
        <f t="shared" si="66"/>
        <v>584801</v>
      </c>
      <c r="I927" s="141">
        <v>584902</v>
      </c>
      <c r="J927" s="142">
        <f t="shared" si="64"/>
        <v>101</v>
      </c>
      <c r="K927" s="141">
        <f t="shared" si="61"/>
        <v>54951</v>
      </c>
      <c r="L927" s="141">
        <v>54995</v>
      </c>
      <c r="M927" s="142">
        <f t="shared" si="60"/>
        <v>44</v>
      </c>
    </row>
    <row r="928" spans="1:17">
      <c r="A928" s="144">
        <v>45910</v>
      </c>
      <c r="B928" s="141">
        <f t="shared" si="63"/>
        <v>173591</v>
      </c>
      <c r="C928" s="141">
        <v>173704</v>
      </c>
      <c r="D928" s="142">
        <f t="shared" si="59"/>
        <v>113</v>
      </c>
      <c r="E928" s="141">
        <f t="shared" si="62"/>
        <v>54409</v>
      </c>
      <c r="F928" s="141">
        <v>54500</v>
      </c>
      <c r="G928" s="142">
        <f t="shared" si="65"/>
        <v>91</v>
      </c>
      <c r="H928" s="141">
        <f t="shared" si="66"/>
        <v>584902</v>
      </c>
      <c r="I928" s="141">
        <v>584992</v>
      </c>
      <c r="J928" s="142">
        <f t="shared" si="64"/>
        <v>90</v>
      </c>
      <c r="K928" s="141">
        <f t="shared" si="61"/>
        <v>54995</v>
      </c>
      <c r="L928" s="141">
        <v>55026</v>
      </c>
      <c r="M928" s="142">
        <f t="shared" si="60"/>
        <v>31</v>
      </c>
    </row>
    <row r="929" spans="1:17">
      <c r="A929" s="144">
        <v>45911</v>
      </c>
      <c r="B929" s="141">
        <f t="shared" si="63"/>
        <v>173704</v>
      </c>
      <c r="C929" s="141">
        <v>173838</v>
      </c>
      <c r="D929" s="142">
        <f t="shared" si="59"/>
        <v>134</v>
      </c>
      <c r="E929" s="141">
        <f t="shared" si="62"/>
        <v>54500</v>
      </c>
      <c r="F929" s="141">
        <v>54592</v>
      </c>
      <c r="G929" s="142">
        <f t="shared" si="65"/>
        <v>92</v>
      </c>
      <c r="H929" s="141">
        <f t="shared" si="66"/>
        <v>584992</v>
      </c>
      <c r="I929" s="141">
        <v>585076</v>
      </c>
      <c r="J929" s="142">
        <f t="shared" si="64"/>
        <v>84</v>
      </c>
      <c r="K929" s="141">
        <f t="shared" si="61"/>
        <v>55026</v>
      </c>
      <c r="L929" s="141">
        <v>55068</v>
      </c>
      <c r="M929" s="142">
        <f t="shared" si="60"/>
        <v>42</v>
      </c>
    </row>
    <row r="930" spans="1:17">
      <c r="A930" s="144">
        <v>45912</v>
      </c>
      <c r="B930" s="141">
        <f t="shared" si="63"/>
        <v>173838</v>
      </c>
      <c r="C930" s="141">
        <v>173967</v>
      </c>
      <c r="D930" s="142">
        <f t="shared" si="59"/>
        <v>129</v>
      </c>
      <c r="E930" s="141">
        <f t="shared" si="62"/>
        <v>54592</v>
      </c>
      <c r="F930" s="141">
        <v>54675</v>
      </c>
      <c r="G930" s="142">
        <f t="shared" si="65"/>
        <v>83</v>
      </c>
      <c r="H930" s="141">
        <f t="shared" si="66"/>
        <v>585076</v>
      </c>
      <c r="I930" s="141">
        <v>585186</v>
      </c>
      <c r="J930" s="142">
        <f t="shared" si="64"/>
        <v>110</v>
      </c>
      <c r="K930" s="141">
        <f t="shared" si="61"/>
        <v>55068</v>
      </c>
      <c r="L930" s="141">
        <v>55121</v>
      </c>
      <c r="M930" s="142">
        <f t="shared" si="60"/>
        <v>53</v>
      </c>
    </row>
    <row r="931" spans="1:17">
      <c r="A931" s="144">
        <v>45913</v>
      </c>
      <c r="B931" s="141">
        <f t="shared" si="63"/>
        <v>173967</v>
      </c>
      <c r="C931" s="141">
        <v>174089</v>
      </c>
      <c r="D931" s="142">
        <f t="shared" si="59"/>
        <v>122</v>
      </c>
      <c r="E931" s="141">
        <f t="shared" si="62"/>
        <v>54675</v>
      </c>
      <c r="F931" s="141">
        <v>54758</v>
      </c>
      <c r="G931" s="142">
        <f t="shared" si="65"/>
        <v>83</v>
      </c>
      <c r="H931" s="141">
        <f t="shared" si="66"/>
        <v>585186</v>
      </c>
      <c r="I931" s="141">
        <v>585272</v>
      </c>
      <c r="J931" s="142">
        <f t="shared" si="64"/>
        <v>86</v>
      </c>
      <c r="K931" s="141">
        <f t="shared" si="61"/>
        <v>55121</v>
      </c>
      <c r="L931" s="141">
        <v>55170</v>
      </c>
      <c r="M931" s="142">
        <f t="shared" si="60"/>
        <v>49</v>
      </c>
    </row>
    <row r="932" spans="1:17">
      <c r="A932" s="144">
        <v>45914</v>
      </c>
      <c r="B932" s="141">
        <f t="shared" si="63"/>
        <v>174089</v>
      </c>
      <c r="C932" s="141">
        <v>174175</v>
      </c>
      <c r="D932" s="142">
        <f t="shared" si="59"/>
        <v>86</v>
      </c>
      <c r="E932" s="141">
        <f t="shared" si="62"/>
        <v>54758</v>
      </c>
      <c r="F932" s="141">
        <v>54828</v>
      </c>
      <c r="G932" s="142">
        <f t="shared" si="65"/>
        <v>70</v>
      </c>
      <c r="H932" s="141">
        <f t="shared" si="66"/>
        <v>585272</v>
      </c>
      <c r="I932" s="141">
        <v>585383</v>
      </c>
      <c r="J932" s="142">
        <f t="shared" si="64"/>
        <v>111</v>
      </c>
      <c r="K932" s="141">
        <f t="shared" si="61"/>
        <v>55170</v>
      </c>
      <c r="L932" s="141">
        <v>55221</v>
      </c>
      <c r="M932" s="142">
        <f t="shared" si="60"/>
        <v>51</v>
      </c>
    </row>
    <row r="933" spans="1:17">
      <c r="A933" s="144">
        <v>45915</v>
      </c>
      <c r="B933" s="141">
        <f t="shared" si="63"/>
        <v>174175</v>
      </c>
      <c r="C933" s="141">
        <v>174550</v>
      </c>
      <c r="D933" s="142">
        <f t="shared" si="59"/>
        <v>375</v>
      </c>
      <c r="E933" s="141">
        <f t="shared" si="62"/>
        <v>54828</v>
      </c>
      <c r="F933" s="141">
        <v>54884</v>
      </c>
      <c r="G933" s="142">
        <f t="shared" si="65"/>
        <v>56</v>
      </c>
      <c r="H933" s="141">
        <f t="shared" si="66"/>
        <v>585383</v>
      </c>
      <c r="I933" s="141">
        <v>585508</v>
      </c>
      <c r="J933" s="142">
        <f t="shared" si="64"/>
        <v>125</v>
      </c>
      <c r="K933" s="141">
        <f t="shared" si="61"/>
        <v>55221</v>
      </c>
      <c r="L933" s="141">
        <v>55300</v>
      </c>
      <c r="M933" s="142">
        <f t="shared" si="60"/>
        <v>79</v>
      </c>
    </row>
    <row r="934" spans="1:17">
      <c r="A934" s="144">
        <v>45916</v>
      </c>
      <c r="B934" s="141">
        <f t="shared" si="63"/>
        <v>174550</v>
      </c>
      <c r="C934" s="141">
        <v>174626</v>
      </c>
      <c r="D934" s="142">
        <f t="shared" si="59"/>
        <v>76</v>
      </c>
      <c r="E934" s="141">
        <f t="shared" si="62"/>
        <v>54884</v>
      </c>
      <c r="F934" s="141">
        <v>54971</v>
      </c>
      <c r="G934" s="142">
        <f t="shared" si="65"/>
        <v>87</v>
      </c>
      <c r="H934" s="141">
        <f t="shared" si="66"/>
        <v>585508</v>
      </c>
      <c r="I934" s="141">
        <v>585630</v>
      </c>
      <c r="J934" s="142">
        <f t="shared" si="64"/>
        <v>122</v>
      </c>
      <c r="K934" s="141">
        <f t="shared" si="61"/>
        <v>55300</v>
      </c>
      <c r="L934" s="141">
        <v>55368</v>
      </c>
      <c r="M934" s="142">
        <f t="shared" si="60"/>
        <v>68</v>
      </c>
    </row>
    <row r="935" spans="1:17">
      <c r="A935" s="144">
        <v>45917</v>
      </c>
      <c r="B935" s="141">
        <f t="shared" si="63"/>
        <v>174626</v>
      </c>
      <c r="C935" s="141">
        <v>174893</v>
      </c>
      <c r="D935" s="142">
        <f t="shared" si="59"/>
        <v>267</v>
      </c>
      <c r="E935" s="141">
        <f t="shared" si="62"/>
        <v>54971</v>
      </c>
      <c r="F935" s="141">
        <v>55050</v>
      </c>
      <c r="G935" s="142">
        <f t="shared" si="65"/>
        <v>79</v>
      </c>
      <c r="H935" s="141">
        <f t="shared" si="66"/>
        <v>585630</v>
      </c>
      <c r="I935" s="141">
        <v>585719</v>
      </c>
      <c r="J935" s="142">
        <f t="shared" si="64"/>
        <v>89</v>
      </c>
      <c r="K935" s="141">
        <f t="shared" si="61"/>
        <v>55368</v>
      </c>
      <c r="L935" s="141">
        <v>55411</v>
      </c>
      <c r="M935" s="142">
        <f t="shared" si="60"/>
        <v>43</v>
      </c>
    </row>
    <row r="936" spans="1:17">
      <c r="A936" s="144">
        <v>45918</v>
      </c>
      <c r="B936" s="141">
        <f t="shared" si="63"/>
        <v>174893</v>
      </c>
      <c r="C936" s="141">
        <v>174957</v>
      </c>
      <c r="D936" s="142">
        <f t="shared" si="59"/>
        <v>64</v>
      </c>
      <c r="E936" s="141">
        <f t="shared" si="62"/>
        <v>55050</v>
      </c>
      <c r="F936" s="141">
        <v>55135</v>
      </c>
      <c r="G936" s="142">
        <f t="shared" si="65"/>
        <v>85</v>
      </c>
      <c r="H936" s="141">
        <f t="shared" si="66"/>
        <v>585719</v>
      </c>
      <c r="I936" s="141">
        <v>585842</v>
      </c>
      <c r="J936" s="142">
        <f t="shared" si="64"/>
        <v>123</v>
      </c>
      <c r="K936" s="141">
        <f t="shared" si="61"/>
        <v>55411</v>
      </c>
      <c r="L936" s="141">
        <v>55462</v>
      </c>
      <c r="M936" s="142">
        <f t="shared" si="60"/>
        <v>51</v>
      </c>
    </row>
    <row r="937" spans="1:17">
      <c r="A937" s="144">
        <v>45919</v>
      </c>
      <c r="B937" s="141">
        <f t="shared" si="63"/>
        <v>174957</v>
      </c>
      <c r="C937" s="141">
        <v>174992</v>
      </c>
      <c r="D937" s="142">
        <f t="shared" si="59"/>
        <v>35</v>
      </c>
      <c r="E937" s="141">
        <f t="shared" si="62"/>
        <v>55135</v>
      </c>
      <c r="F937" s="141">
        <v>55208</v>
      </c>
      <c r="G937" s="142">
        <f t="shared" si="65"/>
        <v>73</v>
      </c>
      <c r="H937" s="141">
        <f t="shared" si="66"/>
        <v>585842</v>
      </c>
      <c r="I937" s="141">
        <v>585962</v>
      </c>
      <c r="J937" s="142">
        <f t="shared" si="64"/>
        <v>120</v>
      </c>
      <c r="K937" s="141">
        <f t="shared" si="61"/>
        <v>55462</v>
      </c>
      <c r="L937" s="141">
        <v>55521</v>
      </c>
      <c r="M937" s="142">
        <f t="shared" si="60"/>
        <v>59</v>
      </c>
    </row>
    <row r="938" spans="1:17">
      <c r="A938" s="144">
        <v>45920</v>
      </c>
      <c r="B938" s="141">
        <f t="shared" si="63"/>
        <v>174992</v>
      </c>
      <c r="C938" s="141">
        <v>175140</v>
      </c>
      <c r="D938" s="142">
        <f t="shared" si="59"/>
        <v>148</v>
      </c>
      <c r="E938" s="141">
        <f t="shared" si="62"/>
        <v>55208</v>
      </c>
      <c r="F938" s="141">
        <v>55319</v>
      </c>
      <c r="G938" s="142">
        <f t="shared" si="65"/>
        <v>111</v>
      </c>
      <c r="H938" s="141">
        <f t="shared" si="66"/>
        <v>585962</v>
      </c>
      <c r="I938" s="141">
        <v>586097</v>
      </c>
      <c r="J938" s="142">
        <f t="shared" si="64"/>
        <v>135</v>
      </c>
      <c r="K938" s="141">
        <f t="shared" si="61"/>
        <v>55521</v>
      </c>
      <c r="L938" s="141">
        <v>55582</v>
      </c>
      <c r="M938" s="142">
        <f t="shared" si="60"/>
        <v>61</v>
      </c>
    </row>
    <row r="939" spans="1:17">
      <c r="A939" s="144">
        <v>45921</v>
      </c>
      <c r="B939" s="141">
        <f t="shared" si="63"/>
        <v>175140</v>
      </c>
      <c r="C939" s="141">
        <v>175162</v>
      </c>
      <c r="D939" s="142">
        <f t="shared" si="59"/>
        <v>22</v>
      </c>
      <c r="E939" s="141">
        <f t="shared" si="62"/>
        <v>55319</v>
      </c>
      <c r="F939" s="141">
        <v>55419</v>
      </c>
      <c r="G939" s="142">
        <f t="shared" si="65"/>
        <v>100</v>
      </c>
      <c r="H939" s="141">
        <f t="shared" si="66"/>
        <v>586097</v>
      </c>
      <c r="I939" s="141">
        <v>586220</v>
      </c>
      <c r="J939" s="142">
        <f t="shared" si="64"/>
        <v>123</v>
      </c>
      <c r="K939" s="141">
        <f t="shared" si="61"/>
        <v>55582</v>
      </c>
      <c r="L939" s="141">
        <v>55628</v>
      </c>
      <c r="M939" s="142">
        <f t="shared" si="60"/>
        <v>46</v>
      </c>
    </row>
    <row r="940" spans="1:17">
      <c r="A940" s="144">
        <v>45922</v>
      </c>
      <c r="B940" s="141">
        <f t="shared" si="63"/>
        <v>175162</v>
      </c>
      <c r="C940" s="141">
        <v>175203</v>
      </c>
      <c r="D940" s="142">
        <f t="shared" si="59"/>
        <v>41</v>
      </c>
      <c r="E940" s="141">
        <f t="shared" si="62"/>
        <v>55419</v>
      </c>
      <c r="F940" s="141">
        <v>55518</v>
      </c>
      <c r="G940" s="142">
        <f t="shared" si="65"/>
        <v>99</v>
      </c>
      <c r="H940" s="141">
        <f t="shared" si="66"/>
        <v>586220</v>
      </c>
      <c r="I940" s="141">
        <v>586362</v>
      </c>
      <c r="J940" s="142">
        <f t="shared" si="64"/>
        <v>142</v>
      </c>
      <c r="K940" s="141">
        <f t="shared" si="61"/>
        <v>55628</v>
      </c>
      <c r="L940" s="141">
        <v>55708</v>
      </c>
      <c r="M940" s="142">
        <f t="shared" si="60"/>
        <v>80</v>
      </c>
    </row>
    <row r="941" spans="1:17">
      <c r="A941" s="144">
        <v>45923</v>
      </c>
      <c r="B941" s="141">
        <f t="shared" si="63"/>
        <v>175203</v>
      </c>
      <c r="C941" s="141">
        <v>175263</v>
      </c>
      <c r="D941" s="142">
        <f t="shared" si="59"/>
        <v>60</v>
      </c>
      <c r="E941" s="141">
        <f t="shared" si="62"/>
        <v>55518</v>
      </c>
      <c r="F941" s="141">
        <v>55601</v>
      </c>
      <c r="G941" s="142">
        <f t="shared" si="65"/>
        <v>83</v>
      </c>
      <c r="H941" s="141">
        <f t="shared" si="66"/>
        <v>586362</v>
      </c>
      <c r="I941" s="141">
        <v>586475</v>
      </c>
      <c r="J941" s="142">
        <f t="shared" si="64"/>
        <v>113</v>
      </c>
      <c r="K941" s="141">
        <f t="shared" si="61"/>
        <v>55708</v>
      </c>
      <c r="L941" s="141">
        <v>55762</v>
      </c>
      <c r="M941" s="142">
        <f t="shared" si="60"/>
        <v>54</v>
      </c>
    </row>
    <row r="942" spans="1:17">
      <c r="A942" s="144">
        <v>45924</v>
      </c>
      <c r="B942" s="141">
        <f t="shared" si="63"/>
        <v>175263</v>
      </c>
      <c r="C942" s="141">
        <v>175314</v>
      </c>
      <c r="D942" s="142">
        <f t="shared" si="59"/>
        <v>51</v>
      </c>
      <c r="E942" s="141">
        <f t="shared" si="62"/>
        <v>55601</v>
      </c>
      <c r="F942" s="141">
        <v>55682</v>
      </c>
      <c r="G942" s="142">
        <f t="shared" si="65"/>
        <v>81</v>
      </c>
      <c r="H942" s="141">
        <f t="shared" si="66"/>
        <v>586475</v>
      </c>
      <c r="I942" s="141">
        <v>586584</v>
      </c>
      <c r="J942" s="142">
        <f t="shared" si="64"/>
        <v>109</v>
      </c>
      <c r="K942" s="141">
        <f t="shared" si="61"/>
        <v>55762</v>
      </c>
      <c r="L942" s="141">
        <v>55814</v>
      </c>
      <c r="M942" s="142">
        <f t="shared" si="60"/>
        <v>52</v>
      </c>
    </row>
    <row r="943" spans="1:17">
      <c r="A943" s="144">
        <v>45925</v>
      </c>
      <c r="B943" s="141">
        <f t="shared" si="63"/>
        <v>175314</v>
      </c>
      <c r="C943" s="150">
        <v>175394</v>
      </c>
      <c r="D943" s="142">
        <f t="shared" si="59"/>
        <v>80</v>
      </c>
      <c r="E943" s="141">
        <f t="shared" si="62"/>
        <v>55682</v>
      </c>
      <c r="F943" s="141">
        <v>55749</v>
      </c>
      <c r="G943" s="142">
        <f t="shared" si="65"/>
        <v>67</v>
      </c>
      <c r="H943" s="141">
        <f t="shared" si="66"/>
        <v>586584</v>
      </c>
      <c r="I943" s="141">
        <v>586683</v>
      </c>
      <c r="J943" s="142">
        <f t="shared" si="64"/>
        <v>99</v>
      </c>
      <c r="K943" s="141">
        <f t="shared" si="61"/>
        <v>55814</v>
      </c>
      <c r="L943" s="141">
        <v>55852</v>
      </c>
      <c r="M943" s="142">
        <f t="shared" si="60"/>
        <v>38</v>
      </c>
    </row>
    <row r="944" spans="1:17">
      <c r="A944" s="144">
        <v>45926</v>
      </c>
      <c r="B944" s="141">
        <f t="shared" si="63"/>
        <v>175394</v>
      </c>
      <c r="C944" s="141">
        <v>175553</v>
      </c>
      <c r="D944" s="142">
        <f t="shared" si="59"/>
        <v>159</v>
      </c>
      <c r="E944" s="141">
        <f t="shared" si="62"/>
        <v>55749</v>
      </c>
      <c r="F944" s="141">
        <v>55820</v>
      </c>
      <c r="G944" s="142">
        <f t="shared" si="65"/>
        <v>71</v>
      </c>
      <c r="H944" s="141">
        <f t="shared" si="66"/>
        <v>586683</v>
      </c>
      <c r="I944" s="141">
        <v>586783</v>
      </c>
      <c r="J944" s="142">
        <f t="shared" si="64"/>
        <v>100</v>
      </c>
      <c r="K944" s="141">
        <v>10</v>
      </c>
      <c r="L944" s="141">
        <v>50</v>
      </c>
      <c r="M944" s="142">
        <f t="shared" si="60"/>
        <v>40</v>
      </c>
      <c r="Q944" s="151" t="s">
        <v>2005</v>
      </c>
    </row>
    <row r="945" spans="1:17">
      <c r="A945" s="144">
        <v>45927</v>
      </c>
      <c r="B945" s="141">
        <f t="shared" si="63"/>
        <v>175553</v>
      </c>
      <c r="C945" s="141">
        <v>175707</v>
      </c>
      <c r="D945" s="142">
        <f t="shared" si="59"/>
        <v>154</v>
      </c>
      <c r="E945" s="141">
        <f t="shared" si="62"/>
        <v>55820</v>
      </c>
      <c r="F945" s="141">
        <v>55925</v>
      </c>
      <c r="G945" s="142">
        <f t="shared" si="65"/>
        <v>105</v>
      </c>
      <c r="H945" s="141">
        <f t="shared" si="66"/>
        <v>586783</v>
      </c>
      <c r="I945" s="141">
        <v>586937</v>
      </c>
      <c r="J945" s="142">
        <f t="shared" si="64"/>
        <v>154</v>
      </c>
      <c r="K945" s="141">
        <f t="shared" si="61"/>
        <v>50</v>
      </c>
      <c r="L945" s="141">
        <v>98</v>
      </c>
      <c r="M945" s="142">
        <f t="shared" si="60"/>
        <v>48</v>
      </c>
    </row>
    <row r="946" spans="1:17">
      <c r="A946" s="144">
        <v>45928</v>
      </c>
      <c r="B946" s="141">
        <f t="shared" si="63"/>
        <v>175707</v>
      </c>
      <c r="C946" s="141">
        <v>175922</v>
      </c>
      <c r="D946" s="142">
        <f t="shared" si="59"/>
        <v>215</v>
      </c>
      <c r="E946" s="141">
        <f t="shared" si="62"/>
        <v>55925</v>
      </c>
      <c r="F946" s="141">
        <v>56028</v>
      </c>
      <c r="G946" s="142">
        <f t="shared" si="65"/>
        <v>103</v>
      </c>
      <c r="H946" s="141">
        <f t="shared" si="66"/>
        <v>586937</v>
      </c>
      <c r="I946" s="141">
        <v>587074</v>
      </c>
      <c r="J946" s="142">
        <f t="shared" si="64"/>
        <v>137</v>
      </c>
      <c r="K946" s="141">
        <f t="shared" si="61"/>
        <v>98</v>
      </c>
      <c r="L946" s="141">
        <v>141</v>
      </c>
      <c r="M946" s="142">
        <f t="shared" si="60"/>
        <v>43</v>
      </c>
    </row>
    <row r="947" spans="1:17">
      <c r="A947" s="144">
        <v>45929</v>
      </c>
      <c r="B947" s="141">
        <f t="shared" si="63"/>
        <v>175922</v>
      </c>
      <c r="C947" s="141">
        <v>176223</v>
      </c>
      <c r="D947" s="142">
        <f t="shared" si="59"/>
        <v>301</v>
      </c>
      <c r="E947" s="141">
        <f t="shared" si="62"/>
        <v>56028</v>
      </c>
      <c r="F947" s="141">
        <v>56141</v>
      </c>
      <c r="G947" s="142">
        <f t="shared" si="65"/>
        <v>113</v>
      </c>
      <c r="H947" s="141">
        <f t="shared" si="66"/>
        <v>587074</v>
      </c>
      <c r="I947" s="141">
        <v>587165</v>
      </c>
      <c r="J947" s="142">
        <f t="shared" si="64"/>
        <v>91</v>
      </c>
      <c r="K947" s="141">
        <f t="shared" si="61"/>
        <v>141</v>
      </c>
      <c r="L947" s="141">
        <v>197</v>
      </c>
      <c r="M947" s="142">
        <f t="shared" si="60"/>
        <v>56</v>
      </c>
    </row>
    <row r="948" spans="1:17">
      <c r="A948" s="144">
        <v>45930</v>
      </c>
      <c r="B948" s="141">
        <f t="shared" si="63"/>
        <v>176223</v>
      </c>
      <c r="C948" s="141">
        <v>176355</v>
      </c>
      <c r="D948" s="142">
        <f t="shared" si="59"/>
        <v>132</v>
      </c>
      <c r="E948" s="141">
        <f t="shared" si="62"/>
        <v>56141</v>
      </c>
      <c r="F948" s="141">
        <v>56260</v>
      </c>
      <c r="G948" s="142">
        <f t="shared" si="65"/>
        <v>119</v>
      </c>
      <c r="H948" s="141">
        <f t="shared" si="66"/>
        <v>587165</v>
      </c>
      <c r="I948" s="141">
        <v>587165</v>
      </c>
      <c r="J948" s="142">
        <f t="shared" si="64"/>
        <v>0</v>
      </c>
      <c r="K948" s="141">
        <f t="shared" si="61"/>
        <v>197</v>
      </c>
      <c r="L948" s="141">
        <v>272</v>
      </c>
      <c r="M948" s="142">
        <f t="shared" si="60"/>
        <v>75</v>
      </c>
    </row>
    <row r="949" spans="1:17">
      <c r="A949" s="144">
        <v>45931</v>
      </c>
      <c r="B949" s="141">
        <f t="shared" si="63"/>
        <v>176355</v>
      </c>
      <c r="C949" s="141">
        <v>176436</v>
      </c>
      <c r="D949" s="142">
        <f t="shared" si="59"/>
        <v>81</v>
      </c>
      <c r="E949" s="141">
        <f t="shared" si="62"/>
        <v>56260</v>
      </c>
      <c r="F949" s="141">
        <v>56355</v>
      </c>
      <c r="G949" s="142">
        <f t="shared" si="65"/>
        <v>95</v>
      </c>
      <c r="H949" s="141">
        <f t="shared" si="66"/>
        <v>587165</v>
      </c>
      <c r="I949" s="141">
        <v>587165</v>
      </c>
      <c r="J949" s="142">
        <f t="shared" si="64"/>
        <v>0</v>
      </c>
      <c r="K949" s="141">
        <f t="shared" si="61"/>
        <v>272</v>
      </c>
      <c r="L949" s="141">
        <v>309</v>
      </c>
      <c r="M949" s="142">
        <f t="shared" si="60"/>
        <v>37</v>
      </c>
      <c r="Q949" s="152" t="s">
        <v>2006</v>
      </c>
    </row>
    <row r="950" spans="1:17">
      <c r="A950" s="144">
        <v>45932</v>
      </c>
      <c r="B950" s="141">
        <f t="shared" si="63"/>
        <v>176436</v>
      </c>
      <c r="C950" s="141">
        <v>176544</v>
      </c>
      <c r="D950" s="142">
        <f t="shared" si="59"/>
        <v>108</v>
      </c>
      <c r="E950" s="141">
        <f t="shared" si="62"/>
        <v>56355</v>
      </c>
      <c r="F950" s="141">
        <v>56414</v>
      </c>
      <c r="G950" s="142">
        <f t="shared" si="65"/>
        <v>59</v>
      </c>
      <c r="H950" s="141">
        <v>20</v>
      </c>
      <c r="I950" s="141">
        <v>21</v>
      </c>
      <c r="J950" s="142">
        <f t="shared" si="64"/>
        <v>1</v>
      </c>
      <c r="K950" s="141">
        <f t="shared" si="61"/>
        <v>309</v>
      </c>
      <c r="L950" s="141">
        <v>388</v>
      </c>
      <c r="M950" s="142">
        <f t="shared" si="60"/>
        <v>79</v>
      </c>
    </row>
    <row r="951" spans="1:17">
      <c r="A951" s="144">
        <v>45933</v>
      </c>
      <c r="B951" s="141">
        <f t="shared" si="63"/>
        <v>176544</v>
      </c>
      <c r="C951" s="141">
        <v>176561</v>
      </c>
      <c r="D951" s="142">
        <f t="shared" si="59"/>
        <v>17</v>
      </c>
      <c r="E951" s="141">
        <v>56514</v>
      </c>
      <c r="F951" s="141">
        <v>56628</v>
      </c>
      <c r="G951" s="142">
        <f t="shared" si="65"/>
        <v>114</v>
      </c>
      <c r="H951" s="141">
        <f t="shared" si="66"/>
        <v>21</v>
      </c>
      <c r="I951" s="141">
        <v>24</v>
      </c>
      <c r="J951" s="142">
        <f t="shared" si="64"/>
        <v>3</v>
      </c>
      <c r="K951" s="141">
        <f t="shared" si="61"/>
        <v>388</v>
      </c>
      <c r="L951" s="141">
        <v>422</v>
      </c>
      <c r="M951" s="142">
        <f t="shared" si="60"/>
        <v>34</v>
      </c>
    </row>
    <row r="952" spans="1:17">
      <c r="A952" s="144">
        <v>45934</v>
      </c>
      <c r="B952" s="141">
        <f t="shared" si="63"/>
        <v>176561</v>
      </c>
      <c r="C952" s="141">
        <v>176561</v>
      </c>
      <c r="D952" s="142">
        <f t="shared" si="59"/>
        <v>0</v>
      </c>
      <c r="E952" s="141">
        <v>56628</v>
      </c>
      <c r="F952" s="141">
        <v>56713</v>
      </c>
      <c r="G952" s="142">
        <f t="shared" si="65"/>
        <v>85</v>
      </c>
      <c r="H952" s="141">
        <f t="shared" si="66"/>
        <v>24</v>
      </c>
      <c r="I952" s="141">
        <v>25</v>
      </c>
      <c r="J952" s="142">
        <f t="shared" si="64"/>
        <v>1</v>
      </c>
      <c r="K952" s="141">
        <f t="shared" si="61"/>
        <v>422</v>
      </c>
      <c r="L952" s="141">
        <v>452</v>
      </c>
      <c r="M952" s="142">
        <f t="shared" si="60"/>
        <v>30</v>
      </c>
    </row>
    <row r="953" spans="1:17">
      <c r="A953" s="144">
        <v>45935</v>
      </c>
      <c r="B953" s="141">
        <f t="shared" si="63"/>
        <v>176561</v>
      </c>
      <c r="C953" s="141">
        <v>176561</v>
      </c>
      <c r="D953" s="142">
        <f t="shared" ref="D953:D957" si="67">C953-B953</f>
        <v>0</v>
      </c>
      <c r="E953" s="141">
        <v>56713</v>
      </c>
      <c r="F953" s="141">
        <v>56783</v>
      </c>
      <c r="G953" s="142">
        <f t="shared" si="65"/>
        <v>70</v>
      </c>
      <c r="H953" s="141">
        <f t="shared" si="66"/>
        <v>25</v>
      </c>
      <c r="I953" s="141">
        <v>26</v>
      </c>
      <c r="J953" s="142">
        <f t="shared" si="64"/>
        <v>1</v>
      </c>
      <c r="K953" s="141">
        <f t="shared" si="61"/>
        <v>452</v>
      </c>
      <c r="L953" s="141">
        <v>503</v>
      </c>
      <c r="M953" s="142">
        <f t="shared" si="60"/>
        <v>51</v>
      </c>
      <c r="N953" s="142">
        <f t="shared" ref="N953:N964" si="68">O952</f>
        <v>0</v>
      </c>
      <c r="Q953" s="153" t="s">
        <v>2008</v>
      </c>
    </row>
    <row r="954" spans="1:17">
      <c r="A954" s="144">
        <v>45936</v>
      </c>
      <c r="B954" s="141">
        <f t="shared" si="63"/>
        <v>176561</v>
      </c>
      <c r="C954" s="141">
        <v>176561</v>
      </c>
      <c r="D954" s="142">
        <f t="shared" si="67"/>
        <v>0</v>
      </c>
      <c r="E954" s="141">
        <f t="shared" si="62"/>
        <v>56783</v>
      </c>
      <c r="F954" s="141">
        <v>56841</v>
      </c>
      <c r="G954" s="142">
        <f t="shared" si="65"/>
        <v>58</v>
      </c>
      <c r="H954" s="141">
        <f t="shared" si="66"/>
        <v>26</v>
      </c>
      <c r="I954" s="141">
        <v>27</v>
      </c>
      <c r="J954" s="142">
        <f t="shared" si="64"/>
        <v>1</v>
      </c>
      <c r="K954" s="141">
        <f t="shared" si="61"/>
        <v>503</v>
      </c>
      <c r="L954" s="141">
        <v>593</v>
      </c>
      <c r="M954" s="142">
        <f t="shared" si="60"/>
        <v>90</v>
      </c>
      <c r="N954" s="142">
        <f t="shared" si="68"/>
        <v>0</v>
      </c>
      <c r="O954" s="142">
        <v>1705</v>
      </c>
      <c r="P954" s="142">
        <f t="shared" ref="P954:P963" si="69">O954-N954</f>
        <v>1705</v>
      </c>
      <c r="Q954" s="153" t="s">
        <v>2007</v>
      </c>
    </row>
    <row r="955" spans="1:17">
      <c r="A955" s="144">
        <v>45937</v>
      </c>
      <c r="B955" s="141">
        <f t="shared" si="63"/>
        <v>176561</v>
      </c>
      <c r="C955" s="141">
        <v>176561</v>
      </c>
      <c r="D955" s="142">
        <f t="shared" si="67"/>
        <v>0</v>
      </c>
      <c r="E955" s="141">
        <f t="shared" si="62"/>
        <v>56841</v>
      </c>
      <c r="F955" s="141">
        <v>56893</v>
      </c>
      <c r="G955" s="142">
        <f t="shared" si="65"/>
        <v>52</v>
      </c>
      <c r="H955" s="141">
        <f t="shared" si="66"/>
        <v>27</v>
      </c>
      <c r="I955" s="141">
        <v>28</v>
      </c>
      <c r="J955" s="142">
        <f t="shared" si="64"/>
        <v>1</v>
      </c>
      <c r="K955" s="141">
        <f t="shared" ref="K955:K982" si="70">L954</f>
        <v>593</v>
      </c>
      <c r="L955" s="141">
        <v>651</v>
      </c>
      <c r="M955" s="142">
        <f t="shared" ref="M955:M984" si="71">L955-K955</f>
        <v>58</v>
      </c>
      <c r="N955" s="142">
        <f t="shared" si="68"/>
        <v>1705</v>
      </c>
      <c r="O955" s="142">
        <v>1767</v>
      </c>
      <c r="P955" s="142">
        <f t="shared" si="69"/>
        <v>62</v>
      </c>
      <c r="Q955" s="154" t="s">
        <v>2011</v>
      </c>
    </row>
    <row r="956" spans="1:17">
      <c r="A956" s="144">
        <v>45938</v>
      </c>
      <c r="B956" s="141">
        <f t="shared" si="63"/>
        <v>176561</v>
      </c>
      <c r="C956" s="141">
        <v>176561</v>
      </c>
      <c r="D956" s="142">
        <f t="shared" si="67"/>
        <v>0</v>
      </c>
      <c r="E956" s="141">
        <f t="shared" si="62"/>
        <v>56893</v>
      </c>
      <c r="F956" s="141">
        <v>56973</v>
      </c>
      <c r="G956" s="142">
        <f t="shared" si="65"/>
        <v>80</v>
      </c>
      <c r="H956" s="141">
        <f t="shared" si="66"/>
        <v>28</v>
      </c>
      <c r="I956" s="141">
        <v>29</v>
      </c>
      <c r="J956" s="142">
        <f t="shared" si="64"/>
        <v>1</v>
      </c>
      <c r="K956" s="141">
        <f t="shared" si="70"/>
        <v>651</v>
      </c>
      <c r="L956" s="141">
        <v>699</v>
      </c>
      <c r="M956" s="142">
        <f t="shared" si="71"/>
        <v>48</v>
      </c>
      <c r="N956" s="142">
        <f t="shared" si="68"/>
        <v>1767</v>
      </c>
      <c r="O956" s="142">
        <v>1836</v>
      </c>
      <c r="P956" s="142">
        <f t="shared" si="69"/>
        <v>69</v>
      </c>
    </row>
    <row r="957" spans="1:17">
      <c r="A957" s="144">
        <v>45939</v>
      </c>
      <c r="B957" s="141">
        <f t="shared" si="63"/>
        <v>176561</v>
      </c>
      <c r="C957" s="141">
        <v>176561</v>
      </c>
      <c r="D957" s="142">
        <f t="shared" si="67"/>
        <v>0</v>
      </c>
      <c r="E957" s="141">
        <f t="shared" si="62"/>
        <v>56973</v>
      </c>
      <c r="F957" s="141">
        <v>57055</v>
      </c>
      <c r="G957" s="142">
        <f t="shared" si="65"/>
        <v>82</v>
      </c>
      <c r="H957" s="141">
        <f t="shared" si="66"/>
        <v>29</v>
      </c>
      <c r="I957" s="141">
        <v>32</v>
      </c>
      <c r="J957" s="142">
        <f t="shared" si="64"/>
        <v>3</v>
      </c>
      <c r="K957" s="141">
        <f t="shared" si="70"/>
        <v>699</v>
      </c>
      <c r="L957" s="141">
        <v>753</v>
      </c>
      <c r="M957" s="142">
        <f t="shared" si="71"/>
        <v>54</v>
      </c>
      <c r="N957" s="142">
        <f t="shared" si="68"/>
        <v>1836</v>
      </c>
      <c r="O957" s="142">
        <v>1909</v>
      </c>
      <c r="P957" s="142">
        <f t="shared" si="69"/>
        <v>73</v>
      </c>
    </row>
    <row r="958" spans="1:17">
      <c r="A958" s="144">
        <v>45940</v>
      </c>
      <c r="B958" s="141">
        <f t="shared" si="63"/>
        <v>176561</v>
      </c>
      <c r="C958" s="141">
        <v>176561</v>
      </c>
      <c r="D958" s="142">
        <f t="shared" ref="D958:D983" si="72">C958-B958</f>
        <v>0</v>
      </c>
      <c r="E958" s="141">
        <f t="shared" si="62"/>
        <v>57055</v>
      </c>
      <c r="F958" s="141">
        <v>57113</v>
      </c>
      <c r="G958" s="142">
        <f t="shared" si="65"/>
        <v>58</v>
      </c>
      <c r="H958" s="141">
        <f t="shared" si="66"/>
        <v>32</v>
      </c>
      <c r="I958" s="141">
        <v>36</v>
      </c>
      <c r="J958" s="142">
        <f t="shared" si="64"/>
        <v>4</v>
      </c>
      <c r="K958" s="141">
        <f t="shared" si="70"/>
        <v>753</v>
      </c>
      <c r="L958" s="141">
        <v>835</v>
      </c>
      <c r="M958" s="142">
        <f t="shared" si="71"/>
        <v>82</v>
      </c>
      <c r="N958" s="142">
        <f t="shared" si="68"/>
        <v>1909</v>
      </c>
      <c r="O958" s="142">
        <v>1989</v>
      </c>
      <c r="P958" s="142">
        <f t="shared" si="69"/>
        <v>80</v>
      </c>
    </row>
    <row r="959" spans="1:17">
      <c r="A959" s="144">
        <v>45941</v>
      </c>
      <c r="B959" s="141">
        <f t="shared" si="63"/>
        <v>176561</v>
      </c>
      <c r="C959" s="141">
        <v>176561</v>
      </c>
      <c r="D959" s="142">
        <f t="shared" si="72"/>
        <v>0</v>
      </c>
      <c r="E959" s="141">
        <f t="shared" si="62"/>
        <v>57113</v>
      </c>
      <c r="F959" s="141">
        <v>57210</v>
      </c>
      <c r="G959" s="142">
        <f t="shared" si="65"/>
        <v>97</v>
      </c>
      <c r="H959" s="141">
        <f t="shared" si="66"/>
        <v>36</v>
      </c>
      <c r="I959" s="141">
        <v>39</v>
      </c>
      <c r="J959" s="142">
        <f t="shared" si="64"/>
        <v>3</v>
      </c>
      <c r="K959" s="141">
        <f t="shared" si="70"/>
        <v>835</v>
      </c>
      <c r="L959" s="141">
        <v>899</v>
      </c>
      <c r="M959" s="142">
        <f t="shared" si="71"/>
        <v>64</v>
      </c>
      <c r="N959" s="142">
        <f t="shared" si="68"/>
        <v>1989</v>
      </c>
      <c r="O959" s="142">
        <v>2074</v>
      </c>
      <c r="P959" s="142">
        <f t="shared" si="69"/>
        <v>85</v>
      </c>
    </row>
    <row r="960" spans="1:17">
      <c r="A960" s="144">
        <v>45942</v>
      </c>
      <c r="B960" s="141">
        <f t="shared" si="63"/>
        <v>176561</v>
      </c>
      <c r="C960" s="141">
        <v>176561</v>
      </c>
      <c r="D960" s="142">
        <f t="shared" si="72"/>
        <v>0</v>
      </c>
      <c r="E960" s="141">
        <f t="shared" si="62"/>
        <v>57210</v>
      </c>
      <c r="F960" s="141">
        <v>57273</v>
      </c>
      <c r="G960" s="142">
        <f t="shared" si="65"/>
        <v>63</v>
      </c>
      <c r="H960" s="141">
        <f t="shared" si="66"/>
        <v>39</v>
      </c>
      <c r="I960" s="141">
        <v>45</v>
      </c>
      <c r="J960" s="142">
        <f t="shared" si="64"/>
        <v>6</v>
      </c>
      <c r="K960" s="141">
        <f t="shared" si="70"/>
        <v>899</v>
      </c>
      <c r="L960" s="141">
        <v>984</v>
      </c>
      <c r="M960" s="142">
        <f t="shared" si="71"/>
        <v>85</v>
      </c>
      <c r="N960" s="142">
        <f t="shared" si="68"/>
        <v>2074</v>
      </c>
      <c r="O960" s="142">
        <v>2152</v>
      </c>
      <c r="P960" s="142">
        <f t="shared" si="69"/>
        <v>78</v>
      </c>
    </row>
    <row r="961" spans="1:16">
      <c r="A961" s="144">
        <v>45943</v>
      </c>
      <c r="B961" s="141">
        <f t="shared" si="63"/>
        <v>176561</v>
      </c>
      <c r="C961" s="141">
        <v>176561</v>
      </c>
      <c r="D961" s="142">
        <f t="shared" si="72"/>
        <v>0</v>
      </c>
      <c r="E961" s="141">
        <f t="shared" si="62"/>
        <v>57273</v>
      </c>
      <c r="F961" s="141">
        <v>57311</v>
      </c>
      <c r="G961" s="142">
        <f t="shared" si="65"/>
        <v>38</v>
      </c>
      <c r="H961" s="141">
        <f t="shared" si="66"/>
        <v>45</v>
      </c>
      <c r="I961" s="141">
        <v>50</v>
      </c>
      <c r="J961" s="142">
        <f t="shared" si="64"/>
        <v>5</v>
      </c>
      <c r="K961" s="141">
        <f t="shared" si="70"/>
        <v>984</v>
      </c>
      <c r="L961" s="141">
        <v>1039</v>
      </c>
      <c r="M961" s="142">
        <f t="shared" si="71"/>
        <v>55</v>
      </c>
      <c r="N961" s="142">
        <f t="shared" si="68"/>
        <v>2152</v>
      </c>
      <c r="O961" s="142">
        <v>2236</v>
      </c>
      <c r="P961" s="142">
        <f t="shared" si="69"/>
        <v>84</v>
      </c>
    </row>
    <row r="962" spans="1:16">
      <c r="A962" s="144">
        <v>45944</v>
      </c>
      <c r="B962" s="141">
        <f t="shared" si="63"/>
        <v>176561</v>
      </c>
      <c r="C962" s="141">
        <v>176561</v>
      </c>
      <c r="D962" s="142">
        <f t="shared" si="72"/>
        <v>0</v>
      </c>
      <c r="E962" s="141">
        <f t="shared" si="62"/>
        <v>57311</v>
      </c>
      <c r="F962" s="141">
        <v>57410</v>
      </c>
      <c r="G962" s="142">
        <f t="shared" si="65"/>
        <v>99</v>
      </c>
      <c r="H962" s="141">
        <f t="shared" si="66"/>
        <v>50</v>
      </c>
      <c r="I962" s="141">
        <v>58</v>
      </c>
      <c r="J962" s="142">
        <f t="shared" si="64"/>
        <v>8</v>
      </c>
      <c r="K962" s="141">
        <f t="shared" si="70"/>
        <v>1039</v>
      </c>
      <c r="L962" s="141">
        <v>1095</v>
      </c>
      <c r="M962" s="142">
        <f t="shared" si="71"/>
        <v>56</v>
      </c>
      <c r="N962" s="142">
        <f t="shared" si="68"/>
        <v>2236</v>
      </c>
      <c r="O962" s="142">
        <v>2316</v>
      </c>
      <c r="P962" s="142">
        <f t="shared" si="69"/>
        <v>80</v>
      </c>
    </row>
    <row r="963" spans="1:16">
      <c r="A963" s="144">
        <v>45945</v>
      </c>
      <c r="B963" s="141">
        <f t="shared" si="63"/>
        <v>176561</v>
      </c>
      <c r="C963" s="141">
        <v>176561</v>
      </c>
      <c r="D963" s="142">
        <f t="shared" si="72"/>
        <v>0</v>
      </c>
      <c r="E963" s="141">
        <f t="shared" ref="E963:E980" si="73">F962</f>
        <v>57410</v>
      </c>
      <c r="F963" s="141">
        <v>57503</v>
      </c>
      <c r="G963" s="142">
        <f t="shared" si="65"/>
        <v>93</v>
      </c>
      <c r="H963" s="141">
        <f t="shared" si="66"/>
        <v>58</v>
      </c>
      <c r="I963" s="141">
        <v>64</v>
      </c>
      <c r="J963" s="142">
        <f t="shared" si="64"/>
        <v>6</v>
      </c>
      <c r="K963" s="141">
        <f t="shared" si="70"/>
        <v>1095</v>
      </c>
      <c r="L963" s="141">
        <v>1148</v>
      </c>
      <c r="M963" s="142">
        <f t="shared" si="71"/>
        <v>53</v>
      </c>
      <c r="N963" s="142">
        <f t="shared" si="68"/>
        <v>2316</v>
      </c>
      <c r="O963" s="142">
        <v>2392</v>
      </c>
      <c r="P963" s="142">
        <f t="shared" si="69"/>
        <v>76</v>
      </c>
    </row>
    <row r="964" spans="1:16">
      <c r="A964" s="144">
        <v>45946</v>
      </c>
      <c r="B964" s="141">
        <f t="shared" si="63"/>
        <v>176561</v>
      </c>
      <c r="C964" s="141">
        <v>176561</v>
      </c>
      <c r="D964" s="142">
        <f t="shared" si="72"/>
        <v>0</v>
      </c>
      <c r="E964" s="141">
        <f t="shared" si="73"/>
        <v>57503</v>
      </c>
      <c r="F964" s="141">
        <v>57600</v>
      </c>
      <c r="G964" s="142">
        <f t="shared" si="65"/>
        <v>97</v>
      </c>
      <c r="H964" s="141">
        <f t="shared" si="66"/>
        <v>64</v>
      </c>
      <c r="I964" s="141">
        <v>68</v>
      </c>
      <c r="J964" s="142">
        <f t="shared" si="64"/>
        <v>4</v>
      </c>
      <c r="K964" s="141">
        <f t="shared" si="70"/>
        <v>1148</v>
      </c>
      <c r="L964" s="141">
        <v>1198</v>
      </c>
      <c r="M964" s="142">
        <f t="shared" si="71"/>
        <v>50</v>
      </c>
      <c r="N964" s="142">
        <f t="shared" si="68"/>
        <v>2392</v>
      </c>
      <c r="O964" s="142">
        <v>2456</v>
      </c>
      <c r="P964" s="142">
        <f t="shared" ref="P964:P982" si="74">O964-N964</f>
        <v>64</v>
      </c>
    </row>
    <row r="965" spans="1:16">
      <c r="A965" s="144">
        <v>45947</v>
      </c>
      <c r="B965" s="141">
        <f t="shared" si="63"/>
        <v>176561</v>
      </c>
      <c r="C965" s="141">
        <v>176561</v>
      </c>
      <c r="D965" s="142">
        <f t="shared" si="72"/>
        <v>0</v>
      </c>
      <c r="E965" s="141">
        <f t="shared" si="73"/>
        <v>57600</v>
      </c>
      <c r="F965" s="141">
        <v>57701</v>
      </c>
      <c r="G965" s="142">
        <f t="shared" si="65"/>
        <v>101</v>
      </c>
      <c r="H965" s="141">
        <f t="shared" si="66"/>
        <v>68</v>
      </c>
      <c r="I965" s="141">
        <v>72</v>
      </c>
      <c r="J965" s="142">
        <f t="shared" si="64"/>
        <v>4</v>
      </c>
      <c r="K965" s="141">
        <f t="shared" si="70"/>
        <v>1198</v>
      </c>
      <c r="L965" s="141">
        <v>1248</v>
      </c>
      <c r="M965" s="142">
        <f t="shared" si="71"/>
        <v>50</v>
      </c>
      <c r="N965" s="142">
        <f t="shared" ref="N965:N982" si="75">O964</f>
        <v>2456</v>
      </c>
      <c r="O965" s="142">
        <v>2593</v>
      </c>
      <c r="P965" s="142">
        <f t="shared" si="74"/>
        <v>137</v>
      </c>
    </row>
    <row r="966" spans="1:16">
      <c r="A966" s="144">
        <v>45948</v>
      </c>
      <c r="B966" s="141">
        <f t="shared" si="63"/>
        <v>176561</v>
      </c>
      <c r="C966" s="141">
        <v>176561</v>
      </c>
      <c r="D966" s="142">
        <f t="shared" si="72"/>
        <v>0</v>
      </c>
      <c r="E966" s="141">
        <f t="shared" si="73"/>
        <v>57701</v>
      </c>
      <c r="F966" s="141">
        <v>57755</v>
      </c>
      <c r="G966" s="142">
        <f t="shared" si="65"/>
        <v>54</v>
      </c>
      <c r="H966" s="141">
        <f t="shared" si="66"/>
        <v>72</v>
      </c>
      <c r="I966" s="141">
        <v>74</v>
      </c>
      <c r="J966" s="142">
        <f t="shared" si="64"/>
        <v>2</v>
      </c>
      <c r="K966" s="141">
        <f t="shared" si="70"/>
        <v>1248</v>
      </c>
      <c r="L966" s="141">
        <v>1288</v>
      </c>
      <c r="M966" s="142">
        <f t="shared" si="71"/>
        <v>40</v>
      </c>
      <c r="N966" s="142">
        <f t="shared" si="75"/>
        <v>2593</v>
      </c>
      <c r="O966" s="142">
        <v>2661</v>
      </c>
      <c r="P966" s="142">
        <f t="shared" si="74"/>
        <v>68</v>
      </c>
    </row>
    <row r="967" spans="1:16">
      <c r="A967" s="144">
        <v>45949</v>
      </c>
      <c r="B967" s="141">
        <f t="shared" si="63"/>
        <v>176561</v>
      </c>
      <c r="C967" s="141">
        <v>176561</v>
      </c>
      <c r="D967" s="142">
        <f t="shared" si="72"/>
        <v>0</v>
      </c>
      <c r="E967" s="141">
        <f t="shared" si="73"/>
        <v>57755</v>
      </c>
      <c r="F967" s="141">
        <v>57816</v>
      </c>
      <c r="G967" s="142">
        <f t="shared" si="65"/>
        <v>61</v>
      </c>
      <c r="H967" s="141">
        <f t="shared" si="66"/>
        <v>74</v>
      </c>
      <c r="I967" s="141">
        <v>76</v>
      </c>
      <c r="J967" s="142">
        <f t="shared" si="64"/>
        <v>2</v>
      </c>
      <c r="K967" s="141">
        <f t="shared" si="70"/>
        <v>1288</v>
      </c>
      <c r="L967" s="141">
        <v>1335</v>
      </c>
      <c r="M967" s="142">
        <f t="shared" si="71"/>
        <v>47</v>
      </c>
      <c r="N967" s="142">
        <f t="shared" si="75"/>
        <v>2661</v>
      </c>
      <c r="O967" s="142">
        <v>2736</v>
      </c>
      <c r="P967" s="142">
        <f t="shared" si="74"/>
        <v>75</v>
      </c>
    </row>
    <row r="968" spans="1:16">
      <c r="A968" s="144">
        <v>45950</v>
      </c>
      <c r="B968" s="141">
        <f t="shared" si="63"/>
        <v>176561</v>
      </c>
      <c r="C968" s="141">
        <v>176561</v>
      </c>
      <c r="D968" s="142">
        <f t="shared" si="72"/>
        <v>0</v>
      </c>
      <c r="E968" s="141">
        <f t="shared" si="73"/>
        <v>57816</v>
      </c>
      <c r="F968" s="141">
        <v>57844</v>
      </c>
      <c r="G968" s="142">
        <f t="shared" si="65"/>
        <v>28</v>
      </c>
      <c r="H968" s="141">
        <f t="shared" si="66"/>
        <v>76</v>
      </c>
      <c r="I968" s="141">
        <v>77</v>
      </c>
      <c r="J968" s="142">
        <f t="shared" si="64"/>
        <v>1</v>
      </c>
      <c r="K968" s="141">
        <f t="shared" si="70"/>
        <v>1335</v>
      </c>
      <c r="L968" s="141">
        <v>1409</v>
      </c>
      <c r="M968" s="142">
        <f t="shared" si="71"/>
        <v>74</v>
      </c>
      <c r="N968" s="142">
        <f t="shared" si="75"/>
        <v>2736</v>
      </c>
      <c r="O968" s="142">
        <v>2817</v>
      </c>
      <c r="P968" s="142">
        <f t="shared" si="74"/>
        <v>81</v>
      </c>
    </row>
    <row r="969" spans="1:16">
      <c r="A969" s="144">
        <v>45951</v>
      </c>
      <c r="B969" s="141">
        <f t="shared" si="63"/>
        <v>176561</v>
      </c>
      <c r="C969" s="141">
        <v>176561</v>
      </c>
      <c r="D969" s="142">
        <f t="shared" si="72"/>
        <v>0</v>
      </c>
      <c r="E969" s="141">
        <f t="shared" si="73"/>
        <v>57844</v>
      </c>
      <c r="F969" s="141">
        <v>57883</v>
      </c>
      <c r="G969" s="142">
        <f t="shared" si="65"/>
        <v>39</v>
      </c>
      <c r="H969" s="141">
        <f t="shared" si="66"/>
        <v>77</v>
      </c>
      <c r="I969" s="141">
        <v>81</v>
      </c>
      <c r="J969" s="142">
        <f t="shared" si="64"/>
        <v>4</v>
      </c>
      <c r="K969" s="141">
        <f t="shared" si="70"/>
        <v>1409</v>
      </c>
      <c r="L969" s="141">
        <v>1454</v>
      </c>
      <c r="M969" s="142">
        <f t="shared" si="71"/>
        <v>45</v>
      </c>
      <c r="N969" s="142">
        <f t="shared" si="75"/>
        <v>2817</v>
      </c>
      <c r="O969" s="142">
        <v>2890</v>
      </c>
      <c r="P969" s="142">
        <f t="shared" si="74"/>
        <v>73</v>
      </c>
    </row>
    <row r="970" spans="1:16">
      <c r="A970" s="144">
        <v>45952</v>
      </c>
      <c r="B970" s="141">
        <f t="shared" si="63"/>
        <v>176561</v>
      </c>
      <c r="C970" s="141">
        <v>176561</v>
      </c>
      <c r="D970" s="142">
        <f t="shared" si="72"/>
        <v>0</v>
      </c>
      <c r="E970" s="141">
        <f t="shared" si="73"/>
        <v>57883</v>
      </c>
      <c r="F970" s="141">
        <v>57914</v>
      </c>
      <c r="G970" s="142">
        <f t="shared" si="65"/>
        <v>31</v>
      </c>
      <c r="H970" s="141">
        <f t="shared" si="66"/>
        <v>81</v>
      </c>
      <c r="I970" s="141">
        <v>84</v>
      </c>
      <c r="J970" s="142">
        <f t="shared" si="64"/>
        <v>3</v>
      </c>
      <c r="K970" s="141">
        <f t="shared" si="70"/>
        <v>1454</v>
      </c>
      <c r="L970" s="141">
        <v>1514</v>
      </c>
      <c r="M970" s="142">
        <f t="shared" si="71"/>
        <v>60</v>
      </c>
      <c r="N970" s="142">
        <f t="shared" si="75"/>
        <v>2890</v>
      </c>
      <c r="O970" s="142">
        <v>2949</v>
      </c>
      <c r="P970" s="142">
        <f t="shared" si="74"/>
        <v>59</v>
      </c>
    </row>
    <row r="971" spans="1:16">
      <c r="A971" s="144">
        <v>45953</v>
      </c>
      <c r="B971" s="141">
        <f t="shared" si="63"/>
        <v>176561</v>
      </c>
      <c r="C971" s="141">
        <v>176561</v>
      </c>
      <c r="D971" s="142">
        <f t="shared" si="72"/>
        <v>0</v>
      </c>
      <c r="E971" s="141">
        <f t="shared" si="73"/>
        <v>57914</v>
      </c>
      <c r="F971" s="141">
        <v>57983</v>
      </c>
      <c r="G971" s="142">
        <f t="shared" si="65"/>
        <v>69</v>
      </c>
      <c r="H971" s="141">
        <f t="shared" si="66"/>
        <v>84</v>
      </c>
      <c r="I971" s="141">
        <v>93</v>
      </c>
      <c r="J971" s="142">
        <f t="shared" si="64"/>
        <v>9</v>
      </c>
      <c r="K971" s="141">
        <f t="shared" si="70"/>
        <v>1514</v>
      </c>
      <c r="L971" s="141">
        <v>1559</v>
      </c>
      <c r="M971" s="142">
        <f t="shared" si="71"/>
        <v>45</v>
      </c>
      <c r="N971" s="142">
        <f t="shared" si="75"/>
        <v>2949</v>
      </c>
      <c r="O971" s="142">
        <v>3038</v>
      </c>
      <c r="P971" s="142">
        <f t="shared" si="74"/>
        <v>89</v>
      </c>
    </row>
    <row r="972" spans="1:16">
      <c r="A972" s="144">
        <v>45954</v>
      </c>
      <c r="B972" s="141">
        <f t="shared" si="63"/>
        <v>176561</v>
      </c>
      <c r="C972" s="141">
        <v>176561</v>
      </c>
      <c r="D972" s="142">
        <f t="shared" si="72"/>
        <v>0</v>
      </c>
      <c r="E972" s="141">
        <f t="shared" si="73"/>
        <v>57983</v>
      </c>
      <c r="F972" s="141">
        <v>58011</v>
      </c>
      <c r="G972" s="142">
        <f t="shared" si="65"/>
        <v>28</v>
      </c>
      <c r="H972" s="141">
        <f t="shared" si="66"/>
        <v>93</v>
      </c>
      <c r="I972" s="141">
        <v>98</v>
      </c>
      <c r="J972" s="142">
        <f t="shared" si="64"/>
        <v>5</v>
      </c>
      <c r="K972" s="141">
        <f t="shared" si="70"/>
        <v>1559</v>
      </c>
      <c r="L972" s="141">
        <v>1600</v>
      </c>
      <c r="M972" s="142">
        <f t="shared" si="71"/>
        <v>41</v>
      </c>
      <c r="N972" s="142">
        <f t="shared" si="75"/>
        <v>3038</v>
      </c>
      <c r="O972" s="142">
        <v>3129</v>
      </c>
      <c r="P972" s="142">
        <f t="shared" si="74"/>
        <v>91</v>
      </c>
    </row>
    <row r="973" spans="1:16">
      <c r="A973" s="144">
        <v>45955</v>
      </c>
      <c r="B973" s="141">
        <f t="shared" si="63"/>
        <v>176561</v>
      </c>
      <c r="C973" s="141">
        <v>176561</v>
      </c>
      <c r="D973" s="142">
        <f t="shared" si="72"/>
        <v>0</v>
      </c>
      <c r="E973" s="141">
        <f t="shared" si="73"/>
        <v>58011</v>
      </c>
      <c r="F973" s="141">
        <v>58102</v>
      </c>
      <c r="G973" s="142">
        <f t="shared" si="65"/>
        <v>91</v>
      </c>
      <c r="H973" s="141">
        <f t="shared" si="66"/>
        <v>98</v>
      </c>
      <c r="I973" s="141">
        <v>104</v>
      </c>
      <c r="J973" s="142">
        <f t="shared" si="64"/>
        <v>6</v>
      </c>
      <c r="K973" s="141">
        <f t="shared" si="70"/>
        <v>1600</v>
      </c>
      <c r="L973" s="141">
        <v>1644</v>
      </c>
      <c r="M973" s="142">
        <f t="shared" si="71"/>
        <v>44</v>
      </c>
      <c r="N973" s="142">
        <f t="shared" si="75"/>
        <v>3129</v>
      </c>
      <c r="O973" s="142">
        <v>3207</v>
      </c>
      <c r="P973" s="142">
        <f t="shared" si="74"/>
        <v>78</v>
      </c>
    </row>
    <row r="974" spans="1:16">
      <c r="A974" s="144">
        <v>45956</v>
      </c>
      <c r="B974" s="141">
        <f t="shared" ref="B974:B983" si="76">C973</f>
        <v>176561</v>
      </c>
      <c r="C974" s="141">
        <v>176561</v>
      </c>
      <c r="D974" s="142">
        <f t="shared" si="72"/>
        <v>0</v>
      </c>
      <c r="E974" s="141">
        <f t="shared" si="73"/>
        <v>58102</v>
      </c>
      <c r="F974" s="141">
        <v>58198</v>
      </c>
      <c r="G974" s="142">
        <f t="shared" si="65"/>
        <v>96</v>
      </c>
      <c r="H974" s="141">
        <f t="shared" si="66"/>
        <v>104</v>
      </c>
      <c r="I974" s="141">
        <v>106</v>
      </c>
      <c r="J974" s="142">
        <f t="shared" si="64"/>
        <v>2</v>
      </c>
      <c r="K974" s="141">
        <f t="shared" si="70"/>
        <v>1644</v>
      </c>
      <c r="L974" s="141">
        <v>1683</v>
      </c>
      <c r="M974" s="142">
        <f t="shared" si="71"/>
        <v>39</v>
      </c>
      <c r="N974" s="142">
        <f t="shared" si="75"/>
        <v>3207</v>
      </c>
      <c r="O974" s="142">
        <v>3281</v>
      </c>
      <c r="P974" s="142">
        <f t="shared" si="74"/>
        <v>74</v>
      </c>
    </row>
    <row r="975" spans="1:16">
      <c r="A975" s="144">
        <v>45957</v>
      </c>
      <c r="B975" s="141">
        <f t="shared" si="76"/>
        <v>176561</v>
      </c>
      <c r="C975" s="141">
        <v>176561</v>
      </c>
      <c r="D975" s="142">
        <f t="shared" si="72"/>
        <v>0</v>
      </c>
      <c r="E975" s="141">
        <f t="shared" si="73"/>
        <v>58198</v>
      </c>
      <c r="F975" s="141">
        <v>58283</v>
      </c>
      <c r="G975" s="142">
        <f t="shared" si="65"/>
        <v>85</v>
      </c>
      <c r="H975" s="141">
        <f t="shared" si="66"/>
        <v>106</v>
      </c>
      <c r="I975" s="141">
        <v>113</v>
      </c>
      <c r="J975" s="142">
        <f t="shared" si="64"/>
        <v>7</v>
      </c>
      <c r="K975" s="141">
        <f t="shared" si="70"/>
        <v>1683</v>
      </c>
      <c r="L975" s="141">
        <v>1762</v>
      </c>
      <c r="M975" s="142">
        <f t="shared" si="71"/>
        <v>79</v>
      </c>
      <c r="N975" s="142">
        <f t="shared" si="75"/>
        <v>3281</v>
      </c>
      <c r="O975" s="142">
        <v>3371</v>
      </c>
      <c r="P975" s="142">
        <f t="shared" si="74"/>
        <v>90</v>
      </c>
    </row>
    <row r="976" spans="1:16">
      <c r="A976" s="144">
        <v>45958</v>
      </c>
      <c r="B976" s="141">
        <f t="shared" si="76"/>
        <v>176561</v>
      </c>
      <c r="C976" s="141">
        <v>176561</v>
      </c>
      <c r="D976" s="142">
        <f t="shared" si="72"/>
        <v>0</v>
      </c>
      <c r="E976" s="141">
        <f t="shared" si="73"/>
        <v>58283</v>
      </c>
      <c r="F976" s="141">
        <v>58355</v>
      </c>
      <c r="G976" s="142">
        <f t="shared" si="65"/>
        <v>72</v>
      </c>
      <c r="H976" s="141">
        <f t="shared" si="66"/>
        <v>113</v>
      </c>
      <c r="I976" s="141">
        <v>119</v>
      </c>
      <c r="J976" s="142">
        <f t="shared" si="64"/>
        <v>6</v>
      </c>
      <c r="K976" s="141">
        <f t="shared" si="70"/>
        <v>1762</v>
      </c>
      <c r="L976" s="141">
        <v>1838</v>
      </c>
      <c r="M976" s="142">
        <f t="shared" si="71"/>
        <v>76</v>
      </c>
      <c r="N976" s="142">
        <f t="shared" si="75"/>
        <v>3371</v>
      </c>
      <c r="O976" s="142">
        <v>3463</v>
      </c>
      <c r="P976" s="142">
        <f t="shared" si="74"/>
        <v>92</v>
      </c>
    </row>
    <row r="977" spans="1:16">
      <c r="A977" s="144">
        <v>45959</v>
      </c>
      <c r="B977" s="141">
        <f t="shared" si="76"/>
        <v>176561</v>
      </c>
      <c r="C977" s="141">
        <v>176561</v>
      </c>
      <c r="D977" s="142">
        <f t="shared" si="72"/>
        <v>0</v>
      </c>
      <c r="E977" s="141">
        <f t="shared" si="73"/>
        <v>58355</v>
      </c>
      <c r="F977" s="141">
        <v>58442</v>
      </c>
      <c r="G977" s="142">
        <f t="shared" si="65"/>
        <v>87</v>
      </c>
      <c r="H977" s="141">
        <f t="shared" si="66"/>
        <v>119</v>
      </c>
      <c r="I977" s="141">
        <v>125</v>
      </c>
      <c r="J977" s="142">
        <f t="shared" si="64"/>
        <v>6</v>
      </c>
      <c r="K977" s="141">
        <f t="shared" si="70"/>
        <v>1838</v>
      </c>
      <c r="L977" s="141">
        <v>1884</v>
      </c>
      <c r="M977" s="142">
        <f t="shared" si="71"/>
        <v>46</v>
      </c>
      <c r="N977" s="142">
        <f t="shared" si="75"/>
        <v>3463</v>
      </c>
      <c r="O977" s="142">
        <v>3542</v>
      </c>
      <c r="P977" s="142">
        <f t="shared" si="74"/>
        <v>79</v>
      </c>
    </row>
    <row r="978" spans="1:16">
      <c r="A978" s="144">
        <v>45960</v>
      </c>
      <c r="B978" s="141">
        <f t="shared" si="76"/>
        <v>176561</v>
      </c>
      <c r="C978" s="141">
        <v>176561</v>
      </c>
      <c r="D978" s="142">
        <f t="shared" si="72"/>
        <v>0</v>
      </c>
      <c r="E978" s="141">
        <f t="shared" si="73"/>
        <v>58442</v>
      </c>
      <c r="F978" s="141">
        <v>58521</v>
      </c>
      <c r="G978" s="142">
        <f t="shared" si="65"/>
        <v>79</v>
      </c>
      <c r="H978" s="141">
        <f t="shared" si="66"/>
        <v>125</v>
      </c>
      <c r="I978" s="141">
        <v>129</v>
      </c>
      <c r="J978" s="142">
        <f t="shared" si="64"/>
        <v>4</v>
      </c>
      <c r="K978" s="141">
        <f t="shared" si="70"/>
        <v>1884</v>
      </c>
      <c r="L978" s="141">
        <v>1938</v>
      </c>
      <c r="M978" s="142">
        <f t="shared" si="71"/>
        <v>54</v>
      </c>
      <c r="N978" s="142">
        <f t="shared" si="75"/>
        <v>3542</v>
      </c>
      <c r="O978" s="142">
        <v>3617</v>
      </c>
      <c r="P978" s="142">
        <f t="shared" si="74"/>
        <v>75</v>
      </c>
    </row>
    <row r="979" spans="1:16">
      <c r="A979" s="144">
        <v>45961</v>
      </c>
      <c r="B979" s="141">
        <f t="shared" si="76"/>
        <v>176561</v>
      </c>
      <c r="C979" s="141">
        <v>176561</v>
      </c>
      <c r="D979" s="142">
        <f t="shared" si="72"/>
        <v>0</v>
      </c>
      <c r="E979" s="141">
        <f t="shared" si="73"/>
        <v>58521</v>
      </c>
      <c r="F979" s="141">
        <v>58585</v>
      </c>
      <c r="G979" s="142">
        <f t="shared" si="65"/>
        <v>64</v>
      </c>
      <c r="H979" s="141">
        <f t="shared" si="66"/>
        <v>129</v>
      </c>
      <c r="I979" s="141">
        <v>131</v>
      </c>
      <c r="J979" s="142">
        <f t="shared" si="64"/>
        <v>2</v>
      </c>
      <c r="K979" s="141">
        <f t="shared" si="70"/>
        <v>1938</v>
      </c>
      <c r="L979" s="141">
        <v>1989</v>
      </c>
      <c r="M979" s="142">
        <f t="shared" si="71"/>
        <v>51</v>
      </c>
      <c r="N979" s="142">
        <f t="shared" si="75"/>
        <v>3617</v>
      </c>
      <c r="O979" s="142">
        <v>3692</v>
      </c>
      <c r="P979" s="142">
        <f t="shared" si="74"/>
        <v>75</v>
      </c>
    </row>
    <row r="980" spans="1:16">
      <c r="A980" s="144">
        <v>45962</v>
      </c>
      <c r="B980" s="141">
        <v>190</v>
      </c>
      <c r="C980" s="141">
        <v>242</v>
      </c>
      <c r="D980" s="142">
        <f>C980-B980</f>
        <v>52</v>
      </c>
      <c r="E980" s="141">
        <f t="shared" si="73"/>
        <v>58585</v>
      </c>
      <c r="F980" s="141">
        <v>58655</v>
      </c>
      <c r="G980" s="142">
        <f t="shared" si="65"/>
        <v>70</v>
      </c>
      <c r="H980" s="141">
        <f t="shared" si="66"/>
        <v>131</v>
      </c>
      <c r="I980" s="141">
        <v>133</v>
      </c>
      <c r="J980" s="142">
        <f t="shared" si="64"/>
        <v>2</v>
      </c>
      <c r="K980" s="141">
        <f t="shared" si="70"/>
        <v>1989</v>
      </c>
      <c r="L980" s="141">
        <v>2071</v>
      </c>
      <c r="M980" s="142">
        <f t="shared" si="71"/>
        <v>82</v>
      </c>
      <c r="N980" s="142">
        <f t="shared" si="75"/>
        <v>3692</v>
      </c>
      <c r="O980" s="142">
        <v>3764</v>
      </c>
      <c r="P980" s="142">
        <f t="shared" si="74"/>
        <v>72</v>
      </c>
    </row>
    <row r="981" spans="1:16">
      <c r="A981" s="144">
        <v>45963</v>
      </c>
      <c r="B981" s="141">
        <f t="shared" si="76"/>
        <v>242</v>
      </c>
      <c r="C981" s="141">
        <v>283</v>
      </c>
      <c r="D981" s="142">
        <f t="shared" si="72"/>
        <v>41</v>
      </c>
      <c r="H981" s="141">
        <f t="shared" si="66"/>
        <v>133</v>
      </c>
      <c r="I981" s="141">
        <v>134</v>
      </c>
      <c r="J981" s="142">
        <f t="shared" si="64"/>
        <v>1</v>
      </c>
      <c r="K981" s="141">
        <f t="shared" si="70"/>
        <v>2071</v>
      </c>
      <c r="L981" s="141">
        <v>2108</v>
      </c>
      <c r="M981" s="142">
        <f t="shared" si="71"/>
        <v>37</v>
      </c>
      <c r="N981" s="142">
        <f t="shared" si="75"/>
        <v>3764</v>
      </c>
      <c r="O981" s="142">
        <v>3837</v>
      </c>
      <c r="P981" s="142">
        <f t="shared" si="74"/>
        <v>73</v>
      </c>
    </row>
    <row r="982" spans="1:16">
      <c r="A982" s="144">
        <v>45964</v>
      </c>
      <c r="B982" s="141">
        <f t="shared" si="76"/>
        <v>283</v>
      </c>
      <c r="C982" s="141">
        <v>346</v>
      </c>
      <c r="D982" s="142">
        <f t="shared" si="72"/>
        <v>63</v>
      </c>
      <c r="H982" s="141">
        <f t="shared" si="66"/>
        <v>134</v>
      </c>
      <c r="I982" s="141">
        <v>137</v>
      </c>
      <c r="J982" s="142">
        <f t="shared" si="64"/>
        <v>3</v>
      </c>
      <c r="K982" s="141">
        <f t="shared" si="70"/>
        <v>2108</v>
      </c>
      <c r="L982" s="141">
        <v>2163</v>
      </c>
      <c r="M982" s="142">
        <f t="shared" si="71"/>
        <v>55</v>
      </c>
      <c r="N982" s="142">
        <f t="shared" si="75"/>
        <v>3837</v>
      </c>
      <c r="O982" s="142">
        <v>3930</v>
      </c>
      <c r="P982" s="142">
        <f t="shared" si="74"/>
        <v>93</v>
      </c>
    </row>
    <row r="983" spans="1:16">
      <c r="A983" s="144">
        <v>45965</v>
      </c>
      <c r="B983" s="141">
        <f t="shared" si="76"/>
        <v>346</v>
      </c>
      <c r="D983" s="142">
        <f t="shared" si="72"/>
        <v>-346</v>
      </c>
      <c r="H983" s="141">
        <f t="shared" si="66"/>
        <v>137</v>
      </c>
      <c r="J983" s="142">
        <f t="shared" si="64"/>
        <v>-137</v>
      </c>
      <c r="M983" s="142">
        <f t="shared" si="71"/>
        <v>0</v>
      </c>
    </row>
    <row r="984" spans="1:16">
      <c r="A984" s="144">
        <v>45966</v>
      </c>
      <c r="J984" s="142">
        <f t="shared" si="64"/>
        <v>0</v>
      </c>
      <c r="M984" s="142">
        <f t="shared" si="71"/>
        <v>0</v>
      </c>
    </row>
  </sheetData>
  <mergeCells count="11">
    <mergeCell ref="W1:Y1"/>
    <mergeCell ref="Z1:AB1"/>
    <mergeCell ref="K1:M1"/>
    <mergeCell ref="AF1:AH1"/>
    <mergeCell ref="A1:D1"/>
    <mergeCell ref="E1:G1"/>
    <mergeCell ref="Q1:S1"/>
    <mergeCell ref="AC1:AE1"/>
    <mergeCell ref="H1:J1"/>
    <mergeCell ref="T1:V1"/>
    <mergeCell ref="N1:P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32"/>
  <sheetViews>
    <sheetView topLeftCell="B2049" zoomScaleNormal="100" workbookViewId="0">
      <selection activeCell="D2115" sqref="D2115"/>
    </sheetView>
  </sheetViews>
  <sheetFormatPr defaultColWidth="9" defaultRowHeight="14.5"/>
  <cols>
    <col min="1" max="1" width="8.26953125" customWidth="1"/>
    <col min="2" max="2" width="14.453125" customWidth="1"/>
    <col min="3" max="3" width="11.7265625" customWidth="1"/>
    <col min="4" max="4" width="11.453125" customWidth="1"/>
    <col min="5" max="5" width="10.7265625" customWidth="1"/>
    <col min="6" max="6" width="12.26953125" customWidth="1"/>
    <col min="9" max="9" width="14.7265625" customWidth="1"/>
    <col min="10" max="10" width="3.7265625" customWidth="1"/>
    <col min="11" max="11" width="83.26953125" customWidth="1"/>
  </cols>
  <sheetData>
    <row r="1" spans="1:7">
      <c r="A1" t="s">
        <v>15</v>
      </c>
      <c r="B1" t="s">
        <v>16</v>
      </c>
      <c r="G1" t="s">
        <v>17</v>
      </c>
    </row>
    <row r="2" spans="1:7">
      <c r="A2" t="s">
        <v>18</v>
      </c>
    </row>
    <row r="3" spans="1:7">
      <c r="A3" t="s">
        <v>19</v>
      </c>
    </row>
    <row r="4" spans="1:7">
      <c r="A4" t="s">
        <v>20</v>
      </c>
    </row>
    <row r="5" spans="1:7">
      <c r="A5" t="s">
        <v>21</v>
      </c>
      <c r="C5" t="s">
        <v>34</v>
      </c>
    </row>
    <row r="6" spans="1:7">
      <c r="D6" t="s">
        <v>22</v>
      </c>
    </row>
    <row r="7" spans="1:7">
      <c r="B7" t="s">
        <v>23</v>
      </c>
    </row>
    <row r="8" spans="1:7">
      <c r="B8" t="s">
        <v>24</v>
      </c>
    </row>
    <row r="9" spans="1:7">
      <c r="B9" t="s">
        <v>25</v>
      </c>
    </row>
    <row r="10" spans="1:7">
      <c r="B10" t="s">
        <v>27</v>
      </c>
    </row>
    <row r="11" spans="1:7" ht="15.5">
      <c r="B11" t="s">
        <v>26</v>
      </c>
      <c r="C11" t="s">
        <v>28</v>
      </c>
      <c r="F11" s="1"/>
    </row>
    <row r="12" spans="1:7">
      <c r="B12" t="s">
        <v>32</v>
      </c>
    </row>
    <row r="13" spans="1:7">
      <c r="B13" t="s">
        <v>29</v>
      </c>
      <c r="C13" t="s">
        <v>30</v>
      </c>
      <c r="G13" s="2"/>
    </row>
    <row r="14" spans="1:7">
      <c r="B14" t="s">
        <v>31</v>
      </c>
      <c r="G14" s="2"/>
    </row>
    <row r="15" spans="1:7">
      <c r="B15" t="s">
        <v>33</v>
      </c>
    </row>
    <row r="16" spans="1:7">
      <c r="C16" t="s">
        <v>35</v>
      </c>
      <c r="E16" t="s">
        <v>48</v>
      </c>
    </row>
    <row r="17" spans="1:11">
      <c r="D17" t="s">
        <v>36</v>
      </c>
      <c r="K17" t="s">
        <v>41</v>
      </c>
    </row>
    <row r="18" spans="1:11">
      <c r="A18">
        <v>1</v>
      </c>
      <c r="B18" t="s">
        <v>37</v>
      </c>
      <c r="J18">
        <v>1</v>
      </c>
      <c r="K18" t="s">
        <v>42</v>
      </c>
    </row>
    <row r="19" spans="1:11">
      <c r="C19" t="s">
        <v>38</v>
      </c>
      <c r="K19" t="s">
        <v>43</v>
      </c>
    </row>
    <row r="20" spans="1:11">
      <c r="C20">
        <v>-10608002</v>
      </c>
      <c r="K20">
        <v>10408048</v>
      </c>
    </row>
    <row r="21" spans="1:11">
      <c r="C21">
        <v>10608014</v>
      </c>
      <c r="J21" t="s">
        <v>44</v>
      </c>
    </row>
    <row r="22" spans="1:11">
      <c r="C22">
        <v>10603403</v>
      </c>
      <c r="J22" t="s">
        <v>45</v>
      </c>
    </row>
    <row r="23" spans="1:11">
      <c r="A23">
        <v>2</v>
      </c>
      <c r="B23" t="s">
        <v>39</v>
      </c>
      <c r="J23" t="s">
        <v>46</v>
      </c>
    </row>
    <row r="24" spans="1:11">
      <c r="A24">
        <v>3</v>
      </c>
      <c r="B24" t="s">
        <v>40</v>
      </c>
      <c r="J24" t="s">
        <v>47</v>
      </c>
    </row>
    <row r="26" spans="1:11">
      <c r="C26" s="5"/>
      <c r="E26" s="5" t="s">
        <v>49</v>
      </c>
      <c r="G26" s="5"/>
    </row>
    <row r="27" spans="1:11" ht="15.5">
      <c r="C27" s="4" t="s">
        <v>50</v>
      </c>
      <c r="D27" s="4" t="s">
        <v>51</v>
      </c>
      <c r="F27" s="4" t="s">
        <v>53</v>
      </c>
      <c r="G27" s="6"/>
    </row>
    <row r="28" spans="1:11">
      <c r="D28" s="4" t="s">
        <v>52</v>
      </c>
      <c r="H28" s="4" t="s">
        <v>57</v>
      </c>
    </row>
    <row r="29" spans="1:11">
      <c r="D29" s="4" t="s">
        <v>54</v>
      </c>
      <c r="E29" s="7" t="s">
        <v>62</v>
      </c>
      <c r="F29" s="3"/>
      <c r="H29" s="4" t="s">
        <v>29</v>
      </c>
      <c r="I29" s="4" t="s">
        <v>61</v>
      </c>
    </row>
    <row r="30" spans="1:11">
      <c r="D30" s="4" t="s">
        <v>26</v>
      </c>
      <c r="E30" s="4" t="s">
        <v>63</v>
      </c>
    </row>
    <row r="31" spans="1:11">
      <c r="D31" s="4" t="s">
        <v>55</v>
      </c>
      <c r="H31" s="4" t="s">
        <v>10</v>
      </c>
    </row>
    <row r="32" spans="1:11">
      <c r="D32" s="4" t="s">
        <v>56</v>
      </c>
      <c r="E32" s="4" t="s">
        <v>64</v>
      </c>
      <c r="H32" s="4" t="s">
        <v>29</v>
      </c>
      <c r="I32" s="4" t="s">
        <v>59</v>
      </c>
    </row>
    <row r="33" spans="4:13">
      <c r="D33" s="4" t="s">
        <v>83</v>
      </c>
      <c r="H33" s="4" t="s">
        <v>58</v>
      </c>
      <c r="I33" s="4" t="s">
        <v>60</v>
      </c>
    </row>
    <row r="36" spans="4:13">
      <c r="E36" s="4" t="s">
        <v>65</v>
      </c>
    </row>
    <row r="37" spans="4:13">
      <c r="D37" s="4" t="s">
        <v>4</v>
      </c>
      <c r="K37" s="4" t="s">
        <v>3</v>
      </c>
    </row>
    <row r="38" spans="4:13">
      <c r="D38" s="4" t="s">
        <v>72</v>
      </c>
      <c r="J38" s="4" t="s">
        <v>70</v>
      </c>
    </row>
    <row r="39" spans="4:13">
      <c r="D39" s="4" t="s">
        <v>66</v>
      </c>
      <c r="J39" s="4" t="s">
        <v>82</v>
      </c>
    </row>
    <row r="40" spans="4:13">
      <c r="D40" s="4" t="s">
        <v>67</v>
      </c>
    </row>
    <row r="41" spans="4:13">
      <c r="D41" s="4" t="s">
        <v>68</v>
      </c>
    </row>
    <row r="42" spans="4:13">
      <c r="D42" s="4" t="s">
        <v>69</v>
      </c>
    </row>
    <row r="44" spans="4:13">
      <c r="D44" s="4" t="s">
        <v>10</v>
      </c>
      <c r="J44" s="4" t="s">
        <v>7</v>
      </c>
    </row>
    <row r="45" spans="4:13">
      <c r="D45" s="4" t="s">
        <v>71</v>
      </c>
      <c r="E45" s="4"/>
      <c r="F45" s="4" t="s">
        <v>73</v>
      </c>
      <c r="J45" s="4" t="s">
        <v>77</v>
      </c>
      <c r="K45" s="4" t="s">
        <v>78</v>
      </c>
    </row>
    <row r="46" spans="4:13">
      <c r="D46" s="4" t="s">
        <v>74</v>
      </c>
      <c r="J46" s="4" t="s">
        <v>79</v>
      </c>
      <c r="M46" s="4" t="s">
        <v>81</v>
      </c>
    </row>
    <row r="47" spans="4:13">
      <c r="D47" s="4" t="s">
        <v>75</v>
      </c>
      <c r="J47" s="4" t="s">
        <v>80</v>
      </c>
    </row>
    <row r="48" spans="4:13">
      <c r="D48" s="4" t="s">
        <v>76</v>
      </c>
    </row>
    <row r="50" spans="1:13">
      <c r="E50" s="4" t="s">
        <v>84</v>
      </c>
    </row>
    <row r="51" spans="1:13">
      <c r="D51" s="4" t="s">
        <v>85</v>
      </c>
    </row>
    <row r="52" spans="1:13">
      <c r="D52" s="4" t="s">
        <v>86</v>
      </c>
      <c r="E52" s="4" t="s">
        <v>87</v>
      </c>
      <c r="F52" s="4" t="s">
        <v>88</v>
      </c>
      <c r="G52" s="4" t="s">
        <v>89</v>
      </c>
      <c r="H52" s="4"/>
    </row>
    <row r="53" spans="1:13">
      <c r="D53" s="4" t="s">
        <v>90</v>
      </c>
    </row>
    <row r="54" spans="1:13">
      <c r="D54" s="4" t="s">
        <v>91</v>
      </c>
    </row>
    <row r="55" spans="1:13">
      <c r="D55" s="4" t="s">
        <v>92</v>
      </c>
    </row>
    <row r="56" spans="1:13">
      <c r="D56" s="4" t="s">
        <v>93</v>
      </c>
    </row>
    <row r="57" spans="1:13">
      <c r="D57" s="4" t="s">
        <v>94</v>
      </c>
    </row>
    <row r="59" spans="1:13">
      <c r="B59" t="s">
        <v>95</v>
      </c>
    </row>
    <row r="60" spans="1:13">
      <c r="A60">
        <v>1</v>
      </c>
      <c r="B60" t="s">
        <v>96</v>
      </c>
    </row>
    <row r="61" spans="1:13">
      <c r="B61" t="s">
        <v>10</v>
      </c>
      <c r="F61" t="s">
        <v>7</v>
      </c>
      <c r="I61" t="s">
        <v>3</v>
      </c>
      <c r="M61" t="s">
        <v>4</v>
      </c>
    </row>
    <row r="62" spans="1:13">
      <c r="B62" t="s">
        <v>97</v>
      </c>
      <c r="F62" t="s">
        <v>100</v>
      </c>
      <c r="I62" t="s">
        <v>102</v>
      </c>
      <c r="M62" t="s">
        <v>106</v>
      </c>
    </row>
    <row r="63" spans="1:13">
      <c r="B63" t="s">
        <v>98</v>
      </c>
      <c r="F63" t="s">
        <v>101</v>
      </c>
      <c r="I63" t="s">
        <v>103</v>
      </c>
      <c r="K63" t="s">
        <v>104</v>
      </c>
      <c r="M63" t="s">
        <v>107</v>
      </c>
    </row>
    <row r="64" spans="1:13">
      <c r="B64" t="s">
        <v>99</v>
      </c>
      <c r="I64" t="s">
        <v>105</v>
      </c>
      <c r="M64" t="s">
        <v>108</v>
      </c>
    </row>
    <row r="65" spans="1:13">
      <c r="M65" t="s">
        <v>109</v>
      </c>
    </row>
    <row r="66" spans="1:13">
      <c r="A66">
        <v>2</v>
      </c>
      <c r="C66" t="s">
        <v>110</v>
      </c>
    </row>
    <row r="67" spans="1:13">
      <c r="A67">
        <v>1</v>
      </c>
      <c r="B67" t="s">
        <v>111</v>
      </c>
      <c r="I67" t="s">
        <v>123</v>
      </c>
      <c r="J67" t="s">
        <v>129</v>
      </c>
    </row>
    <row r="68" spans="1:13">
      <c r="B68" t="s">
        <v>112</v>
      </c>
      <c r="C68" t="s">
        <v>113</v>
      </c>
      <c r="D68" t="s">
        <v>114</v>
      </c>
      <c r="E68" t="s">
        <v>115</v>
      </c>
      <c r="H68">
        <v>1</v>
      </c>
      <c r="I68" t="s">
        <v>124</v>
      </c>
    </row>
    <row r="69" spans="1:13">
      <c r="A69">
        <v>2</v>
      </c>
      <c r="B69" t="s">
        <v>116</v>
      </c>
      <c r="E69">
        <v>15</v>
      </c>
      <c r="F69" t="s">
        <v>122</v>
      </c>
      <c r="H69">
        <v>2</v>
      </c>
      <c r="I69" t="s">
        <v>125</v>
      </c>
    </row>
    <row r="70" spans="1:13">
      <c r="D70" t="s">
        <v>117</v>
      </c>
      <c r="E70">
        <v>12</v>
      </c>
      <c r="F70" t="s">
        <v>122</v>
      </c>
      <c r="H70" t="s">
        <v>126</v>
      </c>
    </row>
    <row r="71" spans="1:13">
      <c r="A71">
        <v>3</v>
      </c>
      <c r="B71" t="s">
        <v>118</v>
      </c>
      <c r="F71">
        <v>1</v>
      </c>
      <c r="H71" t="s">
        <v>127</v>
      </c>
    </row>
    <row r="72" spans="1:13">
      <c r="D72" t="s">
        <v>119</v>
      </c>
      <c r="F72">
        <v>2</v>
      </c>
      <c r="H72" t="s">
        <v>128</v>
      </c>
    </row>
    <row r="73" spans="1:13">
      <c r="A73" t="s">
        <v>120</v>
      </c>
      <c r="D73" t="s">
        <v>121</v>
      </c>
    </row>
    <row r="75" spans="1:13">
      <c r="C75" t="s">
        <v>130</v>
      </c>
    </row>
    <row r="76" spans="1:13">
      <c r="B76" t="s">
        <v>131</v>
      </c>
    </row>
    <row r="77" spans="1:13">
      <c r="B77" t="s">
        <v>132</v>
      </c>
      <c r="G77" t="s">
        <v>134</v>
      </c>
    </row>
    <row r="78" spans="1:13">
      <c r="B78" t="s">
        <v>133</v>
      </c>
    </row>
    <row r="79" spans="1:13">
      <c r="E79" t="s">
        <v>161</v>
      </c>
    </row>
    <row r="80" spans="1:13">
      <c r="D80" t="s">
        <v>139</v>
      </c>
      <c r="J80" t="s">
        <v>35</v>
      </c>
    </row>
    <row r="81" spans="2:14">
      <c r="B81">
        <v>1</v>
      </c>
      <c r="C81" t="s">
        <v>140</v>
      </c>
      <c r="I81">
        <v>1</v>
      </c>
      <c r="J81" t="s">
        <v>141</v>
      </c>
      <c r="L81" t="s">
        <v>142</v>
      </c>
    </row>
    <row r="82" spans="2:14">
      <c r="E82" t="s">
        <v>143</v>
      </c>
      <c r="K82">
        <v>2</v>
      </c>
      <c r="L82" t="s">
        <v>144</v>
      </c>
    </row>
    <row r="83" spans="2:14">
      <c r="E83" t="s">
        <v>145</v>
      </c>
      <c r="I83">
        <v>2</v>
      </c>
      <c r="J83" t="s">
        <v>146</v>
      </c>
    </row>
    <row r="84" spans="2:14">
      <c r="E84" t="s">
        <v>147</v>
      </c>
      <c r="I84" t="s">
        <v>148</v>
      </c>
    </row>
    <row r="85" spans="2:14">
      <c r="B85">
        <v>2</v>
      </c>
      <c r="C85" t="s">
        <v>149</v>
      </c>
      <c r="G85" t="s">
        <v>150</v>
      </c>
      <c r="I85">
        <v>4</v>
      </c>
      <c r="J85" t="s">
        <v>151</v>
      </c>
    </row>
    <row r="86" spans="2:14">
      <c r="B86">
        <v>3</v>
      </c>
      <c r="C86" t="s">
        <v>152</v>
      </c>
      <c r="I86">
        <v>5</v>
      </c>
      <c r="J86" t="s">
        <v>153</v>
      </c>
    </row>
    <row r="87" spans="2:14">
      <c r="F87" t="s">
        <v>154</v>
      </c>
    </row>
    <row r="88" spans="2:14">
      <c r="B88">
        <v>4</v>
      </c>
      <c r="C88" t="s">
        <v>155</v>
      </c>
    </row>
    <row r="89" spans="2:14">
      <c r="D89" t="s">
        <v>156</v>
      </c>
    </row>
    <row r="90" spans="2:14">
      <c r="B90">
        <v>1</v>
      </c>
      <c r="C90" t="s">
        <v>157</v>
      </c>
      <c r="M90" t="s">
        <v>158</v>
      </c>
      <c r="N90" t="s">
        <v>159</v>
      </c>
    </row>
    <row r="91" spans="2:14">
      <c r="C91" t="s">
        <v>160</v>
      </c>
    </row>
    <row r="94" spans="2:14">
      <c r="D94" t="s">
        <v>163</v>
      </c>
    </row>
    <row r="95" spans="2:14">
      <c r="C95">
        <v>1</v>
      </c>
      <c r="D95" t="s">
        <v>164</v>
      </c>
    </row>
    <row r="96" spans="2:14">
      <c r="B96">
        <v>1</v>
      </c>
      <c r="C96" t="s">
        <v>165</v>
      </c>
      <c r="G96">
        <v>2</v>
      </c>
      <c r="H96" t="s">
        <v>4</v>
      </c>
    </row>
    <row r="97" spans="2:8">
      <c r="C97" t="s">
        <v>166</v>
      </c>
      <c r="G97" t="s">
        <v>168</v>
      </c>
    </row>
    <row r="98" spans="2:8">
      <c r="C98" t="s">
        <v>167</v>
      </c>
      <c r="G98" t="s">
        <v>169</v>
      </c>
    </row>
    <row r="100" spans="2:8">
      <c r="B100">
        <v>3</v>
      </c>
      <c r="C100" t="s">
        <v>7</v>
      </c>
      <c r="G100">
        <v>4</v>
      </c>
      <c r="H100" t="s">
        <v>10</v>
      </c>
    </row>
    <row r="101" spans="2:8">
      <c r="C101" t="s">
        <v>170</v>
      </c>
      <c r="G101" t="s">
        <v>172</v>
      </c>
    </row>
    <row r="102" spans="2:8">
      <c r="C102" t="s">
        <v>171</v>
      </c>
      <c r="G102" t="s">
        <v>173</v>
      </c>
    </row>
    <row r="104" spans="2:8">
      <c r="C104">
        <v>2</v>
      </c>
      <c r="D104" t="s">
        <v>174</v>
      </c>
    </row>
    <row r="105" spans="2:8">
      <c r="C105" t="s">
        <v>175</v>
      </c>
    </row>
    <row r="106" spans="2:8">
      <c r="C106" t="s">
        <v>177</v>
      </c>
      <c r="E106" t="s">
        <v>178</v>
      </c>
    </row>
    <row r="107" spans="2:8">
      <c r="C107" t="s">
        <v>176</v>
      </c>
    </row>
    <row r="108" spans="2:8">
      <c r="D108" t="s">
        <v>179</v>
      </c>
    </row>
    <row r="109" spans="2:8">
      <c r="B109">
        <v>1</v>
      </c>
      <c r="C109" t="s">
        <v>180</v>
      </c>
    </row>
    <row r="110" spans="2:8">
      <c r="B110">
        <v>2</v>
      </c>
      <c r="C110" t="s">
        <v>181</v>
      </c>
    </row>
    <row r="111" spans="2:8">
      <c r="B111">
        <v>3</v>
      </c>
      <c r="C111" t="s">
        <v>182</v>
      </c>
    </row>
    <row r="113" spans="2:13">
      <c r="C113" t="s">
        <v>183</v>
      </c>
    </row>
    <row r="114" spans="2:13">
      <c r="B114" t="s">
        <v>184</v>
      </c>
    </row>
    <row r="115" spans="2:13">
      <c r="B115">
        <v>2</v>
      </c>
      <c r="C115" t="s">
        <v>185</v>
      </c>
    </row>
    <row r="116" spans="2:13">
      <c r="B116">
        <v>3</v>
      </c>
      <c r="C116" t="s">
        <v>186</v>
      </c>
    </row>
    <row r="117" spans="2:13">
      <c r="B117">
        <v>4</v>
      </c>
      <c r="C117" t="s">
        <v>187</v>
      </c>
    </row>
    <row r="119" spans="2:13">
      <c r="C119" t="s">
        <v>188</v>
      </c>
    </row>
    <row r="120" spans="2:13">
      <c r="D120" t="s">
        <v>189</v>
      </c>
    </row>
    <row r="121" spans="2:13">
      <c r="C121" t="s">
        <v>7</v>
      </c>
      <c r="F121" t="s">
        <v>10</v>
      </c>
      <c r="J121" t="s">
        <v>4</v>
      </c>
    </row>
    <row r="122" spans="2:13">
      <c r="C122" t="s">
        <v>190</v>
      </c>
      <c r="D122" t="s">
        <v>192</v>
      </c>
      <c r="F122" t="s">
        <v>194</v>
      </c>
      <c r="J122" t="s">
        <v>205</v>
      </c>
      <c r="M122" t="s">
        <v>208</v>
      </c>
    </row>
    <row r="123" spans="2:13">
      <c r="C123" t="s">
        <v>191</v>
      </c>
      <c r="D123" t="s">
        <v>193</v>
      </c>
      <c r="F123" t="s">
        <v>195</v>
      </c>
      <c r="J123" t="s">
        <v>206</v>
      </c>
    </row>
    <row r="124" spans="2:13">
      <c r="J124" t="s">
        <v>207</v>
      </c>
    </row>
    <row r="125" spans="2:13">
      <c r="D125" t="s">
        <v>196</v>
      </c>
    </row>
    <row r="126" spans="2:13">
      <c r="B126">
        <v>1</v>
      </c>
      <c r="C126" t="s">
        <v>197</v>
      </c>
    </row>
    <row r="127" spans="2:13">
      <c r="C127" t="s">
        <v>198</v>
      </c>
      <c r="D127" t="s">
        <v>10</v>
      </c>
      <c r="E127" t="s">
        <v>7</v>
      </c>
    </row>
    <row r="128" spans="2:13">
      <c r="C128" t="s">
        <v>199</v>
      </c>
      <c r="D128" t="s">
        <v>199</v>
      </c>
      <c r="E128" t="s">
        <v>200</v>
      </c>
    </row>
    <row r="130" spans="2:4">
      <c r="B130">
        <v>2</v>
      </c>
      <c r="C130" t="s">
        <v>201</v>
      </c>
    </row>
    <row r="131" spans="2:4">
      <c r="C131" t="s">
        <v>10</v>
      </c>
      <c r="D131" t="s">
        <v>7</v>
      </c>
    </row>
    <row r="132" spans="2:4">
      <c r="C132" t="s">
        <v>200</v>
      </c>
      <c r="D132" t="s">
        <v>200</v>
      </c>
    </row>
    <row r="133" spans="2:4">
      <c r="B133">
        <v>3</v>
      </c>
      <c r="C133" t="s">
        <v>202</v>
      </c>
    </row>
    <row r="134" spans="2:4">
      <c r="C134" t="s">
        <v>203</v>
      </c>
      <c r="D134" t="s">
        <v>204</v>
      </c>
    </row>
    <row r="135" spans="2:4">
      <c r="B135">
        <v>4</v>
      </c>
      <c r="C135" t="s">
        <v>209</v>
      </c>
    </row>
    <row r="136" spans="2:4">
      <c r="B136">
        <v>5</v>
      </c>
      <c r="C136" t="s">
        <v>210</v>
      </c>
    </row>
    <row r="138" spans="2:4">
      <c r="D138" t="s">
        <v>211</v>
      </c>
    </row>
    <row r="139" spans="2:4">
      <c r="B139">
        <v>1</v>
      </c>
      <c r="C139" t="s">
        <v>39</v>
      </c>
    </row>
    <row r="140" spans="2:4">
      <c r="B140">
        <v>2</v>
      </c>
      <c r="C140" t="s">
        <v>212</v>
      </c>
    </row>
    <row r="141" spans="2:4">
      <c r="B141">
        <v>3</v>
      </c>
      <c r="C141" t="s">
        <v>213</v>
      </c>
    </row>
    <row r="142" spans="2:4">
      <c r="B142">
        <v>4</v>
      </c>
      <c r="C142" t="s">
        <v>214</v>
      </c>
    </row>
    <row r="143" spans="2:4">
      <c r="B143">
        <v>5</v>
      </c>
      <c r="C143" t="s">
        <v>215</v>
      </c>
    </row>
    <row r="144" spans="2:4">
      <c r="B144">
        <v>6</v>
      </c>
      <c r="C144" t="s">
        <v>216</v>
      </c>
    </row>
    <row r="145" spans="2:12">
      <c r="B145">
        <v>7</v>
      </c>
      <c r="C145" t="s">
        <v>217</v>
      </c>
    </row>
    <row r="147" spans="2:12">
      <c r="D147" t="s">
        <v>218</v>
      </c>
    </row>
    <row r="148" spans="2:12">
      <c r="D148" t="s">
        <v>219</v>
      </c>
    </row>
    <row r="149" spans="2:12">
      <c r="B149">
        <v>1</v>
      </c>
      <c r="C149" t="s">
        <v>51</v>
      </c>
    </row>
    <row r="150" spans="2:12">
      <c r="C150" t="s">
        <v>7</v>
      </c>
      <c r="E150" t="s">
        <v>10</v>
      </c>
      <c r="I150" t="s">
        <v>3</v>
      </c>
    </row>
    <row r="151" spans="2:12">
      <c r="C151" t="s">
        <v>229</v>
      </c>
      <c r="E151" t="s">
        <v>220</v>
      </c>
      <c r="I151" t="s">
        <v>221</v>
      </c>
      <c r="L151" t="s">
        <v>222</v>
      </c>
    </row>
    <row r="152" spans="2:12">
      <c r="C152" t="s">
        <v>225</v>
      </c>
    </row>
    <row r="154" spans="2:12">
      <c r="B154">
        <v>2</v>
      </c>
      <c r="C154" t="s">
        <v>226</v>
      </c>
    </row>
    <row r="155" spans="2:12">
      <c r="B155">
        <v>1</v>
      </c>
      <c r="C155" t="s">
        <v>223</v>
      </c>
    </row>
    <row r="156" spans="2:12">
      <c r="C156" t="s">
        <v>178</v>
      </c>
      <c r="D156" t="s">
        <v>204</v>
      </c>
    </row>
    <row r="157" spans="2:12">
      <c r="B157">
        <v>2</v>
      </c>
      <c r="C157" t="s">
        <v>224</v>
      </c>
    </row>
    <row r="158" spans="2:12">
      <c r="B158">
        <v>3</v>
      </c>
      <c r="C158" t="s">
        <v>227</v>
      </c>
    </row>
    <row r="159" spans="2:12">
      <c r="B159">
        <v>4</v>
      </c>
      <c r="C159" t="s">
        <v>224</v>
      </c>
    </row>
    <row r="160" spans="2:12">
      <c r="B160">
        <v>5</v>
      </c>
      <c r="C160" t="s">
        <v>228</v>
      </c>
    </row>
    <row r="161" spans="2:8">
      <c r="B161">
        <v>6</v>
      </c>
      <c r="C161" t="s">
        <v>230</v>
      </c>
    </row>
    <row r="163" spans="2:8">
      <c r="B163">
        <v>3</v>
      </c>
      <c r="C163" t="s">
        <v>231</v>
      </c>
    </row>
    <row r="164" spans="2:8">
      <c r="C164" t="s">
        <v>232</v>
      </c>
      <c r="H164" t="s">
        <v>233</v>
      </c>
    </row>
    <row r="165" spans="2:8">
      <c r="C165" t="s">
        <v>234</v>
      </c>
    </row>
    <row r="166" spans="2:8">
      <c r="C166" t="s">
        <v>235</v>
      </c>
    </row>
    <row r="167" spans="2:8">
      <c r="C167" t="s">
        <v>236</v>
      </c>
    </row>
    <row r="168" spans="2:8">
      <c r="C168" t="s">
        <v>237</v>
      </c>
    </row>
    <row r="171" spans="2:8">
      <c r="D171" s="15" t="s">
        <v>238</v>
      </c>
    </row>
    <row r="172" spans="2:8">
      <c r="D172" s="15" t="s">
        <v>239</v>
      </c>
    </row>
    <row r="173" spans="2:8">
      <c r="B173">
        <v>1</v>
      </c>
      <c r="C173" s="15" t="s">
        <v>96</v>
      </c>
    </row>
    <row r="174" spans="2:8">
      <c r="C174" s="15" t="s">
        <v>10</v>
      </c>
      <c r="H174" s="15" t="s">
        <v>7</v>
      </c>
    </row>
    <row r="175" spans="2:8">
      <c r="C175" s="15" t="s">
        <v>240</v>
      </c>
      <c r="H175" s="15" t="s">
        <v>243</v>
      </c>
    </row>
    <row r="176" spans="2:8">
      <c r="C176" s="15" t="s">
        <v>241</v>
      </c>
      <c r="H176" s="15" t="s">
        <v>244</v>
      </c>
    </row>
    <row r="177" spans="2:11">
      <c r="C177" s="15" t="s">
        <v>242</v>
      </c>
      <c r="H177" s="15" t="s">
        <v>245</v>
      </c>
    </row>
    <row r="178" spans="2:11">
      <c r="C178" s="15" t="s">
        <v>4</v>
      </c>
    </row>
    <row r="179" spans="2:11">
      <c r="C179" s="15" t="s">
        <v>240</v>
      </c>
    </row>
    <row r="180" spans="2:11">
      <c r="C180" s="15" t="s">
        <v>252</v>
      </c>
    </row>
    <row r="182" spans="2:11">
      <c r="B182">
        <v>2</v>
      </c>
      <c r="C182" s="15" t="s">
        <v>246</v>
      </c>
      <c r="D182" s="15" t="s">
        <v>247</v>
      </c>
    </row>
    <row r="183" spans="2:11">
      <c r="C183" s="15" t="s">
        <v>3</v>
      </c>
      <c r="K183" s="15" t="s">
        <v>7</v>
      </c>
    </row>
    <row r="184" spans="2:11">
      <c r="C184" s="15" t="s">
        <v>248</v>
      </c>
      <c r="K184" s="15" t="s">
        <v>256</v>
      </c>
    </row>
    <row r="185" spans="2:11">
      <c r="C185" s="15" t="s">
        <v>249</v>
      </c>
      <c r="K185" s="15" t="s">
        <v>257</v>
      </c>
    </row>
    <row r="186" spans="2:11">
      <c r="C186" s="15" t="s">
        <v>250</v>
      </c>
      <c r="K186" s="15" t="s">
        <v>258</v>
      </c>
    </row>
    <row r="187" spans="2:11">
      <c r="C187" s="15" t="s">
        <v>251</v>
      </c>
    </row>
    <row r="188" spans="2:11">
      <c r="C188" s="15" t="s">
        <v>4</v>
      </c>
      <c r="K188" s="15" t="s">
        <v>10</v>
      </c>
    </row>
    <row r="189" spans="2:11">
      <c r="C189" s="15" t="s">
        <v>253</v>
      </c>
      <c r="K189" s="15" t="s">
        <v>259</v>
      </c>
    </row>
    <row r="190" spans="2:11">
      <c r="C190" s="15" t="s">
        <v>254</v>
      </c>
      <c r="K190" s="15" t="s">
        <v>260</v>
      </c>
    </row>
    <row r="191" spans="2:11">
      <c r="C191" s="15" t="s">
        <v>255</v>
      </c>
      <c r="K191" s="15" t="s">
        <v>261</v>
      </c>
    </row>
    <row r="192" spans="2:11">
      <c r="K192" s="15" t="s">
        <v>262</v>
      </c>
    </row>
    <row r="194" spans="2:8">
      <c r="B194">
        <v>3</v>
      </c>
      <c r="C194" s="15" t="s">
        <v>263</v>
      </c>
    </row>
    <row r="195" spans="2:8">
      <c r="C195" s="15" t="s">
        <v>264</v>
      </c>
    </row>
    <row r="196" spans="2:8">
      <c r="C196" s="15" t="s">
        <v>265</v>
      </c>
      <c r="H196" s="15" t="s">
        <v>267</v>
      </c>
    </row>
    <row r="197" spans="2:8">
      <c r="C197" s="15" t="s">
        <v>266</v>
      </c>
      <c r="H197" s="15" t="s">
        <v>270</v>
      </c>
    </row>
    <row r="198" spans="2:8">
      <c r="C198" s="15" t="s">
        <v>268</v>
      </c>
    </row>
    <row r="199" spans="2:8">
      <c r="C199" s="15" t="s">
        <v>269</v>
      </c>
    </row>
    <row r="200" spans="2:8">
      <c r="C200" s="15" t="s">
        <v>271</v>
      </c>
    </row>
    <row r="202" spans="2:8">
      <c r="C202" s="15" t="s">
        <v>272</v>
      </c>
    </row>
    <row r="205" spans="2:8">
      <c r="C205" t="s">
        <v>273</v>
      </c>
    </row>
    <row r="206" spans="2:8">
      <c r="B206">
        <v>1</v>
      </c>
      <c r="C206" t="s">
        <v>96</v>
      </c>
    </row>
    <row r="207" spans="2:8">
      <c r="C207" t="s">
        <v>3</v>
      </c>
      <c r="G207" t="s">
        <v>4</v>
      </c>
    </row>
    <row r="208" spans="2:8">
      <c r="C208" t="s">
        <v>274</v>
      </c>
      <c r="G208" t="s">
        <v>275</v>
      </c>
    </row>
    <row r="209" spans="2:13">
      <c r="G209" t="s">
        <v>276</v>
      </c>
    </row>
    <row r="210" spans="2:13">
      <c r="C210" t="s">
        <v>7</v>
      </c>
      <c r="G210" t="s">
        <v>277</v>
      </c>
    </row>
    <row r="211" spans="2:13">
      <c r="C211" t="s">
        <v>279</v>
      </c>
      <c r="G211" t="s">
        <v>278</v>
      </c>
    </row>
    <row r="213" spans="2:13">
      <c r="C213" t="s">
        <v>10</v>
      </c>
    </row>
    <row r="214" spans="2:13">
      <c r="C214" t="s">
        <v>280</v>
      </c>
      <c r="F214" t="s">
        <v>281</v>
      </c>
    </row>
    <row r="216" spans="2:13">
      <c r="B216">
        <v>2</v>
      </c>
      <c r="C216" t="s">
        <v>226</v>
      </c>
    </row>
    <row r="217" spans="2:13">
      <c r="C217" t="s">
        <v>3</v>
      </c>
      <c r="J217" t="s">
        <v>4</v>
      </c>
    </row>
    <row r="218" spans="2:13">
      <c r="C218" t="s">
        <v>282</v>
      </c>
      <c r="J218" t="s">
        <v>306</v>
      </c>
      <c r="M218" t="s">
        <v>308</v>
      </c>
    </row>
    <row r="219" spans="2:13">
      <c r="C219" t="s">
        <v>283</v>
      </c>
      <c r="J219" t="s">
        <v>307</v>
      </c>
    </row>
    <row r="220" spans="2:13">
      <c r="C220" t="s">
        <v>284</v>
      </c>
    </row>
    <row r="221" spans="2:13">
      <c r="C221" t="s">
        <v>285</v>
      </c>
    </row>
    <row r="222" spans="2:13">
      <c r="C222" t="s">
        <v>10</v>
      </c>
      <c r="J222" t="s">
        <v>7</v>
      </c>
    </row>
    <row r="223" spans="2:13">
      <c r="C223" t="s">
        <v>286</v>
      </c>
      <c r="J223" t="s">
        <v>290</v>
      </c>
    </row>
    <row r="224" spans="2:13">
      <c r="C224" t="s">
        <v>287</v>
      </c>
      <c r="J224" t="s">
        <v>291</v>
      </c>
    </row>
    <row r="225" spans="2:10">
      <c r="C225" t="s">
        <v>288</v>
      </c>
      <c r="J225" t="s">
        <v>292</v>
      </c>
    </row>
    <row r="226" spans="2:10">
      <c r="C226" t="s">
        <v>289</v>
      </c>
      <c r="J226" t="s">
        <v>293</v>
      </c>
    </row>
    <row r="227" spans="2:10">
      <c r="C227" t="s">
        <v>282</v>
      </c>
    </row>
    <row r="229" spans="2:10">
      <c r="B229">
        <v>3</v>
      </c>
      <c r="C229" t="s">
        <v>294</v>
      </c>
      <c r="E229" t="s">
        <v>300</v>
      </c>
      <c r="J229" t="s">
        <v>301</v>
      </c>
    </row>
    <row r="230" spans="2:10">
      <c r="C230" t="s">
        <v>295</v>
      </c>
      <c r="J230" t="s">
        <v>302</v>
      </c>
    </row>
    <row r="231" spans="2:10">
      <c r="C231" t="s">
        <v>296</v>
      </c>
      <c r="J231" t="s">
        <v>303</v>
      </c>
    </row>
    <row r="232" spans="2:10">
      <c r="C232" t="s">
        <v>297</v>
      </c>
      <c r="J232" t="s">
        <v>304</v>
      </c>
    </row>
    <row r="233" spans="2:10">
      <c r="C233" t="s">
        <v>298</v>
      </c>
      <c r="J233" t="s">
        <v>305</v>
      </c>
    </row>
    <row r="234" spans="2:10">
      <c r="C234" t="s">
        <v>299</v>
      </c>
    </row>
    <row r="236" spans="2:10">
      <c r="B236">
        <v>4</v>
      </c>
      <c r="C236" t="s">
        <v>309</v>
      </c>
    </row>
    <row r="238" spans="2:10">
      <c r="B238">
        <v>1</v>
      </c>
      <c r="C238" t="s">
        <v>310</v>
      </c>
    </row>
    <row r="239" spans="2:10">
      <c r="C239" t="s">
        <v>96</v>
      </c>
    </row>
    <row r="240" spans="2:10">
      <c r="C240" t="s">
        <v>311</v>
      </c>
      <c r="F240" t="s">
        <v>301</v>
      </c>
    </row>
    <row r="241" spans="2:13">
      <c r="C241" t="s">
        <v>312</v>
      </c>
      <c r="F241" t="s">
        <v>316</v>
      </c>
    </row>
    <row r="242" spans="2:13">
      <c r="C242" t="s">
        <v>313</v>
      </c>
      <c r="F242" t="s">
        <v>317</v>
      </c>
    </row>
    <row r="243" spans="2:13">
      <c r="C243" t="s">
        <v>314</v>
      </c>
      <c r="F243" t="s">
        <v>318</v>
      </c>
    </row>
    <row r="244" spans="2:13">
      <c r="C244" t="s">
        <v>315</v>
      </c>
    </row>
    <row r="245" spans="2:13">
      <c r="B245">
        <v>2</v>
      </c>
      <c r="C245" t="s">
        <v>226</v>
      </c>
    </row>
    <row r="246" spans="2:13">
      <c r="C246" t="s">
        <v>311</v>
      </c>
      <c r="J246" t="s">
        <v>301</v>
      </c>
    </row>
    <row r="247" spans="2:13">
      <c r="C247" t="s">
        <v>319</v>
      </c>
      <c r="J247" t="s">
        <v>323</v>
      </c>
    </row>
    <row r="248" spans="2:13">
      <c r="C248" t="s">
        <v>320</v>
      </c>
      <c r="J248" t="s">
        <v>324</v>
      </c>
    </row>
    <row r="249" spans="2:13">
      <c r="C249" t="s">
        <v>321</v>
      </c>
      <c r="J249" t="s">
        <v>325</v>
      </c>
    </row>
    <row r="250" spans="2:13">
      <c r="C250" t="s">
        <v>322</v>
      </c>
      <c r="J250" t="s">
        <v>326</v>
      </c>
      <c r="M250" t="s">
        <v>327</v>
      </c>
    </row>
    <row r="251" spans="2:13">
      <c r="B251">
        <v>3</v>
      </c>
      <c r="C251" t="s">
        <v>294</v>
      </c>
    </row>
    <row r="252" spans="2:13">
      <c r="C252" t="s">
        <v>328</v>
      </c>
    </row>
    <row r="253" spans="2:13">
      <c r="C253" t="s">
        <v>329</v>
      </c>
      <c r="G253" t="s">
        <v>334</v>
      </c>
    </row>
    <row r="254" spans="2:13">
      <c r="C254" t="s">
        <v>330</v>
      </c>
    </row>
    <row r="255" spans="2:13">
      <c r="C255" t="s">
        <v>331</v>
      </c>
    </row>
    <row r="256" spans="2:13">
      <c r="C256" t="s">
        <v>332</v>
      </c>
    </row>
    <row r="257" spans="2:10">
      <c r="C257" t="s">
        <v>333</v>
      </c>
    </row>
    <row r="258" spans="2:10">
      <c r="C258" t="s">
        <v>335</v>
      </c>
    </row>
    <row r="260" spans="2:10">
      <c r="C260" t="s">
        <v>336</v>
      </c>
    </row>
    <row r="261" spans="2:10">
      <c r="B261">
        <v>1</v>
      </c>
      <c r="C261" t="s">
        <v>96</v>
      </c>
    </row>
    <row r="262" spans="2:10">
      <c r="C262" t="s">
        <v>311</v>
      </c>
      <c r="F262" t="s">
        <v>301</v>
      </c>
    </row>
    <row r="263" spans="2:10">
      <c r="C263" t="s">
        <v>337</v>
      </c>
      <c r="F263" t="s">
        <v>99</v>
      </c>
    </row>
    <row r="264" spans="2:10">
      <c r="C264" t="s">
        <v>338</v>
      </c>
      <c r="F264" t="s">
        <v>339</v>
      </c>
    </row>
    <row r="265" spans="2:10">
      <c r="F265" t="s">
        <v>340</v>
      </c>
    </row>
    <row r="266" spans="2:10">
      <c r="B266">
        <v>2</v>
      </c>
      <c r="C266" t="s">
        <v>226</v>
      </c>
    </row>
    <row r="267" spans="2:10">
      <c r="C267" t="s">
        <v>311</v>
      </c>
      <c r="J267" t="s">
        <v>346</v>
      </c>
    </row>
    <row r="268" spans="2:10">
      <c r="C268" t="s">
        <v>341</v>
      </c>
      <c r="J268" t="s">
        <v>347</v>
      </c>
    </row>
    <row r="269" spans="2:10">
      <c r="C269" t="s">
        <v>342</v>
      </c>
      <c r="J269" t="s">
        <v>348</v>
      </c>
    </row>
    <row r="270" spans="2:10">
      <c r="C270" t="s">
        <v>343</v>
      </c>
      <c r="J270" t="s">
        <v>349</v>
      </c>
    </row>
    <row r="271" spans="2:10">
      <c r="C271" t="s">
        <v>344</v>
      </c>
      <c r="J271" t="s">
        <v>350</v>
      </c>
    </row>
    <row r="272" spans="2:10">
      <c r="C272" t="s">
        <v>345</v>
      </c>
      <c r="J272" t="s">
        <v>351</v>
      </c>
    </row>
    <row r="273" spans="2:8">
      <c r="B273">
        <v>3</v>
      </c>
      <c r="C273" t="s">
        <v>352</v>
      </c>
    </row>
    <row r="274" spans="2:8">
      <c r="C274" t="s">
        <v>353</v>
      </c>
    </row>
    <row r="275" spans="2:8">
      <c r="C275" t="s">
        <v>354</v>
      </c>
    </row>
    <row r="276" spans="2:8">
      <c r="C276" t="s">
        <v>355</v>
      </c>
    </row>
    <row r="277" spans="2:8">
      <c r="C277" t="s">
        <v>356</v>
      </c>
    </row>
    <row r="279" spans="2:8">
      <c r="H279" s="16"/>
    </row>
    <row r="280" spans="2:8">
      <c r="C280" s="17" t="s">
        <v>357</v>
      </c>
      <c r="D280" s="17"/>
      <c r="E280" s="17"/>
      <c r="F280" s="17"/>
      <c r="G280" s="17"/>
    </row>
    <row r="281" spans="2:8">
      <c r="C281" s="17" t="s">
        <v>96</v>
      </c>
    </row>
    <row r="282" spans="2:8">
      <c r="C282" s="17" t="s">
        <v>358</v>
      </c>
      <c r="G282" s="17" t="s">
        <v>41</v>
      </c>
    </row>
    <row r="283" spans="2:8">
      <c r="C283" s="17" t="s">
        <v>359</v>
      </c>
      <c r="G283" s="17" t="s">
        <v>361</v>
      </c>
    </row>
    <row r="284" spans="2:8">
      <c r="C284" s="17" t="s">
        <v>360</v>
      </c>
      <c r="G284" s="17" t="s">
        <v>362</v>
      </c>
    </row>
    <row r="285" spans="2:8">
      <c r="C285" s="17" t="s">
        <v>365</v>
      </c>
      <c r="G285" s="17" t="s">
        <v>363</v>
      </c>
    </row>
    <row r="287" spans="2:8">
      <c r="C287" s="17" t="s">
        <v>364</v>
      </c>
    </row>
    <row r="288" spans="2:8">
      <c r="C288" s="17" t="s">
        <v>366</v>
      </c>
    </row>
    <row r="289" spans="3:3">
      <c r="C289" s="17" t="s">
        <v>367</v>
      </c>
    </row>
    <row r="290" spans="3:3">
      <c r="C290" s="17" t="s">
        <v>368</v>
      </c>
    </row>
    <row r="291" spans="3:3">
      <c r="C291" s="17" t="s">
        <v>369</v>
      </c>
    </row>
    <row r="292" spans="3:3">
      <c r="C292" s="17" t="s">
        <v>370</v>
      </c>
    </row>
    <row r="293" spans="3:3">
      <c r="C293" s="17" t="s">
        <v>371</v>
      </c>
    </row>
    <row r="294" spans="3:3">
      <c r="C294" s="17" t="s">
        <v>372</v>
      </c>
    </row>
    <row r="296" spans="3:3">
      <c r="C296" s="17" t="s">
        <v>373</v>
      </c>
    </row>
    <row r="297" spans="3:3">
      <c r="C297" s="17" t="s">
        <v>374</v>
      </c>
    </row>
    <row r="298" spans="3:3">
      <c r="C298" s="17" t="s">
        <v>375</v>
      </c>
    </row>
    <row r="299" spans="3:3">
      <c r="C299" s="17" t="s">
        <v>376</v>
      </c>
    </row>
    <row r="300" spans="3:3">
      <c r="C300" s="17" t="s">
        <v>377</v>
      </c>
    </row>
    <row r="302" spans="3:3">
      <c r="C302" s="17" t="s">
        <v>378</v>
      </c>
    </row>
    <row r="303" spans="3:3">
      <c r="C303" s="17" t="s">
        <v>379</v>
      </c>
    </row>
    <row r="304" spans="3:3">
      <c r="C304" s="17" t="s">
        <v>380</v>
      </c>
    </row>
    <row r="306" spans="2:8">
      <c r="C306" s="21" t="s">
        <v>381</v>
      </c>
      <c r="D306" s="21"/>
      <c r="E306" s="21"/>
      <c r="F306" s="21"/>
      <c r="G306" s="21"/>
    </row>
    <row r="307" spans="2:8">
      <c r="B307">
        <v>1</v>
      </c>
      <c r="C307" s="19" t="s">
        <v>382</v>
      </c>
      <c r="D307" s="19"/>
      <c r="E307" s="19"/>
      <c r="F307" s="19"/>
    </row>
    <row r="308" spans="2:8">
      <c r="C308" s="18" t="s">
        <v>383</v>
      </c>
      <c r="D308" s="18" t="s">
        <v>385</v>
      </c>
      <c r="E308" s="18" t="s">
        <v>387</v>
      </c>
      <c r="F308" s="18" t="s">
        <v>389</v>
      </c>
      <c r="G308" s="18" t="s">
        <v>391</v>
      </c>
      <c r="H308" s="20" t="s">
        <v>425</v>
      </c>
    </row>
    <row r="309" spans="2:8">
      <c r="C309" s="18" t="s">
        <v>384</v>
      </c>
      <c r="D309" s="18" t="s">
        <v>386</v>
      </c>
      <c r="E309" s="18" t="s">
        <v>388</v>
      </c>
      <c r="F309" s="18" t="s">
        <v>390</v>
      </c>
      <c r="G309" s="18" t="s">
        <v>392</v>
      </c>
      <c r="H309" s="20" t="s">
        <v>448</v>
      </c>
    </row>
    <row r="310" spans="2:8">
      <c r="C310" s="18" t="s">
        <v>393</v>
      </c>
      <c r="E310" s="18" t="s">
        <v>5</v>
      </c>
    </row>
    <row r="311" spans="2:8">
      <c r="C311" s="18" t="s">
        <v>394</v>
      </c>
      <c r="E311" s="18" t="s">
        <v>395</v>
      </c>
    </row>
    <row r="312" spans="2:8">
      <c r="C312" s="19" t="s">
        <v>396</v>
      </c>
      <c r="D312" s="19"/>
      <c r="E312" s="19"/>
    </row>
    <row r="313" spans="2:8">
      <c r="C313" s="18" t="s">
        <v>3</v>
      </c>
      <c r="G313" s="18" t="s">
        <v>399</v>
      </c>
    </row>
    <row r="314" spans="2:8">
      <c r="C314" s="18" t="s">
        <v>397</v>
      </c>
      <c r="G314" s="18" t="s">
        <v>191</v>
      </c>
      <c r="H314" s="18" t="s">
        <v>400</v>
      </c>
    </row>
    <row r="315" spans="2:8">
      <c r="C315" s="18" t="s">
        <v>398</v>
      </c>
      <c r="G315" s="18" t="s">
        <v>401</v>
      </c>
    </row>
    <row r="316" spans="2:8">
      <c r="G316" s="18" t="s">
        <v>402</v>
      </c>
    </row>
    <row r="317" spans="2:8">
      <c r="C317" s="19" t="s">
        <v>226</v>
      </c>
      <c r="D317" s="19"/>
      <c r="E317" s="19"/>
      <c r="F317" s="19"/>
    </row>
    <row r="318" spans="2:8">
      <c r="C318" s="18" t="s">
        <v>311</v>
      </c>
    </row>
    <row r="319" spans="2:8">
      <c r="C319" s="18" t="s">
        <v>403</v>
      </c>
    </row>
    <row r="320" spans="2:8">
      <c r="C320" s="18" t="s">
        <v>404</v>
      </c>
    </row>
    <row r="321" spans="2:6">
      <c r="C321" s="18" t="s">
        <v>405</v>
      </c>
      <c r="E321" s="18" t="s">
        <v>406</v>
      </c>
    </row>
    <row r="322" spans="2:6">
      <c r="C322" s="18" t="s">
        <v>407</v>
      </c>
    </row>
    <row r="323" spans="2:6">
      <c r="C323" s="18" t="s">
        <v>408</v>
      </c>
    </row>
    <row r="324" spans="2:6">
      <c r="C324" s="19" t="s">
        <v>409</v>
      </c>
      <c r="D324" s="19"/>
      <c r="E324" s="19"/>
      <c r="F324" s="19" t="s">
        <v>311</v>
      </c>
    </row>
    <row r="325" spans="2:6">
      <c r="C325" s="18" t="s">
        <v>410</v>
      </c>
      <c r="F325" s="18" t="s">
        <v>412</v>
      </c>
    </row>
    <row r="326" spans="2:6">
      <c r="C326" s="18" t="s">
        <v>411</v>
      </c>
    </row>
    <row r="327" spans="2:6">
      <c r="C327" s="18" t="s">
        <v>413</v>
      </c>
    </row>
    <row r="328" spans="2:6">
      <c r="C328" s="18" t="s">
        <v>414</v>
      </c>
    </row>
    <row r="329" spans="2:6">
      <c r="B329">
        <v>2</v>
      </c>
      <c r="C329" s="19" t="s">
        <v>415</v>
      </c>
    </row>
    <row r="330" spans="2:6">
      <c r="C330" s="19" t="s">
        <v>416</v>
      </c>
      <c r="D330" s="19"/>
      <c r="E330" s="19"/>
    </row>
    <row r="331" spans="2:6">
      <c r="C331" s="20" t="s">
        <v>417</v>
      </c>
      <c r="E331" s="20" t="s">
        <v>418</v>
      </c>
      <c r="F331" s="20" t="s">
        <v>425</v>
      </c>
    </row>
    <row r="332" spans="2:6">
      <c r="C332" s="20" t="s">
        <v>420</v>
      </c>
      <c r="E332" s="20" t="s">
        <v>419</v>
      </c>
      <c r="F332" s="20" t="s">
        <v>427</v>
      </c>
    </row>
    <row r="333" spans="2:6">
      <c r="C333" s="19" t="s">
        <v>421</v>
      </c>
      <c r="D333" s="19"/>
    </row>
    <row r="334" spans="2:6">
      <c r="C334" s="20" t="s">
        <v>422</v>
      </c>
      <c r="E334" s="20" t="s">
        <v>6</v>
      </c>
      <c r="F334" s="20" t="s">
        <v>425</v>
      </c>
    </row>
    <row r="335" spans="2:6">
      <c r="C335" s="20" t="s">
        <v>423</v>
      </c>
      <c r="E335" s="20" t="s">
        <v>424</v>
      </c>
      <c r="F335" s="20" t="s">
        <v>426</v>
      </c>
    </row>
    <row r="336" spans="2:6">
      <c r="C336" s="19" t="s">
        <v>428</v>
      </c>
      <c r="D336" s="19"/>
      <c r="E336" s="19"/>
      <c r="F336" s="19"/>
    </row>
    <row r="337" spans="3:5">
      <c r="C337" s="20" t="s">
        <v>429</v>
      </c>
    </row>
    <row r="338" spans="3:5">
      <c r="C338" s="20" t="s">
        <v>430</v>
      </c>
    </row>
    <row r="339" spans="3:5">
      <c r="C339" s="20" t="s">
        <v>431</v>
      </c>
    </row>
    <row r="340" spans="3:5">
      <c r="C340" s="20" t="s">
        <v>432</v>
      </c>
    </row>
    <row r="341" spans="3:5">
      <c r="C341" s="20" t="s">
        <v>433</v>
      </c>
    </row>
    <row r="342" spans="3:5">
      <c r="C342" s="20" t="s">
        <v>434</v>
      </c>
    </row>
    <row r="343" spans="3:5">
      <c r="C343" s="20" t="s">
        <v>435</v>
      </c>
    </row>
    <row r="344" spans="3:5">
      <c r="C344" s="19" t="s">
        <v>436</v>
      </c>
      <c r="D344" s="19"/>
      <c r="E344" s="19"/>
    </row>
    <row r="345" spans="3:5">
      <c r="C345" s="20" t="s">
        <v>437</v>
      </c>
      <c r="E345" s="20" t="s">
        <v>199</v>
      </c>
    </row>
    <row r="346" spans="3:5">
      <c r="C346" s="20" t="s">
        <v>421</v>
      </c>
      <c r="E346" s="20" t="s">
        <v>438</v>
      </c>
    </row>
    <row r="347" spans="3:5">
      <c r="C347" s="19" t="s">
        <v>364</v>
      </c>
      <c r="D347" s="19"/>
    </row>
    <row r="348" spans="3:5">
      <c r="C348" s="20" t="s">
        <v>439</v>
      </c>
    </row>
    <row r="349" spans="3:5">
      <c r="C349" s="20" t="s">
        <v>440</v>
      </c>
    </row>
    <row r="350" spans="3:5">
      <c r="C350" s="20" t="s">
        <v>441</v>
      </c>
    </row>
    <row r="351" spans="3:5">
      <c r="C351" s="20" t="s">
        <v>442</v>
      </c>
    </row>
    <row r="352" spans="3:5">
      <c r="C352" s="19" t="s">
        <v>409</v>
      </c>
      <c r="D352" s="19"/>
      <c r="E352" s="19"/>
    </row>
    <row r="353" spans="1:9">
      <c r="C353" s="20" t="s">
        <v>443</v>
      </c>
    </row>
    <row r="354" spans="1:9">
      <c r="C354" s="20" t="s">
        <v>444</v>
      </c>
    </row>
    <row r="355" spans="1:9">
      <c r="C355" s="20" t="s">
        <v>445</v>
      </c>
    </row>
    <row r="356" spans="1:9">
      <c r="C356" s="20" t="s">
        <v>414</v>
      </c>
    </row>
    <row r="357" spans="1:9">
      <c r="C357" s="20" t="s">
        <v>446</v>
      </c>
    </row>
    <row r="358" spans="1:9">
      <c r="C358" s="20" t="s">
        <v>447</v>
      </c>
    </row>
    <row r="360" spans="1:9">
      <c r="B360" s="22" t="s">
        <v>449</v>
      </c>
      <c r="C360" s="23"/>
      <c r="D360" s="23"/>
      <c r="E360" s="23"/>
      <c r="F360" s="23"/>
    </row>
    <row r="361" spans="1:9">
      <c r="A361">
        <v>1</v>
      </c>
      <c r="B361" s="19" t="s">
        <v>450</v>
      </c>
    </row>
    <row r="362" spans="1:9">
      <c r="B362" s="24" t="s">
        <v>451</v>
      </c>
      <c r="C362" s="24" t="s">
        <v>2</v>
      </c>
      <c r="D362" s="24" t="s">
        <v>454</v>
      </c>
      <c r="E362" s="24" t="s">
        <v>455</v>
      </c>
      <c r="F362" s="24" t="s">
        <v>458</v>
      </c>
      <c r="G362" s="24" t="s">
        <v>459</v>
      </c>
      <c r="I362" s="24" t="s">
        <v>460</v>
      </c>
    </row>
    <row r="363" spans="1:9">
      <c r="B363" s="24" t="s">
        <v>453</v>
      </c>
      <c r="C363" s="24" t="s">
        <v>452</v>
      </c>
      <c r="D363" s="24" t="s">
        <v>456</v>
      </c>
      <c r="E363" s="24" t="s">
        <v>457</v>
      </c>
      <c r="F363" t="s">
        <v>464</v>
      </c>
      <c r="G363" s="25" t="s">
        <v>463</v>
      </c>
      <c r="I363" s="25" t="s">
        <v>465</v>
      </c>
    </row>
    <row r="364" spans="1:9">
      <c r="B364" s="24" t="s">
        <v>4</v>
      </c>
      <c r="C364" s="24" t="s">
        <v>5</v>
      </c>
    </row>
    <row r="365" spans="1:9">
      <c r="B365" s="24" t="s">
        <v>461</v>
      </c>
      <c r="C365" s="24" t="s">
        <v>462</v>
      </c>
    </row>
    <row r="366" spans="1:9">
      <c r="A366">
        <v>2</v>
      </c>
      <c r="B366" s="19" t="s">
        <v>466</v>
      </c>
      <c r="C366" s="19"/>
      <c r="D366" s="19"/>
      <c r="E366" s="19"/>
    </row>
    <row r="367" spans="1:9">
      <c r="B367" s="25" t="s">
        <v>467</v>
      </c>
    </row>
    <row r="368" spans="1:9">
      <c r="A368" s="19">
        <v>3</v>
      </c>
      <c r="B368" s="19" t="s">
        <v>364</v>
      </c>
      <c r="C368" s="19"/>
    </row>
    <row r="369" spans="1:5">
      <c r="B369" s="25" t="s">
        <v>468</v>
      </c>
    </row>
    <row r="370" spans="1:5">
      <c r="B370" s="25" t="s">
        <v>469</v>
      </c>
    </row>
    <row r="371" spans="1:5">
      <c r="B371" s="25" t="s">
        <v>259</v>
      </c>
    </row>
    <row r="372" spans="1:5">
      <c r="A372" s="19">
        <v>4</v>
      </c>
      <c r="B372" s="19" t="s">
        <v>470</v>
      </c>
      <c r="C372" s="19"/>
      <c r="D372" s="19"/>
    </row>
    <row r="373" spans="1:5">
      <c r="B373" s="25" t="s">
        <v>471</v>
      </c>
    </row>
    <row r="374" spans="1:5">
      <c r="B374" s="25" t="s">
        <v>472</v>
      </c>
      <c r="C374" s="25" t="s">
        <v>473</v>
      </c>
    </row>
    <row r="375" spans="1:5">
      <c r="B375" s="25" t="s">
        <v>474</v>
      </c>
    </row>
    <row r="376" spans="1:5">
      <c r="B376" s="22" t="s">
        <v>475</v>
      </c>
      <c r="C376" s="23"/>
    </row>
    <row r="377" spans="1:5">
      <c r="A377">
        <v>1</v>
      </c>
      <c r="B377" s="19" t="s">
        <v>476</v>
      </c>
      <c r="C377" s="19"/>
      <c r="D377" s="19"/>
    </row>
    <row r="378" spans="1:5">
      <c r="B378" s="25" t="s">
        <v>417</v>
      </c>
      <c r="C378" s="25" t="s">
        <v>418</v>
      </c>
      <c r="D378" s="25" t="s">
        <v>478</v>
      </c>
    </row>
    <row r="379" spans="1:5">
      <c r="B379" s="25" t="s">
        <v>477</v>
      </c>
      <c r="C379">
        <v>1560</v>
      </c>
      <c r="D379" s="25" t="s">
        <v>479</v>
      </c>
    </row>
    <row r="380" spans="1:5">
      <c r="B380" s="25" t="s">
        <v>480</v>
      </c>
      <c r="C380" s="25" t="s">
        <v>6</v>
      </c>
      <c r="D380" s="25" t="s">
        <v>483</v>
      </c>
    </row>
    <row r="381" spans="1:5">
      <c r="B381" s="25" t="s">
        <v>481</v>
      </c>
      <c r="C381" s="25" t="s">
        <v>482</v>
      </c>
      <c r="D381" s="25" t="s">
        <v>484</v>
      </c>
    </row>
    <row r="382" spans="1:5">
      <c r="A382">
        <v>2</v>
      </c>
      <c r="B382" s="19" t="s">
        <v>466</v>
      </c>
      <c r="C382" s="19"/>
      <c r="D382" s="19"/>
      <c r="E382" s="19"/>
    </row>
    <row r="383" spans="1:5">
      <c r="B383" s="25" t="s">
        <v>485</v>
      </c>
    </row>
    <row r="384" spans="1:5">
      <c r="B384" s="25" t="s">
        <v>486</v>
      </c>
      <c r="D384" s="25" t="s">
        <v>308</v>
      </c>
    </row>
    <row r="385" spans="1:10">
      <c r="B385" s="25" t="s">
        <v>487</v>
      </c>
    </row>
    <row r="386" spans="1:10">
      <c r="A386">
        <v>3</v>
      </c>
      <c r="B386" s="19" t="s">
        <v>364</v>
      </c>
      <c r="C386" s="19"/>
    </row>
    <row r="387" spans="1:10">
      <c r="B387" s="25" t="s">
        <v>488</v>
      </c>
    </row>
    <row r="388" spans="1:10">
      <c r="B388" s="25" t="s">
        <v>489</v>
      </c>
    </row>
    <row r="389" spans="1:10">
      <c r="B389" s="25" t="s">
        <v>490</v>
      </c>
    </row>
    <row r="390" spans="1:10">
      <c r="B390" s="25" t="s">
        <v>491</v>
      </c>
    </row>
    <row r="391" spans="1:10">
      <c r="B391" s="25" t="s">
        <v>492</v>
      </c>
    </row>
    <row r="392" spans="1:10">
      <c r="A392">
        <v>4</v>
      </c>
      <c r="B392" s="19" t="s">
        <v>493</v>
      </c>
      <c r="C392" s="19"/>
      <c r="D392" s="19"/>
    </row>
    <row r="393" spans="1:10">
      <c r="B393" s="25" t="s">
        <v>494</v>
      </c>
    </row>
    <row r="394" spans="1:10">
      <c r="B394" s="25" t="s">
        <v>495</v>
      </c>
    </row>
    <row r="395" spans="1:10">
      <c r="B395" s="25" t="s">
        <v>496</v>
      </c>
    </row>
    <row r="397" spans="1:10">
      <c r="B397" s="22" t="s">
        <v>497</v>
      </c>
      <c r="C397" s="22"/>
      <c r="D397" s="22"/>
      <c r="E397" s="22"/>
      <c r="F397" s="22"/>
    </row>
    <row r="398" spans="1:10">
      <c r="A398" s="19">
        <v>1</v>
      </c>
      <c r="B398" s="19" t="s">
        <v>498</v>
      </c>
      <c r="C398" s="19"/>
      <c r="D398" s="19"/>
    </row>
    <row r="399" spans="1:10">
      <c r="B399" s="23" t="s">
        <v>499</v>
      </c>
      <c r="D399" s="23" t="s">
        <v>451</v>
      </c>
      <c r="E399" s="23" t="s">
        <v>455</v>
      </c>
      <c r="F399" s="23" t="s">
        <v>458</v>
      </c>
      <c r="G399" s="23" t="s">
        <v>459</v>
      </c>
      <c r="H399" s="23"/>
      <c r="I399" s="23" t="s">
        <v>4</v>
      </c>
      <c r="J399" s="23" t="s">
        <v>5</v>
      </c>
    </row>
    <row r="400" spans="1:10">
      <c r="B400" t="s">
        <v>516</v>
      </c>
      <c r="C400" t="s">
        <v>517</v>
      </c>
      <c r="D400" t="s">
        <v>518</v>
      </c>
      <c r="E400" t="s">
        <v>519</v>
      </c>
      <c r="F400" t="s">
        <v>520</v>
      </c>
      <c r="G400" t="s">
        <v>521</v>
      </c>
      <c r="I400" t="s">
        <v>522</v>
      </c>
      <c r="J400" t="s">
        <v>523</v>
      </c>
    </row>
    <row r="401" spans="1:5">
      <c r="B401" s="19" t="s">
        <v>500</v>
      </c>
    </row>
    <row r="402" spans="1:5">
      <c r="A402" s="19">
        <v>2</v>
      </c>
      <c r="B402" s="26" t="s">
        <v>501</v>
      </c>
      <c r="C402" s="19"/>
      <c r="D402" s="19"/>
      <c r="E402" s="19"/>
    </row>
    <row r="403" spans="1:5">
      <c r="B403" s="19" t="s">
        <v>364</v>
      </c>
    </row>
    <row r="404" spans="1:5">
      <c r="A404" s="19">
        <v>3</v>
      </c>
      <c r="B404" s="26" t="s">
        <v>502</v>
      </c>
      <c r="C404" s="19"/>
    </row>
    <row r="405" spans="1:5">
      <c r="B405" s="26" t="s">
        <v>503</v>
      </c>
    </row>
    <row r="406" spans="1:5">
      <c r="B406" s="26" t="s">
        <v>504</v>
      </c>
    </row>
    <row r="407" spans="1:5">
      <c r="B407" s="26" t="s">
        <v>505</v>
      </c>
    </row>
    <row r="408" spans="1:5">
      <c r="B408" s="26" t="s">
        <v>506</v>
      </c>
    </row>
    <row r="409" spans="1:5">
      <c r="B409" s="19" t="s">
        <v>507</v>
      </c>
    </row>
    <row r="410" spans="1:5">
      <c r="A410" s="19">
        <v>4</v>
      </c>
      <c r="B410" s="26" t="s">
        <v>508</v>
      </c>
    </row>
    <row r="411" spans="1:5">
      <c r="B411" s="26" t="s">
        <v>509</v>
      </c>
    </row>
    <row r="412" spans="1:5">
      <c r="B412" s="26" t="s">
        <v>510</v>
      </c>
    </row>
    <row r="414" spans="1:5">
      <c r="B414" s="22" t="s">
        <v>366</v>
      </c>
      <c r="C414" s="22"/>
    </row>
    <row r="415" spans="1:5">
      <c r="A415">
        <v>1</v>
      </c>
      <c r="B415" s="19" t="s">
        <v>511</v>
      </c>
      <c r="C415" s="19"/>
      <c r="D415" s="19"/>
    </row>
    <row r="416" spans="1:5">
      <c r="B416" s="23" t="s">
        <v>512</v>
      </c>
      <c r="C416" s="23"/>
      <c r="D416" t="s">
        <v>524</v>
      </c>
    </row>
    <row r="417" spans="1:5">
      <c r="B417" s="23" t="s">
        <v>513</v>
      </c>
      <c r="C417" s="23"/>
      <c r="D417" s="27" t="s">
        <v>537</v>
      </c>
    </row>
    <row r="418" spans="1:5">
      <c r="C418" s="26" t="s">
        <v>460</v>
      </c>
      <c r="D418" s="27" t="s">
        <v>538</v>
      </c>
    </row>
    <row r="419" spans="1:5">
      <c r="A419" s="19">
        <v>2</v>
      </c>
      <c r="B419" s="19" t="s">
        <v>514</v>
      </c>
      <c r="C419" s="19"/>
      <c r="D419" s="19"/>
    </row>
    <row r="420" spans="1:5">
      <c r="B420" s="23" t="s">
        <v>8</v>
      </c>
      <c r="C420" s="23"/>
      <c r="D420" t="s">
        <v>525</v>
      </c>
    </row>
    <row r="421" spans="1:5">
      <c r="B421" s="23" t="s">
        <v>9</v>
      </c>
      <c r="C421" s="23"/>
      <c r="D421" t="s">
        <v>526</v>
      </c>
    </row>
    <row r="422" spans="1:5">
      <c r="B422" s="26" t="s">
        <v>460</v>
      </c>
      <c r="D422" s="27" t="s">
        <v>539</v>
      </c>
    </row>
    <row r="423" spans="1:5">
      <c r="A423" s="19">
        <v>3</v>
      </c>
      <c r="B423" s="19" t="s">
        <v>466</v>
      </c>
      <c r="C423" s="19"/>
      <c r="D423" s="19"/>
      <c r="E423" s="19"/>
    </row>
    <row r="424" spans="1:5">
      <c r="B424" s="26" t="s">
        <v>515</v>
      </c>
    </row>
    <row r="425" spans="1:5">
      <c r="A425" s="19">
        <v>4</v>
      </c>
      <c r="B425" s="19" t="s">
        <v>364</v>
      </c>
      <c r="C425" s="19"/>
    </row>
    <row r="426" spans="1:5">
      <c r="B426" s="27" t="s">
        <v>527</v>
      </c>
    </row>
    <row r="427" spans="1:5">
      <c r="B427" s="27" t="s">
        <v>528</v>
      </c>
      <c r="D427" s="27" t="s">
        <v>270</v>
      </c>
    </row>
    <row r="428" spans="1:5">
      <c r="B428" s="27" t="s">
        <v>529</v>
      </c>
    </row>
    <row r="429" spans="1:5">
      <c r="B429" s="27" t="s">
        <v>530</v>
      </c>
    </row>
    <row r="430" spans="1:5">
      <c r="A430">
        <v>5</v>
      </c>
      <c r="B430" s="27" t="s">
        <v>507</v>
      </c>
    </row>
    <row r="431" spans="1:5">
      <c r="B431" s="27" t="s">
        <v>531</v>
      </c>
    </row>
    <row r="432" spans="1:5">
      <c r="B432" s="27" t="s">
        <v>532</v>
      </c>
    </row>
    <row r="433" spans="1:8">
      <c r="B433" s="27" t="s">
        <v>533</v>
      </c>
    </row>
    <row r="434" spans="1:8">
      <c r="B434" s="27" t="s">
        <v>534</v>
      </c>
    </row>
    <row r="436" spans="1:8">
      <c r="B436" s="27" t="s">
        <v>535</v>
      </c>
    </row>
    <row r="437" spans="1:8">
      <c r="B437" s="27" t="s">
        <v>536</v>
      </c>
    </row>
    <row r="439" spans="1:8">
      <c r="B439" s="22" t="s">
        <v>540</v>
      </c>
    </row>
    <row r="440" spans="1:8">
      <c r="A440" s="19">
        <v>1</v>
      </c>
      <c r="B440" s="19" t="s">
        <v>541</v>
      </c>
      <c r="C440" s="19"/>
      <c r="D440" s="19"/>
    </row>
    <row r="441" spans="1:8">
      <c r="B441" s="23" t="s">
        <v>451</v>
      </c>
      <c r="C441" s="23" t="s">
        <v>499</v>
      </c>
      <c r="D441" s="23"/>
      <c r="E441" s="23" t="s">
        <v>455</v>
      </c>
      <c r="F441" s="23" t="s">
        <v>458</v>
      </c>
      <c r="G441" s="23" t="s">
        <v>460</v>
      </c>
    </row>
    <row r="442" spans="1:8">
      <c r="B442" s="28" t="s">
        <v>557</v>
      </c>
      <c r="C442" s="28" t="s">
        <v>558</v>
      </c>
      <c r="D442" s="28" t="s">
        <v>559</v>
      </c>
      <c r="E442" s="28" t="s">
        <v>560</v>
      </c>
      <c r="F442" s="28" t="s">
        <v>561</v>
      </c>
      <c r="G442" s="19" t="s">
        <v>562</v>
      </c>
    </row>
    <row r="443" spans="1:8">
      <c r="B443" s="23" t="s">
        <v>4</v>
      </c>
      <c r="C443" s="23" t="s">
        <v>5</v>
      </c>
    </row>
    <row r="444" spans="1:8">
      <c r="B444" s="28" t="s">
        <v>563</v>
      </c>
      <c r="C444" s="28" t="s">
        <v>564</v>
      </c>
    </row>
    <row r="445" spans="1:8">
      <c r="A445" s="19">
        <v>2</v>
      </c>
      <c r="B445" s="19" t="s">
        <v>542</v>
      </c>
      <c r="C445" s="19"/>
      <c r="D445" s="19"/>
      <c r="E445" s="19"/>
    </row>
    <row r="446" spans="1:8">
      <c r="B446" s="19" t="s">
        <v>543</v>
      </c>
      <c r="C446" s="19"/>
      <c r="D446" s="22"/>
      <c r="E446" s="22"/>
      <c r="F446" s="19" t="s">
        <v>7</v>
      </c>
      <c r="G446" s="23"/>
    </row>
    <row r="447" spans="1:8">
      <c r="B447" s="23" t="s">
        <v>8</v>
      </c>
      <c r="C447" s="23"/>
      <c r="D447" s="28" t="s">
        <v>549</v>
      </c>
      <c r="E447" s="23"/>
      <c r="F447" s="23" t="s">
        <v>544</v>
      </c>
      <c r="G447" s="23"/>
      <c r="H447" s="28" t="s">
        <v>547</v>
      </c>
    </row>
    <row r="448" spans="1:8">
      <c r="B448" s="23" t="s">
        <v>9</v>
      </c>
      <c r="C448" s="23"/>
      <c r="D448" s="28" t="s">
        <v>550</v>
      </c>
      <c r="E448" s="23"/>
      <c r="F448" s="23" t="s">
        <v>6</v>
      </c>
      <c r="G448" s="23"/>
      <c r="H448" s="28" t="s">
        <v>548</v>
      </c>
    </row>
    <row r="449" spans="1:8">
      <c r="C449" s="19" t="s">
        <v>460</v>
      </c>
      <c r="D449" s="19" t="s">
        <v>551</v>
      </c>
      <c r="G449" s="19" t="s">
        <v>460</v>
      </c>
      <c r="H449" s="19" t="s">
        <v>546</v>
      </c>
    </row>
    <row r="451" spans="1:8">
      <c r="A451" s="19">
        <v>3</v>
      </c>
      <c r="B451" s="19" t="s">
        <v>545</v>
      </c>
      <c r="C451" s="19"/>
      <c r="D451" s="19"/>
      <c r="E451" s="19"/>
      <c r="F451" s="19"/>
    </row>
    <row r="452" spans="1:8">
      <c r="B452" s="28" t="s">
        <v>552</v>
      </c>
      <c r="D452" s="28" t="s">
        <v>553</v>
      </c>
      <c r="E452" s="28" t="s">
        <v>571</v>
      </c>
    </row>
    <row r="453" spans="1:8">
      <c r="B453" s="28" t="s">
        <v>554</v>
      </c>
    </row>
    <row r="454" spans="1:8">
      <c r="B454" s="28" t="s">
        <v>555</v>
      </c>
      <c r="D454" s="28" t="s">
        <v>556</v>
      </c>
    </row>
    <row r="455" spans="1:8">
      <c r="A455">
        <v>4</v>
      </c>
      <c r="B455" s="19" t="s">
        <v>364</v>
      </c>
      <c r="C455" s="19"/>
      <c r="D455" s="19"/>
    </row>
    <row r="456" spans="1:8">
      <c r="A456" s="19">
        <v>1</v>
      </c>
      <c r="B456" s="28" t="s">
        <v>565</v>
      </c>
    </row>
    <row r="457" spans="1:8">
      <c r="A457" s="19"/>
      <c r="B457" s="28" t="s">
        <v>566</v>
      </c>
    </row>
    <row r="458" spans="1:8">
      <c r="A458">
        <v>2</v>
      </c>
      <c r="B458" s="28" t="s">
        <v>567</v>
      </c>
    </row>
    <row r="459" spans="1:8">
      <c r="A459">
        <v>3</v>
      </c>
      <c r="B459" s="28" t="s">
        <v>568</v>
      </c>
    </row>
    <row r="460" spans="1:8">
      <c r="A460">
        <v>4</v>
      </c>
      <c r="B460" s="28" t="s">
        <v>569</v>
      </c>
    </row>
    <row r="461" spans="1:8">
      <c r="A461">
        <v>5</v>
      </c>
      <c r="B461" s="28" t="s">
        <v>570</v>
      </c>
    </row>
    <row r="462" spans="1:8">
      <c r="A462">
        <v>6</v>
      </c>
      <c r="B462" s="28" t="s">
        <v>572</v>
      </c>
    </row>
    <row r="463" spans="1:8">
      <c r="A463" s="19">
        <v>5</v>
      </c>
      <c r="B463" s="19" t="s">
        <v>507</v>
      </c>
      <c r="C463" s="19"/>
    </row>
    <row r="464" spans="1:8">
      <c r="B464" s="28" t="s">
        <v>573</v>
      </c>
    </row>
    <row r="465" spans="1:8">
      <c r="B465" s="28" t="s">
        <v>574</v>
      </c>
    </row>
    <row r="466" spans="1:8">
      <c r="B466" s="28" t="s">
        <v>575</v>
      </c>
    </row>
    <row r="467" spans="1:8">
      <c r="B467" s="28" t="s">
        <v>576</v>
      </c>
    </row>
    <row r="468" spans="1:8">
      <c r="B468" s="28" t="s">
        <v>577</v>
      </c>
    </row>
    <row r="470" spans="1:8">
      <c r="A470" s="31"/>
      <c r="B470" s="32" t="s">
        <v>578</v>
      </c>
      <c r="C470" s="32"/>
      <c r="D470" s="32"/>
      <c r="E470" s="32"/>
      <c r="F470" s="32"/>
    </row>
    <row r="471" spans="1:8">
      <c r="A471" s="19">
        <v>1</v>
      </c>
      <c r="B471" s="19" t="s">
        <v>579</v>
      </c>
      <c r="C471" s="19"/>
      <c r="D471" s="19"/>
    </row>
    <row r="472" spans="1:8">
      <c r="B472" s="22" t="s">
        <v>451</v>
      </c>
      <c r="C472" s="22" t="s">
        <v>387</v>
      </c>
      <c r="D472" s="22" t="s">
        <v>455</v>
      </c>
      <c r="E472" s="22" t="s">
        <v>458</v>
      </c>
      <c r="F472" s="22" t="s">
        <v>2</v>
      </c>
      <c r="G472" s="22"/>
      <c r="H472" s="22" t="s">
        <v>460</v>
      </c>
    </row>
    <row r="473" spans="1:8">
      <c r="B473" s="19" t="s">
        <v>589</v>
      </c>
      <c r="C473" s="19" t="s">
        <v>590</v>
      </c>
      <c r="D473" s="19" t="s">
        <v>591</v>
      </c>
      <c r="E473" s="19">
        <v>3908</v>
      </c>
      <c r="F473" s="19" t="s">
        <v>583</v>
      </c>
      <c r="G473" s="19"/>
      <c r="H473" s="19" t="s">
        <v>592</v>
      </c>
    </row>
    <row r="474" spans="1:8">
      <c r="B474" s="22" t="s">
        <v>4</v>
      </c>
      <c r="C474" s="22" t="s">
        <v>5</v>
      </c>
      <c r="D474" s="22" t="s">
        <v>580</v>
      </c>
      <c r="E474" s="22" t="s">
        <v>581</v>
      </c>
      <c r="F474" s="22" t="s">
        <v>12</v>
      </c>
    </row>
    <row r="475" spans="1:8">
      <c r="B475" s="19" t="s">
        <v>587</v>
      </c>
      <c r="C475" s="19" t="s">
        <v>586</v>
      </c>
      <c r="D475" s="19" t="s">
        <v>548</v>
      </c>
      <c r="E475" s="19" t="s">
        <v>585</v>
      </c>
      <c r="F475" s="19" t="s">
        <v>584</v>
      </c>
    </row>
    <row r="476" spans="1:8">
      <c r="A476" s="19">
        <v>2</v>
      </c>
      <c r="B476" s="19" t="s">
        <v>582</v>
      </c>
      <c r="C476" s="19"/>
    </row>
    <row r="477" spans="1:8">
      <c r="B477" s="19" t="s">
        <v>7</v>
      </c>
      <c r="C477" s="19"/>
      <c r="D477" s="19"/>
      <c r="E477" s="19"/>
      <c r="F477" s="19" t="s">
        <v>10</v>
      </c>
    </row>
    <row r="478" spans="1:8">
      <c r="B478" s="22" t="s">
        <v>544</v>
      </c>
      <c r="C478" s="22"/>
      <c r="D478" s="30" t="s">
        <v>593</v>
      </c>
      <c r="E478" s="22"/>
      <c r="F478" s="22" t="s">
        <v>8</v>
      </c>
      <c r="G478" s="22"/>
      <c r="H478" s="30" t="s">
        <v>596</v>
      </c>
    </row>
    <row r="479" spans="1:8">
      <c r="B479" s="22" t="s">
        <v>6</v>
      </c>
      <c r="C479" s="22"/>
      <c r="D479" s="30" t="s">
        <v>594</v>
      </c>
      <c r="E479" s="22"/>
      <c r="F479" s="22" t="s">
        <v>9</v>
      </c>
      <c r="G479" s="22"/>
      <c r="H479" s="30" t="s">
        <v>597</v>
      </c>
    </row>
    <row r="480" spans="1:8">
      <c r="C480" t="s">
        <v>460</v>
      </c>
      <c r="D480" s="19" t="s">
        <v>595</v>
      </c>
      <c r="G480" s="29" t="s">
        <v>460</v>
      </c>
      <c r="H480" s="19" t="s">
        <v>598</v>
      </c>
    </row>
    <row r="481" spans="1:6">
      <c r="A481" s="19">
        <v>3</v>
      </c>
      <c r="B481" s="19" t="s">
        <v>588</v>
      </c>
      <c r="C481" s="19"/>
      <c r="D481" s="19"/>
    </row>
    <row r="482" spans="1:6">
      <c r="A482">
        <v>1</v>
      </c>
      <c r="B482" s="29" t="s">
        <v>599</v>
      </c>
      <c r="E482">
        <v>2</v>
      </c>
      <c r="F482" s="29" t="s">
        <v>601</v>
      </c>
    </row>
    <row r="483" spans="1:6">
      <c r="A483">
        <v>3</v>
      </c>
      <c r="B483" s="29" t="s">
        <v>600</v>
      </c>
      <c r="E483">
        <v>4</v>
      </c>
      <c r="F483" s="29" t="s">
        <v>602</v>
      </c>
    </row>
    <row r="484" spans="1:6">
      <c r="A484" s="19">
        <v>4</v>
      </c>
      <c r="B484" s="19" t="s">
        <v>364</v>
      </c>
      <c r="C484" s="19"/>
    </row>
    <row r="485" spans="1:6">
      <c r="A485">
        <v>1</v>
      </c>
      <c r="B485" s="29" t="s">
        <v>603</v>
      </c>
    </row>
    <row r="486" spans="1:6">
      <c r="A486">
        <v>2</v>
      </c>
      <c r="B486" s="29" t="s">
        <v>604</v>
      </c>
    </row>
    <row r="487" spans="1:6">
      <c r="A487">
        <v>3</v>
      </c>
      <c r="B487" s="29" t="s">
        <v>605</v>
      </c>
    </row>
    <row r="488" spans="1:6">
      <c r="A488">
        <v>4</v>
      </c>
      <c r="B488" s="29" t="s">
        <v>606</v>
      </c>
    </row>
    <row r="489" spans="1:6">
      <c r="A489">
        <v>5</v>
      </c>
      <c r="B489" s="29" t="s">
        <v>607</v>
      </c>
    </row>
    <row r="490" spans="1:6">
      <c r="A490" s="29">
        <v>6</v>
      </c>
      <c r="B490" s="29" t="s">
        <v>608</v>
      </c>
    </row>
    <row r="491" spans="1:6">
      <c r="A491">
        <v>7</v>
      </c>
      <c r="B491" s="29" t="s">
        <v>609</v>
      </c>
    </row>
    <row r="492" spans="1:6">
      <c r="A492" s="19">
        <v>5</v>
      </c>
      <c r="B492" s="19" t="s">
        <v>507</v>
      </c>
    </row>
    <row r="493" spans="1:6">
      <c r="B493" s="29" t="s">
        <v>610</v>
      </c>
    </row>
    <row r="494" spans="1:6">
      <c r="B494" s="29" t="s">
        <v>611</v>
      </c>
    </row>
    <row r="495" spans="1:6">
      <c r="B495" s="29" t="s">
        <v>612</v>
      </c>
    </row>
    <row r="496" spans="1:6">
      <c r="B496" s="29" t="s">
        <v>613</v>
      </c>
    </row>
    <row r="497" spans="1:8">
      <c r="B497" s="29" t="s">
        <v>614</v>
      </c>
    </row>
    <row r="499" spans="1:8">
      <c r="B499" s="29" t="s">
        <v>615</v>
      </c>
    </row>
    <row r="501" spans="1:8">
      <c r="B501" s="32" t="s">
        <v>616</v>
      </c>
      <c r="C501" s="32"/>
      <c r="D501" s="32"/>
      <c r="E501" s="32"/>
    </row>
    <row r="502" spans="1:8">
      <c r="A502" s="19">
        <v>1</v>
      </c>
      <c r="B502" s="19" t="s">
        <v>617</v>
      </c>
      <c r="C502" s="19"/>
      <c r="D502" s="19"/>
    </row>
    <row r="503" spans="1:8">
      <c r="B503" s="31" t="s">
        <v>451</v>
      </c>
      <c r="C503" s="31" t="s">
        <v>387</v>
      </c>
      <c r="D503" s="31" t="s">
        <v>455</v>
      </c>
      <c r="E503" s="31" t="s">
        <v>458</v>
      </c>
      <c r="F503" s="31" t="s">
        <v>2</v>
      </c>
      <c r="G503" s="31"/>
      <c r="H503" s="31" t="s">
        <v>460</v>
      </c>
    </row>
    <row r="504" spans="1:8">
      <c r="B504" s="34" t="s">
        <v>640</v>
      </c>
      <c r="C504" s="34" t="s">
        <v>641</v>
      </c>
      <c r="D504" s="34" t="s">
        <v>642</v>
      </c>
      <c r="E504" s="34" t="s">
        <v>643</v>
      </c>
      <c r="F504" t="s">
        <v>633</v>
      </c>
      <c r="H504" s="34" t="s">
        <v>644</v>
      </c>
    </row>
    <row r="505" spans="1:8">
      <c r="B505" s="31" t="s">
        <v>4</v>
      </c>
      <c r="C505" s="31" t="s">
        <v>12</v>
      </c>
      <c r="D505" s="31" t="s">
        <v>580</v>
      </c>
      <c r="E505" s="31" t="s">
        <v>581</v>
      </c>
      <c r="F505" s="31"/>
    </row>
    <row r="506" spans="1:8">
      <c r="B506" t="s">
        <v>587</v>
      </c>
      <c r="C506" t="s">
        <v>630</v>
      </c>
      <c r="D506" t="s">
        <v>631</v>
      </c>
      <c r="E506" t="s">
        <v>632</v>
      </c>
    </row>
    <row r="507" spans="1:8">
      <c r="A507" s="30">
        <v>2</v>
      </c>
      <c r="B507" s="30" t="s">
        <v>542</v>
      </c>
      <c r="C507" s="30"/>
      <c r="D507" s="30"/>
      <c r="E507" s="30"/>
    </row>
    <row r="508" spans="1:8">
      <c r="A508" s="19"/>
      <c r="B508" s="19" t="s">
        <v>7</v>
      </c>
      <c r="C508" s="19"/>
      <c r="E508" s="19" t="s">
        <v>10</v>
      </c>
      <c r="F508" s="19"/>
    </row>
    <row r="509" spans="1:8">
      <c r="B509" s="31" t="s">
        <v>618</v>
      </c>
      <c r="C509" s="16" t="s">
        <v>634</v>
      </c>
      <c r="D509" s="31"/>
      <c r="E509" s="31" t="s">
        <v>9</v>
      </c>
      <c r="F509" s="23"/>
      <c r="G509" s="16" t="s">
        <v>636</v>
      </c>
    </row>
    <row r="510" spans="1:8">
      <c r="B510" s="31" t="s">
        <v>6</v>
      </c>
      <c r="C510" s="16" t="s">
        <v>635</v>
      </c>
      <c r="D510" s="31"/>
      <c r="E510" s="31" t="s">
        <v>8</v>
      </c>
      <c r="F510" s="23"/>
      <c r="G510" s="16" t="s">
        <v>637</v>
      </c>
    </row>
    <row r="511" spans="1:8">
      <c r="B511" s="33" t="s">
        <v>460</v>
      </c>
      <c r="C511" s="34" t="s">
        <v>639</v>
      </c>
      <c r="F511" s="33" t="s">
        <v>460</v>
      </c>
      <c r="G511" t="s">
        <v>638</v>
      </c>
    </row>
    <row r="512" spans="1:8">
      <c r="A512" s="19">
        <v>3</v>
      </c>
      <c r="B512" s="19" t="s">
        <v>588</v>
      </c>
      <c r="C512" s="19"/>
      <c r="D512" s="19"/>
    </row>
    <row r="513" spans="1:3">
      <c r="B513" s="33" t="s">
        <v>619</v>
      </c>
    </row>
    <row r="514" spans="1:3">
      <c r="B514" s="33" t="s">
        <v>620</v>
      </c>
    </row>
    <row r="515" spans="1:3">
      <c r="B515" s="33" t="s">
        <v>621</v>
      </c>
    </row>
    <row r="516" spans="1:3">
      <c r="B516" s="33" t="s">
        <v>622</v>
      </c>
    </row>
    <row r="517" spans="1:3">
      <c r="A517" s="19">
        <v>4</v>
      </c>
      <c r="B517" s="19" t="s">
        <v>364</v>
      </c>
      <c r="C517" s="19"/>
    </row>
    <row r="518" spans="1:3">
      <c r="A518">
        <v>1</v>
      </c>
      <c r="B518" s="33" t="s">
        <v>623</v>
      </c>
    </row>
    <row r="519" spans="1:3">
      <c r="A519">
        <v>2</v>
      </c>
      <c r="B519" s="33" t="s">
        <v>624</v>
      </c>
    </row>
    <row r="520" spans="1:3">
      <c r="A520">
        <v>3</v>
      </c>
      <c r="B520" s="33" t="s">
        <v>625</v>
      </c>
    </row>
    <row r="521" spans="1:3">
      <c r="A521">
        <v>4</v>
      </c>
      <c r="B521" s="33" t="s">
        <v>626</v>
      </c>
    </row>
    <row r="522" spans="1:3">
      <c r="A522">
        <v>5</v>
      </c>
      <c r="B522" s="33" t="s">
        <v>627</v>
      </c>
    </row>
    <row r="523" spans="1:3">
      <c r="A523">
        <v>6</v>
      </c>
      <c r="B523" s="33" t="s">
        <v>628</v>
      </c>
    </row>
    <row r="524" spans="1:3">
      <c r="A524">
        <v>7</v>
      </c>
      <c r="B524" s="33" t="s">
        <v>629</v>
      </c>
    </row>
    <row r="525" spans="1:3">
      <c r="A525" s="19">
        <v>5</v>
      </c>
      <c r="B525" s="19" t="s">
        <v>507</v>
      </c>
      <c r="C525" s="19"/>
    </row>
    <row r="526" spans="1:3">
      <c r="B526" s="34" t="s">
        <v>645</v>
      </c>
    </row>
    <row r="527" spans="1:3">
      <c r="B527" s="34" t="s">
        <v>646</v>
      </c>
    </row>
    <row r="528" spans="1:3">
      <c r="B528" s="34" t="s">
        <v>647</v>
      </c>
    </row>
    <row r="529" spans="1:7">
      <c r="B529" s="34" t="s">
        <v>648</v>
      </c>
    </row>
    <row r="530" spans="1:7">
      <c r="B530" s="34" t="s">
        <v>649</v>
      </c>
    </row>
    <row r="531" spans="1:7">
      <c r="B531" s="34" t="s">
        <v>650</v>
      </c>
    </row>
    <row r="533" spans="1:7">
      <c r="B533" s="22" t="s">
        <v>651</v>
      </c>
      <c r="C533" s="22"/>
      <c r="D533" s="22"/>
      <c r="E533" s="22"/>
      <c r="F533" s="22"/>
    </row>
    <row r="534" spans="1:7">
      <c r="A534">
        <v>1</v>
      </c>
      <c r="B534" s="19" t="s">
        <v>652</v>
      </c>
    </row>
    <row r="535" spans="1:7">
      <c r="B535" s="22" t="s">
        <v>311</v>
      </c>
      <c r="C535" s="19"/>
    </row>
    <row r="536" spans="1:7">
      <c r="B536" s="31" t="s">
        <v>451</v>
      </c>
      <c r="C536" s="31" t="s">
        <v>455</v>
      </c>
      <c r="D536" s="31" t="s">
        <v>387</v>
      </c>
      <c r="E536" s="31" t="s">
        <v>653</v>
      </c>
      <c r="F536" s="31"/>
      <c r="G536" s="31" t="s">
        <v>460</v>
      </c>
    </row>
    <row r="537" spans="1:7">
      <c r="B537" s="36" t="s">
        <v>679</v>
      </c>
      <c r="C537" s="36" t="s">
        <v>680</v>
      </c>
      <c r="D537" s="36" t="s">
        <v>678</v>
      </c>
      <c r="E537" s="35" t="s">
        <v>666</v>
      </c>
      <c r="F537" s="37" t="s">
        <v>684</v>
      </c>
      <c r="G537" s="37" t="s">
        <v>685</v>
      </c>
    </row>
    <row r="538" spans="1:7">
      <c r="B538" s="31" t="s">
        <v>4</v>
      </c>
      <c r="C538" s="31" t="s">
        <v>5</v>
      </c>
      <c r="D538" s="31" t="s">
        <v>12</v>
      </c>
      <c r="E538" s="31" t="s">
        <v>654</v>
      </c>
      <c r="F538" s="31"/>
      <c r="G538" s="31"/>
    </row>
    <row r="539" spans="1:7">
      <c r="B539" s="35" t="s">
        <v>668</v>
      </c>
      <c r="C539" s="35" t="s">
        <v>667</v>
      </c>
      <c r="D539" s="35" t="s">
        <v>660</v>
      </c>
      <c r="E539" s="35" t="s">
        <v>665</v>
      </c>
      <c r="F539" s="35" t="s">
        <v>664</v>
      </c>
    </row>
    <row r="540" spans="1:7">
      <c r="B540" s="32" t="s">
        <v>655</v>
      </c>
      <c r="C540" s="32"/>
    </row>
    <row r="541" spans="1:7">
      <c r="B541" s="35" t="s">
        <v>656</v>
      </c>
      <c r="E541" s="35" t="s">
        <v>57</v>
      </c>
    </row>
    <row r="542" spans="1:7">
      <c r="B542" s="31" t="s">
        <v>9</v>
      </c>
      <c r="C542" s="31"/>
      <c r="D542" s="35" t="s">
        <v>658</v>
      </c>
      <c r="E542" s="31" t="s">
        <v>618</v>
      </c>
      <c r="F542" s="31"/>
      <c r="G542" s="35" t="s">
        <v>660</v>
      </c>
    </row>
    <row r="543" spans="1:7">
      <c r="B543" s="31" t="s">
        <v>8</v>
      </c>
      <c r="C543" s="31"/>
      <c r="D543" s="35" t="s">
        <v>659</v>
      </c>
      <c r="E543" s="31" t="s">
        <v>6</v>
      </c>
      <c r="F543" s="31"/>
      <c r="G543" s="35" t="s">
        <v>661</v>
      </c>
    </row>
    <row r="544" spans="1:7">
      <c r="C544" s="35" t="s">
        <v>460</v>
      </c>
      <c r="D544" s="35" t="s">
        <v>663</v>
      </c>
      <c r="F544" s="35" t="s">
        <v>460</v>
      </c>
      <c r="G544" s="35" t="s">
        <v>662</v>
      </c>
    </row>
    <row r="545" spans="1:6">
      <c r="A545" s="19">
        <v>2</v>
      </c>
      <c r="B545" s="19" t="s">
        <v>657</v>
      </c>
      <c r="C545" s="19"/>
    </row>
    <row r="546" spans="1:6">
      <c r="B546" t="s">
        <v>669</v>
      </c>
      <c r="E546" s="19"/>
    </row>
    <row r="547" spans="1:6">
      <c r="B547" t="s">
        <v>670</v>
      </c>
    </row>
    <row r="548" spans="1:6">
      <c r="A548" s="19">
        <v>3</v>
      </c>
      <c r="B548" s="19" t="s">
        <v>364</v>
      </c>
      <c r="C548" s="19"/>
    </row>
    <row r="549" spans="1:6">
      <c r="B549" s="36" t="s">
        <v>671</v>
      </c>
    </row>
    <row r="550" spans="1:6">
      <c r="B550" s="36" t="s">
        <v>672</v>
      </c>
    </row>
    <row r="551" spans="1:6">
      <c r="B551" s="36" t="s">
        <v>673</v>
      </c>
    </row>
    <row r="552" spans="1:6">
      <c r="B552" s="36" t="s">
        <v>674</v>
      </c>
    </row>
    <row r="553" spans="1:6">
      <c r="B553" s="36" t="s">
        <v>675</v>
      </c>
    </row>
    <row r="554" spans="1:6">
      <c r="A554" s="19">
        <v>4</v>
      </c>
      <c r="B554" s="19" t="s">
        <v>676</v>
      </c>
    </row>
    <row r="555" spans="1:6">
      <c r="B555" s="36" t="s">
        <v>677</v>
      </c>
    </row>
    <row r="556" spans="1:6">
      <c r="B556" s="37" t="s">
        <v>681</v>
      </c>
    </row>
    <row r="557" spans="1:6">
      <c r="B557" s="37" t="s">
        <v>682</v>
      </c>
    </row>
    <row r="558" spans="1:6">
      <c r="B558" s="37" t="s">
        <v>683</v>
      </c>
    </row>
    <row r="560" spans="1:6">
      <c r="A560" s="19"/>
      <c r="B560" s="22" t="s">
        <v>686</v>
      </c>
      <c r="C560" s="22"/>
      <c r="D560" s="22"/>
      <c r="E560" s="22"/>
      <c r="F560" s="22"/>
    </row>
    <row r="561" spans="1:7">
      <c r="B561" s="23" t="s">
        <v>687</v>
      </c>
      <c r="C561" s="23"/>
      <c r="D561" s="23"/>
      <c r="E561" s="23"/>
      <c r="F561" s="23"/>
    </row>
    <row r="562" spans="1:7">
      <c r="A562" s="19"/>
      <c r="B562" s="22" t="s">
        <v>451</v>
      </c>
      <c r="C562" s="22" t="s">
        <v>387</v>
      </c>
      <c r="D562" s="22" t="s">
        <v>458</v>
      </c>
      <c r="E562" s="22" t="s">
        <v>688</v>
      </c>
      <c r="F562" s="22" t="s">
        <v>455</v>
      </c>
      <c r="G562" s="22" t="s">
        <v>460</v>
      </c>
    </row>
    <row r="563" spans="1:7">
      <c r="B563" s="38" t="s">
        <v>689</v>
      </c>
      <c r="C563" s="38" t="s">
        <v>690</v>
      </c>
      <c r="D563" s="38" t="s">
        <v>693</v>
      </c>
      <c r="E563" s="38" t="s">
        <v>692</v>
      </c>
      <c r="F563" s="38" t="s">
        <v>691</v>
      </c>
      <c r="G563" s="38" t="s">
        <v>694</v>
      </c>
    </row>
    <row r="564" spans="1:7">
      <c r="B564" s="22" t="s">
        <v>4</v>
      </c>
      <c r="C564" s="22" t="s">
        <v>5</v>
      </c>
      <c r="D564" s="22" t="s">
        <v>580</v>
      </c>
      <c r="E564" s="22" t="s">
        <v>581</v>
      </c>
      <c r="F564" s="22" t="s">
        <v>12</v>
      </c>
    </row>
    <row r="565" spans="1:7">
      <c r="B565" s="38" t="s">
        <v>695</v>
      </c>
      <c r="C565" s="38" t="s">
        <v>696</v>
      </c>
      <c r="D565" s="38" t="s">
        <v>697</v>
      </c>
      <c r="E565" s="38" t="s">
        <v>698</v>
      </c>
      <c r="F565" s="38" t="s">
        <v>699</v>
      </c>
    </row>
    <row r="566" spans="1:7">
      <c r="B566" s="22" t="s">
        <v>700</v>
      </c>
      <c r="C566" s="22"/>
      <c r="D566" s="22"/>
      <c r="E566" s="22" t="s">
        <v>7</v>
      </c>
    </row>
    <row r="567" spans="1:7">
      <c r="B567" s="38" t="s">
        <v>701</v>
      </c>
      <c r="E567" s="38" t="s">
        <v>702</v>
      </c>
    </row>
    <row r="568" spans="1:7">
      <c r="B568" s="38" t="s">
        <v>706</v>
      </c>
      <c r="C568" s="38"/>
      <c r="D568" s="38"/>
      <c r="E568" s="38" t="s">
        <v>703</v>
      </c>
      <c r="F568" s="38" t="s">
        <v>704</v>
      </c>
    </row>
    <row r="569" spans="1:7">
      <c r="B569" s="38" t="s">
        <v>460</v>
      </c>
      <c r="C569" s="38" t="s">
        <v>707</v>
      </c>
      <c r="E569" s="38" t="s">
        <v>460</v>
      </c>
      <c r="F569" s="38" t="s">
        <v>705</v>
      </c>
    </row>
    <row r="570" spans="1:7">
      <c r="A570" s="22"/>
      <c r="B570" s="22" t="s">
        <v>708</v>
      </c>
      <c r="C570" s="22"/>
      <c r="D570" s="22"/>
    </row>
    <row r="571" spans="1:7">
      <c r="B571" s="38" t="s">
        <v>709</v>
      </c>
    </row>
    <row r="572" spans="1:7">
      <c r="B572" s="38" t="s">
        <v>710</v>
      </c>
      <c r="E572" s="38"/>
    </row>
    <row r="573" spans="1:7">
      <c r="B573" s="22" t="s">
        <v>246</v>
      </c>
      <c r="C573" s="22"/>
    </row>
    <row r="574" spans="1:7">
      <c r="B574" s="38" t="s">
        <v>711</v>
      </c>
    </row>
    <row r="575" spans="1:7">
      <c r="B575" s="38" t="s">
        <v>712</v>
      </c>
    </row>
    <row r="576" spans="1:7">
      <c r="B576" s="38" t="s">
        <v>713</v>
      </c>
    </row>
    <row r="577" spans="1:15">
      <c r="B577" s="38" t="s">
        <v>507</v>
      </c>
    </row>
    <row r="578" spans="1:15">
      <c r="B578" s="38" t="s">
        <v>714</v>
      </c>
    </row>
    <row r="579" spans="1:15">
      <c r="B579" s="38" t="s">
        <v>715</v>
      </c>
    </row>
    <row r="580" spans="1:15">
      <c r="B580" s="38" t="s">
        <v>716</v>
      </c>
    </row>
    <row r="581" spans="1:15">
      <c r="B581" s="38" t="s">
        <v>717</v>
      </c>
    </row>
    <row r="583" spans="1:15">
      <c r="B583" s="32" t="s">
        <v>718</v>
      </c>
      <c r="C583" s="32"/>
      <c r="D583" s="32"/>
      <c r="E583" s="32"/>
      <c r="F583" s="32"/>
      <c r="G583" s="32"/>
    </row>
    <row r="584" spans="1:15">
      <c r="A584">
        <v>1</v>
      </c>
      <c r="B584" s="31" t="s">
        <v>652</v>
      </c>
      <c r="C584" s="31"/>
      <c r="D584" s="31"/>
      <c r="E584" s="31"/>
      <c r="F584" s="31"/>
    </row>
    <row r="585" spans="1:15">
      <c r="B585" s="39" t="s">
        <v>358</v>
      </c>
      <c r="I585" s="31" t="s">
        <v>754</v>
      </c>
      <c r="J585" s="31"/>
      <c r="K585" s="31"/>
      <c r="L585" s="31" t="s">
        <v>761</v>
      </c>
      <c r="M585" s="31"/>
      <c r="N585" s="31"/>
      <c r="O585" s="31"/>
    </row>
    <row r="586" spans="1:15">
      <c r="A586" s="31"/>
      <c r="B586" s="31" t="s">
        <v>451</v>
      </c>
      <c r="C586" s="31" t="s">
        <v>772</v>
      </c>
      <c r="D586" s="31" t="s">
        <v>454</v>
      </c>
      <c r="E586" s="31" t="s">
        <v>455</v>
      </c>
      <c r="F586" s="31" t="s">
        <v>458</v>
      </c>
      <c r="G586" s="31" t="s">
        <v>460</v>
      </c>
      <c r="I586" t="s">
        <v>755</v>
      </c>
      <c r="L586" s="19" t="s">
        <v>762</v>
      </c>
      <c r="M586" s="19"/>
    </row>
    <row r="587" spans="1:15">
      <c r="B587" s="39" t="s">
        <v>721</v>
      </c>
      <c r="C587" t="s">
        <v>722</v>
      </c>
      <c r="D587" t="s">
        <v>720</v>
      </c>
      <c r="E587" t="s">
        <v>719</v>
      </c>
      <c r="F587" t="s">
        <v>723</v>
      </c>
      <c r="G587" s="19" t="s">
        <v>724</v>
      </c>
      <c r="H587" s="19"/>
      <c r="I587" t="s">
        <v>6</v>
      </c>
      <c r="J587" t="s">
        <v>756</v>
      </c>
    </row>
    <row r="588" spans="1:15">
      <c r="B588" s="31" t="s">
        <v>4</v>
      </c>
      <c r="C588" s="31" t="s">
        <v>5</v>
      </c>
      <c r="D588" s="31" t="s">
        <v>580</v>
      </c>
      <c r="E588" s="31" t="s">
        <v>581</v>
      </c>
      <c r="F588" s="31" t="s">
        <v>12</v>
      </c>
      <c r="H588" s="31"/>
      <c r="I588" s="32" t="s">
        <v>460</v>
      </c>
      <c r="J588" s="19" t="s">
        <v>757</v>
      </c>
    </row>
    <row r="589" spans="1:15">
      <c r="B589" s="39" t="s">
        <v>725</v>
      </c>
      <c r="C589" t="s">
        <v>726</v>
      </c>
      <c r="D589" t="s">
        <v>728</v>
      </c>
      <c r="E589" t="s">
        <v>727</v>
      </c>
      <c r="F589" t="s">
        <v>729</v>
      </c>
      <c r="H589" s="31"/>
      <c r="I589" s="31" t="s">
        <v>10</v>
      </c>
    </row>
    <row r="590" spans="1:15">
      <c r="A590" s="31">
        <v>2</v>
      </c>
      <c r="B590" s="31" t="s">
        <v>657</v>
      </c>
      <c r="C590" s="31"/>
      <c r="D590" s="31"/>
      <c r="I590" t="s">
        <v>758</v>
      </c>
    </row>
    <row r="591" spans="1:15">
      <c r="B591" s="39" t="s">
        <v>730</v>
      </c>
      <c r="I591" t="s">
        <v>759</v>
      </c>
      <c r="K591" s="39" t="s">
        <v>774</v>
      </c>
    </row>
    <row r="592" spans="1:15">
      <c r="B592" s="39" t="s">
        <v>731</v>
      </c>
      <c r="H592" s="31"/>
      <c r="I592" s="31" t="s">
        <v>460</v>
      </c>
      <c r="J592" s="19" t="s">
        <v>760</v>
      </c>
      <c r="K592" s="19"/>
    </row>
    <row r="593" spans="1:8">
      <c r="A593" s="31">
        <v>3</v>
      </c>
      <c r="B593" s="31" t="s">
        <v>246</v>
      </c>
      <c r="C593" s="31"/>
    </row>
    <row r="594" spans="1:8">
      <c r="B594" s="39" t="s">
        <v>732</v>
      </c>
    </row>
    <row r="595" spans="1:8">
      <c r="B595" s="39" t="s">
        <v>733</v>
      </c>
    </row>
    <row r="596" spans="1:8">
      <c r="B596" s="39" t="s">
        <v>734</v>
      </c>
    </row>
    <row r="598" spans="1:8">
      <c r="A598" s="31"/>
      <c r="B598" s="32" t="s">
        <v>735</v>
      </c>
      <c r="C598" s="32"/>
      <c r="D598" s="32"/>
      <c r="E598" s="32"/>
      <c r="F598" s="32"/>
    </row>
    <row r="599" spans="1:8">
      <c r="A599" s="31">
        <v>1</v>
      </c>
      <c r="B599" s="31" t="s">
        <v>652</v>
      </c>
      <c r="C599" s="31"/>
      <c r="D599" s="31"/>
      <c r="E599" s="31"/>
      <c r="F599" s="31"/>
    </row>
    <row r="600" spans="1:8">
      <c r="B600" s="19" t="s">
        <v>311</v>
      </c>
      <c r="C600" s="19"/>
    </row>
    <row r="601" spans="1:8">
      <c r="A601" s="31"/>
      <c r="B601" s="31" t="s">
        <v>451</v>
      </c>
      <c r="C601" s="31" t="s">
        <v>736</v>
      </c>
      <c r="D601" s="31"/>
      <c r="E601" s="31" t="s">
        <v>455</v>
      </c>
      <c r="F601" s="31" t="s">
        <v>458</v>
      </c>
      <c r="G601" s="31" t="s">
        <v>460</v>
      </c>
    </row>
    <row r="602" spans="1:8">
      <c r="B602" s="39" t="s">
        <v>589</v>
      </c>
      <c r="C602" t="s">
        <v>743</v>
      </c>
      <c r="D602" t="s">
        <v>737</v>
      </c>
      <c r="E602" t="s">
        <v>738</v>
      </c>
      <c r="F602" t="s">
        <v>744</v>
      </c>
      <c r="G602" s="19" t="s">
        <v>745</v>
      </c>
      <c r="H602" s="19"/>
    </row>
    <row r="603" spans="1:8">
      <c r="A603" s="31"/>
      <c r="B603" s="31" t="s">
        <v>4</v>
      </c>
      <c r="C603" s="31" t="s">
        <v>5</v>
      </c>
      <c r="D603" s="31" t="s">
        <v>739</v>
      </c>
      <c r="E603" s="31"/>
      <c r="F603" s="31" t="s">
        <v>12</v>
      </c>
    </row>
    <row r="604" spans="1:8">
      <c r="B604" s="39" t="s">
        <v>747</v>
      </c>
      <c r="C604" t="s">
        <v>746</v>
      </c>
      <c r="D604" t="s">
        <v>742</v>
      </c>
      <c r="E604" t="s">
        <v>741</v>
      </c>
      <c r="F604" t="s">
        <v>740</v>
      </c>
    </row>
    <row r="605" spans="1:8">
      <c r="B605" s="31" t="s">
        <v>366</v>
      </c>
      <c r="C605" s="31"/>
      <c r="D605" s="31"/>
      <c r="E605" s="31" t="s">
        <v>10</v>
      </c>
    </row>
    <row r="606" spans="1:8">
      <c r="B606" s="39" t="s">
        <v>748</v>
      </c>
      <c r="E606" t="s">
        <v>751</v>
      </c>
    </row>
    <row r="607" spans="1:8">
      <c r="B607" s="39" t="s">
        <v>6</v>
      </c>
      <c r="C607" t="s">
        <v>750</v>
      </c>
      <c r="E607" t="s">
        <v>9</v>
      </c>
      <c r="F607" t="s">
        <v>752</v>
      </c>
    </row>
    <row r="608" spans="1:8">
      <c r="A608" s="31"/>
      <c r="B608" s="31" t="s">
        <v>460</v>
      </c>
      <c r="C608" s="19" t="s">
        <v>749</v>
      </c>
      <c r="D608" s="32"/>
      <c r="E608" s="31" t="s">
        <v>460</v>
      </c>
      <c r="F608" s="31" t="s">
        <v>753</v>
      </c>
      <c r="G608" s="31"/>
    </row>
    <row r="609" spans="1:6">
      <c r="A609" s="31"/>
      <c r="B609" s="31" t="s">
        <v>773</v>
      </c>
      <c r="C609" s="31"/>
      <c r="D609" s="31"/>
      <c r="E609" s="31"/>
    </row>
    <row r="610" spans="1:6">
      <c r="B610" s="19" t="s">
        <v>763</v>
      </c>
      <c r="C610" s="19"/>
    </row>
    <row r="611" spans="1:6">
      <c r="A611" s="31">
        <v>2</v>
      </c>
      <c r="B611" s="31" t="s">
        <v>588</v>
      </c>
      <c r="C611" s="31"/>
      <c r="D611" s="31"/>
    </row>
    <row r="612" spans="1:6">
      <c r="B612" s="39" t="s">
        <v>311</v>
      </c>
    </row>
    <row r="613" spans="1:6">
      <c r="B613" s="39" t="s">
        <v>764</v>
      </c>
    </row>
    <row r="614" spans="1:6">
      <c r="B614" s="39" t="s">
        <v>765</v>
      </c>
    </row>
    <row r="615" spans="1:6">
      <c r="B615" s="39" t="s">
        <v>766</v>
      </c>
    </row>
    <row r="616" spans="1:6">
      <c r="B616" s="39" t="s">
        <v>767</v>
      </c>
    </row>
    <row r="617" spans="1:6">
      <c r="A617" s="31">
        <v>3</v>
      </c>
      <c r="B617" s="31" t="s">
        <v>768</v>
      </c>
      <c r="C617" s="31"/>
    </row>
    <row r="618" spans="1:6">
      <c r="B618" s="39" t="s">
        <v>769</v>
      </c>
    </row>
    <row r="619" spans="1:6">
      <c r="B619" s="39" t="s">
        <v>770</v>
      </c>
    </row>
    <row r="620" spans="1:6">
      <c r="B620" s="39" t="s">
        <v>771</v>
      </c>
    </row>
    <row r="621" spans="1:6">
      <c r="B621" s="39" t="s">
        <v>775</v>
      </c>
    </row>
    <row r="623" spans="1:6">
      <c r="A623" s="23"/>
      <c r="B623" s="23" t="s">
        <v>776</v>
      </c>
      <c r="C623" s="23"/>
      <c r="D623" s="23"/>
      <c r="E623" s="23"/>
      <c r="F623" s="23"/>
    </row>
    <row r="624" spans="1:6">
      <c r="A624" s="23"/>
      <c r="B624" s="23" t="s">
        <v>652</v>
      </c>
      <c r="C624" s="23"/>
      <c r="D624" s="23"/>
      <c r="E624" s="23"/>
      <c r="F624" s="23"/>
    </row>
    <row r="625" spans="1:9">
      <c r="A625">
        <v>1</v>
      </c>
      <c r="B625" s="40" t="s">
        <v>311</v>
      </c>
    </row>
    <row r="626" spans="1:9">
      <c r="B626" s="23" t="s">
        <v>451</v>
      </c>
      <c r="C626" s="23" t="s">
        <v>777</v>
      </c>
      <c r="D626" s="23"/>
      <c r="E626" s="23" t="s">
        <v>455</v>
      </c>
      <c r="F626" s="23" t="s">
        <v>458</v>
      </c>
      <c r="G626" s="23" t="s">
        <v>460</v>
      </c>
      <c r="I626">
        <v>2359</v>
      </c>
    </row>
    <row r="627" spans="1:9">
      <c r="B627" s="40" t="s">
        <v>781</v>
      </c>
      <c r="C627" t="s">
        <v>778</v>
      </c>
      <c r="D627" t="s">
        <v>783</v>
      </c>
      <c r="E627" t="s">
        <v>779</v>
      </c>
      <c r="F627" t="s">
        <v>792</v>
      </c>
      <c r="G627" t="s">
        <v>793</v>
      </c>
      <c r="I627">
        <v>419</v>
      </c>
    </row>
    <row r="628" spans="1:9">
      <c r="A628" s="23"/>
      <c r="B628" s="23" t="s">
        <v>4</v>
      </c>
      <c r="C628" s="23" t="s">
        <v>5</v>
      </c>
      <c r="D628" s="23" t="s">
        <v>805</v>
      </c>
      <c r="E628" s="23"/>
      <c r="F628" s="23"/>
      <c r="G628" s="23" t="s">
        <v>12</v>
      </c>
      <c r="I628">
        <v>1141</v>
      </c>
    </row>
    <row r="629" spans="1:9">
      <c r="B629" s="40" t="s">
        <v>780</v>
      </c>
      <c r="C629" t="s">
        <v>782</v>
      </c>
      <c r="D629" t="s">
        <v>784</v>
      </c>
      <c r="E629" t="s">
        <v>785</v>
      </c>
      <c r="G629" t="s">
        <v>786</v>
      </c>
      <c r="I629">
        <v>181</v>
      </c>
    </row>
    <row r="630" spans="1:9">
      <c r="I630">
        <v>5003</v>
      </c>
    </row>
    <row r="631" spans="1:9">
      <c r="A631" s="23">
        <v>2</v>
      </c>
      <c r="B631" s="23" t="s">
        <v>582</v>
      </c>
      <c r="C631" s="23"/>
      <c r="D631" s="23"/>
      <c r="E631" s="23" t="s">
        <v>7</v>
      </c>
    </row>
    <row r="632" spans="1:9">
      <c r="B632" s="40" t="s">
        <v>787</v>
      </c>
      <c r="E632" t="s">
        <v>789</v>
      </c>
    </row>
    <row r="633" spans="1:9">
      <c r="B633" s="40" t="s">
        <v>788</v>
      </c>
      <c r="E633" t="s">
        <v>6</v>
      </c>
      <c r="F633" t="s">
        <v>790</v>
      </c>
    </row>
    <row r="634" spans="1:9">
      <c r="B634" s="40" t="s">
        <v>460</v>
      </c>
      <c r="C634" t="s">
        <v>791</v>
      </c>
      <c r="E634" t="s">
        <v>460</v>
      </c>
      <c r="F634" t="s">
        <v>807</v>
      </c>
    </row>
    <row r="635" spans="1:9">
      <c r="B635" s="23" t="s">
        <v>794</v>
      </c>
      <c r="C635" s="23"/>
      <c r="D635" s="23"/>
      <c r="E635" t="s">
        <v>795</v>
      </c>
    </row>
    <row r="636" spans="1:9">
      <c r="H636" t="s">
        <v>806</v>
      </c>
    </row>
    <row r="637" spans="1:9">
      <c r="A637" s="23">
        <v>3</v>
      </c>
      <c r="B637" s="23" t="s">
        <v>796</v>
      </c>
      <c r="C637" s="23"/>
      <c r="D637" s="23"/>
    </row>
    <row r="638" spans="1:9">
      <c r="A638" s="23"/>
      <c r="B638" s="23" t="s">
        <v>311</v>
      </c>
      <c r="C638" s="23"/>
      <c r="D638" s="23"/>
    </row>
    <row r="639" spans="1:9">
      <c r="B639" s="41" t="s">
        <v>797</v>
      </c>
    </row>
    <row r="640" spans="1:9">
      <c r="A640" s="23"/>
      <c r="B640" s="23" t="s">
        <v>798</v>
      </c>
      <c r="C640" s="23"/>
    </row>
    <row r="641" spans="1:7">
      <c r="B641" s="41" t="s">
        <v>799</v>
      </c>
    </row>
    <row r="642" spans="1:7">
      <c r="B642" s="41" t="s">
        <v>800</v>
      </c>
      <c r="D642" s="41" t="s">
        <v>480</v>
      </c>
    </row>
    <row r="643" spans="1:7">
      <c r="B643" s="41" t="s">
        <v>801</v>
      </c>
    </row>
    <row r="644" spans="1:7">
      <c r="A644" s="23"/>
      <c r="B644" s="23" t="s">
        <v>364</v>
      </c>
      <c r="C644" s="23"/>
    </row>
    <row r="645" spans="1:7">
      <c r="B645" s="41" t="s">
        <v>802</v>
      </c>
    </row>
    <row r="646" spans="1:7">
      <c r="B646" s="41" t="s">
        <v>803</v>
      </c>
    </row>
    <row r="647" spans="1:7">
      <c r="B647" s="41" t="s">
        <v>804</v>
      </c>
    </row>
    <row r="649" spans="1:7">
      <c r="A649" s="23"/>
      <c r="B649" s="23" t="s">
        <v>808</v>
      </c>
      <c r="C649" s="23"/>
      <c r="D649" s="23"/>
      <c r="E649" s="23"/>
      <c r="F649" s="23"/>
    </row>
    <row r="650" spans="1:7">
      <c r="A650" s="23"/>
      <c r="B650" s="23" t="s">
        <v>652</v>
      </c>
      <c r="C650" s="23"/>
      <c r="D650" s="23"/>
      <c r="E650" s="23"/>
      <c r="F650" s="23"/>
    </row>
    <row r="651" spans="1:7">
      <c r="A651">
        <v>1</v>
      </c>
      <c r="B651" s="40" t="s">
        <v>311</v>
      </c>
    </row>
    <row r="652" spans="1:7">
      <c r="B652" s="23" t="s">
        <v>451</v>
      </c>
      <c r="C652" s="23" t="s">
        <v>811</v>
      </c>
      <c r="D652" s="23" t="s">
        <v>387</v>
      </c>
      <c r="E652" s="23" t="s">
        <v>455</v>
      </c>
      <c r="F652" s="23" t="s">
        <v>458</v>
      </c>
      <c r="G652" s="23" t="s">
        <v>460</v>
      </c>
    </row>
    <row r="653" spans="1:7">
      <c r="B653" s="42" t="s">
        <v>812</v>
      </c>
      <c r="C653" t="s">
        <v>810</v>
      </c>
      <c r="D653" t="s">
        <v>809</v>
      </c>
      <c r="E653" t="s">
        <v>813</v>
      </c>
      <c r="F653" t="s">
        <v>814</v>
      </c>
      <c r="G653" t="s">
        <v>815</v>
      </c>
    </row>
    <row r="654" spans="1:7">
      <c r="A654" s="23"/>
      <c r="B654" s="23" t="s">
        <v>4</v>
      </c>
      <c r="C654" s="23" t="s">
        <v>5</v>
      </c>
      <c r="D654" s="23" t="s">
        <v>805</v>
      </c>
      <c r="E654" s="23"/>
      <c r="F654" s="23"/>
      <c r="G654" s="23" t="s">
        <v>12</v>
      </c>
    </row>
    <row r="655" spans="1:7">
      <c r="B655" s="42" t="s">
        <v>816</v>
      </c>
      <c r="C655" t="s">
        <v>817</v>
      </c>
      <c r="D655" s="42" t="s">
        <v>827</v>
      </c>
      <c r="E655" t="s">
        <v>818</v>
      </c>
      <c r="G655" t="s">
        <v>819</v>
      </c>
    </row>
    <row r="657" spans="1:6">
      <c r="A657" s="23">
        <v>2</v>
      </c>
      <c r="B657" s="23" t="s">
        <v>582</v>
      </c>
      <c r="C657" s="23"/>
      <c r="D657" s="23"/>
      <c r="E657" s="23" t="s">
        <v>7</v>
      </c>
    </row>
    <row r="658" spans="1:6">
      <c r="B658" s="42" t="s">
        <v>820</v>
      </c>
      <c r="E658" t="s">
        <v>823</v>
      </c>
    </row>
    <row r="659" spans="1:6">
      <c r="B659" s="42" t="s">
        <v>821</v>
      </c>
      <c r="E659" t="s">
        <v>6</v>
      </c>
      <c r="F659" t="s">
        <v>824</v>
      </c>
    </row>
    <row r="660" spans="1:6">
      <c r="B660" s="40" t="s">
        <v>460</v>
      </c>
      <c r="C660" t="s">
        <v>822</v>
      </c>
      <c r="E660" t="s">
        <v>460</v>
      </c>
      <c r="F660" t="s">
        <v>825</v>
      </c>
    </row>
    <row r="661" spans="1:6">
      <c r="B661" s="43" t="s">
        <v>794</v>
      </c>
      <c r="C661" s="43"/>
      <c r="D661" s="43"/>
      <c r="E661" s="44" t="s">
        <v>826</v>
      </c>
    </row>
    <row r="663" spans="1:6">
      <c r="A663" s="23">
        <v>3</v>
      </c>
      <c r="B663" s="23" t="s">
        <v>830</v>
      </c>
      <c r="C663" s="23"/>
      <c r="D663" s="23"/>
    </row>
    <row r="664" spans="1:6">
      <c r="A664" s="23"/>
      <c r="B664" s="23" t="s">
        <v>311</v>
      </c>
      <c r="C664" s="23"/>
      <c r="D664" s="23"/>
    </row>
    <row r="665" spans="1:6">
      <c r="B665" s="42" t="s">
        <v>828</v>
      </c>
    </row>
    <row r="666" spans="1:6">
      <c r="B666" s="42" t="s">
        <v>829</v>
      </c>
    </row>
    <row r="667" spans="1:6">
      <c r="A667" s="42"/>
      <c r="B667" s="42" t="s">
        <v>831</v>
      </c>
    </row>
    <row r="668" spans="1:6">
      <c r="A668" s="42"/>
      <c r="B668" s="42" t="s">
        <v>832</v>
      </c>
    </row>
    <row r="669" spans="1:6">
      <c r="A669" s="42"/>
      <c r="B669" s="42" t="s">
        <v>833</v>
      </c>
    </row>
    <row r="670" spans="1:6">
      <c r="A670" s="23"/>
      <c r="B670" s="23"/>
      <c r="C670" s="23"/>
    </row>
    <row r="671" spans="1:6">
      <c r="B671" s="43" t="s">
        <v>835</v>
      </c>
      <c r="C671" s="43"/>
      <c r="D671" s="43"/>
      <c r="E671" s="43"/>
      <c r="F671" s="43"/>
    </row>
    <row r="672" spans="1:6">
      <c r="B672" s="43" t="s">
        <v>652</v>
      </c>
      <c r="C672" s="43"/>
      <c r="D672" s="43"/>
      <c r="E672" s="43"/>
      <c r="F672" s="43"/>
    </row>
    <row r="673" spans="1:8">
      <c r="A673">
        <v>1</v>
      </c>
      <c r="B673" s="47" t="s">
        <v>311</v>
      </c>
      <c r="C673" s="23"/>
      <c r="D673" s="23"/>
      <c r="E673" s="23"/>
      <c r="F673" s="23"/>
    </row>
    <row r="674" spans="1:8">
      <c r="B674" s="49" t="s">
        <v>451</v>
      </c>
      <c r="C674" s="49" t="s">
        <v>811</v>
      </c>
      <c r="D674" s="49" t="s">
        <v>387</v>
      </c>
      <c r="E674" s="49" t="s">
        <v>455</v>
      </c>
      <c r="F674" s="49" t="s">
        <v>458</v>
      </c>
      <c r="G674" s="49" t="s">
        <v>460</v>
      </c>
    </row>
    <row r="675" spans="1:8">
      <c r="B675" s="8">
        <v>475</v>
      </c>
      <c r="C675" s="8">
        <v>458</v>
      </c>
      <c r="D675" s="8">
        <v>566</v>
      </c>
      <c r="E675" s="8">
        <v>616</v>
      </c>
      <c r="F675" s="8">
        <v>4179</v>
      </c>
      <c r="G675" s="8">
        <f>SUM(B675:F675)</f>
        <v>6294</v>
      </c>
    </row>
    <row r="676" spans="1:8">
      <c r="B676" s="49" t="s">
        <v>4</v>
      </c>
      <c r="C676" s="49" t="s">
        <v>5</v>
      </c>
      <c r="D676" s="49" t="s">
        <v>836</v>
      </c>
      <c r="E676" s="49" t="s">
        <v>837</v>
      </c>
      <c r="F676" s="49" t="s">
        <v>12</v>
      </c>
      <c r="G676" s="49"/>
    </row>
    <row r="677" spans="1:8">
      <c r="B677" s="8">
        <v>2660</v>
      </c>
      <c r="C677" s="8">
        <v>314</v>
      </c>
      <c r="D677" s="8">
        <v>146</v>
      </c>
      <c r="E677" s="8">
        <v>2616</v>
      </c>
      <c r="F677" s="8">
        <v>1843</v>
      </c>
      <c r="G677" s="8">
        <f>SUM(B677:F677)</f>
        <v>7579</v>
      </c>
    </row>
    <row r="678" spans="1:8">
      <c r="A678" s="16">
        <v>2</v>
      </c>
      <c r="B678" s="30" t="s">
        <v>582</v>
      </c>
      <c r="C678" s="30"/>
      <c r="D678" s="23"/>
      <c r="E678" s="23"/>
      <c r="F678" s="23"/>
    </row>
    <row r="679" spans="1:8">
      <c r="B679" s="48" t="s">
        <v>7</v>
      </c>
      <c r="C679" s="8"/>
      <c r="D679" s="8"/>
    </row>
    <row r="680" spans="1:8">
      <c r="B680" s="50" t="s">
        <v>618</v>
      </c>
      <c r="C680" s="50" t="s">
        <v>6</v>
      </c>
      <c r="D680" s="50" t="s">
        <v>460</v>
      </c>
    </row>
    <row r="681" spans="1:8">
      <c r="B681" s="8">
        <v>1738</v>
      </c>
      <c r="C681" s="8">
        <v>2063</v>
      </c>
      <c r="D681" s="8">
        <f>SUM(B681:C681)</f>
        <v>3801</v>
      </c>
    </row>
    <row r="682" spans="1:8">
      <c r="B682" s="50" t="s">
        <v>838</v>
      </c>
      <c r="C682" s="50" t="s">
        <v>9</v>
      </c>
      <c r="D682" s="8"/>
    </row>
    <row r="683" spans="1:8">
      <c r="B683" s="48">
        <v>1562</v>
      </c>
      <c r="C683" s="8">
        <v>280</v>
      </c>
      <c r="D683" s="8">
        <f>SUM(B683:C683)</f>
        <v>1842</v>
      </c>
    </row>
    <row r="684" spans="1:8">
      <c r="B684" s="47"/>
    </row>
    <row r="685" spans="1:8" ht="18.5">
      <c r="B685" s="51" t="s">
        <v>794</v>
      </c>
      <c r="C685" s="51"/>
      <c r="D685" s="51"/>
      <c r="E685" s="52" t="s">
        <v>839</v>
      </c>
    </row>
    <row r="686" spans="1:8">
      <c r="B686" s="23" t="s">
        <v>830</v>
      </c>
      <c r="C686" s="23"/>
      <c r="H686" s="23"/>
    </row>
    <row r="687" spans="1:8">
      <c r="B687" s="23" t="s">
        <v>311</v>
      </c>
      <c r="C687" s="23"/>
    </row>
    <row r="688" spans="1:8">
      <c r="B688" s="47" t="s">
        <v>840</v>
      </c>
    </row>
    <row r="689" spans="1:6">
      <c r="A689" s="47"/>
      <c r="B689" s="47" t="s">
        <v>851</v>
      </c>
    </row>
    <row r="690" spans="1:6">
      <c r="B690" s="47" t="s">
        <v>850</v>
      </c>
    </row>
    <row r="691" spans="1:6">
      <c r="B691" s="47" t="s">
        <v>841</v>
      </c>
    </row>
    <row r="692" spans="1:6">
      <c r="B692" s="47" t="s">
        <v>842</v>
      </c>
    </row>
    <row r="693" spans="1:6">
      <c r="B693" s="47" t="s">
        <v>843</v>
      </c>
    </row>
    <row r="694" spans="1:6">
      <c r="B694" s="47" t="s">
        <v>844</v>
      </c>
    </row>
    <row r="695" spans="1:6">
      <c r="B695" s="47" t="s">
        <v>845</v>
      </c>
    </row>
    <row r="696" spans="1:6">
      <c r="B696" s="47" t="s">
        <v>852</v>
      </c>
    </row>
    <row r="697" spans="1:6">
      <c r="B697" s="47" t="s">
        <v>846</v>
      </c>
    </row>
    <row r="698" spans="1:6">
      <c r="B698" s="47" t="s">
        <v>848</v>
      </c>
    </row>
    <row r="699" spans="1:6">
      <c r="B699" s="47" t="s">
        <v>847</v>
      </c>
    </row>
    <row r="700" spans="1:6">
      <c r="B700" s="47" t="s">
        <v>849</v>
      </c>
    </row>
    <row r="701" spans="1:6">
      <c r="B701" s="47" t="s">
        <v>853</v>
      </c>
    </row>
    <row r="702" spans="1:6">
      <c r="B702" s="53" t="s">
        <v>854</v>
      </c>
    </row>
    <row r="704" spans="1:6">
      <c r="B704" s="43" t="s">
        <v>835</v>
      </c>
      <c r="C704" s="43"/>
      <c r="D704" s="43"/>
      <c r="E704" s="43"/>
      <c r="F704" s="43"/>
    </row>
    <row r="705" spans="2:7">
      <c r="B705" s="43" t="s">
        <v>652</v>
      </c>
      <c r="C705" s="43"/>
      <c r="D705" s="43"/>
      <c r="E705" s="43"/>
      <c r="F705" s="43"/>
    </row>
    <row r="706" spans="2:7">
      <c r="B706" s="47" t="s">
        <v>311</v>
      </c>
      <c r="C706" s="23"/>
      <c r="D706" s="23"/>
      <c r="E706" s="23"/>
      <c r="F706" s="23"/>
    </row>
    <row r="707" spans="2:7">
      <c r="B707" s="49" t="s">
        <v>451</v>
      </c>
      <c r="C707" s="49" t="s">
        <v>811</v>
      </c>
      <c r="D707" s="49" t="s">
        <v>387</v>
      </c>
      <c r="E707" s="49" t="s">
        <v>455</v>
      </c>
      <c r="F707" s="49" t="s">
        <v>458</v>
      </c>
      <c r="G707" s="49" t="s">
        <v>460</v>
      </c>
    </row>
    <row r="708" spans="2:7">
      <c r="B708" s="8">
        <v>797</v>
      </c>
      <c r="C708" s="8">
        <v>372</v>
      </c>
      <c r="D708" s="8">
        <v>753</v>
      </c>
      <c r="E708" s="8">
        <v>550</v>
      </c>
      <c r="F708" s="8">
        <v>3823</v>
      </c>
      <c r="G708" s="8">
        <f>SUM(B708:F708)</f>
        <v>6295</v>
      </c>
    </row>
    <row r="709" spans="2:7">
      <c r="B709" s="49" t="s">
        <v>4</v>
      </c>
      <c r="C709" s="49" t="s">
        <v>5</v>
      </c>
      <c r="D709" s="49" t="s">
        <v>836</v>
      </c>
      <c r="E709" s="49" t="s">
        <v>837</v>
      </c>
      <c r="F709" s="49" t="s">
        <v>12</v>
      </c>
      <c r="G709" s="49"/>
    </row>
    <row r="710" spans="2:7">
      <c r="B710" s="8">
        <v>3113</v>
      </c>
      <c r="C710" s="8">
        <v>390</v>
      </c>
      <c r="D710" s="8">
        <v>170</v>
      </c>
      <c r="E710" s="8">
        <v>1887</v>
      </c>
      <c r="F710" s="8">
        <v>1990</v>
      </c>
      <c r="G710" s="8">
        <f>SUM(B710:F710)</f>
        <v>7550</v>
      </c>
    </row>
    <row r="711" spans="2:7">
      <c r="B711" s="30" t="s">
        <v>582</v>
      </c>
      <c r="C711" s="30"/>
      <c r="D711" s="23"/>
      <c r="E711" s="23"/>
      <c r="F711" s="23"/>
    </row>
    <row r="712" spans="2:7">
      <c r="B712" s="48" t="s">
        <v>7</v>
      </c>
      <c r="C712" s="8"/>
      <c r="D712" s="8"/>
    </row>
    <row r="713" spans="2:7">
      <c r="B713" s="50" t="s">
        <v>618</v>
      </c>
      <c r="C713" s="50" t="s">
        <v>6</v>
      </c>
      <c r="D713" s="50" t="s">
        <v>460</v>
      </c>
    </row>
    <row r="714" spans="2:7">
      <c r="B714" s="8">
        <v>1273</v>
      </c>
      <c r="C714" s="8">
        <v>1459</v>
      </c>
      <c r="D714" s="8">
        <f>SUM(B714:C714)</f>
        <v>2732</v>
      </c>
    </row>
    <row r="715" spans="2:7">
      <c r="B715" s="50" t="s">
        <v>838</v>
      </c>
      <c r="C715" s="50" t="s">
        <v>9</v>
      </c>
      <c r="D715" s="8"/>
    </row>
    <row r="716" spans="2:7">
      <c r="B716" s="48">
        <v>1747</v>
      </c>
      <c r="C716" s="8">
        <v>147</v>
      </c>
      <c r="D716" s="8">
        <f>SUM(B716:C716)</f>
        <v>1894</v>
      </c>
    </row>
    <row r="718" spans="2:7" ht="18.5">
      <c r="B718" s="51" t="s">
        <v>855</v>
      </c>
    </row>
    <row r="719" spans="2:7">
      <c r="B719" s="55" t="s">
        <v>4</v>
      </c>
    </row>
    <row r="720" spans="2:7">
      <c r="B720" s="55" t="s">
        <v>856</v>
      </c>
    </row>
    <row r="721" spans="2:2">
      <c r="B721" s="55" t="s">
        <v>857</v>
      </c>
    </row>
    <row r="722" spans="2:2">
      <c r="B722" s="55" t="s">
        <v>858</v>
      </c>
    </row>
    <row r="723" spans="2:2">
      <c r="B723" s="55" t="s">
        <v>859</v>
      </c>
    </row>
    <row r="724" spans="2:2">
      <c r="B724" s="55" t="s">
        <v>861</v>
      </c>
    </row>
    <row r="725" spans="2:2">
      <c r="B725" s="55" t="s">
        <v>860</v>
      </c>
    </row>
    <row r="726" spans="2:2">
      <c r="B726" s="55" t="s">
        <v>3</v>
      </c>
    </row>
    <row r="727" spans="2:2">
      <c r="B727" s="55" t="s">
        <v>862</v>
      </c>
    </row>
    <row r="728" spans="2:2">
      <c r="B728" s="55" t="s">
        <v>863</v>
      </c>
    </row>
    <row r="729" spans="2:2">
      <c r="B729" s="55" t="s">
        <v>864</v>
      </c>
    </row>
    <row r="730" spans="2:2">
      <c r="B730" s="55" t="s">
        <v>865</v>
      </c>
    </row>
    <row r="731" spans="2:2">
      <c r="B731" s="55" t="s">
        <v>866</v>
      </c>
    </row>
    <row r="732" spans="2:2">
      <c r="B732" s="55" t="s">
        <v>867</v>
      </c>
    </row>
    <row r="733" spans="2:2">
      <c r="B733" s="55" t="s">
        <v>868</v>
      </c>
    </row>
    <row r="734" spans="2:2">
      <c r="B734" s="55" t="s">
        <v>869</v>
      </c>
    </row>
    <row r="735" spans="2:2">
      <c r="B735" s="55" t="s">
        <v>870</v>
      </c>
    </row>
    <row r="736" spans="2:2">
      <c r="B736" s="55" t="s">
        <v>871</v>
      </c>
    </row>
    <row r="738" spans="1:10">
      <c r="B738" s="55" t="s">
        <v>872</v>
      </c>
    </row>
    <row r="739" spans="1:10">
      <c r="B739" s="55" t="s">
        <v>873</v>
      </c>
    </row>
    <row r="740" spans="1:10">
      <c r="B740" s="55" t="s">
        <v>874</v>
      </c>
    </row>
    <row r="742" spans="1:10">
      <c r="A742" s="31"/>
      <c r="B742" s="32" t="s">
        <v>875</v>
      </c>
      <c r="C742" s="32"/>
      <c r="D742" s="32"/>
      <c r="E742" s="32"/>
      <c r="F742" s="32"/>
      <c r="G742" s="32"/>
    </row>
    <row r="743" spans="1:10">
      <c r="A743" s="31">
        <v>1</v>
      </c>
      <c r="B743" s="31" t="s">
        <v>876</v>
      </c>
      <c r="C743" s="31" t="s">
        <v>903</v>
      </c>
      <c r="D743" s="31"/>
    </row>
    <row r="744" spans="1:10">
      <c r="B744" s="19" t="s">
        <v>877</v>
      </c>
      <c r="C744" s="19"/>
      <c r="D744" s="19"/>
      <c r="E744" s="19"/>
      <c r="F744" s="19"/>
      <c r="G744" s="19"/>
      <c r="H744" s="19" t="s">
        <v>543</v>
      </c>
      <c r="I744" s="19"/>
    </row>
    <row r="745" spans="1:10">
      <c r="B745" s="57" t="s">
        <v>383</v>
      </c>
      <c r="C745" s="57" t="s">
        <v>880</v>
      </c>
      <c r="E745" s="19" t="s">
        <v>4</v>
      </c>
      <c r="F745" s="57" t="s">
        <v>887</v>
      </c>
      <c r="H745" s="57" t="s">
        <v>889</v>
      </c>
      <c r="I745" s="57" t="s">
        <v>891</v>
      </c>
    </row>
    <row r="746" spans="1:10">
      <c r="B746" s="57" t="s">
        <v>878</v>
      </c>
      <c r="C746" s="57" t="s">
        <v>881</v>
      </c>
      <c r="E746" s="19" t="s">
        <v>5</v>
      </c>
      <c r="F746" s="57" t="s">
        <v>888</v>
      </c>
      <c r="H746" s="57" t="s">
        <v>890</v>
      </c>
      <c r="I746" s="57" t="s">
        <v>892</v>
      </c>
    </row>
    <row r="747" spans="1:10">
      <c r="B747" s="57" t="s">
        <v>385</v>
      </c>
      <c r="C747" s="57" t="s">
        <v>882</v>
      </c>
      <c r="E747" s="19" t="s">
        <v>899</v>
      </c>
      <c r="F747" s="57" t="s">
        <v>900</v>
      </c>
      <c r="H747" s="57" t="s">
        <v>483</v>
      </c>
      <c r="I747" s="57" t="s">
        <v>893</v>
      </c>
    </row>
    <row r="748" spans="1:10">
      <c r="B748" s="57" t="s">
        <v>389</v>
      </c>
      <c r="C748" s="57" t="s">
        <v>883</v>
      </c>
      <c r="E748" s="19" t="s">
        <v>12</v>
      </c>
      <c r="F748" s="57" t="s">
        <v>901</v>
      </c>
      <c r="G748" s="19"/>
      <c r="H748" s="19" t="s">
        <v>7</v>
      </c>
    </row>
    <row r="749" spans="1:10">
      <c r="B749" s="57" t="s">
        <v>879</v>
      </c>
      <c r="C749" s="57" t="s">
        <v>884</v>
      </c>
      <c r="H749" s="57" t="s">
        <v>894</v>
      </c>
    </row>
    <row r="750" spans="1:10">
      <c r="B750" s="57" t="s">
        <v>885</v>
      </c>
      <c r="C750" s="57" t="s">
        <v>886</v>
      </c>
      <c r="H750" s="57" t="s">
        <v>895</v>
      </c>
      <c r="I750" s="57" t="s">
        <v>902</v>
      </c>
      <c r="J750" s="57" t="s">
        <v>896</v>
      </c>
    </row>
    <row r="751" spans="1:10">
      <c r="H751" s="57" t="s">
        <v>483</v>
      </c>
      <c r="I751" s="57" t="s">
        <v>897</v>
      </c>
    </row>
    <row r="752" spans="1:10">
      <c r="B752" s="57" t="s">
        <v>898</v>
      </c>
    </row>
    <row r="753" spans="1:14">
      <c r="A753" s="32">
        <v>2</v>
      </c>
      <c r="B753" s="32" t="s">
        <v>51</v>
      </c>
      <c r="C753" s="32"/>
    </row>
    <row r="754" spans="1:14">
      <c r="B754" s="19" t="s">
        <v>3</v>
      </c>
      <c r="C754" s="19"/>
      <c r="D754" s="19"/>
      <c r="E754" s="19"/>
      <c r="F754" s="19" t="s">
        <v>4</v>
      </c>
      <c r="G754" s="19"/>
      <c r="H754" s="19"/>
      <c r="I754" s="19" t="s">
        <v>10</v>
      </c>
      <c r="J754" s="19"/>
      <c r="K754" s="19"/>
      <c r="L754" s="19"/>
      <c r="M754" s="19" t="s">
        <v>7</v>
      </c>
    </row>
    <row r="755" spans="1:14">
      <c r="B755" s="57" t="s">
        <v>904</v>
      </c>
      <c r="F755" s="57" t="s">
        <v>907</v>
      </c>
      <c r="I755" s="57" t="s">
        <v>911</v>
      </c>
      <c r="M755" s="57" t="s">
        <v>913</v>
      </c>
    </row>
    <row r="756" spans="1:14">
      <c r="B756" s="57" t="s">
        <v>905</v>
      </c>
      <c r="F756" s="57" t="s">
        <v>908</v>
      </c>
      <c r="I756" s="57" t="s">
        <v>912</v>
      </c>
      <c r="M756" s="57" t="s">
        <v>914</v>
      </c>
    </row>
    <row r="757" spans="1:14">
      <c r="B757" s="57" t="s">
        <v>906</v>
      </c>
      <c r="F757" s="57" t="s">
        <v>909</v>
      </c>
      <c r="M757" s="57" t="s">
        <v>915</v>
      </c>
    </row>
    <row r="758" spans="1:14">
      <c r="F758" s="57" t="s">
        <v>910</v>
      </c>
    </row>
    <row r="759" spans="1:14"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</row>
    <row r="760" spans="1:14">
      <c r="A760" s="32">
        <v>3</v>
      </c>
      <c r="B760" s="32" t="s">
        <v>364</v>
      </c>
      <c r="C760" s="32"/>
      <c r="D760" s="32" t="s">
        <v>918</v>
      </c>
      <c r="E760" s="32"/>
      <c r="F760" s="32"/>
      <c r="G760" s="32"/>
      <c r="H760" s="32"/>
      <c r="I760" s="32" t="s">
        <v>582</v>
      </c>
      <c r="J760" s="32"/>
      <c r="K760" s="32"/>
      <c r="L760" s="32"/>
      <c r="M760" s="32"/>
      <c r="N760" s="32" t="s">
        <v>7</v>
      </c>
    </row>
    <row r="761" spans="1:14">
      <c r="B761" s="57" t="s">
        <v>111</v>
      </c>
      <c r="D761" s="57" t="s">
        <v>203</v>
      </c>
      <c r="I761" s="57" t="s">
        <v>922</v>
      </c>
      <c r="N761" s="57" t="s">
        <v>926</v>
      </c>
    </row>
    <row r="762" spans="1:14">
      <c r="D762" s="57" t="s">
        <v>916</v>
      </c>
      <c r="I762" s="57" t="s">
        <v>923</v>
      </c>
      <c r="N762" s="57" t="s">
        <v>927</v>
      </c>
    </row>
    <row r="763" spans="1:14">
      <c r="B763" s="57" t="s">
        <v>917</v>
      </c>
      <c r="I763" s="57" t="s">
        <v>924</v>
      </c>
      <c r="N763" s="57" t="s">
        <v>928</v>
      </c>
    </row>
    <row r="764" spans="1:14">
      <c r="B764" s="57" t="s">
        <v>919</v>
      </c>
      <c r="I764" s="57" t="s">
        <v>925</v>
      </c>
      <c r="N764" s="57" t="s">
        <v>929</v>
      </c>
    </row>
    <row r="765" spans="1:14">
      <c r="B765" s="57" t="s">
        <v>920</v>
      </c>
    </row>
    <row r="766" spans="1:14">
      <c r="B766" s="57" t="s">
        <v>921</v>
      </c>
    </row>
    <row r="768" spans="1:14">
      <c r="A768" s="19"/>
      <c r="B768" s="32" t="s">
        <v>930</v>
      </c>
      <c r="C768" s="32"/>
      <c r="D768" s="32"/>
      <c r="E768" s="32"/>
      <c r="F768" s="32"/>
    </row>
    <row r="769" spans="1:12">
      <c r="A769" s="31">
        <v>1</v>
      </c>
      <c r="B769" s="31" t="s">
        <v>931</v>
      </c>
      <c r="C769" s="31"/>
      <c r="D769" s="31"/>
    </row>
    <row r="770" spans="1:12">
      <c r="B770" s="19" t="s">
        <v>877</v>
      </c>
      <c r="C770" s="19"/>
      <c r="D770" s="19"/>
      <c r="E770" s="32"/>
      <c r="F770" s="19"/>
      <c r="G770" s="19"/>
      <c r="H770" s="19" t="s">
        <v>944</v>
      </c>
      <c r="I770" s="19"/>
      <c r="J770" s="19"/>
      <c r="K770" s="19" t="s">
        <v>7</v>
      </c>
    </row>
    <row r="771" spans="1:12">
      <c r="B771" s="31" t="s">
        <v>2</v>
      </c>
      <c r="C771" t="s">
        <v>934</v>
      </c>
      <c r="E771" s="31" t="s">
        <v>4</v>
      </c>
      <c r="F771" t="s">
        <v>940</v>
      </c>
      <c r="H771" s="31" t="s">
        <v>889</v>
      </c>
      <c r="I771" t="s">
        <v>945</v>
      </c>
      <c r="K771" s="31" t="s">
        <v>948</v>
      </c>
    </row>
    <row r="772" spans="1:12">
      <c r="B772" s="31" t="s">
        <v>932</v>
      </c>
      <c r="C772" t="s">
        <v>937</v>
      </c>
      <c r="E772" s="31" t="s">
        <v>5</v>
      </c>
      <c r="F772" t="s">
        <v>941</v>
      </c>
      <c r="H772" s="31" t="s">
        <v>890</v>
      </c>
      <c r="I772" t="s">
        <v>946</v>
      </c>
      <c r="K772" s="31" t="s">
        <v>6</v>
      </c>
      <c r="L772" t="s">
        <v>949</v>
      </c>
    </row>
    <row r="773" spans="1:12">
      <c r="B773" s="31" t="s">
        <v>933</v>
      </c>
      <c r="C773" t="s">
        <v>936</v>
      </c>
      <c r="E773" s="31" t="s">
        <v>899</v>
      </c>
      <c r="F773" t="s">
        <v>942</v>
      </c>
      <c r="H773" s="31" t="s">
        <v>460</v>
      </c>
      <c r="I773" t="s">
        <v>947</v>
      </c>
      <c r="K773" s="31" t="s">
        <v>460</v>
      </c>
      <c r="L773" t="s">
        <v>950</v>
      </c>
    </row>
    <row r="774" spans="1:12">
      <c r="B774" s="31" t="s">
        <v>451</v>
      </c>
      <c r="C774" t="s">
        <v>935</v>
      </c>
      <c r="E774" s="31" t="s">
        <v>12</v>
      </c>
      <c r="F774" t="s">
        <v>943</v>
      </c>
    </row>
    <row r="775" spans="1:12">
      <c r="B775" s="31" t="s">
        <v>458</v>
      </c>
      <c r="C775" t="s">
        <v>938</v>
      </c>
      <c r="E775" s="31"/>
    </row>
    <row r="776" spans="1:12">
      <c r="B776" s="31" t="s">
        <v>460</v>
      </c>
      <c r="C776" t="s">
        <v>939</v>
      </c>
    </row>
    <row r="777" spans="1:12">
      <c r="B777" s="19" t="s">
        <v>966</v>
      </c>
      <c r="C777" s="19"/>
      <c r="D777" s="19"/>
    </row>
    <row r="778" spans="1:12">
      <c r="A778" s="32">
        <v>2</v>
      </c>
      <c r="B778" s="32" t="s">
        <v>96</v>
      </c>
      <c r="C778" s="32"/>
      <c r="D778" s="32"/>
    </row>
    <row r="779" spans="1:12">
      <c r="B779" s="31" t="s">
        <v>311</v>
      </c>
      <c r="C779" s="31"/>
      <c r="D779" s="31"/>
      <c r="E779" s="31" t="s">
        <v>798</v>
      </c>
      <c r="F779" s="31"/>
    </row>
    <row r="780" spans="1:12">
      <c r="B780" s="58" t="s">
        <v>951</v>
      </c>
      <c r="E780" t="s">
        <v>955</v>
      </c>
    </row>
    <row r="781" spans="1:12">
      <c r="B781" s="58" t="s">
        <v>952</v>
      </c>
      <c r="E781" t="s">
        <v>956</v>
      </c>
    </row>
    <row r="782" spans="1:12">
      <c r="B782" s="58" t="s">
        <v>953</v>
      </c>
    </row>
    <row r="783" spans="1:12">
      <c r="B783" s="58" t="s">
        <v>954</v>
      </c>
    </row>
    <row r="784" spans="1:12">
      <c r="A784" s="32">
        <v>3</v>
      </c>
      <c r="B784" s="32" t="s">
        <v>246</v>
      </c>
      <c r="C784" s="32"/>
    </row>
    <row r="785" spans="1:11">
      <c r="A785" s="31"/>
      <c r="B785" s="31" t="s">
        <v>311</v>
      </c>
      <c r="C785" s="31"/>
      <c r="D785" s="31"/>
      <c r="E785" s="31"/>
      <c r="F785" s="31"/>
      <c r="G785" s="31"/>
      <c r="H785" s="31"/>
      <c r="I785" s="31" t="s">
        <v>655</v>
      </c>
      <c r="J785" s="31"/>
    </row>
    <row r="786" spans="1:11">
      <c r="B786" s="58" t="s">
        <v>957</v>
      </c>
      <c r="I786" s="58" t="s">
        <v>961</v>
      </c>
    </row>
    <row r="787" spans="1:11">
      <c r="B787" s="58" t="s">
        <v>958</v>
      </c>
      <c r="I787" s="58" t="s">
        <v>962</v>
      </c>
    </row>
    <row r="788" spans="1:11">
      <c r="B788" s="58" t="s">
        <v>959</v>
      </c>
      <c r="I788" s="58" t="s">
        <v>963</v>
      </c>
      <c r="K788" s="58" t="s">
        <v>553</v>
      </c>
    </row>
    <row r="789" spans="1:11">
      <c r="B789" s="58" t="s">
        <v>960</v>
      </c>
      <c r="I789" s="58" t="s">
        <v>964</v>
      </c>
    </row>
    <row r="790" spans="1:11">
      <c r="I790" s="58" t="s">
        <v>965</v>
      </c>
    </row>
    <row r="792" spans="1:11">
      <c r="A792" s="32"/>
      <c r="B792" s="32" t="s">
        <v>967</v>
      </c>
      <c r="C792" s="32"/>
      <c r="D792" s="32"/>
      <c r="E792" s="32"/>
      <c r="F792" s="32"/>
    </row>
    <row r="793" spans="1:11">
      <c r="A793" s="31"/>
      <c r="B793" s="31" t="s">
        <v>968</v>
      </c>
      <c r="C793" s="31"/>
      <c r="D793" s="31"/>
      <c r="E793" s="31"/>
      <c r="F793" s="31"/>
    </row>
    <row r="794" spans="1:11">
      <c r="A794" s="19"/>
      <c r="B794" s="19" t="s">
        <v>3</v>
      </c>
      <c r="G794" s="19"/>
      <c r="H794" s="19" t="s">
        <v>10</v>
      </c>
      <c r="I794" s="19"/>
      <c r="J794" s="19" t="s">
        <v>460</v>
      </c>
    </row>
    <row r="795" spans="1:11">
      <c r="B795" s="59" t="s">
        <v>969</v>
      </c>
      <c r="E795" t="s">
        <v>4</v>
      </c>
      <c r="F795" t="s">
        <v>976</v>
      </c>
      <c r="H795" t="s">
        <v>890</v>
      </c>
      <c r="I795" t="s">
        <v>974</v>
      </c>
    </row>
    <row r="796" spans="1:11">
      <c r="B796" s="59" t="s">
        <v>451</v>
      </c>
      <c r="C796" t="s">
        <v>970</v>
      </c>
      <c r="E796" t="s">
        <v>5</v>
      </c>
      <c r="F796" t="s">
        <v>977</v>
      </c>
      <c r="H796" t="s">
        <v>889</v>
      </c>
      <c r="I796" t="s">
        <v>975</v>
      </c>
      <c r="J796" t="s">
        <v>980</v>
      </c>
    </row>
    <row r="797" spans="1:11">
      <c r="B797" s="59" t="s">
        <v>455</v>
      </c>
      <c r="C797" t="s">
        <v>971</v>
      </c>
      <c r="E797" t="s">
        <v>12</v>
      </c>
      <c r="F797" t="s">
        <v>978</v>
      </c>
      <c r="G797" s="19"/>
      <c r="H797" s="19" t="s">
        <v>7</v>
      </c>
      <c r="I797" t="s">
        <v>7</v>
      </c>
    </row>
    <row r="798" spans="1:11">
      <c r="B798" s="59" t="s">
        <v>458</v>
      </c>
      <c r="C798" t="s">
        <v>972</v>
      </c>
      <c r="I798" t="s">
        <v>979</v>
      </c>
    </row>
    <row r="799" spans="1:11">
      <c r="B799" s="59" t="s">
        <v>460</v>
      </c>
      <c r="C799" t="s">
        <v>973</v>
      </c>
    </row>
    <row r="800" spans="1:11">
      <c r="B800" s="19" t="s">
        <v>981</v>
      </c>
      <c r="C800" s="19"/>
      <c r="D800" s="19"/>
      <c r="E800" s="19"/>
    </row>
    <row r="801" spans="1:9">
      <c r="A801" s="32"/>
      <c r="B801" s="32" t="s">
        <v>51</v>
      </c>
      <c r="C801" s="32"/>
    </row>
    <row r="802" spans="1:9">
      <c r="A802" s="19"/>
      <c r="B802" s="19" t="s">
        <v>7</v>
      </c>
    </row>
    <row r="803" spans="1:9">
      <c r="B803" s="59" t="s">
        <v>982</v>
      </c>
    </row>
    <row r="804" spans="1:9">
      <c r="B804" s="59" t="s">
        <v>983</v>
      </c>
    </row>
    <row r="805" spans="1:9">
      <c r="A805" s="32"/>
      <c r="B805" s="32" t="s">
        <v>984</v>
      </c>
      <c r="C805" s="32"/>
    </row>
    <row r="806" spans="1:9">
      <c r="A806" s="19"/>
      <c r="B806" s="19" t="s">
        <v>311</v>
      </c>
      <c r="C806" s="19"/>
      <c r="D806" s="19"/>
      <c r="E806" s="19"/>
      <c r="F806" s="19"/>
      <c r="G806" s="19"/>
      <c r="H806" s="19" t="s">
        <v>10</v>
      </c>
    </row>
    <row r="807" spans="1:9">
      <c r="B807" s="59" t="s">
        <v>111</v>
      </c>
      <c r="H807" t="s">
        <v>989</v>
      </c>
    </row>
    <row r="808" spans="1:9">
      <c r="C808" t="s">
        <v>985</v>
      </c>
      <c r="H808" t="s">
        <v>990</v>
      </c>
    </row>
    <row r="809" spans="1:9">
      <c r="C809" t="s">
        <v>986</v>
      </c>
      <c r="H809" t="s">
        <v>991</v>
      </c>
    </row>
    <row r="810" spans="1:9">
      <c r="B810" s="59" t="s">
        <v>987</v>
      </c>
      <c r="H810" s="19" t="s">
        <v>7</v>
      </c>
      <c r="I810" s="19"/>
    </row>
    <row r="811" spans="1:9">
      <c r="B811" s="59" t="s">
        <v>988</v>
      </c>
      <c r="H811" s="59" t="s">
        <v>992</v>
      </c>
    </row>
    <row r="812" spans="1:9">
      <c r="H812" s="59" t="s">
        <v>993</v>
      </c>
    </row>
    <row r="813" spans="1:9">
      <c r="H813" s="59" t="s">
        <v>994</v>
      </c>
    </row>
    <row r="814" spans="1:9">
      <c r="H814" s="59" t="s">
        <v>995</v>
      </c>
    </row>
    <row r="816" spans="1:9">
      <c r="A816" s="31"/>
      <c r="B816" s="32" t="s">
        <v>996</v>
      </c>
      <c r="C816" s="32"/>
      <c r="D816" s="32"/>
      <c r="E816" s="32"/>
      <c r="F816" s="32"/>
    </row>
    <row r="817" spans="1:10">
      <c r="A817" s="31">
        <v>1</v>
      </c>
      <c r="B817" s="31" t="s">
        <v>997</v>
      </c>
      <c r="C817" s="31"/>
      <c r="D817" s="31"/>
    </row>
    <row r="818" spans="1:10">
      <c r="B818" t="s">
        <v>877</v>
      </c>
      <c r="G818" s="19"/>
      <c r="H818" s="19" t="s">
        <v>10</v>
      </c>
    </row>
    <row r="819" spans="1:10">
      <c r="A819" s="19"/>
      <c r="B819" s="19" t="s">
        <v>998</v>
      </c>
      <c r="E819" s="19" t="s">
        <v>4</v>
      </c>
      <c r="F819" t="s">
        <v>1005</v>
      </c>
      <c r="H819" t="s">
        <v>890</v>
      </c>
      <c r="I819" t="s">
        <v>1010</v>
      </c>
    </row>
    <row r="820" spans="1:10">
      <c r="A820" s="19"/>
      <c r="B820" s="19" t="s">
        <v>451</v>
      </c>
      <c r="C820" t="s">
        <v>1000</v>
      </c>
      <c r="E820" s="19" t="s">
        <v>5</v>
      </c>
      <c r="F820" t="s">
        <v>1006</v>
      </c>
      <c r="H820" t="s">
        <v>889</v>
      </c>
      <c r="I820" t="s">
        <v>1011</v>
      </c>
    </row>
    <row r="821" spans="1:10">
      <c r="A821" s="19"/>
      <c r="B821" s="19" t="s">
        <v>387</v>
      </c>
      <c r="C821" t="s">
        <v>1003</v>
      </c>
      <c r="E821" s="19" t="s">
        <v>12</v>
      </c>
      <c r="F821" t="s">
        <v>1007</v>
      </c>
      <c r="H821" t="s">
        <v>460</v>
      </c>
      <c r="I821" t="s">
        <v>1012</v>
      </c>
    </row>
    <row r="822" spans="1:10">
      <c r="A822" s="19"/>
      <c r="B822" s="19" t="s">
        <v>999</v>
      </c>
      <c r="C822" t="s">
        <v>1001</v>
      </c>
      <c r="E822" s="19" t="s">
        <v>1008</v>
      </c>
      <c r="G822" s="19"/>
      <c r="H822" s="19" t="s">
        <v>7</v>
      </c>
    </row>
    <row r="823" spans="1:10">
      <c r="A823" s="19"/>
      <c r="B823" s="19" t="s">
        <v>458</v>
      </c>
      <c r="C823" t="s">
        <v>1004</v>
      </c>
      <c r="E823" s="19" t="s">
        <v>1009</v>
      </c>
      <c r="H823" t="s">
        <v>1013</v>
      </c>
    </row>
    <row r="824" spans="1:10">
      <c r="A824" s="19"/>
      <c r="B824" s="19" t="s">
        <v>460</v>
      </c>
      <c r="C824" t="s">
        <v>1002</v>
      </c>
      <c r="H824" t="s">
        <v>6</v>
      </c>
      <c r="I824" t="s">
        <v>1014</v>
      </c>
    </row>
    <row r="825" spans="1:10">
      <c r="H825" t="s">
        <v>460</v>
      </c>
      <c r="I825" t="s">
        <v>1015</v>
      </c>
    </row>
    <row r="826" spans="1:10">
      <c r="A826" s="19"/>
      <c r="B826" s="19" t="s">
        <v>1016</v>
      </c>
      <c r="C826" s="19"/>
      <c r="D826" t="s">
        <v>1017</v>
      </c>
    </row>
    <row r="827" spans="1:10">
      <c r="A827" s="32">
        <v>2</v>
      </c>
      <c r="B827" s="32" t="s">
        <v>51</v>
      </c>
      <c r="C827" s="32"/>
    </row>
    <row r="828" spans="1:10">
      <c r="B828" t="s">
        <v>3</v>
      </c>
    </row>
    <row r="829" spans="1:10">
      <c r="B829" t="s">
        <v>1018</v>
      </c>
    </row>
    <row r="830" spans="1:10">
      <c r="B830" t="s">
        <v>10</v>
      </c>
    </row>
    <row r="831" spans="1:10">
      <c r="B831" t="s">
        <v>1019</v>
      </c>
    </row>
    <row r="832" spans="1:10">
      <c r="A832" s="32">
        <v>3</v>
      </c>
      <c r="B832" s="32" t="s">
        <v>246</v>
      </c>
      <c r="C832" s="32"/>
      <c r="G832" s="32"/>
      <c r="H832" s="32" t="s">
        <v>582</v>
      </c>
      <c r="I832" s="32"/>
      <c r="J832" s="31"/>
    </row>
    <row r="833" spans="1:8">
      <c r="B833" t="s">
        <v>311</v>
      </c>
      <c r="G833">
        <v>1</v>
      </c>
      <c r="H833" t="s">
        <v>1026</v>
      </c>
    </row>
    <row r="834" spans="1:8">
      <c r="A834">
        <v>1</v>
      </c>
      <c r="B834" t="s">
        <v>1020</v>
      </c>
      <c r="G834">
        <v>2</v>
      </c>
      <c r="H834" t="s">
        <v>1027</v>
      </c>
    </row>
    <row r="835" spans="1:8">
      <c r="A835">
        <v>2</v>
      </c>
      <c r="B835" t="s">
        <v>1021</v>
      </c>
      <c r="G835">
        <v>3</v>
      </c>
      <c r="H835" t="s">
        <v>1028</v>
      </c>
    </row>
    <row r="836" spans="1:8">
      <c r="A836">
        <v>3</v>
      </c>
      <c r="B836" t="s">
        <v>1022</v>
      </c>
      <c r="G836">
        <v>4</v>
      </c>
      <c r="H836" t="s">
        <v>1029</v>
      </c>
    </row>
    <row r="837" spans="1:8">
      <c r="A837">
        <v>4</v>
      </c>
      <c r="B837" t="s">
        <v>1023</v>
      </c>
      <c r="G837">
        <v>5</v>
      </c>
      <c r="H837" t="s">
        <v>1030</v>
      </c>
    </row>
    <row r="838" spans="1:8">
      <c r="A838">
        <v>5</v>
      </c>
      <c r="B838" t="s">
        <v>1024</v>
      </c>
      <c r="G838" s="32"/>
      <c r="H838" s="32" t="s">
        <v>7</v>
      </c>
    </row>
    <row r="839" spans="1:8">
      <c r="A839">
        <v>6</v>
      </c>
      <c r="B839" t="s">
        <v>1025</v>
      </c>
      <c r="G839">
        <v>1</v>
      </c>
      <c r="H839" t="s">
        <v>1031</v>
      </c>
    </row>
    <row r="840" spans="1:8">
      <c r="G840">
        <v>2</v>
      </c>
      <c r="H840" t="s">
        <v>1032</v>
      </c>
    </row>
    <row r="841" spans="1:8">
      <c r="G841">
        <v>3</v>
      </c>
      <c r="H841" t="s">
        <v>1033</v>
      </c>
    </row>
    <row r="842" spans="1:8">
      <c r="G842" s="61">
        <v>4</v>
      </c>
      <c r="H842" s="61" t="s">
        <v>1034</v>
      </c>
    </row>
    <row r="843" spans="1:8">
      <c r="B843" s="32">
        <v>4</v>
      </c>
      <c r="C843" s="32" t="s">
        <v>507</v>
      </c>
    </row>
    <row r="844" spans="1:8">
      <c r="A844">
        <v>1</v>
      </c>
      <c r="B844" s="60" t="s">
        <v>1035</v>
      </c>
    </row>
    <row r="845" spans="1:8">
      <c r="A845">
        <v>2</v>
      </c>
      <c r="B845" s="60" t="s">
        <v>1036</v>
      </c>
    </row>
    <row r="846" spans="1:8">
      <c r="A846">
        <v>3</v>
      </c>
      <c r="B846" s="60" t="s">
        <v>1037</v>
      </c>
    </row>
    <row r="847" spans="1:8">
      <c r="A847">
        <v>4</v>
      </c>
      <c r="B847" s="60" t="s">
        <v>1038</v>
      </c>
    </row>
    <row r="849" spans="1:13">
      <c r="A849" s="32"/>
      <c r="B849" s="32" t="s">
        <v>1039</v>
      </c>
      <c r="C849" s="32"/>
      <c r="D849" s="32"/>
      <c r="E849" s="32"/>
      <c r="F849" s="32"/>
    </row>
    <row r="850" spans="1:13">
      <c r="B850" s="31" t="s">
        <v>652</v>
      </c>
      <c r="C850" s="31"/>
    </row>
    <row r="851" spans="1:13">
      <c r="B851" s="62" t="s">
        <v>1040</v>
      </c>
      <c r="D851" s="62" t="s">
        <v>7</v>
      </c>
      <c r="E851" s="62" t="s">
        <v>1043</v>
      </c>
      <c r="G851" s="62" t="s">
        <v>12</v>
      </c>
      <c r="H851" s="62" t="s">
        <v>1045</v>
      </c>
    </row>
    <row r="852" spans="1:13">
      <c r="B852" s="62" t="s">
        <v>1041</v>
      </c>
      <c r="D852" s="62" t="s">
        <v>10</v>
      </c>
      <c r="E852" s="62" t="s">
        <v>1044</v>
      </c>
      <c r="G852" s="62" t="s">
        <v>1047</v>
      </c>
      <c r="H852" s="62" t="s">
        <v>1046</v>
      </c>
    </row>
    <row r="853" spans="1:13">
      <c r="B853" s="62" t="s">
        <v>1042</v>
      </c>
      <c r="G853" s="62" t="s">
        <v>1048</v>
      </c>
    </row>
    <row r="855" spans="1:13">
      <c r="A855" s="32"/>
      <c r="B855" s="32" t="s">
        <v>1049</v>
      </c>
      <c r="C855" s="32"/>
      <c r="L855" s="31"/>
      <c r="M855" s="31" t="s">
        <v>10</v>
      </c>
    </row>
    <row r="856" spans="1:13">
      <c r="A856" s="31"/>
      <c r="B856" s="31" t="s">
        <v>3</v>
      </c>
      <c r="C856" s="31"/>
      <c r="D856" s="31"/>
      <c r="E856" s="31" t="s">
        <v>4</v>
      </c>
      <c r="F856" s="31"/>
      <c r="G856" s="31"/>
      <c r="H856" s="31" t="s">
        <v>7</v>
      </c>
      <c r="I856" s="31"/>
      <c r="J856" s="31"/>
      <c r="K856" s="31"/>
      <c r="L856" s="31"/>
      <c r="M856" t="s">
        <v>1060</v>
      </c>
    </row>
    <row r="857" spans="1:13">
      <c r="B857" s="63" t="s">
        <v>1050</v>
      </c>
      <c r="E857" t="s">
        <v>1053</v>
      </c>
      <c r="H857" t="s">
        <v>1056</v>
      </c>
      <c r="M857" t="s">
        <v>1061</v>
      </c>
    </row>
    <row r="858" spans="1:13">
      <c r="B858" s="63" t="s">
        <v>1051</v>
      </c>
      <c r="E858" t="s">
        <v>1054</v>
      </c>
      <c r="H858" t="s">
        <v>1057</v>
      </c>
      <c r="M858" t="s">
        <v>1062</v>
      </c>
    </row>
    <row r="859" spans="1:13">
      <c r="B859" s="63" t="s">
        <v>1052</v>
      </c>
      <c r="E859" t="s">
        <v>1055</v>
      </c>
      <c r="H859" t="s">
        <v>1058</v>
      </c>
    </row>
    <row r="860" spans="1:13">
      <c r="H860" t="s">
        <v>1059</v>
      </c>
    </row>
    <row r="861" spans="1:13">
      <c r="A861" s="19"/>
      <c r="B861" s="19" t="s">
        <v>1079</v>
      </c>
      <c r="C861" s="19"/>
      <c r="D861" s="19"/>
    </row>
    <row r="862" spans="1:13">
      <c r="A862" s="32"/>
      <c r="B862" s="32" t="s">
        <v>246</v>
      </c>
      <c r="C862" s="32"/>
    </row>
    <row r="863" spans="1:13">
      <c r="B863" s="63" t="s">
        <v>1063</v>
      </c>
    </row>
    <row r="864" spans="1:13">
      <c r="B864" s="63" t="s">
        <v>1064</v>
      </c>
    </row>
    <row r="866" spans="1:9">
      <c r="A866" s="31"/>
      <c r="B866" s="32" t="s">
        <v>1065</v>
      </c>
      <c r="C866" s="32"/>
      <c r="D866" s="32"/>
      <c r="E866" s="32"/>
      <c r="F866" s="31"/>
    </row>
    <row r="867" spans="1:9">
      <c r="A867" s="31"/>
      <c r="B867" s="31" t="s">
        <v>652</v>
      </c>
      <c r="C867" s="31"/>
    </row>
    <row r="868" spans="1:9">
      <c r="B868" s="19" t="s">
        <v>3</v>
      </c>
      <c r="C868" t="s">
        <v>1072</v>
      </c>
      <c r="E868" s="19" t="s">
        <v>7</v>
      </c>
      <c r="H868" t="s">
        <v>10</v>
      </c>
    </row>
    <row r="869" spans="1:9">
      <c r="B869" s="19" t="s">
        <v>4</v>
      </c>
      <c r="C869" t="s">
        <v>1073</v>
      </c>
      <c r="E869" s="19" t="s">
        <v>6</v>
      </c>
      <c r="F869" t="s">
        <v>1069</v>
      </c>
      <c r="H869" t="s">
        <v>890</v>
      </c>
      <c r="I869" t="s">
        <v>1077</v>
      </c>
    </row>
    <row r="870" spans="1:9">
      <c r="B870" s="19" t="s">
        <v>5</v>
      </c>
      <c r="C870" t="s">
        <v>1074</v>
      </c>
      <c r="E870" s="19" t="s">
        <v>1070</v>
      </c>
      <c r="H870" t="s">
        <v>889</v>
      </c>
      <c r="I870" t="s">
        <v>1076</v>
      </c>
    </row>
    <row r="871" spans="1:9">
      <c r="B871" s="19" t="s">
        <v>899</v>
      </c>
      <c r="C871" t="s">
        <v>1066</v>
      </c>
      <c r="E871" s="19" t="s">
        <v>460</v>
      </c>
      <c r="F871" t="s">
        <v>1071</v>
      </c>
      <c r="H871" t="s">
        <v>460</v>
      </c>
      <c r="I871" t="s">
        <v>1075</v>
      </c>
    </row>
    <row r="872" spans="1:9">
      <c r="B872" s="19" t="s">
        <v>581</v>
      </c>
      <c r="C872" t="s">
        <v>1067</v>
      </c>
    </row>
    <row r="873" spans="1:9">
      <c r="B873" s="19" t="s">
        <v>12</v>
      </c>
      <c r="C873" t="s">
        <v>1068</v>
      </c>
    </row>
    <row r="874" spans="1:9">
      <c r="B874" s="19" t="s">
        <v>1078</v>
      </c>
      <c r="C874" s="19"/>
      <c r="D874" s="19"/>
    </row>
    <row r="875" spans="1:9">
      <c r="A875" s="32"/>
      <c r="B875" s="32" t="s">
        <v>1049</v>
      </c>
      <c r="C875" s="32"/>
    </row>
    <row r="876" spans="1:9">
      <c r="A876" s="31"/>
      <c r="B876" s="31" t="s">
        <v>311</v>
      </c>
      <c r="C876" s="31"/>
      <c r="D876" s="31"/>
      <c r="E876" s="31"/>
      <c r="F876" s="31"/>
      <c r="G876" s="31" t="s">
        <v>7</v>
      </c>
      <c r="H876" s="31"/>
    </row>
    <row r="877" spans="1:9">
      <c r="B877" s="64" t="s">
        <v>1080</v>
      </c>
      <c r="G877" t="s">
        <v>1083</v>
      </c>
    </row>
    <row r="878" spans="1:9">
      <c r="B878" s="64" t="s">
        <v>1081</v>
      </c>
      <c r="G878" t="s">
        <v>1084</v>
      </c>
    </row>
    <row r="879" spans="1:9">
      <c r="B879" s="64" t="s">
        <v>1082</v>
      </c>
      <c r="G879" t="s">
        <v>1085</v>
      </c>
    </row>
    <row r="880" spans="1:9">
      <c r="G880" t="s">
        <v>1086</v>
      </c>
    </row>
    <row r="881" spans="1:9">
      <c r="G881" t="s">
        <v>1087</v>
      </c>
    </row>
    <row r="883" spans="1:9">
      <c r="A883" s="31"/>
      <c r="B883" s="31" t="s">
        <v>246</v>
      </c>
      <c r="C883" s="31"/>
    </row>
    <row r="884" spans="1:9">
      <c r="B884" t="s">
        <v>1088</v>
      </c>
    </row>
    <row r="885" spans="1:9">
      <c r="B885" t="s">
        <v>1089</v>
      </c>
    </row>
    <row r="886" spans="1:9">
      <c r="B886" t="s">
        <v>1090</v>
      </c>
    </row>
    <row r="888" spans="1:9">
      <c r="A888" s="32"/>
      <c r="B888" s="32" t="s">
        <v>1091</v>
      </c>
      <c r="C888" s="32"/>
      <c r="D888" s="32"/>
      <c r="E888" s="32"/>
    </row>
    <row r="889" spans="1:9">
      <c r="B889" s="31" t="s">
        <v>1092</v>
      </c>
      <c r="C889" s="31"/>
      <c r="D889" s="31"/>
    </row>
    <row r="890" spans="1:9">
      <c r="B890" s="19" t="s">
        <v>3</v>
      </c>
      <c r="C890" t="s">
        <v>1093</v>
      </c>
      <c r="E890" s="19" t="s">
        <v>10</v>
      </c>
      <c r="H890" s="19" t="s">
        <v>7</v>
      </c>
    </row>
    <row r="891" spans="1:9">
      <c r="B891" s="19" t="s">
        <v>4</v>
      </c>
      <c r="C891" t="s">
        <v>1094</v>
      </c>
      <c r="E891" s="19" t="s">
        <v>890</v>
      </c>
      <c r="F891" t="s">
        <v>1099</v>
      </c>
      <c r="H891" s="19" t="s">
        <v>1102</v>
      </c>
    </row>
    <row r="892" spans="1:9">
      <c r="B892" s="19" t="s">
        <v>5</v>
      </c>
      <c r="C892" t="s">
        <v>1095</v>
      </c>
      <c r="E892" s="19" t="s">
        <v>889</v>
      </c>
      <c r="F892" t="s">
        <v>1100</v>
      </c>
      <c r="H892" s="19" t="s">
        <v>703</v>
      </c>
      <c r="I892" t="s">
        <v>1103</v>
      </c>
    </row>
    <row r="893" spans="1:9">
      <c r="B893" s="19" t="s">
        <v>580</v>
      </c>
      <c r="C893" t="s">
        <v>1096</v>
      </c>
      <c r="E893" s="19" t="s">
        <v>460</v>
      </c>
      <c r="F893" t="s">
        <v>1101</v>
      </c>
      <c r="H893" s="19" t="s">
        <v>460</v>
      </c>
      <c r="I893" t="s">
        <v>1104</v>
      </c>
    </row>
    <row r="894" spans="1:9">
      <c r="B894" s="19" t="s">
        <v>581</v>
      </c>
      <c r="C894" t="s">
        <v>1097</v>
      </c>
    </row>
    <row r="895" spans="1:9">
      <c r="B895" s="19" t="s">
        <v>12</v>
      </c>
      <c r="C895" t="s">
        <v>1098</v>
      </c>
    </row>
    <row r="896" spans="1:9">
      <c r="A896" s="31"/>
      <c r="B896" s="31" t="s">
        <v>1016</v>
      </c>
      <c r="C896" s="31"/>
      <c r="D896" s="31" t="s">
        <v>1105</v>
      </c>
    </row>
    <row r="897" spans="1:10">
      <c r="A897" s="31"/>
      <c r="B897" s="31"/>
      <c r="C897" s="31"/>
      <c r="D897" s="31"/>
    </row>
    <row r="898" spans="1:10">
      <c r="A898" s="32"/>
      <c r="B898" s="32" t="s">
        <v>51</v>
      </c>
      <c r="C898" s="32"/>
      <c r="D898" s="31"/>
      <c r="E898" s="31"/>
      <c r="F898" s="31"/>
      <c r="G898" s="31"/>
      <c r="H898" s="31"/>
      <c r="I898" s="31"/>
      <c r="J898" s="31"/>
    </row>
    <row r="899" spans="1:10">
      <c r="A899" s="31"/>
      <c r="B899" s="31" t="s">
        <v>7</v>
      </c>
      <c r="C899" s="31"/>
      <c r="D899" s="31"/>
      <c r="E899" s="31" t="s">
        <v>10</v>
      </c>
      <c r="F899" s="31"/>
      <c r="G899" s="31"/>
      <c r="H899" s="31"/>
      <c r="I899" s="31" t="s">
        <v>311</v>
      </c>
      <c r="J899" s="31"/>
    </row>
    <row r="900" spans="1:10">
      <c r="B900" t="s">
        <v>1106</v>
      </c>
      <c r="E900" t="s">
        <v>1109</v>
      </c>
      <c r="I900" t="s">
        <v>953</v>
      </c>
    </row>
    <row r="901" spans="1:10">
      <c r="B901" t="s">
        <v>1107</v>
      </c>
      <c r="E901" t="s">
        <v>1110</v>
      </c>
      <c r="I901" t="s">
        <v>765</v>
      </c>
    </row>
    <row r="902" spans="1:10">
      <c r="B902" t="s">
        <v>1108</v>
      </c>
      <c r="I902" t="s">
        <v>1119</v>
      </c>
    </row>
    <row r="904" spans="1:10">
      <c r="A904" s="32"/>
      <c r="B904" s="32" t="s">
        <v>246</v>
      </c>
      <c r="C904" s="31"/>
      <c r="H904" s="31"/>
      <c r="I904" s="31" t="s">
        <v>311</v>
      </c>
      <c r="J904" s="31"/>
    </row>
    <row r="905" spans="1:10">
      <c r="A905" s="31"/>
      <c r="B905" s="31" t="s">
        <v>301</v>
      </c>
      <c r="C905" s="31"/>
      <c r="D905" s="31"/>
      <c r="E905" s="31"/>
      <c r="F905" s="31"/>
      <c r="G905" s="31"/>
      <c r="I905" t="s">
        <v>1116</v>
      </c>
    </row>
    <row r="906" spans="1:10">
      <c r="B906" t="s">
        <v>256</v>
      </c>
      <c r="E906" t="s">
        <v>1111</v>
      </c>
      <c r="I906" t="s">
        <v>1117</v>
      </c>
    </row>
    <row r="907" spans="1:10">
      <c r="D907" t="s">
        <v>1112</v>
      </c>
      <c r="E907" t="s">
        <v>553</v>
      </c>
      <c r="I907" t="s">
        <v>1118</v>
      </c>
    </row>
    <row r="908" spans="1:10">
      <c r="B908" t="s">
        <v>1113</v>
      </c>
    </row>
    <row r="909" spans="1:10">
      <c r="B909" t="s">
        <v>1114</v>
      </c>
    </row>
    <row r="910" spans="1:10">
      <c r="B910" t="s">
        <v>1115</v>
      </c>
    </row>
    <row r="912" spans="1:10">
      <c r="A912" s="32"/>
      <c r="B912" s="32" t="s">
        <v>1120</v>
      </c>
      <c r="C912" s="32"/>
      <c r="D912" s="32"/>
      <c r="E912" s="32"/>
      <c r="F912" s="32"/>
    </row>
    <row r="913" spans="1:14">
      <c r="A913" s="31"/>
      <c r="B913" s="31" t="s">
        <v>652</v>
      </c>
      <c r="C913" s="31"/>
    </row>
    <row r="914" spans="1:14">
      <c r="B914" s="19" t="s">
        <v>3</v>
      </c>
      <c r="C914" t="s">
        <v>1121</v>
      </c>
      <c r="E914" s="19" t="s">
        <v>10</v>
      </c>
      <c r="H914" s="19" t="s">
        <v>7</v>
      </c>
    </row>
    <row r="915" spans="1:14">
      <c r="B915" s="19" t="s">
        <v>4</v>
      </c>
      <c r="C915" t="s">
        <v>1122</v>
      </c>
      <c r="E915" s="19" t="s">
        <v>1125</v>
      </c>
      <c r="F915" t="s">
        <v>1126</v>
      </c>
      <c r="H915" s="19" t="s">
        <v>1128</v>
      </c>
    </row>
    <row r="916" spans="1:14">
      <c r="B916" s="19" t="s">
        <v>5</v>
      </c>
      <c r="C916" t="s">
        <v>1123</v>
      </c>
      <c r="E916" s="19" t="s">
        <v>889</v>
      </c>
      <c r="F916" t="s">
        <v>1127</v>
      </c>
      <c r="H916" s="19" t="s">
        <v>6</v>
      </c>
      <c r="I916">
        <v>2767</v>
      </c>
    </row>
    <row r="917" spans="1:14">
      <c r="B917" s="19" t="s">
        <v>580</v>
      </c>
      <c r="C917" t="s">
        <v>1124</v>
      </c>
      <c r="E917" s="19" t="s">
        <v>460</v>
      </c>
      <c r="F917" t="s">
        <v>1130</v>
      </c>
      <c r="H917" s="19" t="s">
        <v>460</v>
      </c>
      <c r="I917" t="s">
        <v>1129</v>
      </c>
    </row>
    <row r="918" spans="1:14">
      <c r="B918" s="19" t="s">
        <v>581</v>
      </c>
      <c r="C918" t="s">
        <v>783</v>
      </c>
    </row>
    <row r="919" spans="1:14">
      <c r="B919" s="19" t="s">
        <v>14</v>
      </c>
      <c r="C919" s="19"/>
      <c r="D919" s="19" t="s">
        <v>1131</v>
      </c>
      <c r="E919" s="19" t="s">
        <v>1132</v>
      </c>
    </row>
    <row r="920" spans="1:14">
      <c r="A920" s="32"/>
      <c r="B920" s="32" t="s">
        <v>51</v>
      </c>
      <c r="C920" s="32"/>
    </row>
    <row r="921" spans="1:14">
      <c r="B921" t="s">
        <v>3</v>
      </c>
      <c r="F921" t="s">
        <v>798</v>
      </c>
    </row>
    <row r="922" spans="1:14">
      <c r="B922" t="s">
        <v>1133</v>
      </c>
      <c r="F922" t="s">
        <v>1137</v>
      </c>
    </row>
    <row r="923" spans="1:14">
      <c r="B923" t="s">
        <v>1134</v>
      </c>
      <c r="F923" t="s">
        <v>1138</v>
      </c>
    </row>
    <row r="924" spans="1:14">
      <c r="B924" t="s">
        <v>1135</v>
      </c>
      <c r="F924" t="s">
        <v>1139</v>
      </c>
    </row>
    <row r="925" spans="1:14">
      <c r="B925" t="s">
        <v>1136</v>
      </c>
    </row>
    <row r="927" spans="1:14">
      <c r="A927" s="32"/>
      <c r="B927" s="32" t="s">
        <v>246</v>
      </c>
      <c r="C927" s="32"/>
    </row>
    <row r="928" spans="1:14">
      <c r="A928" s="32"/>
      <c r="B928" s="32" t="s">
        <v>311</v>
      </c>
      <c r="C928" s="32"/>
      <c r="D928" s="32"/>
      <c r="E928" s="32"/>
      <c r="F928" s="32"/>
      <c r="G928" s="32"/>
      <c r="H928" s="32"/>
      <c r="I928" s="32" t="s">
        <v>798</v>
      </c>
      <c r="J928" s="32"/>
      <c r="K928" s="32"/>
      <c r="L928" s="32"/>
      <c r="M928" s="32"/>
      <c r="N928" s="32" t="s">
        <v>7</v>
      </c>
    </row>
    <row r="929" spans="1:14">
      <c r="B929" t="s">
        <v>1140</v>
      </c>
      <c r="I929" t="s">
        <v>963</v>
      </c>
      <c r="K929" t="s">
        <v>1142</v>
      </c>
      <c r="N929" t="s">
        <v>1145</v>
      </c>
    </row>
    <row r="930" spans="1:14">
      <c r="B930" t="s">
        <v>1141</v>
      </c>
      <c r="I930" t="s">
        <v>1143</v>
      </c>
      <c r="N930" t="s">
        <v>1146</v>
      </c>
    </row>
    <row r="931" spans="1:14">
      <c r="B931" s="65" t="s">
        <v>1148</v>
      </c>
      <c r="I931" t="s">
        <v>1144</v>
      </c>
      <c r="N931" t="s">
        <v>1147</v>
      </c>
    </row>
    <row r="932" spans="1:14">
      <c r="B932" s="65" t="s">
        <v>1149</v>
      </c>
      <c r="I932" t="s">
        <v>306</v>
      </c>
    </row>
    <row r="933" spans="1:14">
      <c r="B933" s="65" t="s">
        <v>1150</v>
      </c>
    </row>
    <row r="935" spans="1:14">
      <c r="A935" s="32"/>
      <c r="B935" s="32" t="s">
        <v>1151</v>
      </c>
      <c r="C935" s="32"/>
      <c r="D935" s="32"/>
      <c r="E935" s="32"/>
      <c r="F935" s="32"/>
    </row>
    <row r="936" spans="1:14">
      <c r="A936" s="31"/>
      <c r="B936" s="31" t="s">
        <v>652</v>
      </c>
      <c r="C936" s="31"/>
      <c r="H936" s="19"/>
    </row>
    <row r="937" spans="1:14">
      <c r="B937" s="19" t="s">
        <v>3</v>
      </c>
      <c r="C937" s="67" t="s">
        <v>1152</v>
      </c>
      <c r="E937" s="19" t="s">
        <v>10</v>
      </c>
      <c r="H937" s="19" t="s">
        <v>7</v>
      </c>
    </row>
    <row r="938" spans="1:14">
      <c r="B938" s="19" t="s">
        <v>4</v>
      </c>
      <c r="C938" s="67" t="s">
        <v>1153</v>
      </c>
      <c r="E938" s="19" t="s">
        <v>890</v>
      </c>
      <c r="F938">
        <v>1295</v>
      </c>
      <c r="H938" s="19" t="s">
        <v>1158</v>
      </c>
    </row>
    <row r="939" spans="1:14">
      <c r="B939" s="19" t="s">
        <v>5</v>
      </c>
      <c r="C939" s="67" t="s">
        <v>1154</v>
      </c>
      <c r="E939" s="19" t="s">
        <v>889</v>
      </c>
      <c r="F939">
        <v>1258</v>
      </c>
      <c r="H939" s="19" t="s">
        <v>6</v>
      </c>
      <c r="I939">
        <v>1900</v>
      </c>
    </row>
    <row r="940" spans="1:14">
      <c r="B940" s="19" t="s">
        <v>580</v>
      </c>
      <c r="C940" s="67" t="s">
        <v>1155</v>
      </c>
      <c r="E940" s="19" t="s">
        <v>460</v>
      </c>
      <c r="F940" s="67" t="s">
        <v>1157</v>
      </c>
      <c r="H940" s="19" t="s">
        <v>460</v>
      </c>
      <c r="I940" s="67" t="s">
        <v>1159</v>
      </c>
    </row>
    <row r="941" spans="1:14">
      <c r="B941" s="19" t="s">
        <v>581</v>
      </c>
      <c r="C941" s="67" t="s">
        <v>1156</v>
      </c>
    </row>
    <row r="942" spans="1:14">
      <c r="B942" s="19" t="s">
        <v>12</v>
      </c>
      <c r="C942">
        <v>0</v>
      </c>
    </row>
    <row r="944" spans="1:14">
      <c r="A944" s="19"/>
      <c r="B944" s="19" t="s">
        <v>1160</v>
      </c>
      <c r="C944" s="19"/>
      <c r="D944" s="19"/>
      <c r="E944" s="19"/>
    </row>
    <row r="946" spans="1:6">
      <c r="A946" s="31"/>
      <c r="B946" s="31" t="s">
        <v>51</v>
      </c>
      <c r="C946" s="31"/>
    </row>
    <row r="947" spans="1:6">
      <c r="B947" s="67" t="s">
        <v>1161</v>
      </c>
    </row>
    <row r="948" spans="1:6">
      <c r="B948" s="67" t="s">
        <v>1162</v>
      </c>
    </row>
    <row r="949" spans="1:6">
      <c r="B949" s="67" t="s">
        <v>1163</v>
      </c>
    </row>
    <row r="950" spans="1:6">
      <c r="B950" s="67" t="s">
        <v>1164</v>
      </c>
    </row>
    <row r="952" spans="1:6">
      <c r="A952" s="31"/>
      <c r="B952" s="31" t="s">
        <v>246</v>
      </c>
    </row>
    <row r="953" spans="1:6">
      <c r="A953" s="31"/>
      <c r="B953" s="31" t="s">
        <v>10</v>
      </c>
      <c r="E953" s="31"/>
      <c r="F953" s="31" t="s">
        <v>7</v>
      </c>
    </row>
    <row r="954" spans="1:6">
      <c r="B954" s="67" t="s">
        <v>289</v>
      </c>
      <c r="F954" s="67" t="s">
        <v>1167</v>
      </c>
    </row>
    <row r="955" spans="1:6">
      <c r="B955" s="67" t="s">
        <v>1165</v>
      </c>
      <c r="F955" s="67" t="s">
        <v>258</v>
      </c>
    </row>
    <row r="956" spans="1:6">
      <c r="B956" s="67" t="s">
        <v>1166</v>
      </c>
      <c r="F956" s="67" t="s">
        <v>1169</v>
      </c>
    </row>
    <row r="957" spans="1:6">
      <c r="B957" s="67" t="s">
        <v>1168</v>
      </c>
      <c r="F957" s="67" t="s">
        <v>1170</v>
      </c>
    </row>
    <row r="959" spans="1:6">
      <c r="A959" s="31"/>
      <c r="B959" s="32" t="s">
        <v>1171</v>
      </c>
      <c r="C959" s="32"/>
      <c r="D959" s="32"/>
      <c r="E959" s="32"/>
      <c r="F959" s="32"/>
    </row>
    <row r="960" spans="1:6">
      <c r="A960" s="19"/>
      <c r="B960" s="19" t="s">
        <v>652</v>
      </c>
      <c r="C960" s="19"/>
    </row>
    <row r="961" spans="1:9">
      <c r="B961" s="31" t="s">
        <v>3</v>
      </c>
      <c r="C961" t="s">
        <v>1172</v>
      </c>
      <c r="E961" s="31" t="s">
        <v>10</v>
      </c>
      <c r="G961" s="31"/>
      <c r="H961" s="31" t="s">
        <v>7</v>
      </c>
    </row>
    <row r="962" spans="1:9">
      <c r="B962" s="31" t="s">
        <v>4</v>
      </c>
      <c r="C962" t="s">
        <v>1173</v>
      </c>
      <c r="E962" s="31" t="s">
        <v>890</v>
      </c>
      <c r="F962" t="s">
        <v>1176</v>
      </c>
      <c r="G962" s="31"/>
      <c r="H962" s="31" t="s">
        <v>1179</v>
      </c>
    </row>
    <row r="963" spans="1:9">
      <c r="B963" s="31" t="s">
        <v>5</v>
      </c>
      <c r="C963" t="s">
        <v>1174</v>
      </c>
      <c r="E963" s="31" t="s">
        <v>889</v>
      </c>
      <c r="F963" t="s">
        <v>1177</v>
      </c>
      <c r="G963" s="31"/>
      <c r="H963" s="31" t="s">
        <v>6</v>
      </c>
      <c r="I963" t="s">
        <v>1180</v>
      </c>
    </row>
    <row r="964" spans="1:9">
      <c r="B964" s="31" t="s">
        <v>580</v>
      </c>
      <c r="C964" s="72" t="s">
        <v>1198</v>
      </c>
      <c r="E964" s="31" t="s">
        <v>460</v>
      </c>
      <c r="F964" t="s">
        <v>1178</v>
      </c>
      <c r="G964" s="31"/>
      <c r="H964" s="31" t="s">
        <v>460</v>
      </c>
      <c r="I964" t="s">
        <v>1181</v>
      </c>
    </row>
    <row r="965" spans="1:9">
      <c r="B965" s="31" t="s">
        <v>581</v>
      </c>
      <c r="C965" t="s">
        <v>1175</v>
      </c>
    </row>
    <row r="966" spans="1:9">
      <c r="B966" s="31" t="s">
        <v>12</v>
      </c>
      <c r="C966" s="72" t="s">
        <v>1198</v>
      </c>
    </row>
    <row r="967" spans="1:9">
      <c r="B967" s="31" t="s">
        <v>1016</v>
      </c>
      <c r="C967" s="31"/>
      <c r="D967" s="31" t="s">
        <v>1182</v>
      </c>
    </row>
    <row r="968" spans="1:9">
      <c r="B968" s="72" t="s">
        <v>1197</v>
      </c>
    </row>
    <row r="969" spans="1:9">
      <c r="A969" s="32"/>
      <c r="B969" s="32" t="s">
        <v>51</v>
      </c>
      <c r="C969" s="32"/>
    </row>
    <row r="970" spans="1:9">
      <c r="B970" s="72" t="s">
        <v>1183</v>
      </c>
    </row>
    <row r="972" spans="1:9">
      <c r="A972" s="32"/>
      <c r="B972" s="32" t="s">
        <v>246</v>
      </c>
      <c r="G972" s="31"/>
      <c r="H972" s="31" t="s">
        <v>798</v>
      </c>
      <c r="I972" s="31"/>
    </row>
    <row r="973" spans="1:9">
      <c r="A973" s="31">
        <v>1</v>
      </c>
      <c r="B973" s="31" t="s">
        <v>311</v>
      </c>
      <c r="G973">
        <v>1</v>
      </c>
      <c r="H973" s="72" t="s">
        <v>1190</v>
      </c>
    </row>
    <row r="974" spans="1:9">
      <c r="A974">
        <v>2</v>
      </c>
      <c r="B974" s="72" t="s">
        <v>1184</v>
      </c>
      <c r="G974">
        <v>2</v>
      </c>
      <c r="H974" s="72" t="s">
        <v>1191</v>
      </c>
    </row>
    <row r="975" spans="1:9">
      <c r="A975">
        <v>3</v>
      </c>
      <c r="B975" s="72" t="s">
        <v>1185</v>
      </c>
      <c r="G975">
        <v>3</v>
      </c>
      <c r="H975" s="72" t="s">
        <v>1192</v>
      </c>
    </row>
    <row r="976" spans="1:9">
      <c r="A976">
        <v>4</v>
      </c>
      <c r="B976" s="72" t="s">
        <v>1186</v>
      </c>
      <c r="G976">
        <v>4</v>
      </c>
      <c r="H976" s="72" t="s">
        <v>1193</v>
      </c>
    </row>
    <row r="977" spans="1:10">
      <c r="A977">
        <v>5</v>
      </c>
      <c r="B977" s="72" t="s">
        <v>1187</v>
      </c>
      <c r="G977">
        <v>5</v>
      </c>
      <c r="H977" s="72" t="s">
        <v>1194</v>
      </c>
    </row>
    <row r="978" spans="1:10">
      <c r="A978">
        <v>6</v>
      </c>
      <c r="B978" s="72" t="s">
        <v>1188</v>
      </c>
      <c r="G978">
        <v>6</v>
      </c>
      <c r="H978" s="72" t="s">
        <v>1195</v>
      </c>
    </row>
    <row r="979" spans="1:10">
      <c r="A979">
        <v>7</v>
      </c>
      <c r="B979" s="72" t="s">
        <v>1189</v>
      </c>
      <c r="G979">
        <v>7</v>
      </c>
      <c r="H979" s="72" t="s">
        <v>1196</v>
      </c>
    </row>
    <row r="981" spans="1:10">
      <c r="A981" s="19"/>
      <c r="B981" s="32" t="s">
        <v>1199</v>
      </c>
      <c r="C981" s="32"/>
      <c r="D981" s="32"/>
      <c r="E981" s="32"/>
      <c r="F981" s="32"/>
    </row>
    <row r="982" spans="1:10">
      <c r="A982" s="31"/>
      <c r="B982" s="31" t="s">
        <v>652</v>
      </c>
      <c r="C982" s="31"/>
    </row>
    <row r="983" spans="1:10">
      <c r="B983" s="31" t="s">
        <v>3</v>
      </c>
      <c r="C983" t="s">
        <v>1202</v>
      </c>
      <c r="E983" s="31" t="s">
        <v>1203</v>
      </c>
      <c r="F983" s="31"/>
      <c r="G983" s="31"/>
      <c r="H983" s="31" t="s">
        <v>7</v>
      </c>
    </row>
    <row r="984" spans="1:10">
      <c r="B984" s="31" t="s">
        <v>4</v>
      </c>
      <c r="C984" t="s">
        <v>1201</v>
      </c>
      <c r="E984" s="31" t="s">
        <v>890</v>
      </c>
      <c r="F984" t="s">
        <v>1204</v>
      </c>
      <c r="G984" s="31"/>
      <c r="H984" s="31" t="s">
        <v>1205</v>
      </c>
    </row>
    <row r="985" spans="1:10">
      <c r="B985" s="31" t="s">
        <v>5</v>
      </c>
      <c r="C985" t="s">
        <v>1200</v>
      </c>
      <c r="E985" s="31" t="s">
        <v>889</v>
      </c>
      <c r="F985" t="s">
        <v>1208</v>
      </c>
      <c r="G985" s="31"/>
      <c r="H985" s="31" t="s">
        <v>6</v>
      </c>
      <c r="I985" t="s">
        <v>1206</v>
      </c>
    </row>
    <row r="986" spans="1:10">
      <c r="B986" s="31" t="s">
        <v>581</v>
      </c>
      <c r="C986" t="s">
        <v>785</v>
      </c>
      <c r="E986" s="31" t="s">
        <v>460</v>
      </c>
      <c r="F986" t="s">
        <v>1209</v>
      </c>
      <c r="G986" s="31"/>
      <c r="H986" s="31" t="s">
        <v>460</v>
      </c>
      <c r="I986" t="s">
        <v>1207</v>
      </c>
    </row>
    <row r="987" spans="1:10">
      <c r="B987" s="31" t="s">
        <v>580</v>
      </c>
      <c r="C987" t="s">
        <v>902</v>
      </c>
    </row>
    <row r="988" spans="1:10">
      <c r="B988" s="31" t="s">
        <v>12</v>
      </c>
      <c r="C988" t="s">
        <v>902</v>
      </c>
    </row>
    <row r="990" spans="1:10">
      <c r="B990" s="73" t="s">
        <v>1210</v>
      </c>
      <c r="J990" t="s">
        <v>1211</v>
      </c>
    </row>
    <row r="992" spans="1:10">
      <c r="B992" s="19" t="s">
        <v>1212</v>
      </c>
      <c r="C992" s="19"/>
      <c r="D992" s="19"/>
      <c r="E992" s="19"/>
    </row>
    <row r="994" spans="1:16">
      <c r="A994" s="31"/>
      <c r="B994" s="31" t="s">
        <v>246</v>
      </c>
    </row>
    <row r="995" spans="1:16">
      <c r="A995" s="31">
        <v>1</v>
      </c>
      <c r="B995" s="31" t="s">
        <v>4</v>
      </c>
      <c r="C995" s="31" t="s">
        <v>51</v>
      </c>
      <c r="D995" s="31"/>
      <c r="E995" s="31" t="s">
        <v>1226</v>
      </c>
      <c r="F995" s="31"/>
      <c r="G995" s="31"/>
      <c r="H995" s="31"/>
      <c r="J995" s="31">
        <v>2</v>
      </c>
      <c r="K995" s="31" t="s">
        <v>1227</v>
      </c>
      <c r="L995" s="31"/>
      <c r="M995" s="31"/>
      <c r="N995" s="31"/>
      <c r="O995" s="31"/>
    </row>
    <row r="996" spans="1:16">
      <c r="A996">
        <v>1</v>
      </c>
      <c r="B996" s="73" t="s">
        <v>1213</v>
      </c>
      <c r="J996" s="31"/>
      <c r="K996" s="31" t="s">
        <v>51</v>
      </c>
      <c r="L996" s="31"/>
    </row>
    <row r="997" spans="1:16">
      <c r="A997">
        <v>2</v>
      </c>
      <c r="B997" s="73" t="s">
        <v>1214</v>
      </c>
      <c r="J997">
        <v>1</v>
      </c>
      <c r="K997" s="73" t="s">
        <v>1228</v>
      </c>
    </row>
    <row r="998" spans="1:16">
      <c r="A998">
        <v>3</v>
      </c>
      <c r="B998" s="73" t="s">
        <v>1215</v>
      </c>
      <c r="D998" s="14"/>
      <c r="J998">
        <v>2</v>
      </c>
      <c r="K998" s="73" t="s">
        <v>1229</v>
      </c>
    </row>
    <row r="999" spans="1:16">
      <c r="A999">
        <v>4</v>
      </c>
      <c r="B999" s="73" t="s">
        <v>1216</v>
      </c>
      <c r="J999" s="31"/>
      <c r="K999" s="31" t="s">
        <v>246</v>
      </c>
      <c r="L999" s="31"/>
    </row>
    <row r="1000" spans="1:16">
      <c r="A1000" s="31">
        <v>2</v>
      </c>
      <c r="B1000" s="31" t="s">
        <v>1217</v>
      </c>
      <c r="C1000" s="31"/>
      <c r="J1000">
        <v>1</v>
      </c>
      <c r="K1000" s="73" t="s">
        <v>1230</v>
      </c>
    </row>
    <row r="1001" spans="1:16">
      <c r="B1001" s="73" t="s">
        <v>1218</v>
      </c>
      <c r="E1001" s="73" t="s">
        <v>1219</v>
      </c>
      <c r="J1001">
        <v>2</v>
      </c>
      <c r="K1001" s="73" t="s">
        <v>1231</v>
      </c>
      <c r="P1001" s="73" t="s">
        <v>1232</v>
      </c>
    </row>
    <row r="1002" spans="1:16">
      <c r="B1002" s="73" t="s">
        <v>1218</v>
      </c>
      <c r="E1002" s="73" t="s">
        <v>1220</v>
      </c>
      <c r="J1002">
        <v>3</v>
      </c>
      <c r="K1002" s="73" t="s">
        <v>1233</v>
      </c>
    </row>
    <row r="1003" spans="1:16">
      <c r="B1003" s="73" t="s">
        <v>1221</v>
      </c>
      <c r="J1003">
        <v>4</v>
      </c>
      <c r="K1003" s="73" t="s">
        <v>1234</v>
      </c>
    </row>
    <row r="1004" spans="1:16">
      <c r="B1004" s="73" t="s">
        <v>1222</v>
      </c>
      <c r="J1004">
        <v>5</v>
      </c>
      <c r="K1004" s="73" t="s">
        <v>1235</v>
      </c>
    </row>
    <row r="1005" spans="1:16">
      <c r="B1005" s="73" t="s">
        <v>1223</v>
      </c>
      <c r="J1005">
        <v>6</v>
      </c>
      <c r="K1005" s="73" t="s">
        <v>1236</v>
      </c>
    </row>
    <row r="1006" spans="1:16">
      <c r="B1006" s="73" t="s">
        <v>1224</v>
      </c>
      <c r="J1006">
        <v>7</v>
      </c>
      <c r="K1006" s="73" t="s">
        <v>1237</v>
      </c>
      <c r="O1006" s="73" t="s">
        <v>1238</v>
      </c>
    </row>
    <row r="1007" spans="1:16">
      <c r="B1007" s="73" t="s">
        <v>1225</v>
      </c>
      <c r="J1007">
        <v>8</v>
      </c>
      <c r="K1007" s="73" t="s">
        <v>1239</v>
      </c>
    </row>
    <row r="1008" spans="1:16">
      <c r="B1008" s="73" t="s">
        <v>1242</v>
      </c>
      <c r="J1008">
        <v>9</v>
      </c>
      <c r="K1008" s="73" t="s">
        <v>1240</v>
      </c>
    </row>
    <row r="1009" spans="1:17">
      <c r="J1009">
        <v>10</v>
      </c>
      <c r="K1009" s="73" t="s">
        <v>1241</v>
      </c>
      <c r="Q1009" s="73" t="s">
        <v>1232</v>
      </c>
    </row>
    <row r="1011" spans="1:17">
      <c r="A1011" s="31">
        <v>3</v>
      </c>
      <c r="B1011" s="31" t="s">
        <v>1243</v>
      </c>
      <c r="C1011" s="31"/>
      <c r="D1011" s="31" t="s">
        <v>1244</v>
      </c>
      <c r="E1011" s="31"/>
      <c r="F1011" s="31"/>
      <c r="G1011" s="31"/>
      <c r="I1011" s="73" t="s">
        <v>1257</v>
      </c>
      <c r="J1011" s="31">
        <v>4</v>
      </c>
      <c r="K1011" s="31" t="s">
        <v>1256</v>
      </c>
      <c r="L1011" s="31"/>
      <c r="M1011" s="31"/>
      <c r="N1011" s="73" t="s">
        <v>1258</v>
      </c>
    </row>
    <row r="1012" spans="1:17">
      <c r="B1012" s="73" t="s">
        <v>1245</v>
      </c>
      <c r="K1012" s="73" t="s">
        <v>51</v>
      </c>
    </row>
    <row r="1013" spans="1:17">
      <c r="B1013" s="73" t="s">
        <v>1246</v>
      </c>
      <c r="K1013" s="73" t="s">
        <v>1259</v>
      </c>
    </row>
    <row r="1014" spans="1:17">
      <c r="B1014" s="73" t="s">
        <v>246</v>
      </c>
      <c r="K1014" s="73" t="s">
        <v>246</v>
      </c>
    </row>
    <row r="1015" spans="1:17">
      <c r="A1015">
        <v>1</v>
      </c>
      <c r="B1015" s="73" t="s">
        <v>1247</v>
      </c>
      <c r="J1015">
        <v>1</v>
      </c>
      <c r="K1015" s="73" t="s">
        <v>1260</v>
      </c>
    </row>
    <row r="1016" spans="1:17">
      <c r="A1016">
        <v>2</v>
      </c>
      <c r="B1016" s="73" t="s">
        <v>1248</v>
      </c>
      <c r="J1016">
        <v>2</v>
      </c>
      <c r="K1016" s="73" t="s">
        <v>1261</v>
      </c>
    </row>
    <row r="1017" spans="1:17">
      <c r="A1017">
        <v>3</v>
      </c>
      <c r="B1017" s="73" t="s">
        <v>1249</v>
      </c>
      <c r="J1017">
        <v>3</v>
      </c>
      <c r="K1017" s="73" t="s">
        <v>1262</v>
      </c>
    </row>
    <row r="1018" spans="1:17">
      <c r="A1018">
        <v>4</v>
      </c>
      <c r="B1018" s="73" t="s">
        <v>1250</v>
      </c>
      <c r="J1018">
        <v>4</v>
      </c>
      <c r="K1018" s="73" t="s">
        <v>1263</v>
      </c>
    </row>
    <row r="1019" spans="1:17">
      <c r="A1019">
        <v>5</v>
      </c>
      <c r="B1019" s="73" t="s">
        <v>1251</v>
      </c>
      <c r="G1019" s="73" t="s">
        <v>1253</v>
      </c>
      <c r="J1019">
        <v>5</v>
      </c>
      <c r="K1019" s="73" t="s">
        <v>1264</v>
      </c>
    </row>
    <row r="1020" spans="1:17">
      <c r="A1020">
        <v>6</v>
      </c>
      <c r="B1020" s="73" t="s">
        <v>1252</v>
      </c>
      <c r="J1020">
        <v>6</v>
      </c>
      <c r="K1020" s="73" t="s">
        <v>1265</v>
      </c>
    </row>
    <row r="1021" spans="1:17">
      <c r="A1021">
        <v>7</v>
      </c>
      <c r="B1021" s="73" t="s">
        <v>1254</v>
      </c>
      <c r="J1021">
        <v>7</v>
      </c>
      <c r="K1021" s="73" t="s">
        <v>1266</v>
      </c>
    </row>
    <row r="1022" spans="1:17">
      <c r="A1022">
        <v>8</v>
      </c>
      <c r="B1022" s="73" t="s">
        <v>1255</v>
      </c>
      <c r="J1022">
        <v>8</v>
      </c>
      <c r="K1022" s="73" t="s">
        <v>1267</v>
      </c>
    </row>
    <row r="1025" spans="1:10">
      <c r="A1025" s="32"/>
      <c r="B1025" s="32" t="s">
        <v>1286</v>
      </c>
      <c r="C1025" s="32"/>
      <c r="D1025" s="32"/>
      <c r="E1025" s="32"/>
      <c r="F1025" s="32"/>
    </row>
    <row r="1026" spans="1:10">
      <c r="A1026" s="19"/>
      <c r="B1026" s="19" t="s">
        <v>652</v>
      </c>
      <c r="C1026" s="19"/>
    </row>
    <row r="1027" spans="1:10">
      <c r="B1027" s="31" t="s">
        <v>3</v>
      </c>
      <c r="C1027" t="s">
        <v>1268</v>
      </c>
      <c r="E1027" s="31" t="s">
        <v>10</v>
      </c>
      <c r="H1027" s="31" t="s">
        <v>7</v>
      </c>
    </row>
    <row r="1028" spans="1:10">
      <c r="B1028" s="31" t="s">
        <v>4</v>
      </c>
      <c r="C1028" t="s">
        <v>1269</v>
      </c>
      <c r="E1028" s="31" t="s">
        <v>890</v>
      </c>
      <c r="F1028" t="s">
        <v>1273</v>
      </c>
      <c r="H1028" s="31" t="s">
        <v>1276</v>
      </c>
    </row>
    <row r="1029" spans="1:10">
      <c r="B1029" s="31" t="s">
        <v>5</v>
      </c>
      <c r="C1029" t="s">
        <v>1270</v>
      </c>
      <c r="E1029" s="31" t="s">
        <v>1274</v>
      </c>
      <c r="F1029" t="s">
        <v>975</v>
      </c>
      <c r="H1029" s="31" t="s">
        <v>6</v>
      </c>
      <c r="I1029" t="s">
        <v>1277</v>
      </c>
    </row>
    <row r="1030" spans="1:10">
      <c r="B1030" s="31" t="s">
        <v>581</v>
      </c>
      <c r="C1030" t="s">
        <v>1271</v>
      </c>
      <c r="E1030" s="31" t="s">
        <v>460</v>
      </c>
      <c r="F1030" t="s">
        <v>1275</v>
      </c>
      <c r="H1030" s="31" t="s">
        <v>460</v>
      </c>
      <c r="I1030" t="s">
        <v>1278</v>
      </c>
    </row>
    <row r="1031" spans="1:10">
      <c r="B1031" s="31" t="s">
        <v>1272</v>
      </c>
      <c r="C1031" t="s">
        <v>902</v>
      </c>
    </row>
    <row r="1032" spans="1:10">
      <c r="B1032" s="31" t="s">
        <v>12</v>
      </c>
      <c r="C1032" t="s">
        <v>902</v>
      </c>
    </row>
    <row r="1034" spans="1:10">
      <c r="A1034" s="19"/>
      <c r="B1034" s="19" t="s">
        <v>1291</v>
      </c>
      <c r="C1034" s="19"/>
      <c r="D1034" s="19"/>
    </row>
    <row r="1035" spans="1:10">
      <c r="A1035" s="31"/>
      <c r="B1035" s="31" t="s">
        <v>1279</v>
      </c>
      <c r="C1035" s="31"/>
    </row>
    <row r="1036" spans="1:10">
      <c r="A1036" s="31"/>
      <c r="B1036" s="31" t="s">
        <v>869</v>
      </c>
      <c r="C1036" s="31"/>
    </row>
    <row r="1037" spans="1:10">
      <c r="A1037">
        <v>1</v>
      </c>
      <c r="B1037" s="74" t="s">
        <v>1280</v>
      </c>
      <c r="J1037" t="s">
        <v>1281</v>
      </c>
    </row>
    <row r="1038" spans="1:10">
      <c r="A1038">
        <v>2</v>
      </c>
      <c r="B1038" s="74" t="s">
        <v>1282</v>
      </c>
      <c r="H1038" t="s">
        <v>1283</v>
      </c>
    </row>
    <row r="1039" spans="1:10">
      <c r="A1039">
        <v>3</v>
      </c>
      <c r="B1039" s="74" t="s">
        <v>1284</v>
      </c>
    </row>
    <row r="1040" spans="1:10">
      <c r="A1040">
        <v>4</v>
      </c>
      <c r="B1040" s="74" t="s">
        <v>1285</v>
      </c>
    </row>
    <row r="1042" spans="1:9">
      <c r="A1042" s="31"/>
      <c r="B1042" s="31" t="s">
        <v>7</v>
      </c>
    </row>
    <row r="1043" spans="1:9">
      <c r="A1043">
        <v>1</v>
      </c>
      <c r="B1043" s="75" t="s">
        <v>1287</v>
      </c>
    </row>
    <row r="1044" spans="1:9">
      <c r="A1044">
        <v>2</v>
      </c>
      <c r="B1044" s="75" t="s">
        <v>1288</v>
      </c>
    </row>
    <row r="1045" spans="1:9">
      <c r="A1045">
        <v>3</v>
      </c>
      <c r="B1045" s="75" t="s">
        <v>1289</v>
      </c>
    </row>
    <row r="1046" spans="1:9">
      <c r="A1046">
        <v>4</v>
      </c>
      <c r="B1046" s="75" t="s">
        <v>1290</v>
      </c>
    </row>
    <row r="1047" spans="1:9">
      <c r="A1047">
        <v>5</v>
      </c>
      <c r="B1047" s="75" t="s">
        <v>1292</v>
      </c>
    </row>
    <row r="1049" spans="1:9">
      <c r="A1049" s="32"/>
      <c r="B1049" s="32" t="s">
        <v>1293</v>
      </c>
      <c r="C1049" s="32"/>
      <c r="D1049" s="32"/>
      <c r="E1049" s="32"/>
      <c r="F1049" s="32"/>
      <c r="H1049" s="31"/>
    </row>
    <row r="1050" spans="1:9">
      <c r="B1050" s="76" t="s">
        <v>652</v>
      </c>
      <c r="H1050" s="31"/>
    </row>
    <row r="1051" spans="1:9">
      <c r="B1051" s="31" t="s">
        <v>3</v>
      </c>
      <c r="C1051" t="s">
        <v>1295</v>
      </c>
      <c r="E1051" s="31" t="s">
        <v>10</v>
      </c>
      <c r="H1051" s="31" t="s">
        <v>7</v>
      </c>
    </row>
    <row r="1052" spans="1:9">
      <c r="B1052" s="31" t="s">
        <v>4</v>
      </c>
      <c r="C1052" t="s">
        <v>1294</v>
      </c>
      <c r="E1052" s="31" t="s">
        <v>890</v>
      </c>
      <c r="F1052" t="s">
        <v>1298</v>
      </c>
      <c r="H1052" s="31" t="s">
        <v>1301</v>
      </c>
    </row>
    <row r="1053" spans="1:9">
      <c r="B1053" s="31" t="s">
        <v>5</v>
      </c>
      <c r="C1053" t="s">
        <v>1297</v>
      </c>
      <c r="E1053" s="31" t="s">
        <v>889</v>
      </c>
      <c r="F1053" t="s">
        <v>1299</v>
      </c>
      <c r="H1053" s="31" t="s">
        <v>6</v>
      </c>
      <c r="I1053" t="s">
        <v>1303</v>
      </c>
    </row>
    <row r="1054" spans="1:9">
      <c r="B1054" s="31" t="s">
        <v>581</v>
      </c>
      <c r="C1054" t="s">
        <v>1296</v>
      </c>
      <c r="E1054" s="31" t="s">
        <v>460</v>
      </c>
      <c r="F1054" t="s">
        <v>1300</v>
      </c>
      <c r="H1054" s="31" t="s">
        <v>460</v>
      </c>
      <c r="I1054" t="s">
        <v>1302</v>
      </c>
    </row>
    <row r="1055" spans="1:9">
      <c r="H1055" s="31"/>
    </row>
    <row r="1056" spans="1:9">
      <c r="A1056" s="19"/>
      <c r="B1056" s="19" t="s">
        <v>1304</v>
      </c>
      <c r="C1056" s="19"/>
      <c r="D1056" s="19"/>
      <c r="E1056" s="19"/>
    </row>
    <row r="1058" spans="1:12">
      <c r="A1058" s="32"/>
      <c r="B1058" s="32" t="s">
        <v>246</v>
      </c>
      <c r="C1058" s="19"/>
    </row>
    <row r="1059" spans="1:12">
      <c r="A1059" s="32"/>
      <c r="B1059" s="32" t="s">
        <v>656</v>
      </c>
      <c r="C1059" s="32" t="s">
        <v>1305</v>
      </c>
      <c r="D1059" s="31"/>
      <c r="E1059" s="31"/>
      <c r="F1059" s="31"/>
      <c r="G1059" s="31"/>
      <c r="H1059" s="31"/>
      <c r="I1059" s="32"/>
      <c r="J1059" s="32" t="s">
        <v>1316</v>
      </c>
      <c r="K1059" s="32"/>
      <c r="L1059" s="32"/>
    </row>
    <row r="1060" spans="1:12">
      <c r="B1060" s="31" t="s">
        <v>96</v>
      </c>
      <c r="C1060" s="31"/>
      <c r="D1060" s="31"/>
      <c r="I1060" s="31"/>
      <c r="J1060" s="31" t="s">
        <v>51</v>
      </c>
      <c r="K1060" s="31"/>
    </row>
    <row r="1061" spans="1:12">
      <c r="B1061" t="s">
        <v>1306</v>
      </c>
      <c r="F1061" t="s">
        <v>1307</v>
      </c>
      <c r="J1061" t="s">
        <v>1317</v>
      </c>
    </row>
    <row r="1062" spans="1:12">
      <c r="B1062" s="76" t="s">
        <v>1308</v>
      </c>
      <c r="J1062" t="s">
        <v>1318</v>
      </c>
    </row>
    <row r="1063" spans="1:12">
      <c r="A1063" s="32"/>
      <c r="B1063" s="32" t="s">
        <v>1309</v>
      </c>
      <c r="C1063" s="32"/>
      <c r="J1063" t="s">
        <v>1319</v>
      </c>
    </row>
    <row r="1064" spans="1:12">
      <c r="B1064" s="76" t="s">
        <v>1310</v>
      </c>
      <c r="J1064" t="s">
        <v>1320</v>
      </c>
    </row>
    <row r="1065" spans="1:12">
      <c r="B1065" t="s">
        <v>1311</v>
      </c>
      <c r="I1065" s="32"/>
      <c r="J1065" s="32" t="s">
        <v>1321</v>
      </c>
      <c r="K1065" s="32"/>
    </row>
    <row r="1066" spans="1:12">
      <c r="B1066" s="76" t="s">
        <v>1312</v>
      </c>
      <c r="J1066" t="s">
        <v>1322</v>
      </c>
    </row>
    <row r="1067" spans="1:12">
      <c r="B1067" t="s">
        <v>1313</v>
      </c>
      <c r="J1067" t="s">
        <v>1323</v>
      </c>
    </row>
    <row r="1068" spans="1:12">
      <c r="B1068" s="76" t="s">
        <v>1314</v>
      </c>
      <c r="J1068" t="s">
        <v>1324</v>
      </c>
    </row>
    <row r="1069" spans="1:12">
      <c r="B1069" t="s">
        <v>1315</v>
      </c>
      <c r="J1069" t="s">
        <v>1325</v>
      </c>
    </row>
    <row r="1071" spans="1:12">
      <c r="A1071" s="31"/>
      <c r="B1071" s="31" t="s">
        <v>1326</v>
      </c>
      <c r="C1071" s="31"/>
      <c r="D1071" s="31"/>
      <c r="E1071" s="31"/>
      <c r="F1071" s="31"/>
    </row>
    <row r="1072" spans="1:12">
      <c r="B1072" s="81" t="s">
        <v>652</v>
      </c>
      <c r="H1072" s="31"/>
    </row>
    <row r="1073" spans="1:9">
      <c r="B1073" s="31" t="s">
        <v>3</v>
      </c>
      <c r="C1073" s="81" t="s">
        <v>1330</v>
      </c>
      <c r="E1073" s="31" t="s">
        <v>10</v>
      </c>
      <c r="H1073" s="31" t="s">
        <v>7</v>
      </c>
    </row>
    <row r="1074" spans="1:9">
      <c r="B1074" s="31" t="s">
        <v>4</v>
      </c>
      <c r="C1074" s="81" t="s">
        <v>1329</v>
      </c>
      <c r="E1074" s="31" t="s">
        <v>889</v>
      </c>
      <c r="F1074" s="81" t="s">
        <v>1331</v>
      </c>
      <c r="H1074" s="31" t="s">
        <v>1334</v>
      </c>
    </row>
    <row r="1075" spans="1:9">
      <c r="B1075" s="31" t="s">
        <v>5</v>
      </c>
      <c r="C1075" s="81" t="s">
        <v>1098</v>
      </c>
      <c r="E1075" s="31" t="s">
        <v>890</v>
      </c>
      <c r="F1075" s="81" t="s">
        <v>1332</v>
      </c>
      <c r="H1075" s="31" t="s">
        <v>6</v>
      </c>
      <c r="I1075" s="81" t="s">
        <v>1335</v>
      </c>
    </row>
    <row r="1076" spans="1:9">
      <c r="B1076" s="31" t="s">
        <v>580</v>
      </c>
      <c r="C1076" s="81" t="s">
        <v>1327</v>
      </c>
      <c r="E1076" s="31" t="s">
        <v>460</v>
      </c>
      <c r="F1076" s="81" t="s">
        <v>1333</v>
      </c>
      <c r="H1076" s="31" t="s">
        <v>460</v>
      </c>
      <c r="I1076" s="81" t="s">
        <v>1336</v>
      </c>
    </row>
    <row r="1077" spans="1:9">
      <c r="B1077" s="31" t="s">
        <v>581</v>
      </c>
      <c r="C1077" s="81" t="s">
        <v>1328</v>
      </c>
      <c r="E1077" s="31"/>
      <c r="H1077" s="31"/>
    </row>
    <row r="1078" spans="1:9">
      <c r="B1078" s="31"/>
    </row>
    <row r="1079" spans="1:9">
      <c r="B1079" s="31" t="s">
        <v>1337</v>
      </c>
      <c r="C1079" s="31"/>
      <c r="D1079" s="31" t="s">
        <v>1338</v>
      </c>
    </row>
    <row r="1081" spans="1:9">
      <c r="A1081" s="31"/>
      <c r="B1081" s="31" t="s">
        <v>246</v>
      </c>
    </row>
    <row r="1082" spans="1:9">
      <c r="A1082" s="31"/>
      <c r="B1082" s="31" t="s">
        <v>10</v>
      </c>
      <c r="I1082" s="81" t="s">
        <v>7</v>
      </c>
    </row>
    <row r="1083" spans="1:9">
      <c r="B1083" s="81" t="s">
        <v>96</v>
      </c>
    </row>
    <row r="1084" spans="1:9">
      <c r="B1084" s="81" t="s">
        <v>1339</v>
      </c>
    </row>
    <row r="1085" spans="1:9">
      <c r="B1085" s="81" t="s">
        <v>1340</v>
      </c>
    </row>
    <row r="1086" spans="1:9">
      <c r="B1086" s="81" t="s">
        <v>1309</v>
      </c>
    </row>
    <row r="1087" spans="1:9">
      <c r="B1087" s="81" t="s">
        <v>1341</v>
      </c>
    </row>
    <row r="1088" spans="1:9">
      <c r="B1088" s="81" t="s">
        <v>1342</v>
      </c>
    </row>
    <row r="1089" spans="1:9">
      <c r="B1089" s="81" t="s">
        <v>1343</v>
      </c>
    </row>
    <row r="1090" spans="1:9">
      <c r="B1090" s="81" t="s">
        <v>1344</v>
      </c>
    </row>
    <row r="1091" spans="1:9">
      <c r="B1091" s="81" t="s">
        <v>1345</v>
      </c>
    </row>
    <row r="1092" spans="1:9">
      <c r="B1092" s="81" t="s">
        <v>1346</v>
      </c>
    </row>
    <row r="1094" spans="1:9">
      <c r="A1094" s="32"/>
      <c r="B1094" s="32" t="s">
        <v>1347</v>
      </c>
      <c r="C1094" s="32"/>
      <c r="D1094" s="32"/>
      <c r="E1094" s="32"/>
      <c r="F1094" s="31"/>
    </row>
    <row r="1095" spans="1:9">
      <c r="B1095" s="83" t="s">
        <v>652</v>
      </c>
      <c r="E1095" s="31"/>
      <c r="H1095" s="31"/>
    </row>
    <row r="1096" spans="1:9">
      <c r="B1096" s="31" t="s">
        <v>3</v>
      </c>
      <c r="C1096" s="83" t="s">
        <v>1349</v>
      </c>
      <c r="E1096" s="31" t="s">
        <v>1354</v>
      </c>
      <c r="H1096" s="31" t="s">
        <v>7</v>
      </c>
    </row>
    <row r="1097" spans="1:9">
      <c r="B1097" s="31" t="s">
        <v>4</v>
      </c>
      <c r="C1097" s="83" t="s">
        <v>1350</v>
      </c>
      <c r="E1097" s="31" t="s">
        <v>890</v>
      </c>
      <c r="F1097" s="83" t="s">
        <v>1356</v>
      </c>
      <c r="H1097" s="31" t="s">
        <v>1358</v>
      </c>
    </row>
    <row r="1098" spans="1:9">
      <c r="B1098" s="31" t="s">
        <v>5</v>
      </c>
      <c r="C1098" s="83" t="s">
        <v>1351</v>
      </c>
      <c r="E1098" s="31" t="s">
        <v>889</v>
      </c>
      <c r="F1098" s="83" t="s">
        <v>1355</v>
      </c>
      <c r="H1098" s="31" t="s">
        <v>6</v>
      </c>
      <c r="I1098" s="83" t="s">
        <v>1359</v>
      </c>
    </row>
    <row r="1099" spans="1:9">
      <c r="B1099" s="31" t="s">
        <v>1348</v>
      </c>
      <c r="C1099" s="83" t="s">
        <v>1352</v>
      </c>
      <c r="E1099" s="31" t="s">
        <v>460</v>
      </c>
      <c r="F1099" s="83" t="s">
        <v>1357</v>
      </c>
      <c r="H1099" s="31" t="s">
        <v>460</v>
      </c>
      <c r="I1099" s="83" t="s">
        <v>1360</v>
      </c>
    </row>
    <row r="1100" spans="1:9">
      <c r="B1100" s="31" t="s">
        <v>581</v>
      </c>
      <c r="C1100" s="83" t="s">
        <v>1353</v>
      </c>
      <c r="E1100" s="31"/>
      <c r="H1100" s="31"/>
    </row>
    <row r="1102" spans="1:9">
      <c r="A1102" s="31"/>
      <c r="B1102" s="31" t="s">
        <v>1361</v>
      </c>
      <c r="C1102" s="31"/>
      <c r="D1102" s="31" t="s">
        <v>1362</v>
      </c>
      <c r="E1102" s="31"/>
    </row>
    <row r="1104" spans="1:9">
      <c r="A1104" s="31"/>
      <c r="B1104" s="31" t="s">
        <v>246</v>
      </c>
      <c r="C1104" s="31"/>
      <c r="D1104" s="31"/>
      <c r="E1104" s="31"/>
      <c r="F1104" s="31"/>
      <c r="G1104" s="31"/>
      <c r="H1104" s="31"/>
      <c r="I1104" s="31"/>
    </row>
    <row r="1105" spans="1:12">
      <c r="A1105" s="31"/>
      <c r="B1105" s="31" t="s">
        <v>10</v>
      </c>
      <c r="C1105" s="31"/>
      <c r="D1105" s="31"/>
      <c r="E1105" s="31"/>
      <c r="F1105" s="31"/>
      <c r="G1105" s="31"/>
      <c r="H1105" s="31"/>
      <c r="I1105" s="31" t="s">
        <v>7</v>
      </c>
    </row>
    <row r="1106" spans="1:12">
      <c r="B1106" s="83" t="s">
        <v>51</v>
      </c>
      <c r="I1106" s="83" t="s">
        <v>51</v>
      </c>
    </row>
    <row r="1107" spans="1:12">
      <c r="B1107" s="83" t="s">
        <v>1363</v>
      </c>
      <c r="I1107" s="83" t="s">
        <v>1369</v>
      </c>
    </row>
    <row r="1108" spans="1:12">
      <c r="B1108" s="83" t="s">
        <v>1364</v>
      </c>
      <c r="I1108" s="83" t="s">
        <v>1370</v>
      </c>
    </row>
    <row r="1109" spans="1:12">
      <c r="B1109" s="83" t="s">
        <v>1365</v>
      </c>
      <c r="I1109" s="83" t="s">
        <v>326</v>
      </c>
      <c r="L1109" s="83" t="s">
        <v>1371</v>
      </c>
    </row>
    <row r="1110" spans="1:12">
      <c r="B1110" s="83" t="s">
        <v>1366</v>
      </c>
      <c r="F1110" s="83" t="s">
        <v>1367</v>
      </c>
      <c r="I1110" s="83" t="s">
        <v>1372</v>
      </c>
    </row>
    <row r="1111" spans="1:12">
      <c r="B1111" s="83" t="s">
        <v>1368</v>
      </c>
      <c r="I1111" s="83" t="s">
        <v>1373</v>
      </c>
      <c r="K1111" s="83" t="s">
        <v>1371</v>
      </c>
    </row>
    <row r="1113" spans="1:12">
      <c r="A1113" s="32"/>
      <c r="B1113" s="32" t="s">
        <v>1374</v>
      </c>
      <c r="C1113" s="32"/>
      <c r="D1113" s="32"/>
      <c r="E1113" s="32"/>
      <c r="F1113" s="32"/>
    </row>
    <row r="1114" spans="1:12">
      <c r="B1114" s="84" t="s">
        <v>652</v>
      </c>
      <c r="E1114" s="31"/>
      <c r="H1114" s="31"/>
    </row>
    <row r="1115" spans="1:12">
      <c r="B1115" s="31" t="s">
        <v>3</v>
      </c>
      <c r="C1115" t="s">
        <v>1375</v>
      </c>
      <c r="E1115" s="31" t="s">
        <v>10</v>
      </c>
      <c r="H1115" s="31" t="s">
        <v>7</v>
      </c>
    </row>
    <row r="1116" spans="1:12">
      <c r="B1116" s="31" t="s">
        <v>4</v>
      </c>
      <c r="C1116" t="s">
        <v>1376</v>
      </c>
      <c r="E1116" s="31" t="s">
        <v>890</v>
      </c>
      <c r="F1116" t="s">
        <v>1380</v>
      </c>
      <c r="H1116" s="31" t="s">
        <v>6</v>
      </c>
      <c r="I1116" t="s">
        <v>1383</v>
      </c>
    </row>
    <row r="1117" spans="1:12">
      <c r="B1117" s="31" t="s">
        <v>5</v>
      </c>
      <c r="C1117" t="s">
        <v>1377</v>
      </c>
      <c r="E1117" s="31" t="s">
        <v>889</v>
      </c>
      <c r="F1117" t="s">
        <v>1381</v>
      </c>
      <c r="H1117" s="31" t="s">
        <v>1384</v>
      </c>
    </row>
    <row r="1118" spans="1:12">
      <c r="B1118" s="31" t="s">
        <v>580</v>
      </c>
      <c r="C1118" t="s">
        <v>1378</v>
      </c>
      <c r="E1118" s="31" t="s">
        <v>460</v>
      </c>
      <c r="F1118" t="s">
        <v>1382</v>
      </c>
      <c r="H1118" s="31" t="s">
        <v>460</v>
      </c>
      <c r="I1118" t="s">
        <v>1385</v>
      </c>
    </row>
    <row r="1119" spans="1:12">
      <c r="B1119" s="31" t="s">
        <v>581</v>
      </c>
      <c r="C1119" t="s">
        <v>1379</v>
      </c>
      <c r="E1119" s="31"/>
      <c r="H1119" s="31"/>
    </row>
    <row r="1120" spans="1:12">
      <c r="B1120" s="31"/>
      <c r="H1120" s="31"/>
    </row>
    <row r="1121" spans="1:10">
      <c r="A1121" s="31"/>
      <c r="B1121" s="31" t="s">
        <v>1016</v>
      </c>
      <c r="C1121" s="31"/>
      <c r="D1121" s="31" t="s">
        <v>1386</v>
      </c>
    </row>
    <row r="1122" spans="1:10">
      <c r="A1122" s="31"/>
      <c r="B1122" s="31" t="s">
        <v>246</v>
      </c>
      <c r="C1122" s="31"/>
    </row>
    <row r="1123" spans="1:10">
      <c r="B1123" s="84" t="s">
        <v>51</v>
      </c>
    </row>
    <row r="1124" spans="1:10">
      <c r="A1124" s="31"/>
      <c r="B1124" s="31" t="s">
        <v>10</v>
      </c>
      <c r="C1124" s="31"/>
      <c r="D1124" s="31"/>
      <c r="E1124" s="31"/>
      <c r="F1124" s="31"/>
      <c r="G1124" s="31"/>
      <c r="H1124" s="31"/>
      <c r="I1124" s="31" t="s">
        <v>7</v>
      </c>
      <c r="J1124" s="31"/>
    </row>
    <row r="1125" spans="1:10">
      <c r="B1125" s="84" t="s">
        <v>1183</v>
      </c>
      <c r="I1125" t="s">
        <v>913</v>
      </c>
    </row>
    <row r="1126" spans="1:10">
      <c r="B1126" t="s">
        <v>1387</v>
      </c>
      <c r="I1126" t="s">
        <v>1392</v>
      </c>
    </row>
    <row r="1127" spans="1:10">
      <c r="B1127" s="84" t="s">
        <v>1388</v>
      </c>
      <c r="I1127" t="s">
        <v>1393</v>
      </c>
    </row>
    <row r="1128" spans="1:10">
      <c r="B1128" t="s">
        <v>1389</v>
      </c>
      <c r="I1128" t="s">
        <v>1394</v>
      </c>
    </row>
    <row r="1129" spans="1:10">
      <c r="B1129" s="84" t="s">
        <v>1390</v>
      </c>
      <c r="I1129" t="s">
        <v>1144</v>
      </c>
    </row>
    <row r="1130" spans="1:10">
      <c r="B1130" t="s">
        <v>1391</v>
      </c>
      <c r="I1130" t="s">
        <v>1395</v>
      </c>
    </row>
    <row r="1132" spans="1:10">
      <c r="A1132" s="31"/>
      <c r="B1132" s="31" t="s">
        <v>1396</v>
      </c>
      <c r="C1132" s="31"/>
      <c r="D1132" s="31"/>
      <c r="E1132" s="31"/>
    </row>
    <row r="1133" spans="1:10">
      <c r="B1133" t="s">
        <v>652</v>
      </c>
      <c r="H1133" s="31"/>
    </row>
    <row r="1134" spans="1:10">
      <c r="B1134" s="31" t="s">
        <v>3</v>
      </c>
      <c r="C1134" t="s">
        <v>1397</v>
      </c>
      <c r="E1134" s="31" t="s">
        <v>10</v>
      </c>
      <c r="H1134" s="31" t="s">
        <v>7</v>
      </c>
    </row>
    <row r="1135" spans="1:10">
      <c r="B1135" s="31" t="s">
        <v>4</v>
      </c>
      <c r="C1135" t="s">
        <v>1398</v>
      </c>
      <c r="E1135" s="31" t="s">
        <v>890</v>
      </c>
      <c r="F1135" t="s">
        <v>1402</v>
      </c>
      <c r="H1135" s="31" t="s">
        <v>6</v>
      </c>
      <c r="I1135" t="s">
        <v>1405</v>
      </c>
    </row>
    <row r="1136" spans="1:10">
      <c r="B1136" s="31" t="s">
        <v>5</v>
      </c>
      <c r="C1136" t="s">
        <v>1399</v>
      </c>
      <c r="E1136" s="31" t="s">
        <v>889</v>
      </c>
      <c r="F1136" t="s">
        <v>1401</v>
      </c>
      <c r="H1136" s="31" t="s">
        <v>1404</v>
      </c>
    </row>
    <row r="1137" spans="1:9">
      <c r="B1137" s="31" t="s">
        <v>580</v>
      </c>
      <c r="C1137" t="s">
        <v>1101</v>
      </c>
      <c r="E1137" s="31" t="s">
        <v>460</v>
      </c>
      <c r="F1137" t="s">
        <v>1403</v>
      </c>
      <c r="H1137" s="31" t="s">
        <v>460</v>
      </c>
      <c r="I1137" t="s">
        <v>1406</v>
      </c>
    </row>
    <row r="1138" spans="1:9">
      <c r="B1138" s="31" t="s">
        <v>581</v>
      </c>
      <c r="C1138" t="s">
        <v>1400</v>
      </c>
      <c r="E1138" s="31"/>
      <c r="H1138" s="31"/>
    </row>
    <row r="1139" spans="1:9">
      <c r="B1139" s="31"/>
    </row>
    <row r="1140" spans="1:9">
      <c r="A1140" s="31"/>
      <c r="B1140" s="31" t="s">
        <v>1407</v>
      </c>
      <c r="C1140" s="31"/>
      <c r="D1140" s="31"/>
      <c r="E1140" s="31"/>
    </row>
    <row r="1141" spans="1:9">
      <c r="A1141" s="31"/>
      <c r="B1141" s="31" t="s">
        <v>10</v>
      </c>
      <c r="C1141" s="31"/>
      <c r="D1141" s="31"/>
      <c r="E1141" s="31"/>
      <c r="F1141" s="31"/>
      <c r="G1141" s="31"/>
      <c r="H1141" s="31" t="s">
        <v>7</v>
      </c>
    </row>
    <row r="1142" spans="1:9">
      <c r="B1142" t="s">
        <v>1408</v>
      </c>
      <c r="C1142" t="s">
        <v>1409</v>
      </c>
      <c r="H1142" t="s">
        <v>51</v>
      </c>
    </row>
    <row r="1143" spans="1:9">
      <c r="B1143" t="s">
        <v>1410</v>
      </c>
      <c r="H1143" t="s">
        <v>1415</v>
      </c>
    </row>
    <row r="1144" spans="1:9">
      <c r="B1144" t="s">
        <v>1411</v>
      </c>
      <c r="H1144" t="s">
        <v>1416</v>
      </c>
    </row>
    <row r="1145" spans="1:9">
      <c r="B1145" t="s">
        <v>326</v>
      </c>
      <c r="H1145" t="s">
        <v>1417</v>
      </c>
    </row>
    <row r="1146" spans="1:9">
      <c r="B1146" t="s">
        <v>1412</v>
      </c>
      <c r="H1146" t="s">
        <v>1418</v>
      </c>
    </row>
    <row r="1147" spans="1:9">
      <c r="B1147" t="s">
        <v>1413</v>
      </c>
      <c r="H1147" t="s">
        <v>1419</v>
      </c>
    </row>
    <row r="1148" spans="1:9">
      <c r="B1148" t="s">
        <v>1414</v>
      </c>
      <c r="H1148" t="s">
        <v>1420</v>
      </c>
    </row>
    <row r="1150" spans="1:9">
      <c r="A1150" s="32"/>
      <c r="B1150" s="32" t="s">
        <v>1421</v>
      </c>
      <c r="C1150" s="32"/>
      <c r="D1150" s="32"/>
      <c r="E1150" s="32"/>
      <c r="F1150" s="31"/>
    </row>
    <row r="1151" spans="1:9">
      <c r="A1151" s="31"/>
      <c r="B1151" s="31" t="s">
        <v>652</v>
      </c>
      <c r="C1151" s="31"/>
      <c r="H1151" s="31"/>
    </row>
    <row r="1152" spans="1:9">
      <c r="B1152" s="31" t="s">
        <v>3</v>
      </c>
      <c r="C1152">
        <v>6459</v>
      </c>
      <c r="E1152" s="31" t="s">
        <v>10</v>
      </c>
      <c r="H1152" s="31" t="s">
        <v>7</v>
      </c>
    </row>
    <row r="1153" spans="1:10">
      <c r="B1153" s="31" t="s">
        <v>4</v>
      </c>
      <c r="C1153">
        <v>3169</v>
      </c>
      <c r="E1153" s="31" t="s">
        <v>890</v>
      </c>
      <c r="F1153">
        <v>985</v>
      </c>
      <c r="H1153" s="31" t="s">
        <v>1423</v>
      </c>
      <c r="I1153">
        <v>1859</v>
      </c>
    </row>
    <row r="1154" spans="1:10">
      <c r="B1154" s="31" t="s">
        <v>5</v>
      </c>
      <c r="C1154">
        <v>350</v>
      </c>
      <c r="E1154" s="31" t="s">
        <v>889</v>
      </c>
      <c r="F1154">
        <v>1486</v>
      </c>
      <c r="H1154" s="31" t="s">
        <v>6</v>
      </c>
      <c r="I1154">
        <v>2451</v>
      </c>
    </row>
    <row r="1155" spans="1:10">
      <c r="B1155" s="31" t="s">
        <v>1422</v>
      </c>
      <c r="C1155">
        <v>2704</v>
      </c>
      <c r="E1155" s="31" t="s">
        <v>460</v>
      </c>
      <c r="F1155">
        <v>2471</v>
      </c>
      <c r="H1155" s="31" t="s">
        <v>460</v>
      </c>
      <c r="I1155">
        <v>4310</v>
      </c>
    </row>
    <row r="1156" spans="1:10">
      <c r="B1156" s="31" t="s">
        <v>581</v>
      </c>
      <c r="C1156">
        <v>230</v>
      </c>
      <c r="E1156" s="31"/>
      <c r="H1156" s="31"/>
    </row>
    <row r="1157" spans="1:10">
      <c r="A1157" s="31"/>
      <c r="B1157" s="31" t="s">
        <v>1433</v>
      </c>
      <c r="C1157" s="31"/>
      <c r="D1157" s="31" t="s">
        <v>1434</v>
      </c>
      <c r="E1157" s="31"/>
    </row>
    <row r="1158" spans="1:10">
      <c r="A1158" s="31"/>
      <c r="B1158" s="31" t="s">
        <v>96</v>
      </c>
      <c r="C1158" s="31"/>
      <c r="D1158" s="31"/>
      <c r="E1158" s="31" t="s">
        <v>358</v>
      </c>
      <c r="F1158" s="31"/>
      <c r="G1158" s="31"/>
      <c r="H1158" s="31"/>
      <c r="I1158" s="31" t="s">
        <v>1430</v>
      </c>
      <c r="J1158" s="31"/>
    </row>
    <row r="1159" spans="1:10">
      <c r="B1159" t="s">
        <v>1424</v>
      </c>
      <c r="F1159" t="s">
        <v>800</v>
      </c>
      <c r="I1159" t="s">
        <v>1431</v>
      </c>
    </row>
    <row r="1160" spans="1:10">
      <c r="B1160" t="s">
        <v>402</v>
      </c>
      <c r="F1160" t="s">
        <v>1183</v>
      </c>
      <c r="I1160" t="s">
        <v>1432</v>
      </c>
    </row>
    <row r="1161" spans="1:10">
      <c r="B1161" t="s">
        <v>1425</v>
      </c>
      <c r="I1161" t="s">
        <v>254</v>
      </c>
    </row>
    <row r="1162" spans="1:10">
      <c r="B1162" t="s">
        <v>1426</v>
      </c>
    </row>
    <row r="1163" spans="1:10">
      <c r="B1163" t="s">
        <v>1427</v>
      </c>
    </row>
    <row r="1164" spans="1:10">
      <c r="B1164" t="s">
        <v>1428</v>
      </c>
    </row>
    <row r="1165" spans="1:10">
      <c r="B1165" t="s">
        <v>1429</v>
      </c>
    </row>
    <row r="1167" spans="1:10">
      <c r="A1167" s="32"/>
      <c r="B1167" s="32" t="s">
        <v>1435</v>
      </c>
      <c r="C1167" s="32"/>
      <c r="D1167" s="32"/>
      <c r="E1167" s="32"/>
      <c r="F1167" s="32"/>
    </row>
    <row r="1168" spans="1:10">
      <c r="A1168" s="31"/>
      <c r="B1168" s="31" t="s">
        <v>1436</v>
      </c>
      <c r="C1168" s="31"/>
      <c r="D1168" s="31"/>
      <c r="E1168" s="31"/>
      <c r="F1168" s="31"/>
      <c r="H1168" s="31"/>
    </row>
    <row r="1169" spans="1:9">
      <c r="B1169" s="31" t="s">
        <v>3</v>
      </c>
      <c r="C1169">
        <v>6543</v>
      </c>
      <c r="E1169" s="31" t="s">
        <v>10</v>
      </c>
      <c r="H1169" s="31" t="s">
        <v>7</v>
      </c>
    </row>
    <row r="1170" spans="1:9">
      <c r="B1170" s="31" t="s">
        <v>4</v>
      </c>
      <c r="C1170">
        <v>2867</v>
      </c>
      <c r="E1170" s="31" t="s">
        <v>890</v>
      </c>
      <c r="F1170">
        <v>1365</v>
      </c>
      <c r="H1170" s="31" t="s">
        <v>1423</v>
      </c>
      <c r="I1170">
        <v>1615</v>
      </c>
    </row>
    <row r="1171" spans="1:9">
      <c r="B1171" s="31" t="s">
        <v>5</v>
      </c>
      <c r="C1171">
        <v>332</v>
      </c>
      <c r="E1171" s="31" t="s">
        <v>889</v>
      </c>
      <c r="F1171">
        <v>615</v>
      </c>
      <c r="H1171" s="31" t="s">
        <v>6</v>
      </c>
      <c r="I1171">
        <v>2019</v>
      </c>
    </row>
    <row r="1172" spans="1:9">
      <c r="B1172" s="31" t="s">
        <v>1437</v>
      </c>
      <c r="C1172">
        <v>2015</v>
      </c>
      <c r="E1172" s="31" t="s">
        <v>460</v>
      </c>
      <c r="F1172">
        <v>1980</v>
      </c>
      <c r="H1172" s="31" t="s">
        <v>460</v>
      </c>
      <c r="I1172">
        <v>3634</v>
      </c>
    </row>
    <row r="1173" spans="1:9">
      <c r="B1173" s="31" t="s">
        <v>1438</v>
      </c>
      <c r="C1173">
        <v>170</v>
      </c>
      <c r="E1173" s="31"/>
      <c r="H1173" s="31"/>
    </row>
    <row r="1174" spans="1:9">
      <c r="B1174" s="31"/>
    </row>
    <row r="1175" spans="1:9">
      <c r="A1175" s="19"/>
      <c r="B1175" s="19" t="s">
        <v>1439</v>
      </c>
      <c r="C1175" s="19"/>
      <c r="D1175" s="19"/>
    </row>
    <row r="1177" spans="1:9">
      <c r="B1177" s="32" t="s">
        <v>1440</v>
      </c>
      <c r="C1177" s="19"/>
      <c r="D1177" s="19"/>
      <c r="E1177" s="19"/>
      <c r="F1177" s="19"/>
    </row>
    <row r="1178" spans="1:9">
      <c r="B1178" s="31" t="s">
        <v>652</v>
      </c>
    </row>
    <row r="1179" spans="1:9">
      <c r="B1179" s="31" t="s">
        <v>3</v>
      </c>
      <c r="C1179">
        <v>6073</v>
      </c>
      <c r="E1179" s="31" t="s">
        <v>10</v>
      </c>
      <c r="H1179" s="31" t="s">
        <v>7</v>
      </c>
    </row>
    <row r="1180" spans="1:9">
      <c r="B1180" s="31" t="s">
        <v>4</v>
      </c>
      <c r="C1180">
        <v>3056</v>
      </c>
      <c r="E1180" s="31" t="s">
        <v>890</v>
      </c>
      <c r="F1180">
        <v>700</v>
      </c>
      <c r="H1180" s="31" t="s">
        <v>1441</v>
      </c>
      <c r="I1180">
        <v>1714</v>
      </c>
    </row>
    <row r="1181" spans="1:9">
      <c r="B1181" s="31" t="s">
        <v>5</v>
      </c>
      <c r="C1181">
        <v>355</v>
      </c>
      <c r="E1181" s="31" t="s">
        <v>889</v>
      </c>
      <c r="F1181">
        <v>1445</v>
      </c>
      <c r="H1181" s="31" t="s">
        <v>6</v>
      </c>
      <c r="I1181">
        <v>2302</v>
      </c>
    </row>
    <row r="1182" spans="1:9">
      <c r="B1182" s="31" t="s">
        <v>1272</v>
      </c>
      <c r="C1182">
        <v>2046</v>
      </c>
      <c r="E1182" s="31" t="s">
        <v>460</v>
      </c>
      <c r="F1182">
        <v>2145</v>
      </c>
      <c r="H1182" s="31" t="s">
        <v>460</v>
      </c>
      <c r="I1182">
        <v>3426</v>
      </c>
    </row>
    <row r="1183" spans="1:9">
      <c r="B1183" s="31" t="s">
        <v>581</v>
      </c>
      <c r="C1183">
        <v>228</v>
      </c>
      <c r="E1183" s="31"/>
      <c r="H1183" s="31"/>
    </row>
    <row r="1184" spans="1:9">
      <c r="B1184" s="31" t="s">
        <v>12</v>
      </c>
      <c r="C1184">
        <v>2278</v>
      </c>
    </row>
    <row r="1186" spans="1:12">
      <c r="A1186" s="19"/>
      <c r="B1186" s="19" t="s">
        <v>1016</v>
      </c>
      <c r="C1186" s="19"/>
      <c r="D1186" s="19">
        <v>19914</v>
      </c>
      <c r="E1186" s="19"/>
    </row>
    <row r="1188" spans="1:12">
      <c r="A1188" s="31"/>
      <c r="B1188" s="31" t="s">
        <v>1442</v>
      </c>
      <c r="C1188" s="31"/>
      <c r="D1188" s="31"/>
      <c r="E1188" s="31"/>
      <c r="F1188" s="31"/>
      <c r="G1188" s="31"/>
      <c r="H1188" s="31"/>
      <c r="I1188" s="31"/>
      <c r="J1188" s="31"/>
    </row>
    <row r="1189" spans="1:12">
      <c r="A1189" s="31"/>
      <c r="B1189" s="31" t="s">
        <v>311</v>
      </c>
      <c r="C1189" s="31"/>
      <c r="D1189" s="31"/>
      <c r="E1189" s="31"/>
      <c r="F1189" s="31"/>
      <c r="G1189" s="31"/>
      <c r="H1189" s="31"/>
      <c r="I1189" s="31" t="s">
        <v>301</v>
      </c>
      <c r="J1189" s="31"/>
    </row>
    <row r="1190" spans="1:12">
      <c r="B1190" s="89" t="s">
        <v>1443</v>
      </c>
      <c r="I1190" s="89" t="s">
        <v>1449</v>
      </c>
    </row>
    <row r="1191" spans="1:12">
      <c r="C1191" s="89" t="s">
        <v>1444</v>
      </c>
      <c r="I1191" s="89" t="s">
        <v>1450</v>
      </c>
      <c r="L1191" s="89" t="s">
        <v>1451</v>
      </c>
    </row>
    <row r="1192" spans="1:12">
      <c r="C1192" s="89" t="s">
        <v>1445</v>
      </c>
      <c r="I1192" s="89" t="s">
        <v>1452</v>
      </c>
    </row>
    <row r="1193" spans="1:12">
      <c r="C1193" s="89" t="s">
        <v>1446</v>
      </c>
      <c r="I1193" s="89" t="s">
        <v>1393</v>
      </c>
    </row>
    <row r="1194" spans="1:12">
      <c r="C1194" s="89" t="s">
        <v>385</v>
      </c>
      <c r="I1194" s="89" t="s">
        <v>1144</v>
      </c>
    </row>
    <row r="1195" spans="1:12">
      <c r="B1195" s="89" t="s">
        <v>1447</v>
      </c>
      <c r="I1195" s="89" t="s">
        <v>1453</v>
      </c>
    </row>
    <row r="1196" spans="1:12">
      <c r="B1196" s="89" t="s">
        <v>1448</v>
      </c>
    </row>
    <row r="1198" spans="1:12">
      <c r="A1198" s="31"/>
      <c r="B1198" s="31" t="s">
        <v>1454</v>
      </c>
      <c r="C1198" s="31"/>
      <c r="D1198" s="31"/>
      <c r="E1198" s="31"/>
    </row>
    <row r="1199" spans="1:12">
      <c r="A1199" s="31"/>
      <c r="B1199" s="31" t="s">
        <v>652</v>
      </c>
      <c r="C1199" s="31"/>
    </row>
    <row r="1200" spans="1:12">
      <c r="B1200" t="s">
        <v>3</v>
      </c>
      <c r="C1200">
        <v>7304</v>
      </c>
      <c r="E1200" t="s">
        <v>10</v>
      </c>
      <c r="H1200" t="s">
        <v>7</v>
      </c>
    </row>
    <row r="1201" spans="1:9">
      <c r="B1201" t="s">
        <v>4</v>
      </c>
      <c r="C1201">
        <v>2683</v>
      </c>
      <c r="E1201" t="s">
        <v>890</v>
      </c>
      <c r="F1201">
        <v>1397</v>
      </c>
      <c r="H1201" t="s">
        <v>1423</v>
      </c>
      <c r="I1201">
        <v>1296</v>
      </c>
    </row>
    <row r="1202" spans="1:9">
      <c r="B1202" t="s">
        <v>5</v>
      </c>
      <c r="C1202">
        <v>365</v>
      </c>
      <c r="E1202" t="s">
        <v>889</v>
      </c>
      <c r="F1202">
        <v>490</v>
      </c>
      <c r="H1202" t="s">
        <v>6</v>
      </c>
      <c r="I1202">
        <v>2350</v>
      </c>
    </row>
    <row r="1203" spans="1:9">
      <c r="B1203" t="s">
        <v>580</v>
      </c>
      <c r="C1203">
        <v>2564</v>
      </c>
      <c r="E1203" t="s">
        <v>460</v>
      </c>
      <c r="F1203">
        <v>1887</v>
      </c>
      <c r="H1203" t="s">
        <v>460</v>
      </c>
      <c r="I1203">
        <v>3646</v>
      </c>
    </row>
    <row r="1204" spans="1:9">
      <c r="B1204" t="s">
        <v>581</v>
      </c>
      <c r="C1204">
        <v>132</v>
      </c>
    </row>
    <row r="1205" spans="1:9">
      <c r="B1205" t="s">
        <v>12</v>
      </c>
      <c r="C1205">
        <v>1118</v>
      </c>
    </row>
    <row r="1207" spans="1:9">
      <c r="B1207" t="s">
        <v>14</v>
      </c>
      <c r="D1207">
        <v>19759</v>
      </c>
    </row>
    <row r="1209" spans="1:9">
      <c r="A1209" s="31"/>
      <c r="B1209" s="31" t="s">
        <v>1455</v>
      </c>
      <c r="C1209" s="31"/>
      <c r="D1209" s="31"/>
      <c r="E1209" s="31"/>
    </row>
    <row r="1210" spans="1:9">
      <c r="A1210" s="31"/>
      <c r="B1210" s="31" t="s">
        <v>1456</v>
      </c>
      <c r="C1210" s="31"/>
      <c r="D1210" s="31"/>
      <c r="E1210" s="31"/>
    </row>
    <row r="1211" spans="1:9">
      <c r="B1211" s="31" t="s">
        <v>3</v>
      </c>
      <c r="C1211">
        <v>4974</v>
      </c>
      <c r="E1211" s="31" t="s">
        <v>10</v>
      </c>
      <c r="H1211" s="31" t="s">
        <v>1457</v>
      </c>
    </row>
    <row r="1212" spans="1:9">
      <c r="B1212" s="31" t="s">
        <v>4</v>
      </c>
      <c r="C1212">
        <v>2150</v>
      </c>
      <c r="E1212" s="31" t="s">
        <v>890</v>
      </c>
      <c r="F1212">
        <v>548</v>
      </c>
      <c r="H1212" s="31" t="s">
        <v>1423</v>
      </c>
      <c r="I1212">
        <v>1094</v>
      </c>
    </row>
    <row r="1213" spans="1:9">
      <c r="B1213" s="31" t="s">
        <v>5</v>
      </c>
      <c r="C1213">
        <v>181</v>
      </c>
      <c r="E1213" s="31" t="s">
        <v>889</v>
      </c>
      <c r="F1213">
        <v>1374</v>
      </c>
      <c r="H1213" s="31" t="s">
        <v>6</v>
      </c>
      <c r="I1213">
        <v>2047</v>
      </c>
    </row>
    <row r="1214" spans="1:9">
      <c r="B1214" s="31" t="s">
        <v>580</v>
      </c>
      <c r="C1214">
        <v>2438</v>
      </c>
      <c r="E1214" s="31" t="s">
        <v>460</v>
      </c>
      <c r="F1214">
        <v>1923</v>
      </c>
      <c r="H1214" s="31" t="s">
        <v>460</v>
      </c>
      <c r="I1214">
        <v>3141</v>
      </c>
    </row>
    <row r="1215" spans="1:9">
      <c r="B1215" s="31" t="s">
        <v>581</v>
      </c>
      <c r="C1215">
        <v>584</v>
      </c>
      <c r="E1215" s="31"/>
      <c r="H1215" s="31"/>
    </row>
    <row r="1216" spans="1:9">
      <c r="B1216" s="31" t="s">
        <v>12</v>
      </c>
      <c r="C1216">
        <v>772</v>
      </c>
    </row>
    <row r="1218" spans="1:9">
      <c r="B1218" t="s">
        <v>1016</v>
      </c>
      <c r="D1218">
        <v>16163</v>
      </c>
    </row>
    <row r="1220" spans="1:9">
      <c r="A1220" s="31"/>
      <c r="B1220" s="31" t="s">
        <v>1458</v>
      </c>
      <c r="C1220" s="31"/>
      <c r="D1220" s="31"/>
      <c r="E1220" s="31"/>
      <c r="F1220" s="31"/>
      <c r="H1220" s="31"/>
    </row>
    <row r="1221" spans="1:9">
      <c r="A1221" s="31"/>
      <c r="B1221" s="31" t="s">
        <v>652</v>
      </c>
      <c r="C1221" s="31"/>
      <c r="D1221" s="31"/>
      <c r="E1221" s="31"/>
      <c r="F1221" s="31"/>
      <c r="H1221" s="31"/>
    </row>
    <row r="1222" spans="1:9">
      <c r="B1222" s="31" t="s">
        <v>3</v>
      </c>
      <c r="C1222">
        <v>5817</v>
      </c>
      <c r="H1222" s="31" t="s">
        <v>7</v>
      </c>
      <c r="I1222">
        <v>3924</v>
      </c>
    </row>
    <row r="1223" spans="1:9">
      <c r="B1223" s="31" t="s">
        <v>4</v>
      </c>
      <c r="C1223">
        <v>1557</v>
      </c>
      <c r="D1223" t="s">
        <v>1459</v>
      </c>
      <c r="H1223" s="31" t="s">
        <v>10</v>
      </c>
      <c r="I1223">
        <v>2033</v>
      </c>
    </row>
    <row r="1224" spans="1:9">
      <c r="B1224" s="31" t="s">
        <v>5</v>
      </c>
      <c r="C1224">
        <v>265</v>
      </c>
      <c r="H1224" s="31"/>
    </row>
    <row r="1225" spans="1:9">
      <c r="B1225" s="31" t="s">
        <v>580</v>
      </c>
      <c r="C1225">
        <v>773</v>
      </c>
    </row>
    <row r="1226" spans="1:9">
      <c r="B1226" s="31" t="s">
        <v>581</v>
      </c>
      <c r="C1226">
        <v>156</v>
      </c>
    </row>
    <row r="1227" spans="1:9">
      <c r="B1227" s="31"/>
    </row>
    <row r="1228" spans="1:9">
      <c r="B1228" t="s">
        <v>1016</v>
      </c>
      <c r="D1228">
        <v>14590</v>
      </c>
    </row>
    <row r="1230" spans="1:9">
      <c r="A1230" s="22"/>
      <c r="B1230" s="22" t="s">
        <v>1460</v>
      </c>
      <c r="C1230" s="22"/>
      <c r="D1230" s="22"/>
      <c r="E1230" s="22"/>
      <c r="F1230" s="22"/>
    </row>
    <row r="1231" spans="1:9">
      <c r="A1231" s="22"/>
      <c r="B1231" s="22" t="s">
        <v>652</v>
      </c>
      <c r="C1231" s="22"/>
      <c r="D1231" s="22"/>
      <c r="E1231" s="22"/>
      <c r="F1231" s="22"/>
    </row>
    <row r="1232" spans="1:9">
      <c r="B1232" s="23" t="s">
        <v>3</v>
      </c>
      <c r="C1232">
        <v>6569</v>
      </c>
      <c r="F1232" s="23" t="s">
        <v>7</v>
      </c>
      <c r="I1232" s="23" t="s">
        <v>10</v>
      </c>
    </row>
    <row r="1233" spans="1:10">
      <c r="B1233" s="23" t="s">
        <v>4</v>
      </c>
      <c r="C1233">
        <v>2209</v>
      </c>
      <c r="F1233" s="23" t="s">
        <v>1423</v>
      </c>
      <c r="G1233">
        <v>1793</v>
      </c>
      <c r="I1233" s="23" t="s">
        <v>890</v>
      </c>
      <c r="J1233">
        <v>932</v>
      </c>
    </row>
    <row r="1234" spans="1:10">
      <c r="B1234" s="23" t="s">
        <v>5</v>
      </c>
      <c r="C1234">
        <v>390</v>
      </c>
      <c r="F1234" s="23" t="s">
        <v>6</v>
      </c>
      <c r="G1234">
        <v>2327</v>
      </c>
      <c r="I1234" s="23" t="s">
        <v>889</v>
      </c>
      <c r="J1234">
        <v>1468</v>
      </c>
    </row>
    <row r="1235" spans="1:10">
      <c r="B1235" s="23" t="s">
        <v>580</v>
      </c>
      <c r="C1235">
        <v>882</v>
      </c>
      <c r="F1235" s="23"/>
      <c r="G1235">
        <v>4120</v>
      </c>
      <c r="I1235" s="23"/>
      <c r="J1235">
        <v>2400</v>
      </c>
    </row>
    <row r="1236" spans="1:10">
      <c r="B1236" s="23" t="s">
        <v>581</v>
      </c>
      <c r="C1236">
        <v>222</v>
      </c>
    </row>
    <row r="1238" spans="1:10">
      <c r="B1238" s="90" t="s">
        <v>1016</v>
      </c>
      <c r="D1238">
        <v>16792</v>
      </c>
    </row>
    <row r="1240" spans="1:10">
      <c r="A1240" s="23"/>
      <c r="B1240" s="22" t="s">
        <v>1461</v>
      </c>
      <c r="C1240" s="22"/>
      <c r="D1240" s="22"/>
      <c r="E1240" s="22"/>
      <c r="F1240" s="22"/>
    </row>
    <row r="1241" spans="1:10">
      <c r="A1241" s="23"/>
      <c r="B1241" s="22" t="s">
        <v>652</v>
      </c>
      <c r="C1241" s="22"/>
      <c r="D1241" s="22"/>
      <c r="E1241" s="22"/>
      <c r="F1241" s="22"/>
    </row>
    <row r="1242" spans="1:10">
      <c r="B1242" s="23" t="s">
        <v>3</v>
      </c>
      <c r="C1242">
        <v>6087</v>
      </c>
      <c r="E1242" s="91" t="s">
        <v>7</v>
      </c>
      <c r="F1242">
        <v>3619</v>
      </c>
    </row>
    <row r="1243" spans="1:10">
      <c r="B1243" s="23" t="s">
        <v>4</v>
      </c>
      <c r="C1243">
        <v>3329</v>
      </c>
      <c r="E1243" s="91" t="s">
        <v>10</v>
      </c>
      <c r="F1243">
        <v>1894</v>
      </c>
    </row>
    <row r="1244" spans="1:10">
      <c r="B1244" s="23" t="s">
        <v>5</v>
      </c>
      <c r="C1244">
        <v>326</v>
      </c>
      <c r="E1244" s="91" t="s">
        <v>12</v>
      </c>
      <c r="F1244">
        <v>0</v>
      </c>
    </row>
    <row r="1245" spans="1:10">
      <c r="B1245" s="23" t="s">
        <v>580</v>
      </c>
      <c r="C1245">
        <v>1202</v>
      </c>
    </row>
    <row r="1246" spans="1:10">
      <c r="B1246" s="23" t="s">
        <v>581</v>
      </c>
      <c r="C1246">
        <v>201</v>
      </c>
    </row>
    <row r="1248" spans="1:10">
      <c r="A1248" s="19"/>
      <c r="B1248" s="19" t="s">
        <v>1462</v>
      </c>
      <c r="C1248" s="19"/>
      <c r="D1248" s="19">
        <v>16956</v>
      </c>
      <c r="E1248" s="19"/>
    </row>
    <row r="1249" spans="1:11">
      <c r="A1249" s="22"/>
      <c r="B1249" s="22" t="s">
        <v>246</v>
      </c>
      <c r="C1249" s="22"/>
      <c r="D1249" s="19"/>
      <c r="E1249" s="19"/>
    </row>
    <row r="1250" spans="1:11">
      <c r="A1250" s="23"/>
      <c r="B1250" s="23" t="s">
        <v>311</v>
      </c>
      <c r="C1250" s="23"/>
      <c r="H1250" s="23"/>
      <c r="I1250" s="23" t="s">
        <v>1472</v>
      </c>
      <c r="J1250" s="23"/>
    </row>
    <row r="1251" spans="1:11">
      <c r="A1251" s="23"/>
      <c r="B1251" s="23" t="s">
        <v>51</v>
      </c>
      <c r="C1251" s="23"/>
      <c r="D1251" s="23"/>
      <c r="E1251" s="23" t="s">
        <v>1217</v>
      </c>
      <c r="F1251" s="23"/>
      <c r="G1251" s="23"/>
      <c r="H1251" s="23"/>
      <c r="I1251" s="23" t="s">
        <v>1473</v>
      </c>
      <c r="J1251" s="23"/>
    </row>
    <row r="1252" spans="1:11">
      <c r="B1252" s="91" t="s">
        <v>1463</v>
      </c>
      <c r="C1252" s="91" t="s">
        <v>1219</v>
      </c>
      <c r="E1252" s="91" t="s">
        <v>1466</v>
      </c>
      <c r="I1252" s="91" t="s">
        <v>1474</v>
      </c>
    </row>
    <row r="1253" spans="1:11">
      <c r="B1253" s="91" t="s">
        <v>1464</v>
      </c>
      <c r="C1253" s="91" t="s">
        <v>1219</v>
      </c>
      <c r="E1253" s="91" t="s">
        <v>986</v>
      </c>
      <c r="I1253" s="91" t="s">
        <v>1475</v>
      </c>
    </row>
    <row r="1254" spans="1:11">
      <c r="B1254" s="91" t="s">
        <v>1465</v>
      </c>
      <c r="C1254" s="91" t="s">
        <v>385</v>
      </c>
      <c r="E1254" s="91" t="s">
        <v>1467</v>
      </c>
      <c r="I1254" s="91" t="s">
        <v>1477</v>
      </c>
    </row>
    <row r="1255" spans="1:11">
      <c r="B1255" s="91" t="s">
        <v>1465</v>
      </c>
      <c r="C1255" s="91" t="s">
        <v>400</v>
      </c>
      <c r="H1255" s="23"/>
      <c r="I1255" s="23" t="s">
        <v>1217</v>
      </c>
      <c r="J1255" s="23"/>
      <c r="K1255" s="23"/>
    </row>
    <row r="1256" spans="1:11">
      <c r="B1256" s="91" t="s">
        <v>1468</v>
      </c>
      <c r="H1256" s="16"/>
      <c r="I1256" s="16" t="s">
        <v>1478</v>
      </c>
      <c r="J1256" s="16" t="s">
        <v>104</v>
      </c>
      <c r="K1256" s="23"/>
    </row>
    <row r="1257" spans="1:11">
      <c r="B1257" s="91" t="s">
        <v>1469</v>
      </c>
      <c r="E1257" s="91" t="s">
        <v>400</v>
      </c>
      <c r="I1257" s="91" t="s">
        <v>10</v>
      </c>
      <c r="J1257" s="91" t="s">
        <v>1479</v>
      </c>
    </row>
    <row r="1258" spans="1:11">
      <c r="B1258" s="91" t="s">
        <v>1470</v>
      </c>
      <c r="I1258" s="91" t="s">
        <v>1480</v>
      </c>
    </row>
    <row r="1259" spans="1:11">
      <c r="B1259" s="91" t="s">
        <v>1471</v>
      </c>
      <c r="I1259" s="91" t="s">
        <v>1481</v>
      </c>
    </row>
    <row r="1260" spans="1:11">
      <c r="B1260" s="91" t="s">
        <v>1476</v>
      </c>
    </row>
    <row r="1262" spans="1:11">
      <c r="A1262" s="32"/>
      <c r="B1262" s="32" t="s">
        <v>1482</v>
      </c>
      <c r="C1262" s="32"/>
      <c r="D1262" s="32"/>
      <c r="E1262" s="32"/>
      <c r="F1262" s="32"/>
    </row>
    <row r="1263" spans="1:11">
      <c r="A1263" s="31">
        <v>1</v>
      </c>
      <c r="B1263" s="31" t="s">
        <v>652</v>
      </c>
      <c r="C1263" s="31"/>
      <c r="E1263" s="31"/>
    </row>
    <row r="1264" spans="1:11">
      <c r="B1264" s="31" t="s">
        <v>3</v>
      </c>
      <c r="C1264">
        <v>6423</v>
      </c>
      <c r="E1264" s="31" t="s">
        <v>10</v>
      </c>
      <c r="F1264">
        <v>1657</v>
      </c>
    </row>
    <row r="1265" spans="1:13">
      <c r="B1265" s="31" t="s">
        <v>4</v>
      </c>
      <c r="C1265">
        <v>2637</v>
      </c>
      <c r="E1265" s="31" t="s">
        <v>7</v>
      </c>
      <c r="F1265">
        <v>3359</v>
      </c>
    </row>
    <row r="1266" spans="1:13">
      <c r="B1266" s="31" t="s">
        <v>5</v>
      </c>
      <c r="C1266">
        <v>272</v>
      </c>
      <c r="E1266" s="31"/>
    </row>
    <row r="1267" spans="1:13">
      <c r="B1267" s="31" t="s">
        <v>580</v>
      </c>
      <c r="C1267">
        <v>639</v>
      </c>
    </row>
    <row r="1268" spans="1:13">
      <c r="B1268" s="31" t="s">
        <v>581</v>
      </c>
      <c r="C1268">
        <v>134</v>
      </c>
    </row>
    <row r="1269" spans="1:13">
      <c r="B1269" s="31"/>
    </row>
    <row r="1270" spans="1:13">
      <c r="B1270" s="31" t="s">
        <v>1016</v>
      </c>
      <c r="D1270">
        <v>15121</v>
      </c>
    </row>
    <row r="1271" spans="1:13">
      <c r="A1271" s="31">
        <v>2</v>
      </c>
      <c r="B1271" s="31" t="s">
        <v>246</v>
      </c>
      <c r="C1271" s="31"/>
      <c r="D1271" s="31"/>
      <c r="E1271" s="31"/>
      <c r="F1271" s="31"/>
      <c r="G1271" s="31"/>
      <c r="H1271" s="31"/>
      <c r="I1271" s="31"/>
      <c r="J1271" s="31"/>
    </row>
    <row r="1272" spans="1:13">
      <c r="A1272" s="31"/>
      <c r="B1272" s="31" t="s">
        <v>311</v>
      </c>
      <c r="C1272" s="31"/>
      <c r="D1272" s="31"/>
      <c r="E1272" s="31"/>
      <c r="F1272" s="31"/>
      <c r="G1272" s="31"/>
      <c r="H1272" s="31"/>
      <c r="I1272" s="31" t="s">
        <v>301</v>
      </c>
      <c r="J1272" s="31"/>
    </row>
    <row r="1273" spans="1:13">
      <c r="A1273" s="31"/>
      <c r="B1273" s="31" t="s">
        <v>51</v>
      </c>
      <c r="C1273" s="31"/>
      <c r="D1273" s="31"/>
      <c r="E1273" s="31"/>
      <c r="F1273" s="31"/>
      <c r="G1273" s="31"/>
      <c r="H1273" s="31"/>
      <c r="I1273" s="31" t="s">
        <v>51</v>
      </c>
      <c r="J1273" s="31"/>
      <c r="M1273" s="92" t="s">
        <v>1486</v>
      </c>
    </row>
    <row r="1274" spans="1:13">
      <c r="B1274" s="92" t="s">
        <v>1491</v>
      </c>
      <c r="I1274" s="92" t="s">
        <v>1483</v>
      </c>
      <c r="M1274" s="92" t="s">
        <v>553</v>
      </c>
    </row>
    <row r="1275" spans="1:13">
      <c r="B1275" s="92" t="s">
        <v>1492</v>
      </c>
      <c r="I1275" s="92" t="s">
        <v>1484</v>
      </c>
      <c r="M1275" s="92" t="s">
        <v>553</v>
      </c>
    </row>
    <row r="1276" spans="1:13">
      <c r="B1276" s="92" t="s">
        <v>1493</v>
      </c>
      <c r="I1276" s="92" t="s">
        <v>1485</v>
      </c>
      <c r="M1276" s="92" t="s">
        <v>553</v>
      </c>
    </row>
    <row r="1277" spans="1:13">
      <c r="B1277" s="92" t="s">
        <v>1494</v>
      </c>
      <c r="I1277" s="92" t="s">
        <v>913</v>
      </c>
      <c r="M1277" s="92" t="s">
        <v>1111</v>
      </c>
    </row>
    <row r="1278" spans="1:13">
      <c r="B1278" s="92" t="s">
        <v>910</v>
      </c>
      <c r="I1278" s="92" t="s">
        <v>1487</v>
      </c>
      <c r="M1278" s="92" t="s">
        <v>1111</v>
      </c>
    </row>
    <row r="1279" spans="1:13">
      <c r="A1279" s="31"/>
      <c r="B1279" s="31" t="s">
        <v>1427</v>
      </c>
      <c r="C1279" s="31"/>
      <c r="I1279" s="92" t="s">
        <v>1488</v>
      </c>
      <c r="M1279" s="92" t="s">
        <v>1111</v>
      </c>
    </row>
    <row r="1280" spans="1:13">
      <c r="B1280" s="92" t="s">
        <v>1495</v>
      </c>
      <c r="I1280" s="92" t="s">
        <v>1489</v>
      </c>
      <c r="M1280" s="92" t="s">
        <v>1111</v>
      </c>
    </row>
    <row r="1281" spans="1:12">
      <c r="B1281" s="92" t="s">
        <v>1496</v>
      </c>
      <c r="C1281">
        <v>6</v>
      </c>
      <c r="I1281" s="92" t="s">
        <v>1490</v>
      </c>
    </row>
    <row r="1282" spans="1:12">
      <c r="B1282" s="92" t="s">
        <v>1219</v>
      </c>
      <c r="C1282">
        <v>1</v>
      </c>
      <c r="K1282" s="92" t="s">
        <v>1111</v>
      </c>
      <c r="L1282" s="92" t="s">
        <v>270</v>
      </c>
    </row>
    <row r="1283" spans="1:12">
      <c r="B1283" s="92" t="s">
        <v>3</v>
      </c>
      <c r="C1283">
        <v>2</v>
      </c>
    </row>
    <row r="1284" spans="1:12">
      <c r="B1284" s="92" t="s">
        <v>1497</v>
      </c>
      <c r="C1284" s="92" t="s">
        <v>1498</v>
      </c>
    </row>
    <row r="1285" spans="1:12">
      <c r="B1285" s="92" t="s">
        <v>1499</v>
      </c>
    </row>
    <row r="1286" spans="1:12">
      <c r="B1286" s="92" t="s">
        <v>963</v>
      </c>
      <c r="D1286" s="92" t="s">
        <v>308</v>
      </c>
    </row>
    <row r="1288" spans="1:12">
      <c r="A1288" s="32"/>
      <c r="B1288" s="32" t="s">
        <v>1500</v>
      </c>
      <c r="C1288" s="32"/>
      <c r="D1288" s="32"/>
      <c r="E1288" s="32"/>
      <c r="F1288" s="32"/>
    </row>
    <row r="1289" spans="1:12">
      <c r="A1289" s="32"/>
      <c r="B1289" s="32" t="s">
        <v>652</v>
      </c>
      <c r="C1289" s="32"/>
      <c r="D1289" s="32"/>
      <c r="E1289" s="32"/>
      <c r="F1289" s="32"/>
    </row>
    <row r="1290" spans="1:12">
      <c r="B1290" s="31" t="s">
        <v>3</v>
      </c>
      <c r="C1290">
        <v>4729</v>
      </c>
      <c r="E1290" s="31" t="s">
        <v>7</v>
      </c>
      <c r="F1290">
        <v>3581</v>
      </c>
    </row>
    <row r="1291" spans="1:12">
      <c r="B1291" s="31" t="s">
        <v>4</v>
      </c>
      <c r="C1291">
        <v>1599</v>
      </c>
      <c r="E1291" s="31" t="s">
        <v>10</v>
      </c>
      <c r="F1291">
        <v>2442</v>
      </c>
    </row>
    <row r="1292" spans="1:12">
      <c r="B1292" s="31" t="s">
        <v>5</v>
      </c>
      <c r="C1292">
        <v>180</v>
      </c>
      <c r="E1292" s="31"/>
    </row>
    <row r="1293" spans="1:12">
      <c r="B1293" s="31" t="s">
        <v>580</v>
      </c>
      <c r="C1293">
        <v>811</v>
      </c>
    </row>
    <row r="1294" spans="1:12">
      <c r="B1294" s="31" t="s">
        <v>581</v>
      </c>
      <c r="C1294">
        <v>133</v>
      </c>
    </row>
    <row r="1295" spans="1:12">
      <c r="B1295" s="93" t="s">
        <v>1016</v>
      </c>
      <c r="D1295">
        <v>13475</v>
      </c>
    </row>
    <row r="1297" spans="1:10">
      <c r="B1297" s="31" t="s">
        <v>246</v>
      </c>
    </row>
    <row r="1298" spans="1:10">
      <c r="B1298" s="31" t="s">
        <v>311</v>
      </c>
      <c r="F1298" s="31"/>
      <c r="G1298" s="31" t="s">
        <v>366</v>
      </c>
      <c r="H1298" s="31"/>
    </row>
    <row r="1299" spans="1:10">
      <c r="A1299">
        <v>1</v>
      </c>
      <c r="B1299" s="31" t="s">
        <v>51</v>
      </c>
      <c r="F1299" s="31">
        <v>1</v>
      </c>
      <c r="G1299" s="31" t="s">
        <v>51</v>
      </c>
      <c r="H1299" s="31"/>
    </row>
    <row r="1300" spans="1:10">
      <c r="B1300" s="94" t="s">
        <v>1501</v>
      </c>
      <c r="G1300" s="94" t="s">
        <v>1511</v>
      </c>
    </row>
    <row r="1301" spans="1:10">
      <c r="B1301" s="94" t="s">
        <v>1502</v>
      </c>
      <c r="G1301" s="94" t="s">
        <v>1512</v>
      </c>
    </row>
    <row r="1302" spans="1:10">
      <c r="B1302" s="94" t="s">
        <v>1503</v>
      </c>
      <c r="G1302" s="94" t="s">
        <v>1513</v>
      </c>
    </row>
    <row r="1303" spans="1:10">
      <c r="B1303" s="94" t="s">
        <v>1504</v>
      </c>
      <c r="G1303" s="94" t="s">
        <v>1514</v>
      </c>
    </row>
    <row r="1304" spans="1:10">
      <c r="B1304" s="94" t="s">
        <v>1505</v>
      </c>
    </row>
    <row r="1305" spans="1:10">
      <c r="A1305" s="31">
        <v>2</v>
      </c>
      <c r="B1305" s="31" t="s">
        <v>1217</v>
      </c>
      <c r="C1305" s="31"/>
      <c r="F1305" s="31">
        <v>2</v>
      </c>
      <c r="G1305" s="31" t="s">
        <v>1217</v>
      </c>
      <c r="H1305" s="31"/>
    </row>
    <row r="1306" spans="1:10">
      <c r="B1306" s="94" t="s">
        <v>4</v>
      </c>
      <c r="C1306" s="94" t="s">
        <v>200</v>
      </c>
      <c r="G1306" s="94" t="s">
        <v>7</v>
      </c>
      <c r="H1306">
        <v>2</v>
      </c>
    </row>
    <row r="1307" spans="1:10">
      <c r="B1307" s="94" t="s">
        <v>3</v>
      </c>
      <c r="C1307" s="94" t="s">
        <v>200</v>
      </c>
      <c r="G1307" s="94" t="s">
        <v>10</v>
      </c>
      <c r="H1307">
        <v>0</v>
      </c>
    </row>
    <row r="1308" spans="1:10">
      <c r="B1308" s="94" t="s">
        <v>5</v>
      </c>
      <c r="C1308" s="94" t="s">
        <v>1506</v>
      </c>
      <c r="F1308" s="31">
        <v>3</v>
      </c>
      <c r="G1308" s="31" t="s">
        <v>1507</v>
      </c>
      <c r="H1308" s="31"/>
      <c r="I1308" s="31"/>
    </row>
    <row r="1309" spans="1:10">
      <c r="A1309" s="31">
        <v>3</v>
      </c>
      <c r="B1309" s="31" t="s">
        <v>1507</v>
      </c>
      <c r="C1309" s="31"/>
      <c r="G1309" s="94" t="s">
        <v>1111</v>
      </c>
      <c r="H1309">
        <v>2</v>
      </c>
    </row>
    <row r="1310" spans="1:10">
      <c r="B1310" s="94" t="s">
        <v>1508</v>
      </c>
      <c r="C1310">
        <v>2</v>
      </c>
      <c r="G1310" s="94" t="s">
        <v>553</v>
      </c>
      <c r="H1310">
        <v>1</v>
      </c>
    </row>
    <row r="1311" spans="1:10">
      <c r="B1311" s="94" t="s">
        <v>4</v>
      </c>
      <c r="C1311">
        <v>1</v>
      </c>
    </row>
    <row r="1312" spans="1:10">
      <c r="A1312" s="31">
        <v>4</v>
      </c>
      <c r="B1312" s="31" t="s">
        <v>1509</v>
      </c>
      <c r="C1312" s="31"/>
      <c r="F1312" s="31">
        <v>4</v>
      </c>
      <c r="G1312" s="31" t="s">
        <v>1515</v>
      </c>
      <c r="H1312" s="31"/>
      <c r="I1312" s="31"/>
      <c r="J1312" s="31"/>
    </row>
    <row r="1313" spans="1:8">
      <c r="B1313" s="94" t="s">
        <v>4</v>
      </c>
      <c r="C1313">
        <v>4</v>
      </c>
      <c r="G1313" s="94" t="s">
        <v>1516</v>
      </c>
      <c r="H1313">
        <v>6</v>
      </c>
    </row>
    <row r="1314" spans="1:8">
      <c r="B1314" s="94" t="s">
        <v>3</v>
      </c>
      <c r="C1314">
        <v>3</v>
      </c>
      <c r="G1314" s="94" t="s">
        <v>553</v>
      </c>
      <c r="H1314">
        <v>4</v>
      </c>
    </row>
    <row r="1315" spans="1:8">
      <c r="B1315" s="94" t="s">
        <v>5</v>
      </c>
      <c r="C1315">
        <v>2</v>
      </c>
    </row>
    <row r="1316" spans="1:8">
      <c r="A1316">
        <v>5</v>
      </c>
      <c r="B1316" s="94" t="s">
        <v>1510</v>
      </c>
    </row>
    <row r="1318" spans="1:8">
      <c r="A1318" s="32"/>
      <c r="B1318" s="32" t="s">
        <v>238</v>
      </c>
      <c r="C1318" s="32"/>
      <c r="D1318" s="32" t="s">
        <v>1517</v>
      </c>
      <c r="E1318" s="32"/>
      <c r="F1318" s="32"/>
      <c r="G1318" s="32"/>
    </row>
    <row r="1319" spans="1:8">
      <c r="A1319" s="31">
        <v>1</v>
      </c>
      <c r="B1319" s="31" t="s">
        <v>652</v>
      </c>
      <c r="C1319" s="31"/>
      <c r="D1319" s="31"/>
      <c r="E1319" s="31"/>
      <c r="F1319" s="31"/>
      <c r="G1319" s="31"/>
    </row>
    <row r="1320" spans="1:8">
      <c r="B1320" s="95" t="s">
        <v>3</v>
      </c>
      <c r="C1320">
        <v>7643</v>
      </c>
      <c r="E1320" s="96" t="s">
        <v>7</v>
      </c>
      <c r="F1320">
        <v>3478</v>
      </c>
    </row>
    <row r="1321" spans="1:8">
      <c r="B1321" s="95" t="s">
        <v>4</v>
      </c>
      <c r="C1321">
        <v>2118</v>
      </c>
      <c r="E1321" t="s">
        <v>10</v>
      </c>
      <c r="F1321">
        <v>2183</v>
      </c>
    </row>
    <row r="1322" spans="1:8">
      <c r="B1322" s="95" t="s">
        <v>5</v>
      </c>
      <c r="C1322">
        <v>322</v>
      </c>
      <c r="E1322" t="s">
        <v>12</v>
      </c>
      <c r="F1322">
        <v>2834</v>
      </c>
    </row>
    <row r="1323" spans="1:8">
      <c r="B1323" s="96" t="s">
        <v>7</v>
      </c>
      <c r="C1323">
        <v>3478</v>
      </c>
    </row>
    <row r="1324" spans="1:8">
      <c r="B1324" s="96" t="s">
        <v>580</v>
      </c>
      <c r="C1324">
        <v>593</v>
      </c>
    </row>
    <row r="1325" spans="1:8">
      <c r="B1325" s="96" t="s">
        <v>581</v>
      </c>
      <c r="C1325">
        <v>133</v>
      </c>
    </row>
    <row r="1326" spans="1:8">
      <c r="A1326" s="19"/>
      <c r="B1326" s="19" t="s">
        <v>1016</v>
      </c>
      <c r="C1326" s="19"/>
      <c r="D1326" s="19">
        <v>19304</v>
      </c>
    </row>
    <row r="1327" spans="1:8">
      <c r="A1327" s="31">
        <v>2</v>
      </c>
      <c r="B1327" s="31" t="s">
        <v>1518</v>
      </c>
      <c r="C1327" s="31"/>
      <c r="D1327" s="31"/>
      <c r="E1327" s="31"/>
      <c r="F1327" s="31"/>
      <c r="G1327" s="31"/>
      <c r="H1327" s="31"/>
    </row>
    <row r="1328" spans="1:8">
      <c r="A1328" s="31"/>
      <c r="B1328" s="31" t="s">
        <v>311</v>
      </c>
      <c r="C1328" s="31"/>
      <c r="D1328" s="31"/>
      <c r="E1328" s="31"/>
      <c r="F1328" s="31"/>
      <c r="G1328" s="31" t="s">
        <v>301</v>
      </c>
      <c r="H1328" s="31"/>
    </row>
    <row r="1329" spans="1:9">
      <c r="B1329" s="96" t="s">
        <v>1519</v>
      </c>
      <c r="C1329" t="s">
        <v>1520</v>
      </c>
      <c r="G1329" t="s">
        <v>1527</v>
      </c>
      <c r="I1329" t="s">
        <v>1528</v>
      </c>
    </row>
    <row r="1330" spans="1:9">
      <c r="B1330" s="96" t="s">
        <v>1521</v>
      </c>
      <c r="C1330" t="s">
        <v>1520</v>
      </c>
      <c r="G1330" t="s">
        <v>963</v>
      </c>
    </row>
    <row r="1331" spans="1:9">
      <c r="B1331" s="96" t="s">
        <v>1525</v>
      </c>
      <c r="G1331" t="s">
        <v>553</v>
      </c>
      <c r="H1331">
        <v>2</v>
      </c>
    </row>
    <row r="1332" spans="1:9">
      <c r="B1332" s="96" t="s">
        <v>1526</v>
      </c>
      <c r="G1332" t="s">
        <v>1516</v>
      </c>
      <c r="H1332">
        <v>1</v>
      </c>
    </row>
    <row r="1333" spans="1:9">
      <c r="B1333" s="96" t="s">
        <v>1522</v>
      </c>
      <c r="G1333" t="s">
        <v>1529</v>
      </c>
    </row>
    <row r="1334" spans="1:9">
      <c r="B1334" t="s">
        <v>910</v>
      </c>
      <c r="G1334" t="s">
        <v>1530</v>
      </c>
    </row>
    <row r="1335" spans="1:9">
      <c r="B1335" s="96"/>
      <c r="G1335" t="s">
        <v>553</v>
      </c>
      <c r="H1335">
        <v>4</v>
      </c>
    </row>
    <row r="1336" spans="1:9">
      <c r="A1336" s="31"/>
      <c r="B1336" s="31" t="s">
        <v>246</v>
      </c>
      <c r="C1336" s="31"/>
      <c r="G1336" t="s">
        <v>1111</v>
      </c>
      <c r="H1336">
        <v>6</v>
      </c>
    </row>
    <row r="1337" spans="1:9">
      <c r="B1337" s="96" t="s">
        <v>1523</v>
      </c>
    </row>
    <row r="1338" spans="1:9">
      <c r="B1338" s="96" t="s">
        <v>1524</v>
      </c>
    </row>
    <row r="1339" spans="1:9">
      <c r="B1339" s="96" t="s">
        <v>1531</v>
      </c>
    </row>
    <row r="1341" spans="1:9">
      <c r="A1341" s="31"/>
      <c r="B1341" s="31" t="s">
        <v>1532</v>
      </c>
      <c r="C1341" s="31"/>
      <c r="D1341" s="31"/>
      <c r="E1341" s="31"/>
      <c r="F1341" s="31"/>
    </row>
    <row r="1342" spans="1:9">
      <c r="B1342" s="97" t="s">
        <v>652</v>
      </c>
    </row>
    <row r="1343" spans="1:9">
      <c r="B1343" s="97" t="s">
        <v>3</v>
      </c>
      <c r="C1343">
        <v>6634</v>
      </c>
      <c r="E1343" t="s">
        <v>7</v>
      </c>
      <c r="F1343">
        <v>3787</v>
      </c>
    </row>
    <row r="1344" spans="1:9">
      <c r="B1344" s="97" t="s">
        <v>4</v>
      </c>
      <c r="C1344">
        <v>2681</v>
      </c>
      <c r="E1344" t="s">
        <v>10</v>
      </c>
      <c r="F1344">
        <v>2037</v>
      </c>
    </row>
    <row r="1345" spans="1:7">
      <c r="B1345" s="97" t="s">
        <v>5</v>
      </c>
      <c r="C1345">
        <v>327</v>
      </c>
      <c r="E1345" t="s">
        <v>12</v>
      </c>
      <c r="F1345">
        <v>1464</v>
      </c>
    </row>
    <row r="1346" spans="1:7">
      <c r="B1346" s="97" t="s">
        <v>580</v>
      </c>
      <c r="C1346">
        <v>656</v>
      </c>
    </row>
    <row r="1347" spans="1:7">
      <c r="B1347" s="97" t="s">
        <v>581</v>
      </c>
      <c r="C1347">
        <v>151</v>
      </c>
    </row>
    <row r="1349" spans="1:7">
      <c r="B1349" s="97" t="s">
        <v>1016</v>
      </c>
      <c r="D1349">
        <v>17737</v>
      </c>
    </row>
    <row r="1351" spans="1:7">
      <c r="A1351" s="31"/>
      <c r="B1351" s="31" t="s">
        <v>51</v>
      </c>
      <c r="C1351" s="31"/>
    </row>
    <row r="1352" spans="1:7">
      <c r="B1352" t="s">
        <v>1533</v>
      </c>
      <c r="C1352" t="s">
        <v>1534</v>
      </c>
    </row>
    <row r="1353" spans="1:7">
      <c r="B1353" s="97" t="s">
        <v>1535</v>
      </c>
    </row>
    <row r="1354" spans="1:7">
      <c r="A1354" s="31"/>
      <c r="B1354" s="31" t="s">
        <v>246</v>
      </c>
      <c r="C1354" s="31"/>
      <c r="D1354" s="31"/>
      <c r="E1354" s="31"/>
      <c r="F1354" s="31"/>
      <c r="G1354" s="31"/>
    </row>
    <row r="1355" spans="1:7">
      <c r="A1355" s="31"/>
      <c r="B1355" s="31" t="s">
        <v>300</v>
      </c>
      <c r="C1355" s="31"/>
      <c r="D1355" s="31"/>
      <c r="E1355" s="31"/>
      <c r="F1355" s="31" t="s">
        <v>1541</v>
      </c>
      <c r="G1355" s="31"/>
    </row>
    <row r="1356" spans="1:7">
      <c r="B1356" t="s">
        <v>1536</v>
      </c>
      <c r="F1356" t="s">
        <v>1542</v>
      </c>
    </row>
    <row r="1357" spans="1:7">
      <c r="B1357" s="97" t="s">
        <v>319</v>
      </c>
      <c r="F1357" t="s">
        <v>1543</v>
      </c>
    </row>
    <row r="1358" spans="1:7">
      <c r="D1358" t="s">
        <v>1537</v>
      </c>
      <c r="F1358" t="s">
        <v>1544</v>
      </c>
    </row>
    <row r="1359" spans="1:7">
      <c r="B1359" s="97" t="s">
        <v>1538</v>
      </c>
      <c r="F1359" t="s">
        <v>1545</v>
      </c>
    </row>
    <row r="1360" spans="1:7">
      <c r="B1360" t="s">
        <v>1539</v>
      </c>
    </row>
    <row r="1361" spans="2:6">
      <c r="B1361" s="97" t="s">
        <v>1540</v>
      </c>
    </row>
    <row r="1362" spans="2:6">
      <c r="B1362" s="97" t="s">
        <v>1546</v>
      </c>
    </row>
    <row r="1363" spans="2:6">
      <c r="B1363" s="97"/>
    </row>
    <row r="1365" spans="2:6">
      <c r="B1365" s="31" t="s">
        <v>1547</v>
      </c>
      <c r="C1365" s="31"/>
      <c r="D1365" s="31"/>
      <c r="E1365" s="31"/>
    </row>
    <row r="1366" spans="2:6">
      <c r="B1366" s="31"/>
      <c r="C1366" s="31"/>
      <c r="D1366" s="31"/>
      <c r="E1366" s="31"/>
      <c r="F1366" s="31"/>
    </row>
    <row r="1367" spans="2:6">
      <c r="B1367" s="97" t="s">
        <v>652</v>
      </c>
    </row>
    <row r="1368" spans="2:6">
      <c r="B1368" s="97" t="s">
        <v>3</v>
      </c>
      <c r="C1368">
        <v>8694</v>
      </c>
      <c r="E1368" t="s">
        <v>7</v>
      </c>
      <c r="F1368">
        <v>3787</v>
      </c>
    </row>
    <row r="1369" spans="2:6">
      <c r="B1369" s="97" t="s">
        <v>4</v>
      </c>
      <c r="C1369">
        <v>2681</v>
      </c>
      <c r="E1369" t="s">
        <v>10</v>
      </c>
      <c r="F1369">
        <v>2037</v>
      </c>
    </row>
    <row r="1370" spans="2:6">
      <c r="B1370" s="97" t="s">
        <v>5</v>
      </c>
      <c r="C1370">
        <v>327</v>
      </c>
      <c r="E1370" t="s">
        <v>12</v>
      </c>
      <c r="F1370">
        <v>1464</v>
      </c>
    </row>
    <row r="1371" spans="2:6">
      <c r="B1371" s="97" t="s">
        <v>580</v>
      </c>
      <c r="C1371">
        <v>656</v>
      </c>
    </row>
    <row r="1372" spans="2:6">
      <c r="B1372" s="97" t="s">
        <v>581</v>
      </c>
      <c r="C1372">
        <v>151</v>
      </c>
    </row>
    <row r="1374" spans="2:6">
      <c r="B1374" s="97" t="s">
        <v>1016</v>
      </c>
      <c r="D1374">
        <v>21552</v>
      </c>
    </row>
    <row r="1375" spans="2:6">
      <c r="B1375" s="97"/>
    </row>
    <row r="1376" spans="2:6">
      <c r="B1376" s="31" t="s">
        <v>51</v>
      </c>
      <c r="C1376" s="31"/>
      <c r="D1376" s="31" t="s">
        <v>1561</v>
      </c>
      <c r="E1376" s="31" t="s">
        <v>1562</v>
      </c>
    </row>
    <row r="1377" spans="2:6">
      <c r="B1377" s="97" t="s">
        <v>3</v>
      </c>
      <c r="D1377">
        <v>2</v>
      </c>
      <c r="E1377" s="98" t="s">
        <v>1563</v>
      </c>
    </row>
    <row r="1378" spans="2:6">
      <c r="B1378" s="97" t="s">
        <v>4</v>
      </c>
      <c r="D1378">
        <v>3</v>
      </c>
      <c r="E1378" s="98" t="s">
        <v>1563</v>
      </c>
    </row>
    <row r="1379" spans="2:6">
      <c r="B1379" s="97" t="s">
        <v>5</v>
      </c>
      <c r="D1379">
        <v>2</v>
      </c>
      <c r="E1379" s="98" t="s">
        <v>1563</v>
      </c>
    </row>
    <row r="1380" spans="2:6">
      <c r="B1380" t="s">
        <v>7</v>
      </c>
      <c r="D1380">
        <v>2</v>
      </c>
      <c r="E1380" s="98" t="s">
        <v>1563</v>
      </c>
    </row>
    <row r="1381" spans="2:6">
      <c r="B1381" t="s">
        <v>10</v>
      </c>
      <c r="D1381">
        <v>0</v>
      </c>
    </row>
    <row r="1383" spans="2:6">
      <c r="B1383" s="31" t="s">
        <v>246</v>
      </c>
    </row>
    <row r="1384" spans="2:6">
      <c r="B1384" s="31" t="s">
        <v>300</v>
      </c>
      <c r="E1384" s="31" t="s">
        <v>1541</v>
      </c>
      <c r="F1384" s="31"/>
    </row>
    <row r="1385" spans="2:6">
      <c r="B1385" t="s">
        <v>1552</v>
      </c>
      <c r="E1385" t="s">
        <v>1555</v>
      </c>
    </row>
    <row r="1386" spans="2:6">
      <c r="B1386" t="s">
        <v>1553</v>
      </c>
      <c r="E1386" t="s">
        <v>1556</v>
      </c>
    </row>
    <row r="1387" spans="2:6">
      <c r="B1387" t="s">
        <v>1548</v>
      </c>
      <c r="E1387" t="s">
        <v>1557</v>
      </c>
    </row>
    <row r="1388" spans="2:6">
      <c r="B1388" s="97" t="s">
        <v>1538</v>
      </c>
      <c r="E1388" t="s">
        <v>1558</v>
      </c>
    </row>
    <row r="1389" spans="2:6">
      <c r="B1389" t="s">
        <v>1549</v>
      </c>
      <c r="E1389" t="s">
        <v>1559</v>
      </c>
    </row>
    <row r="1390" spans="2:6">
      <c r="B1390" t="s">
        <v>1554</v>
      </c>
      <c r="E1390" t="s">
        <v>1560</v>
      </c>
    </row>
    <row r="1391" spans="2:6">
      <c r="B1391" t="s">
        <v>1550</v>
      </c>
    </row>
    <row r="1392" spans="2:6">
      <c r="B1392" t="s">
        <v>1551</v>
      </c>
    </row>
    <row r="1394" spans="2:6">
      <c r="B1394" s="31" t="s">
        <v>1564</v>
      </c>
      <c r="C1394" s="31"/>
      <c r="D1394" s="31"/>
      <c r="E1394" s="31"/>
    </row>
    <row r="1395" spans="2:6">
      <c r="B1395" s="31"/>
      <c r="C1395" s="31"/>
      <c r="D1395" s="31"/>
      <c r="E1395" s="31"/>
      <c r="F1395" s="31"/>
    </row>
    <row r="1396" spans="2:6">
      <c r="B1396" s="97" t="s">
        <v>652</v>
      </c>
    </row>
    <row r="1397" spans="2:6">
      <c r="B1397" s="97" t="s">
        <v>3</v>
      </c>
      <c r="C1397">
        <v>5839</v>
      </c>
      <c r="E1397" t="s">
        <v>7</v>
      </c>
      <c r="F1397">
        <v>2987</v>
      </c>
    </row>
    <row r="1398" spans="2:6">
      <c r="B1398" s="97" t="s">
        <v>4</v>
      </c>
      <c r="C1398">
        <v>2543</v>
      </c>
      <c r="E1398" t="s">
        <v>10</v>
      </c>
      <c r="F1398">
        <v>1724</v>
      </c>
    </row>
    <row r="1399" spans="2:6">
      <c r="B1399" s="97" t="s">
        <v>5</v>
      </c>
      <c r="C1399">
        <v>316</v>
      </c>
      <c r="E1399" t="s">
        <v>12</v>
      </c>
      <c r="F1399">
        <v>1960</v>
      </c>
    </row>
    <row r="1400" spans="2:6">
      <c r="B1400" s="97" t="s">
        <v>580</v>
      </c>
      <c r="C1400">
        <v>916</v>
      </c>
    </row>
    <row r="1401" spans="2:6">
      <c r="B1401" s="97" t="s">
        <v>581</v>
      </c>
      <c r="C1401">
        <v>106</v>
      </c>
    </row>
    <row r="1403" spans="2:6">
      <c r="B1403" s="97" t="s">
        <v>1016</v>
      </c>
      <c r="D1403">
        <v>16391</v>
      </c>
    </row>
    <row r="1404" spans="2:6">
      <c r="B1404" s="97"/>
    </row>
    <row r="1405" spans="2:6">
      <c r="B1405" s="31" t="s">
        <v>51</v>
      </c>
      <c r="C1405" s="31"/>
      <c r="D1405" s="31" t="s">
        <v>1561</v>
      </c>
      <c r="E1405" s="31" t="s">
        <v>1562</v>
      </c>
    </row>
    <row r="1406" spans="2:6">
      <c r="B1406" s="97" t="s">
        <v>3</v>
      </c>
      <c r="D1406">
        <v>2</v>
      </c>
      <c r="E1406" s="98" t="s">
        <v>1563</v>
      </c>
    </row>
    <row r="1407" spans="2:6">
      <c r="B1407" s="97" t="s">
        <v>4</v>
      </c>
      <c r="D1407">
        <v>1</v>
      </c>
      <c r="E1407" s="98" t="s">
        <v>1563</v>
      </c>
    </row>
    <row r="1408" spans="2:6">
      <c r="B1408" s="97" t="s">
        <v>5</v>
      </c>
      <c r="D1408">
        <v>3</v>
      </c>
      <c r="E1408" s="98" t="s">
        <v>1563</v>
      </c>
    </row>
    <row r="1409" spans="2:6">
      <c r="B1409" t="s">
        <v>7</v>
      </c>
      <c r="D1409">
        <v>1</v>
      </c>
      <c r="E1409" s="98" t="s">
        <v>1563</v>
      </c>
    </row>
    <row r="1410" spans="2:6">
      <c r="B1410" t="s">
        <v>10</v>
      </c>
      <c r="D1410">
        <v>1</v>
      </c>
      <c r="E1410" s="98" t="s">
        <v>1563</v>
      </c>
    </row>
    <row r="1412" spans="2:6">
      <c r="B1412" s="31" t="s">
        <v>246</v>
      </c>
    </row>
    <row r="1413" spans="2:6">
      <c r="B1413" s="31" t="s">
        <v>300</v>
      </c>
      <c r="E1413" s="31" t="s">
        <v>1541</v>
      </c>
      <c r="F1413" s="31"/>
    </row>
    <row r="1414" spans="2:6">
      <c r="B1414" s="98" t="s">
        <v>1565</v>
      </c>
      <c r="E1414" s="98" t="s">
        <v>1571</v>
      </c>
    </row>
    <row r="1415" spans="2:6">
      <c r="B1415" s="98" t="s">
        <v>1566</v>
      </c>
      <c r="E1415" s="98" t="s">
        <v>1572</v>
      </c>
    </row>
    <row r="1416" spans="2:6">
      <c r="B1416" s="98" t="s">
        <v>1567</v>
      </c>
      <c r="E1416" s="98" t="s">
        <v>1573</v>
      </c>
    </row>
    <row r="1417" spans="2:6">
      <c r="B1417" s="98" t="s">
        <v>1568</v>
      </c>
      <c r="E1417" s="98" t="s">
        <v>1574</v>
      </c>
    </row>
    <row r="1418" spans="2:6">
      <c r="B1418" s="98" t="s">
        <v>1569</v>
      </c>
    </row>
    <row r="1419" spans="2:6">
      <c r="B1419" s="98" t="s">
        <v>1570</v>
      </c>
    </row>
    <row r="1421" spans="2:6">
      <c r="B1421" s="31" t="s">
        <v>1575</v>
      </c>
      <c r="C1421" s="31"/>
      <c r="D1421" s="31"/>
      <c r="E1421" s="31"/>
    </row>
    <row r="1422" spans="2:6">
      <c r="B1422" s="31"/>
      <c r="C1422" s="31"/>
      <c r="D1422" s="31"/>
      <c r="E1422" s="31"/>
      <c r="F1422" s="31"/>
    </row>
    <row r="1423" spans="2:6">
      <c r="B1423" s="97" t="s">
        <v>652</v>
      </c>
    </row>
    <row r="1424" spans="2:6">
      <c r="B1424" s="97" t="s">
        <v>3</v>
      </c>
      <c r="C1424">
        <v>7673</v>
      </c>
      <c r="E1424" t="s">
        <v>7</v>
      </c>
      <c r="F1424">
        <v>3590</v>
      </c>
    </row>
    <row r="1425" spans="2:6">
      <c r="B1425" s="97" t="s">
        <v>4</v>
      </c>
      <c r="C1425">
        <v>2993</v>
      </c>
      <c r="E1425" t="s">
        <v>10</v>
      </c>
      <c r="F1425">
        <v>1865</v>
      </c>
    </row>
    <row r="1426" spans="2:6">
      <c r="B1426" s="97" t="s">
        <v>5</v>
      </c>
      <c r="C1426">
        <v>309</v>
      </c>
      <c r="E1426" t="s">
        <v>12</v>
      </c>
      <c r="F1426">
        <v>703</v>
      </c>
    </row>
    <row r="1427" spans="2:6">
      <c r="B1427" s="97" t="s">
        <v>580</v>
      </c>
      <c r="C1427">
        <v>1004</v>
      </c>
    </row>
    <row r="1428" spans="2:6">
      <c r="B1428" s="97" t="s">
        <v>581</v>
      </c>
      <c r="C1428">
        <v>136</v>
      </c>
    </row>
    <row r="1430" spans="2:6">
      <c r="B1430" s="97" t="s">
        <v>1016</v>
      </c>
      <c r="D1430">
        <v>18273</v>
      </c>
    </row>
    <row r="1431" spans="2:6">
      <c r="B1431" s="97"/>
    </row>
    <row r="1432" spans="2:6">
      <c r="B1432" s="31" t="s">
        <v>51</v>
      </c>
      <c r="C1432" s="31"/>
      <c r="D1432" s="31" t="s">
        <v>1561</v>
      </c>
      <c r="E1432" s="31" t="s">
        <v>1562</v>
      </c>
    </row>
    <row r="1433" spans="2:6">
      <c r="B1433" s="97" t="s">
        <v>3</v>
      </c>
      <c r="D1433">
        <v>1</v>
      </c>
      <c r="E1433" s="98" t="s">
        <v>1563</v>
      </c>
    </row>
    <row r="1434" spans="2:6">
      <c r="B1434" s="97" t="s">
        <v>4</v>
      </c>
      <c r="D1434">
        <v>3</v>
      </c>
      <c r="E1434" s="98" t="s">
        <v>1563</v>
      </c>
    </row>
    <row r="1435" spans="2:6">
      <c r="B1435" s="97" t="s">
        <v>5</v>
      </c>
      <c r="D1435">
        <v>2</v>
      </c>
      <c r="E1435" s="98" t="s">
        <v>1563</v>
      </c>
    </row>
    <row r="1436" spans="2:6">
      <c r="B1436" t="s">
        <v>7</v>
      </c>
      <c r="D1436">
        <v>2</v>
      </c>
      <c r="E1436" s="98" t="s">
        <v>1563</v>
      </c>
    </row>
    <row r="1437" spans="2:6">
      <c r="B1437" t="s">
        <v>10</v>
      </c>
      <c r="D1437">
        <v>1</v>
      </c>
      <c r="E1437" s="98" t="s">
        <v>1563</v>
      </c>
    </row>
    <row r="1439" spans="2:6">
      <c r="B1439" s="31" t="s">
        <v>246</v>
      </c>
    </row>
    <row r="1440" spans="2:6">
      <c r="B1440" s="31" t="s">
        <v>300</v>
      </c>
      <c r="E1440" s="31" t="s">
        <v>1541</v>
      </c>
      <c r="F1440" s="31"/>
    </row>
    <row r="1441" spans="2:6">
      <c r="B1441" s="99" t="s">
        <v>1566</v>
      </c>
      <c r="E1441" s="99" t="s">
        <v>1578</v>
      </c>
    </row>
    <row r="1442" spans="2:6">
      <c r="B1442" s="99" t="s">
        <v>1576</v>
      </c>
      <c r="E1442" s="99" t="s">
        <v>1579</v>
      </c>
    </row>
    <row r="1443" spans="2:6">
      <c r="B1443" s="99" t="s">
        <v>1567</v>
      </c>
      <c r="E1443" s="99" t="s">
        <v>1580</v>
      </c>
    </row>
    <row r="1444" spans="2:6">
      <c r="B1444" s="98" t="s">
        <v>1571</v>
      </c>
      <c r="D1444" t="s">
        <v>1577</v>
      </c>
      <c r="E1444" s="99" t="s">
        <v>1581</v>
      </c>
    </row>
    <row r="1445" spans="2:6">
      <c r="B1445" s="98"/>
      <c r="E1445" s="99" t="s">
        <v>1582</v>
      </c>
    </row>
    <row r="1446" spans="2:6">
      <c r="B1446" s="98"/>
    </row>
    <row r="1447" spans="2:6">
      <c r="B1447" s="23" t="s">
        <v>1583</v>
      </c>
      <c r="E1447" s="31"/>
    </row>
    <row r="1448" spans="2:6">
      <c r="B1448" s="31"/>
      <c r="C1448" s="31"/>
      <c r="D1448" s="31"/>
      <c r="F1448" s="31"/>
    </row>
    <row r="1449" spans="2:6">
      <c r="B1449" s="97" t="s">
        <v>652</v>
      </c>
      <c r="E1449" t="s">
        <v>7</v>
      </c>
      <c r="F1449">
        <v>3742</v>
      </c>
    </row>
    <row r="1450" spans="2:6">
      <c r="B1450" s="97" t="s">
        <v>3</v>
      </c>
      <c r="C1450">
        <v>7109</v>
      </c>
      <c r="E1450" t="s">
        <v>10</v>
      </c>
      <c r="F1450">
        <v>1650</v>
      </c>
    </row>
    <row r="1451" spans="2:6">
      <c r="B1451" s="97" t="s">
        <v>4</v>
      </c>
      <c r="C1451">
        <v>2999</v>
      </c>
      <c r="E1451" t="s">
        <v>12</v>
      </c>
      <c r="F1451">
        <v>1812</v>
      </c>
    </row>
    <row r="1452" spans="2:6">
      <c r="B1452" s="97" t="s">
        <v>5</v>
      </c>
      <c r="C1452">
        <v>441</v>
      </c>
    </row>
    <row r="1453" spans="2:6">
      <c r="B1453" s="97" t="s">
        <v>580</v>
      </c>
      <c r="C1453">
        <v>902</v>
      </c>
    </row>
    <row r="1454" spans="2:6">
      <c r="B1454" s="97" t="s">
        <v>581</v>
      </c>
      <c r="C1454">
        <v>151</v>
      </c>
    </row>
    <row r="1456" spans="2:6">
      <c r="B1456" s="97" t="s">
        <v>1016</v>
      </c>
      <c r="D1456">
        <v>18806</v>
      </c>
    </row>
    <row r="1457" spans="2:5">
      <c r="B1457" s="97"/>
      <c r="E1457" s="31" t="s">
        <v>1562</v>
      </c>
    </row>
    <row r="1458" spans="2:5">
      <c r="B1458" s="31" t="s">
        <v>51</v>
      </c>
      <c r="C1458" s="31"/>
      <c r="D1458" s="31" t="s">
        <v>1561</v>
      </c>
      <c r="E1458" s="98"/>
    </row>
    <row r="1459" spans="2:5">
      <c r="B1459" s="97" t="s">
        <v>3</v>
      </c>
      <c r="D1459">
        <v>3</v>
      </c>
      <c r="E1459" s="98" t="s">
        <v>1563</v>
      </c>
    </row>
    <row r="1460" spans="2:5">
      <c r="B1460" s="97" t="s">
        <v>4</v>
      </c>
      <c r="D1460">
        <v>1</v>
      </c>
      <c r="E1460" s="98" t="s">
        <v>1563</v>
      </c>
    </row>
    <row r="1461" spans="2:5">
      <c r="B1461" s="97" t="s">
        <v>5</v>
      </c>
      <c r="D1461">
        <v>1</v>
      </c>
      <c r="E1461" s="98" t="s">
        <v>1563</v>
      </c>
    </row>
    <row r="1462" spans="2:5">
      <c r="B1462" t="s">
        <v>7</v>
      </c>
      <c r="D1462">
        <v>2</v>
      </c>
      <c r="E1462" s="98" t="s">
        <v>1563</v>
      </c>
    </row>
    <row r="1463" spans="2:5">
      <c r="B1463" t="s">
        <v>10</v>
      </c>
      <c r="D1463">
        <v>1</v>
      </c>
      <c r="E1463" s="98" t="s">
        <v>1563</v>
      </c>
    </row>
    <row r="1465" spans="2:5">
      <c r="B1465" s="31" t="s">
        <v>246</v>
      </c>
    </row>
    <row r="1466" spans="2:5">
      <c r="B1466" s="31" t="s">
        <v>300</v>
      </c>
      <c r="E1466" s="31" t="s">
        <v>1541</v>
      </c>
    </row>
    <row r="1467" spans="2:5">
      <c r="B1467" s="100" t="s">
        <v>1584</v>
      </c>
      <c r="E1467" s="100" t="s">
        <v>1589</v>
      </c>
    </row>
    <row r="1468" spans="2:5">
      <c r="B1468" s="100" t="s">
        <v>1567</v>
      </c>
      <c r="E1468" s="100" t="s">
        <v>1590</v>
      </c>
    </row>
    <row r="1469" spans="2:5">
      <c r="B1469" s="100" t="s">
        <v>1585</v>
      </c>
      <c r="E1469" s="100" t="s">
        <v>1589</v>
      </c>
    </row>
    <row r="1470" spans="2:5">
      <c r="B1470" s="100" t="s">
        <v>1586</v>
      </c>
      <c r="E1470" s="100" t="s">
        <v>1591</v>
      </c>
    </row>
    <row r="1471" spans="2:5">
      <c r="B1471" s="100" t="s">
        <v>1587</v>
      </c>
      <c r="E1471" s="100" t="s">
        <v>1569</v>
      </c>
    </row>
    <row r="1472" spans="2:5">
      <c r="B1472" s="100" t="s">
        <v>1588</v>
      </c>
      <c r="E1472" s="100" t="s">
        <v>1592</v>
      </c>
    </row>
    <row r="1474" spans="2:6">
      <c r="B1474" s="23" t="s">
        <v>1603</v>
      </c>
      <c r="E1474" s="31"/>
    </row>
    <row r="1475" spans="2:6">
      <c r="B1475" s="31"/>
      <c r="C1475" s="31"/>
      <c r="D1475" s="31"/>
      <c r="F1475" s="31"/>
    </row>
    <row r="1476" spans="2:6">
      <c r="B1476" s="97" t="s">
        <v>652</v>
      </c>
      <c r="E1476" t="s">
        <v>7</v>
      </c>
      <c r="F1476">
        <v>3760</v>
      </c>
    </row>
    <row r="1477" spans="2:6">
      <c r="B1477" s="97" t="s">
        <v>3</v>
      </c>
      <c r="C1477">
        <v>5983</v>
      </c>
      <c r="E1477" t="s">
        <v>10</v>
      </c>
      <c r="F1477">
        <v>2377</v>
      </c>
    </row>
    <row r="1478" spans="2:6">
      <c r="B1478" s="97" t="s">
        <v>4</v>
      </c>
      <c r="C1478">
        <v>2557</v>
      </c>
      <c r="E1478" t="s">
        <v>12</v>
      </c>
      <c r="F1478">
        <v>1562</v>
      </c>
    </row>
    <row r="1479" spans="2:6">
      <c r="B1479" s="97" t="s">
        <v>5</v>
      </c>
      <c r="C1479">
        <v>477</v>
      </c>
    </row>
    <row r="1480" spans="2:6">
      <c r="B1480" s="97" t="s">
        <v>580</v>
      </c>
      <c r="C1480">
        <v>973</v>
      </c>
    </row>
    <row r="1481" spans="2:6">
      <c r="B1481" s="97" t="s">
        <v>581</v>
      </c>
      <c r="C1481">
        <v>145</v>
      </c>
    </row>
    <row r="1483" spans="2:6">
      <c r="B1483" s="97" t="s">
        <v>1016</v>
      </c>
      <c r="D1483">
        <v>17834</v>
      </c>
    </row>
    <row r="1484" spans="2:6">
      <c r="B1484" s="97"/>
      <c r="E1484" s="31" t="s">
        <v>1562</v>
      </c>
    </row>
    <row r="1485" spans="2:6">
      <c r="B1485" s="31" t="s">
        <v>51</v>
      </c>
      <c r="C1485" s="31"/>
      <c r="D1485" s="31" t="s">
        <v>1561</v>
      </c>
      <c r="E1485" s="98"/>
    </row>
    <row r="1486" spans="2:6">
      <c r="B1486" s="97" t="s">
        <v>3</v>
      </c>
      <c r="D1486">
        <v>3</v>
      </c>
      <c r="E1486" s="98" t="s">
        <v>1563</v>
      </c>
    </row>
    <row r="1487" spans="2:6">
      <c r="B1487" s="97" t="s">
        <v>4</v>
      </c>
      <c r="D1487">
        <v>4</v>
      </c>
      <c r="E1487" s="98" t="s">
        <v>1563</v>
      </c>
    </row>
    <row r="1488" spans="2:6">
      <c r="B1488" s="97" t="s">
        <v>5</v>
      </c>
      <c r="D1488">
        <v>1</v>
      </c>
      <c r="E1488" s="98" t="s">
        <v>1563</v>
      </c>
    </row>
    <row r="1489" spans="1:6">
      <c r="B1489" t="s">
        <v>7</v>
      </c>
      <c r="D1489">
        <v>2</v>
      </c>
      <c r="E1489" s="98" t="s">
        <v>1563</v>
      </c>
    </row>
    <row r="1490" spans="1:6">
      <c r="B1490" t="s">
        <v>10</v>
      </c>
      <c r="D1490">
        <v>1</v>
      </c>
      <c r="E1490" s="98" t="s">
        <v>1563</v>
      </c>
    </row>
    <row r="1492" spans="1:6">
      <c r="B1492" s="31" t="s">
        <v>246</v>
      </c>
    </row>
    <row r="1493" spans="1:6">
      <c r="B1493" s="31" t="s">
        <v>300</v>
      </c>
      <c r="E1493" s="31" t="s">
        <v>1541</v>
      </c>
    </row>
    <row r="1494" spans="1:6">
      <c r="B1494" t="s">
        <v>1593</v>
      </c>
      <c r="E1494" t="s">
        <v>1598</v>
      </c>
    </row>
    <row r="1495" spans="1:6">
      <c r="B1495" t="s">
        <v>1594</v>
      </c>
      <c r="E1495" t="s">
        <v>1601</v>
      </c>
    </row>
    <row r="1496" spans="1:6">
      <c r="B1496" t="s">
        <v>1595</v>
      </c>
      <c r="E1496" t="s">
        <v>1599</v>
      </c>
    </row>
    <row r="1497" spans="1:6">
      <c r="B1497" t="s">
        <v>1567</v>
      </c>
      <c r="E1497" t="s">
        <v>1602</v>
      </c>
    </row>
    <row r="1498" spans="1:6">
      <c r="B1498" t="s">
        <v>1596</v>
      </c>
      <c r="E1498" t="s">
        <v>1600</v>
      </c>
    </row>
    <row r="1499" spans="1:6">
      <c r="B1499" t="s">
        <v>1597</v>
      </c>
    </row>
    <row r="1501" spans="1:6">
      <c r="A1501" s="23"/>
      <c r="B1501" s="23" t="s">
        <v>1612</v>
      </c>
      <c r="C1501" s="23"/>
      <c r="D1501" s="23"/>
      <c r="E1501" s="23"/>
    </row>
    <row r="1502" spans="1:6">
      <c r="A1502">
        <v>1</v>
      </c>
      <c r="B1502" t="s">
        <v>652</v>
      </c>
    </row>
    <row r="1503" spans="1:6">
      <c r="B1503" t="s">
        <v>3</v>
      </c>
      <c r="C1503">
        <v>6939</v>
      </c>
      <c r="E1503" t="s">
        <v>7</v>
      </c>
      <c r="F1503">
        <v>4722</v>
      </c>
    </row>
    <row r="1504" spans="1:6">
      <c r="B1504" t="s">
        <v>4</v>
      </c>
      <c r="C1504">
        <v>2826</v>
      </c>
      <c r="E1504" t="s">
        <v>10</v>
      </c>
      <c r="F1504">
        <v>2706</v>
      </c>
    </row>
    <row r="1505" spans="1:6">
      <c r="B1505" t="s">
        <v>5</v>
      </c>
      <c r="C1505">
        <v>457</v>
      </c>
      <c r="E1505" t="s">
        <v>12</v>
      </c>
      <c r="F1505">
        <v>627</v>
      </c>
    </row>
    <row r="1506" spans="1:6">
      <c r="B1506" t="s">
        <v>1604</v>
      </c>
      <c r="C1506">
        <v>1456</v>
      </c>
    </row>
    <row r="1507" spans="1:6">
      <c r="B1507" t="s">
        <v>459</v>
      </c>
      <c r="C1507">
        <v>159</v>
      </c>
    </row>
    <row r="1508" spans="1:6">
      <c r="B1508" t="s">
        <v>1016</v>
      </c>
      <c r="D1508">
        <v>19892</v>
      </c>
    </row>
    <row r="1509" spans="1:6">
      <c r="A1509" s="23">
        <v>2</v>
      </c>
      <c r="B1509" s="23" t="s">
        <v>51</v>
      </c>
      <c r="C1509" s="23"/>
    </row>
    <row r="1510" spans="1:6">
      <c r="A1510" s="23"/>
      <c r="B1510" s="23" t="s">
        <v>311</v>
      </c>
      <c r="C1510" s="23"/>
      <c r="D1510" s="23"/>
      <c r="E1510" s="23" t="s">
        <v>301</v>
      </c>
      <c r="F1510" s="23"/>
    </row>
    <row r="1511" spans="1:6">
      <c r="B1511" t="s">
        <v>1605</v>
      </c>
      <c r="E1511" t="s">
        <v>1608</v>
      </c>
    </row>
    <row r="1512" spans="1:6">
      <c r="B1512" t="s">
        <v>1606</v>
      </c>
      <c r="E1512" t="s">
        <v>1609</v>
      </c>
      <c r="F1512" t="s">
        <v>553</v>
      </c>
    </row>
    <row r="1513" spans="1:6">
      <c r="B1513" t="s">
        <v>1607</v>
      </c>
      <c r="E1513" t="s">
        <v>1610</v>
      </c>
      <c r="F1513" t="s">
        <v>1611</v>
      </c>
    </row>
    <row r="1515" spans="1:6">
      <c r="A1515" s="23"/>
      <c r="B1515" s="23" t="s">
        <v>1613</v>
      </c>
      <c r="C1515" s="23"/>
      <c r="D1515" s="23"/>
      <c r="E1515" s="23"/>
    </row>
    <row r="1516" spans="1:6">
      <c r="A1516" s="23"/>
      <c r="B1516" s="23" t="s">
        <v>652</v>
      </c>
      <c r="C1516" s="23"/>
      <c r="D1516" s="23"/>
      <c r="E1516" s="23"/>
    </row>
    <row r="1517" spans="1:6">
      <c r="B1517" t="s">
        <v>3</v>
      </c>
      <c r="C1517">
        <v>7331</v>
      </c>
      <c r="D1517" t="s">
        <v>7</v>
      </c>
      <c r="E1517">
        <v>4318</v>
      </c>
    </row>
    <row r="1518" spans="1:6">
      <c r="B1518" t="s">
        <v>4</v>
      </c>
      <c r="C1518">
        <v>3362</v>
      </c>
      <c r="D1518" t="s">
        <v>10</v>
      </c>
      <c r="E1518">
        <v>2886</v>
      </c>
    </row>
    <row r="1519" spans="1:6">
      <c r="B1519" t="s">
        <v>5</v>
      </c>
      <c r="C1519">
        <v>601</v>
      </c>
      <c r="D1519" t="s">
        <v>12</v>
      </c>
      <c r="E1519">
        <v>1343</v>
      </c>
    </row>
    <row r="1520" spans="1:6">
      <c r="B1520" t="s">
        <v>1604</v>
      </c>
      <c r="C1520">
        <v>1298</v>
      </c>
    </row>
    <row r="1521" spans="1:10">
      <c r="B1521" t="s">
        <v>459</v>
      </c>
      <c r="C1521">
        <v>509</v>
      </c>
    </row>
    <row r="1522" spans="1:10">
      <c r="A1522" s="23"/>
      <c r="B1522" s="23" t="s">
        <v>761</v>
      </c>
      <c r="C1522" s="23"/>
      <c r="D1522" s="23"/>
      <c r="E1522" s="23">
        <v>21653</v>
      </c>
    </row>
    <row r="1523" spans="1:10">
      <c r="A1523" s="23"/>
      <c r="B1523" s="23" t="s">
        <v>51</v>
      </c>
      <c r="C1523" s="23"/>
      <c r="D1523" s="23" t="s">
        <v>311</v>
      </c>
      <c r="F1523" s="23"/>
      <c r="G1523" s="23" t="s">
        <v>7</v>
      </c>
      <c r="H1523" s="23" t="s">
        <v>10</v>
      </c>
    </row>
    <row r="1524" spans="1:10">
      <c r="B1524" t="s">
        <v>1614</v>
      </c>
      <c r="G1524" t="s">
        <v>1625</v>
      </c>
    </row>
    <row r="1525" spans="1:10">
      <c r="B1525" t="s">
        <v>1615</v>
      </c>
      <c r="G1525" t="s">
        <v>1626</v>
      </c>
    </row>
    <row r="1526" spans="1:10">
      <c r="B1526" t="s">
        <v>1616</v>
      </c>
      <c r="G1526" t="s">
        <v>1627</v>
      </c>
    </row>
    <row r="1527" spans="1:10">
      <c r="B1527" t="s">
        <v>1617</v>
      </c>
      <c r="G1527" t="s">
        <v>1628</v>
      </c>
    </row>
    <row r="1528" spans="1:10">
      <c r="B1528" t="s">
        <v>1618</v>
      </c>
      <c r="G1528" t="s">
        <v>1629</v>
      </c>
    </row>
    <row r="1529" spans="1:10">
      <c r="B1529" t="s">
        <v>1619</v>
      </c>
      <c r="G1529" t="s">
        <v>1630</v>
      </c>
    </row>
    <row r="1530" spans="1:10">
      <c r="B1530" t="s">
        <v>1620</v>
      </c>
      <c r="C1530">
        <v>2</v>
      </c>
      <c r="G1530" t="s">
        <v>1631</v>
      </c>
    </row>
    <row r="1531" spans="1:10">
      <c r="B1531" t="s">
        <v>3</v>
      </c>
      <c r="C1531">
        <v>2</v>
      </c>
      <c r="G1531" t="s">
        <v>1632</v>
      </c>
    </row>
    <row r="1532" spans="1:10">
      <c r="B1532" t="s">
        <v>5</v>
      </c>
      <c r="C1532">
        <v>1</v>
      </c>
      <c r="H1532" t="s">
        <v>1633</v>
      </c>
      <c r="I1532">
        <v>3</v>
      </c>
      <c r="J1532" t="s">
        <v>1111</v>
      </c>
    </row>
    <row r="1533" spans="1:10">
      <c r="B1533" t="s">
        <v>1621</v>
      </c>
      <c r="C1533" t="s">
        <v>1622</v>
      </c>
      <c r="D1533" t="s">
        <v>1371</v>
      </c>
      <c r="H1533" t="s">
        <v>1634</v>
      </c>
      <c r="I1533">
        <v>4</v>
      </c>
      <c r="J1533" t="s">
        <v>1111</v>
      </c>
    </row>
    <row r="1534" spans="1:10">
      <c r="C1534" t="s">
        <v>1520</v>
      </c>
      <c r="D1534" t="s">
        <v>1623</v>
      </c>
      <c r="G1534" t="s">
        <v>1635</v>
      </c>
      <c r="I1534">
        <v>2</v>
      </c>
      <c r="J1534" t="s">
        <v>1111</v>
      </c>
    </row>
    <row r="1535" spans="1:10">
      <c r="C1535" t="s">
        <v>400</v>
      </c>
      <c r="D1535" t="s">
        <v>308</v>
      </c>
      <c r="G1535" t="s">
        <v>963</v>
      </c>
    </row>
    <row r="1536" spans="1:10">
      <c r="B1536" t="s">
        <v>1624</v>
      </c>
      <c r="D1536" t="s">
        <v>308</v>
      </c>
      <c r="H1536" t="s">
        <v>1111</v>
      </c>
      <c r="I1536" t="s">
        <v>1636</v>
      </c>
    </row>
    <row r="1537" spans="1:9">
      <c r="H1537" t="s">
        <v>553</v>
      </c>
      <c r="I1537" t="s">
        <v>1371</v>
      </c>
    </row>
    <row r="1538" spans="1:9">
      <c r="G1538" t="s">
        <v>42</v>
      </c>
    </row>
    <row r="1539" spans="1:9">
      <c r="H1539" t="s">
        <v>1637</v>
      </c>
    </row>
    <row r="1540" spans="1:9">
      <c r="A1540" s="31"/>
      <c r="B1540" s="31" t="s">
        <v>1638</v>
      </c>
      <c r="C1540" s="31"/>
      <c r="D1540" s="31"/>
      <c r="E1540" s="31"/>
    </row>
    <row r="1541" spans="1:9">
      <c r="A1541" s="31"/>
      <c r="B1541" s="31" t="s">
        <v>652</v>
      </c>
      <c r="C1541" s="31"/>
      <c r="D1541" s="31"/>
      <c r="E1541" s="31"/>
    </row>
    <row r="1542" spans="1:9">
      <c r="B1542" t="s">
        <v>3</v>
      </c>
      <c r="C1542">
        <v>9025</v>
      </c>
      <c r="E1542" t="s">
        <v>7</v>
      </c>
      <c r="F1542">
        <v>4895</v>
      </c>
    </row>
    <row r="1543" spans="1:9">
      <c r="B1543" t="s">
        <v>4</v>
      </c>
      <c r="C1543">
        <v>3085</v>
      </c>
      <c r="E1543" t="s">
        <v>10</v>
      </c>
      <c r="F1543">
        <v>2648</v>
      </c>
    </row>
    <row r="1544" spans="1:9">
      <c r="B1544" t="s">
        <v>5</v>
      </c>
      <c r="C1544">
        <v>379</v>
      </c>
      <c r="E1544" t="s">
        <v>12</v>
      </c>
      <c r="F1544">
        <v>0</v>
      </c>
    </row>
    <row r="1545" spans="1:9">
      <c r="B1545" t="s">
        <v>1604</v>
      </c>
      <c r="C1545">
        <v>1492</v>
      </c>
    </row>
    <row r="1546" spans="1:9">
      <c r="B1546" t="s">
        <v>459</v>
      </c>
      <c r="C1546">
        <v>189</v>
      </c>
    </row>
    <row r="1547" spans="1:9">
      <c r="B1547" t="s">
        <v>1639</v>
      </c>
      <c r="C1547">
        <v>21937</v>
      </c>
    </row>
    <row r="1549" spans="1:9">
      <c r="A1549" s="31"/>
      <c r="B1549" s="31" t="s">
        <v>246</v>
      </c>
      <c r="C1549" s="31"/>
      <c r="D1549" s="31"/>
      <c r="E1549" s="31"/>
      <c r="F1549" s="31"/>
      <c r="G1549" s="31"/>
    </row>
    <row r="1550" spans="1:9">
      <c r="A1550" s="31"/>
      <c r="B1550" s="31" t="s">
        <v>311</v>
      </c>
      <c r="C1550" s="31"/>
      <c r="D1550" s="31"/>
      <c r="E1550" s="31"/>
      <c r="F1550" s="31" t="s">
        <v>301</v>
      </c>
      <c r="G1550" s="31"/>
    </row>
    <row r="1551" spans="1:9">
      <c r="A1551">
        <v>1</v>
      </c>
      <c r="B1551" t="s">
        <v>1449</v>
      </c>
      <c r="F1551" t="s">
        <v>1645</v>
      </c>
    </row>
    <row r="1552" spans="1:9">
      <c r="B1552" t="s">
        <v>1080</v>
      </c>
      <c r="F1552" t="s">
        <v>1646</v>
      </c>
    </row>
    <row r="1553" spans="1:9">
      <c r="B1553" t="s">
        <v>1640</v>
      </c>
      <c r="F1553" t="s">
        <v>911</v>
      </c>
    </row>
    <row r="1554" spans="1:9">
      <c r="A1554">
        <v>2</v>
      </c>
      <c r="B1554" t="s">
        <v>111</v>
      </c>
      <c r="F1554" t="s">
        <v>1647</v>
      </c>
    </row>
    <row r="1555" spans="1:9">
      <c r="B1555" t="s">
        <v>1641</v>
      </c>
      <c r="C1555">
        <v>1</v>
      </c>
      <c r="F1555" t="s">
        <v>1648</v>
      </c>
    </row>
    <row r="1556" spans="1:9">
      <c r="B1556" t="s">
        <v>1219</v>
      </c>
      <c r="C1556">
        <v>2</v>
      </c>
      <c r="I1556" t="s">
        <v>1649</v>
      </c>
    </row>
    <row r="1557" spans="1:9">
      <c r="B1557" t="s">
        <v>1642</v>
      </c>
      <c r="C1557">
        <v>1</v>
      </c>
      <c r="F1557" t="s">
        <v>1650</v>
      </c>
    </row>
    <row r="1558" spans="1:9">
      <c r="A1558">
        <v>3</v>
      </c>
      <c r="B1558" t="s">
        <v>1643</v>
      </c>
      <c r="H1558" t="s">
        <v>1651</v>
      </c>
    </row>
    <row r="1559" spans="1:9">
      <c r="A1559">
        <v>4</v>
      </c>
      <c r="B1559" t="s">
        <v>1644</v>
      </c>
      <c r="F1559" t="s">
        <v>1652</v>
      </c>
    </row>
    <row r="1560" spans="1:9">
      <c r="B1560" t="s">
        <v>1520</v>
      </c>
      <c r="C1560">
        <v>4</v>
      </c>
      <c r="F1560" t="s">
        <v>1653</v>
      </c>
    </row>
    <row r="1561" spans="1:9">
      <c r="B1561" t="s">
        <v>400</v>
      </c>
      <c r="C1561">
        <v>3</v>
      </c>
      <c r="F1561" t="s">
        <v>1654</v>
      </c>
    </row>
    <row r="1562" spans="1:9">
      <c r="B1562" t="s">
        <v>1219</v>
      </c>
      <c r="C1562">
        <v>2</v>
      </c>
      <c r="F1562" t="s">
        <v>1655</v>
      </c>
    </row>
    <row r="1563" spans="1:9">
      <c r="F1563" t="s">
        <v>1656</v>
      </c>
    </row>
    <row r="1564" spans="1:9">
      <c r="F1564" t="s">
        <v>178</v>
      </c>
    </row>
    <row r="1566" spans="1:9">
      <c r="A1566" s="31"/>
      <c r="B1566" s="31" t="s">
        <v>1657</v>
      </c>
      <c r="C1566" s="31"/>
      <c r="D1566" s="31"/>
      <c r="E1566" s="31"/>
    </row>
    <row r="1567" spans="1:9">
      <c r="A1567">
        <v>1</v>
      </c>
      <c r="B1567" t="s">
        <v>652</v>
      </c>
      <c r="E1567" s="31"/>
    </row>
    <row r="1568" spans="1:9">
      <c r="B1568" s="31" t="s">
        <v>3</v>
      </c>
      <c r="C1568">
        <v>8366</v>
      </c>
      <c r="E1568" s="31" t="s">
        <v>7</v>
      </c>
      <c r="F1568">
        <v>4578</v>
      </c>
    </row>
    <row r="1569" spans="1:7">
      <c r="B1569" s="31" t="s">
        <v>4</v>
      </c>
      <c r="C1569">
        <v>3113</v>
      </c>
      <c r="E1569" s="31" t="s">
        <v>10</v>
      </c>
      <c r="F1569">
        <v>2644</v>
      </c>
    </row>
    <row r="1570" spans="1:7">
      <c r="B1570" s="31" t="s">
        <v>5</v>
      </c>
      <c r="C1570">
        <v>390</v>
      </c>
      <c r="E1570" s="31" t="s">
        <v>12</v>
      </c>
      <c r="F1570">
        <v>0</v>
      </c>
    </row>
    <row r="1571" spans="1:7">
      <c r="B1571" s="31" t="s">
        <v>1604</v>
      </c>
      <c r="C1571">
        <v>1250</v>
      </c>
      <c r="E1571" s="31"/>
    </row>
    <row r="1572" spans="1:7">
      <c r="B1572" s="31" t="s">
        <v>459</v>
      </c>
      <c r="C1572">
        <v>21173</v>
      </c>
    </row>
    <row r="1573" spans="1:7">
      <c r="B1573" t="s">
        <v>1016</v>
      </c>
      <c r="D1573">
        <v>21173</v>
      </c>
    </row>
    <row r="1574" spans="1:7">
      <c r="A1574" s="31">
        <v>2</v>
      </c>
      <c r="B1574" s="31" t="s">
        <v>65</v>
      </c>
      <c r="C1574" s="31"/>
      <c r="D1574" s="31"/>
      <c r="E1574" s="31"/>
      <c r="F1574" s="31" t="s">
        <v>301</v>
      </c>
      <c r="G1574" s="31"/>
    </row>
    <row r="1575" spans="1:7">
      <c r="B1575" t="s">
        <v>1658</v>
      </c>
      <c r="F1575" t="s">
        <v>191</v>
      </c>
      <c r="G1575" t="s">
        <v>553</v>
      </c>
    </row>
    <row r="1576" spans="1:7">
      <c r="B1576" t="s">
        <v>1659</v>
      </c>
      <c r="C1576" t="s">
        <v>1661</v>
      </c>
      <c r="D1576" t="s">
        <v>1520</v>
      </c>
      <c r="F1576" t="s">
        <v>1665</v>
      </c>
      <c r="G1576" t="s">
        <v>1111</v>
      </c>
    </row>
    <row r="1577" spans="1:7">
      <c r="B1577" t="s">
        <v>1660</v>
      </c>
      <c r="C1577" t="s">
        <v>1445</v>
      </c>
      <c r="F1577" t="s">
        <v>1533</v>
      </c>
      <c r="G1577" t="s">
        <v>1666</v>
      </c>
    </row>
    <row r="1578" spans="1:7">
      <c r="B1578" t="s">
        <v>1662</v>
      </c>
      <c r="C1578" t="s">
        <v>385</v>
      </c>
      <c r="F1578" t="s">
        <v>1667</v>
      </c>
    </row>
    <row r="1579" spans="1:7">
      <c r="B1579" t="s">
        <v>1521</v>
      </c>
      <c r="C1579" t="s">
        <v>387</v>
      </c>
      <c r="F1579" t="s">
        <v>1668</v>
      </c>
    </row>
    <row r="1580" spans="1:7">
      <c r="B1580" t="s">
        <v>1640</v>
      </c>
      <c r="F1580" t="s">
        <v>1669</v>
      </c>
    </row>
    <row r="1581" spans="1:7">
      <c r="A1581">
        <v>3</v>
      </c>
      <c r="B1581" t="s">
        <v>1663</v>
      </c>
      <c r="F1581" t="s">
        <v>1670</v>
      </c>
    </row>
    <row r="1582" spans="1:7">
      <c r="A1582">
        <v>4</v>
      </c>
      <c r="B1582" t="s">
        <v>1664</v>
      </c>
      <c r="F1582" t="s">
        <v>1671</v>
      </c>
    </row>
    <row r="1584" spans="1:7">
      <c r="A1584" s="31"/>
      <c r="B1584" s="31" t="s">
        <v>1672</v>
      </c>
      <c r="C1584" s="31"/>
      <c r="D1584" s="31"/>
      <c r="E1584" s="31"/>
    </row>
    <row r="1585" spans="1:6">
      <c r="B1585" t="s">
        <v>652</v>
      </c>
    </row>
    <row r="1586" spans="1:6">
      <c r="B1586" t="s">
        <v>3</v>
      </c>
      <c r="C1586">
        <v>8169</v>
      </c>
      <c r="E1586" t="s">
        <v>7</v>
      </c>
      <c r="F1586">
        <v>4479</v>
      </c>
    </row>
    <row r="1587" spans="1:6">
      <c r="B1587" t="s">
        <v>4</v>
      </c>
      <c r="C1587">
        <v>3384</v>
      </c>
      <c r="E1587" t="s">
        <v>10</v>
      </c>
      <c r="F1587">
        <v>2962</v>
      </c>
    </row>
    <row r="1588" spans="1:6">
      <c r="B1588" t="s">
        <v>5</v>
      </c>
      <c r="C1588">
        <v>382</v>
      </c>
      <c r="E1588" t="s">
        <v>12</v>
      </c>
      <c r="F1588">
        <v>1592</v>
      </c>
    </row>
    <row r="1589" spans="1:6">
      <c r="B1589" t="s">
        <v>1604</v>
      </c>
      <c r="C1589">
        <v>1403</v>
      </c>
    </row>
    <row r="1590" spans="1:6">
      <c r="B1590" t="s">
        <v>459</v>
      </c>
      <c r="C1590">
        <v>188</v>
      </c>
    </row>
    <row r="1592" spans="1:6">
      <c r="B1592" s="102" t="s">
        <v>1016</v>
      </c>
      <c r="D1592">
        <v>22559</v>
      </c>
    </row>
    <row r="1594" spans="1:6">
      <c r="A1594" s="31"/>
      <c r="B1594" s="31" t="s">
        <v>1673</v>
      </c>
      <c r="C1594" s="31"/>
      <c r="D1594" s="31"/>
      <c r="E1594" s="31"/>
      <c r="F1594" s="31"/>
    </row>
    <row r="1595" spans="1:6">
      <c r="B1595" s="31" t="s">
        <v>3</v>
      </c>
      <c r="C1595">
        <v>8687</v>
      </c>
      <c r="E1595" s="31" t="s">
        <v>7</v>
      </c>
      <c r="F1595">
        <v>4979</v>
      </c>
    </row>
    <row r="1596" spans="1:6">
      <c r="B1596" s="31" t="s">
        <v>4</v>
      </c>
      <c r="C1596">
        <v>3442</v>
      </c>
      <c r="E1596" s="31" t="s">
        <v>10</v>
      </c>
      <c r="F1596">
        <v>2919</v>
      </c>
    </row>
    <row r="1597" spans="1:6">
      <c r="B1597" s="31" t="s">
        <v>5</v>
      </c>
      <c r="C1597">
        <v>367</v>
      </c>
      <c r="E1597" s="31" t="s">
        <v>12</v>
      </c>
      <c r="F1597">
        <v>710</v>
      </c>
    </row>
    <row r="1598" spans="1:6">
      <c r="B1598" s="31" t="s">
        <v>1604</v>
      </c>
      <c r="C1598">
        <v>1342</v>
      </c>
    </row>
    <row r="1599" spans="1:6">
      <c r="B1599" s="31" t="s">
        <v>459</v>
      </c>
      <c r="C1599">
        <v>201</v>
      </c>
    </row>
    <row r="1600" spans="1:6">
      <c r="B1600" t="s">
        <v>1016</v>
      </c>
      <c r="D1600">
        <v>22647</v>
      </c>
    </row>
    <row r="1601" spans="1:12">
      <c r="B1601" s="31" t="s">
        <v>65</v>
      </c>
      <c r="F1601" s="31"/>
      <c r="G1601" s="31" t="s">
        <v>301</v>
      </c>
      <c r="H1601" s="31"/>
    </row>
    <row r="1602" spans="1:12">
      <c r="A1602">
        <v>1</v>
      </c>
      <c r="B1602" s="31" t="s">
        <v>51</v>
      </c>
      <c r="G1602" s="103" t="s">
        <v>1682</v>
      </c>
    </row>
    <row r="1603" spans="1:12">
      <c r="B1603" s="31" t="s">
        <v>311</v>
      </c>
      <c r="G1603" s="103" t="s">
        <v>1683</v>
      </c>
    </row>
    <row r="1604" spans="1:12">
      <c r="B1604" s="16" t="s">
        <v>1521</v>
      </c>
      <c r="C1604" s="103" t="s">
        <v>1674</v>
      </c>
      <c r="D1604" s="103" t="s">
        <v>1520</v>
      </c>
      <c r="G1604" s="103" t="s">
        <v>326</v>
      </c>
    </row>
    <row r="1605" spans="1:12">
      <c r="B1605" s="103" t="s">
        <v>1675</v>
      </c>
      <c r="D1605" s="103" t="s">
        <v>1520</v>
      </c>
      <c r="H1605" s="103" t="s">
        <v>553</v>
      </c>
      <c r="I1605" s="103" t="s">
        <v>308</v>
      </c>
    </row>
    <row r="1606" spans="1:12">
      <c r="B1606" s="103" t="s">
        <v>1676</v>
      </c>
      <c r="H1606" s="103" t="s">
        <v>1111</v>
      </c>
      <c r="I1606" s="103" t="s">
        <v>308</v>
      </c>
    </row>
    <row r="1607" spans="1:12">
      <c r="B1607" s="103" t="s">
        <v>1677</v>
      </c>
      <c r="C1607" s="103" t="s">
        <v>1219</v>
      </c>
      <c r="G1607" s="103" t="s">
        <v>1684</v>
      </c>
      <c r="L1607" s="103" t="s">
        <v>308</v>
      </c>
    </row>
    <row r="1608" spans="1:12">
      <c r="A1608">
        <v>2</v>
      </c>
      <c r="B1608" s="103" t="s">
        <v>246</v>
      </c>
    </row>
    <row r="1609" spans="1:12">
      <c r="B1609" s="103" t="s">
        <v>1678</v>
      </c>
    </row>
    <row r="1610" spans="1:12">
      <c r="A1610">
        <v>3</v>
      </c>
      <c r="B1610" s="103" t="s">
        <v>1679</v>
      </c>
    </row>
    <row r="1611" spans="1:12">
      <c r="C1611" s="103" t="s">
        <v>1680</v>
      </c>
    </row>
    <row r="1612" spans="1:12">
      <c r="C1612" s="103" t="s">
        <v>1681</v>
      </c>
    </row>
    <row r="1613" spans="1:12">
      <c r="A1613">
        <v>4</v>
      </c>
      <c r="B1613" s="103" t="s">
        <v>42</v>
      </c>
      <c r="D1613" s="103" t="s">
        <v>308</v>
      </c>
    </row>
    <row r="1614" spans="1:12">
      <c r="D1614" s="103"/>
    </row>
    <row r="1615" spans="1:12">
      <c r="A1615" s="31"/>
      <c r="B1615" s="31" t="s">
        <v>1685</v>
      </c>
      <c r="C1615" s="31"/>
      <c r="D1615" s="31"/>
      <c r="E1615" s="31"/>
    </row>
    <row r="1616" spans="1:12">
      <c r="A1616">
        <v>1</v>
      </c>
      <c r="B1616" s="103" t="s">
        <v>652</v>
      </c>
      <c r="E1616" s="31"/>
    </row>
    <row r="1617" spans="1:8">
      <c r="B1617" s="31" t="s">
        <v>3</v>
      </c>
      <c r="C1617">
        <v>7823</v>
      </c>
      <c r="E1617" s="31" t="s">
        <v>7</v>
      </c>
      <c r="F1617">
        <v>4398</v>
      </c>
    </row>
    <row r="1618" spans="1:8">
      <c r="B1618" s="31" t="s">
        <v>4</v>
      </c>
      <c r="C1618">
        <v>3540</v>
      </c>
      <c r="E1618" s="31" t="s">
        <v>10</v>
      </c>
      <c r="F1618">
        <v>2683</v>
      </c>
    </row>
    <row r="1619" spans="1:8">
      <c r="B1619" s="31" t="s">
        <v>5</v>
      </c>
      <c r="C1619">
        <v>296</v>
      </c>
      <c r="E1619" s="31" t="s">
        <v>12</v>
      </c>
      <c r="F1619">
        <v>311</v>
      </c>
    </row>
    <row r="1620" spans="1:8">
      <c r="B1620" s="31" t="s">
        <v>1604</v>
      </c>
      <c r="C1620">
        <v>1132</v>
      </c>
    </row>
    <row r="1621" spans="1:8">
      <c r="B1621" s="31" t="s">
        <v>459</v>
      </c>
      <c r="C1621">
        <v>519</v>
      </c>
    </row>
    <row r="1622" spans="1:8">
      <c r="B1622" s="103" t="s">
        <v>1686</v>
      </c>
      <c r="D1622">
        <v>20656</v>
      </c>
    </row>
    <row r="1623" spans="1:8">
      <c r="B1623" s="103" t="s">
        <v>1687</v>
      </c>
    </row>
    <row r="1624" spans="1:8">
      <c r="A1624" s="31"/>
      <c r="B1624" s="31" t="s">
        <v>300</v>
      </c>
      <c r="E1624" s="31"/>
      <c r="F1624" s="31" t="s">
        <v>301</v>
      </c>
      <c r="G1624" s="31"/>
    </row>
    <row r="1625" spans="1:8">
      <c r="A1625">
        <v>2</v>
      </c>
      <c r="B1625" s="103" t="s">
        <v>51</v>
      </c>
      <c r="E1625">
        <v>1</v>
      </c>
      <c r="F1625" s="103" t="s">
        <v>51</v>
      </c>
      <c r="G1625" s="103"/>
    </row>
    <row r="1626" spans="1:8">
      <c r="B1626" s="103" t="s">
        <v>1688</v>
      </c>
      <c r="D1626" s="103" t="s">
        <v>1689</v>
      </c>
      <c r="F1626" s="103" t="s">
        <v>1700</v>
      </c>
      <c r="G1626" s="103" t="s">
        <v>553</v>
      </c>
    </row>
    <row r="1627" spans="1:8">
      <c r="D1627" s="103" t="s">
        <v>1690</v>
      </c>
      <c r="F1627" s="103" t="s">
        <v>800</v>
      </c>
      <c r="G1627" s="103" t="s">
        <v>553</v>
      </c>
    </row>
    <row r="1628" spans="1:8">
      <c r="D1628" s="103" t="s">
        <v>1691</v>
      </c>
      <c r="F1628" s="103" t="s">
        <v>190</v>
      </c>
      <c r="G1628" s="103" t="s">
        <v>1111</v>
      </c>
    </row>
    <row r="1629" spans="1:8">
      <c r="B1629" s="103" t="s">
        <v>1692</v>
      </c>
      <c r="E1629">
        <v>2</v>
      </c>
      <c r="F1629" s="103" t="s">
        <v>1701</v>
      </c>
    </row>
    <row r="1630" spans="1:8">
      <c r="B1630" s="103" t="s">
        <v>1504</v>
      </c>
      <c r="F1630" s="103" t="s">
        <v>1702</v>
      </c>
    </row>
    <row r="1631" spans="1:8">
      <c r="B1631" s="103" t="s">
        <v>1693</v>
      </c>
      <c r="F1631" s="103" t="s">
        <v>204</v>
      </c>
    </row>
    <row r="1632" spans="1:8">
      <c r="A1632">
        <v>3</v>
      </c>
      <c r="B1632" s="103" t="s">
        <v>1694</v>
      </c>
      <c r="E1632">
        <v>3</v>
      </c>
      <c r="F1632" s="103" t="s">
        <v>963</v>
      </c>
      <c r="H1632" s="103" t="s">
        <v>1637</v>
      </c>
    </row>
    <row r="1633" spans="1:7">
      <c r="B1633" s="103" t="s">
        <v>1520</v>
      </c>
      <c r="C1633">
        <v>1</v>
      </c>
      <c r="E1633">
        <v>4</v>
      </c>
      <c r="F1633" s="103" t="s">
        <v>1703</v>
      </c>
    </row>
    <row r="1634" spans="1:7">
      <c r="B1634" s="103" t="s">
        <v>1641</v>
      </c>
      <c r="C1634">
        <v>2</v>
      </c>
      <c r="E1634">
        <v>5</v>
      </c>
      <c r="F1634" s="103" t="s">
        <v>1704</v>
      </c>
    </row>
    <row r="1635" spans="1:7">
      <c r="B1635" s="103" t="s">
        <v>1695</v>
      </c>
      <c r="C1635">
        <v>1</v>
      </c>
      <c r="E1635">
        <v>6</v>
      </c>
      <c r="F1635" s="103" t="s">
        <v>1705</v>
      </c>
    </row>
    <row r="1636" spans="1:7">
      <c r="A1636">
        <v>4</v>
      </c>
      <c r="B1636" s="103" t="s">
        <v>1621</v>
      </c>
      <c r="G1636" s="103" t="s">
        <v>1707</v>
      </c>
    </row>
    <row r="1637" spans="1:7">
      <c r="B1637" s="103" t="s">
        <v>1695</v>
      </c>
      <c r="C1637" s="103" t="s">
        <v>308</v>
      </c>
      <c r="G1637" s="103" t="s">
        <v>1706</v>
      </c>
    </row>
    <row r="1638" spans="1:7">
      <c r="B1638" s="103" t="s">
        <v>400</v>
      </c>
      <c r="C1638">
        <v>2</v>
      </c>
    </row>
    <row r="1639" spans="1:7">
      <c r="B1639" s="103" t="s">
        <v>1219</v>
      </c>
      <c r="C1639">
        <v>2</v>
      </c>
    </row>
    <row r="1640" spans="1:7">
      <c r="A1640">
        <v>5</v>
      </c>
      <c r="B1640" s="103" t="s">
        <v>1696</v>
      </c>
    </row>
    <row r="1641" spans="1:7">
      <c r="B1641" s="103" t="s">
        <v>1697</v>
      </c>
    </row>
    <row r="1642" spans="1:7">
      <c r="B1642" s="103" t="s">
        <v>1698</v>
      </c>
    </row>
    <row r="1643" spans="1:7">
      <c r="A1643">
        <v>6</v>
      </c>
      <c r="B1643" s="103" t="s">
        <v>1699</v>
      </c>
    </row>
    <row r="1645" spans="1:7">
      <c r="A1645" s="31"/>
      <c r="B1645" s="31" t="s">
        <v>1708</v>
      </c>
      <c r="C1645" s="31"/>
      <c r="D1645" s="31"/>
      <c r="E1645" s="31"/>
    </row>
    <row r="1646" spans="1:7">
      <c r="A1646" s="31">
        <v>1</v>
      </c>
      <c r="B1646" s="31" t="s">
        <v>652</v>
      </c>
      <c r="C1646" s="31"/>
      <c r="D1646" s="31"/>
      <c r="E1646" s="31"/>
    </row>
    <row r="1647" spans="1:7">
      <c r="B1647" s="31" t="s">
        <v>3</v>
      </c>
      <c r="C1647">
        <v>5099</v>
      </c>
      <c r="D1647" s="31"/>
      <c r="E1647" s="31" t="s">
        <v>7</v>
      </c>
      <c r="F1647">
        <v>3709</v>
      </c>
    </row>
    <row r="1648" spans="1:7">
      <c r="B1648" s="31" t="s">
        <v>4</v>
      </c>
      <c r="C1648">
        <v>2985</v>
      </c>
      <c r="D1648" s="31"/>
      <c r="E1648" s="31" t="s">
        <v>10</v>
      </c>
      <c r="F1648">
        <v>2809</v>
      </c>
    </row>
    <row r="1649" spans="1:9">
      <c r="B1649" s="31" t="s">
        <v>5</v>
      </c>
      <c r="C1649">
        <v>287</v>
      </c>
      <c r="D1649" s="31"/>
      <c r="E1649" s="31" t="s">
        <v>12</v>
      </c>
      <c r="F1649">
        <v>0</v>
      </c>
    </row>
    <row r="1650" spans="1:9">
      <c r="B1650" s="31" t="s">
        <v>1604</v>
      </c>
      <c r="C1650">
        <v>1420</v>
      </c>
    </row>
    <row r="1651" spans="1:9">
      <c r="B1651" s="31" t="s">
        <v>459</v>
      </c>
      <c r="C1651">
        <v>726</v>
      </c>
    </row>
    <row r="1652" spans="1:9">
      <c r="B1652" s="104" t="s">
        <v>1016</v>
      </c>
      <c r="D1652">
        <v>18708</v>
      </c>
    </row>
    <row r="1653" spans="1:9">
      <c r="A1653" s="31">
        <v>2</v>
      </c>
      <c r="B1653" s="31" t="s">
        <v>51</v>
      </c>
      <c r="C1653" s="31"/>
      <c r="F1653" s="31"/>
      <c r="G1653" s="31" t="s">
        <v>301</v>
      </c>
      <c r="H1653" s="31"/>
    </row>
    <row r="1654" spans="1:9">
      <c r="A1654" s="31"/>
      <c r="B1654" s="31" t="s">
        <v>311</v>
      </c>
      <c r="C1654" s="31"/>
      <c r="G1654" t="s">
        <v>1717</v>
      </c>
    </row>
    <row r="1655" spans="1:9">
      <c r="B1655" s="104" t="s">
        <v>1709</v>
      </c>
      <c r="C1655" t="s">
        <v>1520</v>
      </c>
      <c r="G1655" t="s">
        <v>1718</v>
      </c>
    </row>
    <row r="1656" spans="1:9">
      <c r="B1656" s="104" t="s">
        <v>1521</v>
      </c>
      <c r="C1656" t="s">
        <v>385</v>
      </c>
      <c r="G1656" t="s">
        <v>65</v>
      </c>
    </row>
    <row r="1657" spans="1:9">
      <c r="B1657" s="104" t="s">
        <v>1710</v>
      </c>
      <c r="C1657" t="s">
        <v>1219</v>
      </c>
      <c r="G1657" t="s">
        <v>1719</v>
      </c>
    </row>
    <row r="1658" spans="1:9">
      <c r="B1658" s="104" t="s">
        <v>1711</v>
      </c>
      <c r="C1658" t="s">
        <v>1641</v>
      </c>
      <c r="H1658" t="s">
        <v>553</v>
      </c>
      <c r="I1658" t="s">
        <v>308</v>
      </c>
    </row>
    <row r="1659" spans="1:9">
      <c r="B1659" s="104" t="s">
        <v>1521</v>
      </c>
      <c r="C1659" t="s">
        <v>400</v>
      </c>
      <c r="H1659" t="s">
        <v>1111</v>
      </c>
      <c r="I1659" t="s">
        <v>121</v>
      </c>
    </row>
    <row r="1660" spans="1:9">
      <c r="A1660" s="31">
        <v>3</v>
      </c>
      <c r="B1660" s="31" t="s">
        <v>65</v>
      </c>
      <c r="C1660" s="31"/>
      <c r="G1660" t="s">
        <v>1720</v>
      </c>
    </row>
    <row r="1661" spans="1:9">
      <c r="B1661" s="104" t="s">
        <v>1712</v>
      </c>
      <c r="G1661" t="s">
        <v>1721</v>
      </c>
    </row>
    <row r="1662" spans="1:9">
      <c r="B1662" s="104" t="s">
        <v>1713</v>
      </c>
      <c r="I1662" t="s">
        <v>178</v>
      </c>
    </row>
    <row r="1663" spans="1:9">
      <c r="B1663" s="104" t="s">
        <v>1714</v>
      </c>
      <c r="I1663" t="s">
        <v>1722</v>
      </c>
    </row>
    <row r="1664" spans="1:9">
      <c r="C1664" t="s">
        <v>1715</v>
      </c>
      <c r="G1664" t="s">
        <v>326</v>
      </c>
    </row>
    <row r="1665" spans="1:9">
      <c r="B1665" s="104" t="s">
        <v>1716</v>
      </c>
      <c r="H1665" t="s">
        <v>1723</v>
      </c>
    </row>
    <row r="1666" spans="1:9">
      <c r="H1666" t="s">
        <v>1724</v>
      </c>
    </row>
    <row r="1667" spans="1:9">
      <c r="G1667" t="s">
        <v>1725</v>
      </c>
    </row>
    <row r="1668" spans="1:9">
      <c r="H1668" t="s">
        <v>1722</v>
      </c>
    </row>
    <row r="1669" spans="1:9">
      <c r="H1669" t="s">
        <v>1726</v>
      </c>
    </row>
    <row r="1671" spans="1:9">
      <c r="A1671" s="23"/>
      <c r="B1671" s="23" t="s">
        <v>218</v>
      </c>
      <c r="C1671" s="23"/>
      <c r="D1671" s="23" t="s">
        <v>1729</v>
      </c>
      <c r="E1671" s="23"/>
      <c r="F1671" s="23"/>
    </row>
    <row r="1672" spans="1:9">
      <c r="A1672">
        <v>1</v>
      </c>
      <c r="B1672" t="s">
        <v>652</v>
      </c>
      <c r="E1672" s="23"/>
    </row>
    <row r="1673" spans="1:9">
      <c r="B1673" s="23" t="s">
        <v>3</v>
      </c>
      <c r="C1673">
        <v>6485</v>
      </c>
      <c r="E1673" s="23" t="s">
        <v>7</v>
      </c>
      <c r="F1673">
        <v>3864</v>
      </c>
    </row>
    <row r="1674" spans="1:9">
      <c r="B1674" s="23" t="s">
        <v>4</v>
      </c>
      <c r="C1674">
        <v>2776</v>
      </c>
      <c r="E1674" s="23" t="s">
        <v>10</v>
      </c>
      <c r="F1674">
        <v>2853</v>
      </c>
    </row>
    <row r="1675" spans="1:9">
      <c r="B1675" s="23" t="s">
        <v>5</v>
      </c>
      <c r="C1675">
        <v>349</v>
      </c>
      <c r="E1675" s="23" t="s">
        <v>12</v>
      </c>
      <c r="F1675">
        <v>0</v>
      </c>
    </row>
    <row r="1676" spans="1:9">
      <c r="B1676" s="23" t="s">
        <v>1604</v>
      </c>
      <c r="C1676">
        <v>999</v>
      </c>
      <c r="E1676" s="23"/>
    </row>
    <row r="1677" spans="1:9">
      <c r="B1677" s="23" t="s">
        <v>459</v>
      </c>
      <c r="C1677">
        <v>619</v>
      </c>
    </row>
    <row r="1678" spans="1:9">
      <c r="B1678" t="s">
        <v>1727</v>
      </c>
      <c r="C1678" t="s">
        <v>1728</v>
      </c>
      <c r="D1678">
        <v>17945</v>
      </c>
    </row>
    <row r="1679" spans="1:9">
      <c r="A1679" s="23">
        <v>2</v>
      </c>
      <c r="B1679" s="23" t="s">
        <v>1730</v>
      </c>
      <c r="C1679" s="23"/>
      <c r="D1679" s="23"/>
      <c r="E1679" s="23"/>
      <c r="F1679" s="23"/>
      <c r="G1679" s="23"/>
      <c r="H1679" s="23"/>
      <c r="I1679" s="23"/>
    </row>
    <row r="1680" spans="1:9">
      <c r="A1680" s="23"/>
      <c r="B1680" s="23" t="s">
        <v>311</v>
      </c>
      <c r="C1680" s="23"/>
      <c r="D1680" s="23"/>
      <c r="E1680" s="23"/>
      <c r="F1680" s="23"/>
      <c r="G1680" s="23"/>
      <c r="H1680" s="23" t="s">
        <v>301</v>
      </c>
      <c r="I1680" s="23"/>
    </row>
    <row r="1681" spans="1:9">
      <c r="B1681" s="105" t="s">
        <v>1731</v>
      </c>
      <c r="C1681" s="105" t="s">
        <v>1219</v>
      </c>
      <c r="E1681" s="105"/>
      <c r="F1681" s="105"/>
      <c r="H1681" s="105" t="s">
        <v>1732</v>
      </c>
      <c r="I1681" s="105" t="s">
        <v>1733</v>
      </c>
    </row>
    <row r="1682" spans="1:9">
      <c r="B1682" s="105" t="s">
        <v>1521</v>
      </c>
      <c r="C1682" s="105" t="s">
        <v>1520</v>
      </c>
      <c r="H1682" s="105" t="s">
        <v>1740</v>
      </c>
      <c r="I1682" s="105" t="s">
        <v>1111</v>
      </c>
    </row>
    <row r="1683" spans="1:9">
      <c r="B1683" s="105" t="s">
        <v>1521</v>
      </c>
      <c r="C1683" s="105" t="s">
        <v>177</v>
      </c>
    </row>
    <row r="1684" spans="1:9">
      <c r="A1684">
        <v>3</v>
      </c>
      <c r="B1684" s="105" t="s">
        <v>65</v>
      </c>
      <c r="H1684" s="105" t="s">
        <v>65</v>
      </c>
    </row>
    <row r="1685" spans="1:9">
      <c r="B1685" s="105" t="s">
        <v>1734</v>
      </c>
      <c r="H1685" s="105" t="s">
        <v>1741</v>
      </c>
    </row>
    <row r="1686" spans="1:9">
      <c r="B1686" s="105" t="s">
        <v>1530</v>
      </c>
      <c r="C1686" s="105" t="s">
        <v>1735</v>
      </c>
      <c r="I1686" s="105" t="s">
        <v>178</v>
      </c>
    </row>
    <row r="1687" spans="1:9">
      <c r="C1687" s="105" t="s">
        <v>177</v>
      </c>
      <c r="I1687" s="105" t="s">
        <v>204</v>
      </c>
    </row>
    <row r="1688" spans="1:9">
      <c r="B1688" s="105" t="s">
        <v>1736</v>
      </c>
      <c r="H1688" s="105" t="s">
        <v>1144</v>
      </c>
    </row>
    <row r="1689" spans="1:9">
      <c r="E1689" s="105" t="s">
        <v>1737</v>
      </c>
      <c r="H1689" s="105" t="s">
        <v>1742</v>
      </c>
    </row>
    <row r="1690" spans="1:9">
      <c r="B1690" s="105" t="s">
        <v>1738</v>
      </c>
      <c r="H1690" s="105" t="s">
        <v>1743</v>
      </c>
    </row>
    <row r="1691" spans="1:9">
      <c r="B1691" s="105" t="s">
        <v>1739</v>
      </c>
    </row>
    <row r="1693" spans="1:9">
      <c r="B1693" s="31" t="s">
        <v>1744</v>
      </c>
      <c r="C1693" s="31"/>
      <c r="D1693" s="31"/>
      <c r="F1693" s="23"/>
    </row>
    <row r="1694" spans="1:9">
      <c r="B1694" s="31" t="s">
        <v>652</v>
      </c>
      <c r="C1694" s="31"/>
      <c r="D1694" s="31"/>
    </row>
    <row r="1695" spans="1:9">
      <c r="B1695" s="31" t="s">
        <v>3</v>
      </c>
      <c r="C1695">
        <v>6434</v>
      </c>
      <c r="D1695" s="31" t="s">
        <v>7</v>
      </c>
      <c r="E1695">
        <v>4694</v>
      </c>
    </row>
    <row r="1696" spans="1:9">
      <c r="B1696" s="31" t="s">
        <v>4</v>
      </c>
      <c r="C1696">
        <v>2947</v>
      </c>
      <c r="D1696" s="31" t="s">
        <v>10</v>
      </c>
      <c r="E1696">
        <v>2453</v>
      </c>
    </row>
    <row r="1697" spans="1:10">
      <c r="B1697" s="31" t="s">
        <v>5</v>
      </c>
      <c r="C1697">
        <v>329</v>
      </c>
      <c r="D1697" s="31" t="s">
        <v>12</v>
      </c>
      <c r="E1697">
        <v>0</v>
      </c>
    </row>
    <row r="1698" spans="1:10">
      <c r="B1698" s="31" t="s">
        <v>1604</v>
      </c>
      <c r="C1698">
        <v>1357</v>
      </c>
      <c r="D1698" s="31"/>
    </row>
    <row r="1699" spans="1:10">
      <c r="B1699" s="31" t="s">
        <v>459</v>
      </c>
      <c r="C1699">
        <v>871</v>
      </c>
      <c r="D1699" s="31"/>
    </row>
    <row r="1700" spans="1:10">
      <c r="B1700" s="106" t="s">
        <v>1016</v>
      </c>
      <c r="D1700">
        <v>19155</v>
      </c>
    </row>
    <row r="1702" spans="1:10">
      <c r="B1702" s="106" t="s">
        <v>51</v>
      </c>
    </row>
    <row r="1703" spans="1:10">
      <c r="B1703" s="106" t="s">
        <v>311</v>
      </c>
      <c r="E1703" s="106" t="s">
        <v>301</v>
      </c>
    </row>
    <row r="1704" spans="1:10">
      <c r="B1704" s="106" t="s">
        <v>1700</v>
      </c>
      <c r="C1704" t="s">
        <v>1745</v>
      </c>
      <c r="E1704" s="106" t="s">
        <v>191</v>
      </c>
      <c r="F1704" s="106" t="s">
        <v>1666</v>
      </c>
    </row>
    <row r="1705" spans="1:10">
      <c r="B1705" s="106" t="s">
        <v>190</v>
      </c>
      <c r="C1705" t="s">
        <v>1520</v>
      </c>
      <c r="E1705" s="106" t="s">
        <v>1521</v>
      </c>
      <c r="F1705" s="106" t="s">
        <v>1611</v>
      </c>
    </row>
    <row r="1706" spans="1:10">
      <c r="B1706" s="106" t="s">
        <v>1665</v>
      </c>
      <c r="C1706" t="s">
        <v>1520</v>
      </c>
      <c r="E1706" s="106" t="s">
        <v>1746</v>
      </c>
    </row>
    <row r="1707" spans="1:10">
      <c r="B1707" s="106" t="s">
        <v>1521</v>
      </c>
      <c r="C1707" t="s">
        <v>400</v>
      </c>
    </row>
    <row r="1709" spans="1:10">
      <c r="A1709" s="31"/>
      <c r="B1709" s="31" t="s">
        <v>1747</v>
      </c>
      <c r="C1709" s="31"/>
      <c r="D1709" s="31"/>
      <c r="E1709" s="31"/>
      <c r="H1709" t="s">
        <v>51</v>
      </c>
    </row>
    <row r="1710" spans="1:10">
      <c r="A1710" s="31"/>
      <c r="B1710" s="31" t="s">
        <v>652</v>
      </c>
      <c r="C1710" s="31"/>
      <c r="D1710" s="31"/>
      <c r="E1710" s="31"/>
    </row>
    <row r="1711" spans="1:10">
      <c r="B1711" s="31" t="s">
        <v>3</v>
      </c>
      <c r="C1711">
        <v>6724</v>
      </c>
      <c r="D1711" s="31" t="s">
        <v>7</v>
      </c>
      <c r="E1711">
        <v>3917</v>
      </c>
      <c r="H1711" t="s">
        <v>3</v>
      </c>
      <c r="I1711" t="s">
        <v>1660</v>
      </c>
    </row>
    <row r="1712" spans="1:10">
      <c r="B1712" s="31" t="s">
        <v>4</v>
      </c>
      <c r="C1712">
        <v>3065</v>
      </c>
      <c r="D1712" s="31" t="s">
        <v>10</v>
      </c>
      <c r="E1712">
        <v>2457</v>
      </c>
      <c r="I1712" t="s">
        <v>1767</v>
      </c>
      <c r="J1712" t="s">
        <v>1768</v>
      </c>
    </row>
    <row r="1713" spans="2:10">
      <c r="B1713" s="31" t="s">
        <v>5</v>
      </c>
      <c r="C1713">
        <v>303</v>
      </c>
      <c r="D1713" s="31" t="s">
        <v>12</v>
      </c>
      <c r="E1713">
        <v>847</v>
      </c>
      <c r="I1713" t="s">
        <v>1465</v>
      </c>
      <c r="J1713" t="s">
        <v>1769</v>
      </c>
    </row>
    <row r="1714" spans="2:10">
      <c r="B1714" s="31" t="s">
        <v>1604</v>
      </c>
      <c r="C1714">
        <v>1094</v>
      </c>
      <c r="H1714" t="s">
        <v>4</v>
      </c>
      <c r="I1714">
        <v>0</v>
      </c>
    </row>
    <row r="1715" spans="2:10">
      <c r="B1715" s="31" t="s">
        <v>459</v>
      </c>
      <c r="C1715">
        <v>127</v>
      </c>
    </row>
    <row r="1716" spans="2:10">
      <c r="B1716" s="31" t="s">
        <v>1016</v>
      </c>
      <c r="D1716">
        <v>18534</v>
      </c>
    </row>
    <row r="1718" spans="2:10">
      <c r="B1718" s="31" t="s">
        <v>1748</v>
      </c>
      <c r="D1718" s="14">
        <v>45043</v>
      </c>
    </row>
    <row r="1719" spans="2:10">
      <c r="B1719" s="31" t="s">
        <v>652</v>
      </c>
    </row>
    <row r="1720" spans="2:10">
      <c r="B1720" s="31" t="s">
        <v>3</v>
      </c>
      <c r="C1720">
        <v>6607</v>
      </c>
      <c r="D1720" s="23" t="s">
        <v>7</v>
      </c>
      <c r="E1720">
        <v>3836</v>
      </c>
    </row>
    <row r="1721" spans="2:10">
      <c r="B1721" s="31" t="s">
        <v>4</v>
      </c>
      <c r="C1721">
        <v>2963</v>
      </c>
      <c r="D1721" s="23" t="s">
        <v>10</v>
      </c>
      <c r="E1721">
        <v>2805</v>
      </c>
    </row>
    <row r="1722" spans="2:10">
      <c r="B1722" s="31" t="s">
        <v>5</v>
      </c>
      <c r="C1722">
        <v>284</v>
      </c>
      <c r="D1722" s="23" t="s">
        <v>12</v>
      </c>
    </row>
    <row r="1723" spans="2:10">
      <c r="B1723" s="31" t="s">
        <v>1604</v>
      </c>
      <c r="C1723">
        <v>1115</v>
      </c>
    </row>
    <row r="1724" spans="2:10">
      <c r="B1724" s="31" t="s">
        <v>459</v>
      </c>
      <c r="C1724">
        <v>126</v>
      </c>
    </row>
    <row r="1725" spans="2:10">
      <c r="B1725" s="107" t="s">
        <v>1016</v>
      </c>
      <c r="D1725">
        <v>18710</v>
      </c>
    </row>
    <row r="1726" spans="2:10">
      <c r="H1726" s="23"/>
    </row>
    <row r="1727" spans="2:10">
      <c r="B1727" s="31" t="s">
        <v>1749</v>
      </c>
    </row>
    <row r="1728" spans="2:10">
      <c r="B1728" s="31" t="s">
        <v>652</v>
      </c>
    </row>
    <row r="1729" spans="2:6">
      <c r="B1729" s="31" t="s">
        <v>3</v>
      </c>
      <c r="C1729">
        <v>5273</v>
      </c>
      <c r="D1729" s="23" t="s">
        <v>7</v>
      </c>
      <c r="E1729">
        <v>3269</v>
      </c>
    </row>
    <row r="1730" spans="2:6">
      <c r="B1730" s="31" t="s">
        <v>4</v>
      </c>
      <c r="C1730">
        <v>3444</v>
      </c>
      <c r="D1730" s="23" t="s">
        <v>10</v>
      </c>
      <c r="E1730">
        <v>2708</v>
      </c>
    </row>
    <row r="1731" spans="2:6">
      <c r="B1731" s="31" t="s">
        <v>5</v>
      </c>
      <c r="C1731">
        <v>262</v>
      </c>
      <c r="D1731" s="23" t="s">
        <v>12</v>
      </c>
      <c r="E1731">
        <v>876</v>
      </c>
    </row>
    <row r="1732" spans="2:6">
      <c r="B1732" s="31" t="s">
        <v>1604</v>
      </c>
      <c r="C1732">
        <v>1224</v>
      </c>
    </row>
    <row r="1733" spans="2:6">
      <c r="B1733" s="31" t="s">
        <v>459</v>
      </c>
      <c r="C1733">
        <v>876</v>
      </c>
    </row>
    <row r="1734" spans="2:6">
      <c r="B1734" s="31" t="s">
        <v>1750</v>
      </c>
    </row>
    <row r="1736" spans="2:6">
      <c r="B1736" s="31" t="s">
        <v>1751</v>
      </c>
    </row>
    <row r="1737" spans="2:6">
      <c r="B1737" s="31" t="s">
        <v>652</v>
      </c>
    </row>
    <row r="1738" spans="2:6">
      <c r="B1738" s="31" t="s">
        <v>3</v>
      </c>
      <c r="C1738">
        <v>5589</v>
      </c>
      <c r="E1738" t="s">
        <v>7</v>
      </c>
      <c r="F1738">
        <v>3994</v>
      </c>
    </row>
    <row r="1739" spans="2:6">
      <c r="B1739" s="31" t="s">
        <v>4</v>
      </c>
      <c r="C1739">
        <v>2722</v>
      </c>
      <c r="E1739" t="s">
        <v>10</v>
      </c>
      <c r="F1739">
        <v>2892</v>
      </c>
    </row>
    <row r="1740" spans="2:6">
      <c r="B1740" s="31" t="s">
        <v>5</v>
      </c>
      <c r="C1740">
        <v>269</v>
      </c>
      <c r="E1740" t="s">
        <v>12</v>
      </c>
      <c r="F1740">
        <v>1354</v>
      </c>
    </row>
    <row r="1741" spans="2:6">
      <c r="B1741" s="31" t="s">
        <v>1604</v>
      </c>
      <c r="C1741">
        <v>965</v>
      </c>
    </row>
    <row r="1742" spans="2:6">
      <c r="B1742" s="31" t="s">
        <v>459</v>
      </c>
      <c r="C1742">
        <v>116</v>
      </c>
    </row>
    <row r="1744" spans="2:6">
      <c r="B1744" s="31" t="s">
        <v>51</v>
      </c>
    </row>
    <row r="1745" spans="2:7">
      <c r="B1745" s="31" t="s">
        <v>311</v>
      </c>
      <c r="E1745" t="s">
        <v>301</v>
      </c>
    </row>
    <row r="1746" spans="2:7">
      <c r="B1746" s="31" t="s">
        <v>191</v>
      </c>
      <c r="C1746" t="s">
        <v>1753</v>
      </c>
      <c r="E1746" t="s">
        <v>191</v>
      </c>
      <c r="F1746" t="s">
        <v>1755</v>
      </c>
      <c r="G1746" t="s">
        <v>1111</v>
      </c>
    </row>
    <row r="1747" spans="2:7">
      <c r="B1747" s="31" t="s">
        <v>1533</v>
      </c>
      <c r="C1747" t="s">
        <v>1754</v>
      </c>
      <c r="E1747" t="s">
        <v>1732</v>
      </c>
      <c r="F1747" t="s">
        <v>1733</v>
      </c>
    </row>
    <row r="1748" spans="2:7">
      <c r="B1748" s="31" t="s">
        <v>1752</v>
      </c>
      <c r="C1748" t="s">
        <v>400</v>
      </c>
    </row>
    <row r="1750" spans="2:7">
      <c r="B1750" s="31" t="s">
        <v>1756</v>
      </c>
    </row>
    <row r="1751" spans="2:7">
      <c r="B1751" s="31" t="s">
        <v>3</v>
      </c>
      <c r="C1751">
        <v>6350</v>
      </c>
    </row>
    <row r="1752" spans="2:7">
      <c r="B1752" s="31" t="s">
        <v>4</v>
      </c>
      <c r="C1752">
        <v>3201</v>
      </c>
      <c r="D1752" t="s">
        <v>7</v>
      </c>
      <c r="E1752">
        <v>4092</v>
      </c>
    </row>
    <row r="1753" spans="2:7">
      <c r="B1753" s="31" t="s">
        <v>5</v>
      </c>
      <c r="C1753">
        <v>333</v>
      </c>
      <c r="D1753" t="s">
        <v>10</v>
      </c>
      <c r="E1753">
        <v>3003</v>
      </c>
    </row>
    <row r="1754" spans="2:7">
      <c r="B1754" s="31" t="s">
        <v>1604</v>
      </c>
      <c r="C1754">
        <v>1181</v>
      </c>
      <c r="D1754" t="s">
        <v>12</v>
      </c>
      <c r="E1754">
        <v>1155</v>
      </c>
    </row>
    <row r="1755" spans="2:7">
      <c r="B1755" s="31" t="s">
        <v>459</v>
      </c>
      <c r="C1755">
        <v>138</v>
      </c>
    </row>
    <row r="1757" spans="2:7">
      <c r="B1757" s="31" t="s">
        <v>1757</v>
      </c>
    </row>
    <row r="1758" spans="2:7">
      <c r="B1758" s="31" t="s">
        <v>3</v>
      </c>
      <c r="D1758" t="s">
        <v>1759</v>
      </c>
    </row>
    <row r="1759" spans="2:7">
      <c r="B1759" s="31" t="s">
        <v>1533</v>
      </c>
      <c r="C1759" t="s">
        <v>1754</v>
      </c>
      <c r="D1759" t="s">
        <v>1732</v>
      </c>
      <c r="E1759" t="s">
        <v>1733</v>
      </c>
    </row>
    <row r="1760" spans="2:7">
      <c r="B1760" s="31" t="s">
        <v>1533</v>
      </c>
      <c r="C1760" t="s">
        <v>1691</v>
      </c>
      <c r="D1760" t="s">
        <v>1761</v>
      </c>
      <c r="E1760" t="s">
        <v>1111</v>
      </c>
    </row>
    <row r="1761" spans="2:6">
      <c r="B1761" s="31" t="s">
        <v>5</v>
      </c>
    </row>
    <row r="1762" spans="2:6">
      <c r="B1762" s="31" t="s">
        <v>1731</v>
      </c>
    </row>
    <row r="1763" spans="2:6">
      <c r="B1763" s="31" t="s">
        <v>1758</v>
      </c>
    </row>
    <row r="1764" spans="2:6">
      <c r="B1764" s="31"/>
    </row>
    <row r="1765" spans="2:6">
      <c r="B1765" s="31" t="s">
        <v>1762</v>
      </c>
    </row>
    <row r="1766" spans="2:6">
      <c r="B1766" s="31" t="s">
        <v>652</v>
      </c>
    </row>
    <row r="1767" spans="2:6">
      <c r="B1767" s="31" t="s">
        <v>3</v>
      </c>
      <c r="C1767">
        <v>6720</v>
      </c>
      <c r="E1767" t="s">
        <v>7</v>
      </c>
      <c r="F1767">
        <v>3901</v>
      </c>
    </row>
    <row r="1768" spans="2:6">
      <c r="B1768" s="31" t="s">
        <v>4</v>
      </c>
      <c r="C1768">
        <v>3174</v>
      </c>
      <c r="E1768" t="s">
        <v>10</v>
      </c>
      <c r="F1768">
        <v>3057</v>
      </c>
    </row>
    <row r="1769" spans="2:6">
      <c r="B1769" s="31" t="s">
        <v>5</v>
      </c>
      <c r="C1769">
        <v>320</v>
      </c>
      <c r="E1769" t="s">
        <v>12</v>
      </c>
      <c r="F1769">
        <v>2030</v>
      </c>
    </row>
    <row r="1770" spans="2:6">
      <c r="B1770" s="31" t="s">
        <v>1604</v>
      </c>
      <c r="C1770">
        <v>1310</v>
      </c>
    </row>
    <row r="1771" spans="2:6">
      <c r="B1771" s="31" t="s">
        <v>1763</v>
      </c>
      <c r="C1771">
        <v>145</v>
      </c>
    </row>
    <row r="1772" spans="2:6">
      <c r="B1772" s="31" t="s">
        <v>51</v>
      </c>
    </row>
    <row r="1773" spans="2:6">
      <c r="B1773" s="31" t="s">
        <v>311</v>
      </c>
      <c r="C1773" t="s">
        <v>1764</v>
      </c>
      <c r="D1773" t="s">
        <v>301</v>
      </c>
    </row>
    <row r="1774" spans="2:6">
      <c r="B1774" s="31" t="s">
        <v>5</v>
      </c>
      <c r="C1774" t="s">
        <v>1764</v>
      </c>
      <c r="D1774" t="s">
        <v>191</v>
      </c>
      <c r="E1774" t="s">
        <v>418</v>
      </c>
    </row>
    <row r="1775" spans="2:6">
      <c r="D1775" t="s">
        <v>1533</v>
      </c>
      <c r="E1775" t="s">
        <v>1765</v>
      </c>
    </row>
    <row r="1777" spans="2:5">
      <c r="B1777" s="31" t="s">
        <v>218</v>
      </c>
      <c r="C1777" s="14">
        <v>45072</v>
      </c>
      <c r="D1777" t="s">
        <v>1770</v>
      </c>
    </row>
    <row r="1778" spans="2:5">
      <c r="B1778" s="31" t="s">
        <v>708</v>
      </c>
    </row>
    <row r="1779" spans="2:5">
      <c r="B1779" s="31" t="s">
        <v>3</v>
      </c>
      <c r="D1779" t="s">
        <v>4</v>
      </c>
    </row>
    <row r="1780" spans="2:5">
      <c r="B1780" s="31" t="s">
        <v>1732</v>
      </c>
      <c r="C1780" t="s">
        <v>1691</v>
      </c>
      <c r="D1780" t="s">
        <v>1772</v>
      </c>
      <c r="E1780" t="s">
        <v>1775</v>
      </c>
    </row>
    <row r="1781" spans="2:5">
      <c r="B1781" s="31" t="s">
        <v>1766</v>
      </c>
      <c r="C1781" t="s">
        <v>1771</v>
      </c>
      <c r="D1781" t="s">
        <v>1773</v>
      </c>
      <c r="E1781" t="s">
        <v>1774</v>
      </c>
    </row>
    <row r="1782" spans="2:5">
      <c r="B1782" s="31" t="s">
        <v>1521</v>
      </c>
      <c r="C1782" t="s">
        <v>387</v>
      </c>
    </row>
    <row r="1783" spans="2:5">
      <c r="B1783" s="31" t="s">
        <v>5</v>
      </c>
      <c r="D1783" t="s">
        <v>7</v>
      </c>
    </row>
    <row r="1784" spans="2:5">
      <c r="B1784" s="31" t="s">
        <v>1760</v>
      </c>
      <c r="D1784" t="s">
        <v>1776</v>
      </c>
      <c r="E1784" t="s">
        <v>1777</v>
      </c>
    </row>
    <row r="1785" spans="2:5">
      <c r="B1785" t="s">
        <v>1758</v>
      </c>
      <c r="D1785" t="s">
        <v>1711</v>
      </c>
      <c r="E1785" t="s">
        <v>1778</v>
      </c>
    </row>
    <row r="1787" spans="2:5">
      <c r="B1787" s="31" t="s">
        <v>1779</v>
      </c>
    </row>
    <row r="1788" spans="2:5">
      <c r="B1788" s="31" t="s">
        <v>708</v>
      </c>
    </row>
    <row r="1789" spans="2:5">
      <c r="B1789" s="31" t="s">
        <v>3</v>
      </c>
      <c r="E1789" t="s">
        <v>1111</v>
      </c>
    </row>
    <row r="1790" spans="2:5">
      <c r="B1790" s="31" t="s">
        <v>1766</v>
      </c>
      <c r="C1790" t="s">
        <v>1661</v>
      </c>
      <c r="E1790" t="s">
        <v>1783</v>
      </c>
    </row>
    <row r="1791" spans="2:5">
      <c r="B1791" s="31" t="s">
        <v>191</v>
      </c>
      <c r="C1791" t="s">
        <v>387</v>
      </c>
      <c r="E1791" t="s">
        <v>1784</v>
      </c>
    </row>
    <row r="1792" spans="2:5">
      <c r="B1792" s="31" t="s">
        <v>1465</v>
      </c>
      <c r="C1792" t="s">
        <v>387</v>
      </c>
    </row>
    <row r="1793" spans="2:6">
      <c r="B1793" s="31" t="s">
        <v>4</v>
      </c>
      <c r="E1793" t="s">
        <v>553</v>
      </c>
    </row>
    <row r="1794" spans="2:6">
      <c r="B1794" s="31" t="s">
        <v>1758</v>
      </c>
      <c r="C1794" t="s">
        <v>1782</v>
      </c>
      <c r="E1794" t="s">
        <v>191</v>
      </c>
      <c r="F1794" t="s">
        <v>418</v>
      </c>
    </row>
    <row r="1795" spans="2:6">
      <c r="B1795" s="31" t="s">
        <v>1780</v>
      </c>
      <c r="C1795" t="s">
        <v>1781</v>
      </c>
      <c r="E1795" t="s">
        <v>191</v>
      </c>
      <c r="F1795" t="s">
        <v>1733</v>
      </c>
    </row>
    <row r="1796" spans="2:6">
      <c r="E1796" t="s">
        <v>1785</v>
      </c>
      <c r="F1796" t="s">
        <v>1733</v>
      </c>
    </row>
    <row r="1798" spans="2:6">
      <c r="B1798" s="31" t="s">
        <v>1786</v>
      </c>
    </row>
    <row r="1799" spans="2:6">
      <c r="B1799" s="31" t="s">
        <v>51</v>
      </c>
    </row>
    <row r="1800" spans="2:6">
      <c r="B1800" s="31" t="s">
        <v>3</v>
      </c>
      <c r="E1800" t="s">
        <v>1111</v>
      </c>
    </row>
    <row r="1801" spans="2:6">
      <c r="B1801" s="31" t="s">
        <v>1787</v>
      </c>
      <c r="C1801" t="s">
        <v>1691</v>
      </c>
      <c r="E1801" t="s">
        <v>1761</v>
      </c>
    </row>
    <row r="1802" spans="2:6">
      <c r="E1802" t="s">
        <v>1533</v>
      </c>
    </row>
    <row r="1803" spans="2:6">
      <c r="B1803" s="31" t="s">
        <v>4</v>
      </c>
      <c r="C1803">
        <v>0</v>
      </c>
    </row>
    <row r="1804" spans="2:6">
      <c r="B1804" s="31" t="s">
        <v>5</v>
      </c>
      <c r="E1804" t="s">
        <v>10</v>
      </c>
    </row>
    <row r="1805" spans="2:6">
      <c r="B1805" s="31" t="s">
        <v>1788</v>
      </c>
      <c r="C1805" t="s">
        <v>1789</v>
      </c>
      <c r="E1805" t="s">
        <v>191</v>
      </c>
      <c r="F1805" t="s">
        <v>1792</v>
      </c>
    </row>
    <row r="1806" spans="2:6">
      <c r="B1806" s="31" t="s">
        <v>1790</v>
      </c>
      <c r="C1806" t="s">
        <v>1789</v>
      </c>
    </row>
    <row r="1807" spans="2:6">
      <c r="B1807" s="31" t="s">
        <v>1791</v>
      </c>
      <c r="C1807" t="s">
        <v>1789</v>
      </c>
    </row>
    <row r="1809" spans="2:5">
      <c r="B1809" s="31" t="s">
        <v>1793</v>
      </c>
    </row>
    <row r="1810" spans="2:5">
      <c r="B1810" s="31" t="s">
        <v>1408</v>
      </c>
    </row>
    <row r="1811" spans="2:5">
      <c r="B1811" s="31" t="s">
        <v>311</v>
      </c>
    </row>
    <row r="1812" spans="2:5">
      <c r="B1812" s="31" t="s">
        <v>1794</v>
      </c>
    </row>
    <row r="1813" spans="2:5">
      <c r="B1813" s="31" t="s">
        <v>7</v>
      </c>
      <c r="D1813" t="s">
        <v>10</v>
      </c>
    </row>
    <row r="1814" spans="2:5">
      <c r="B1814" s="31" t="s">
        <v>1732</v>
      </c>
      <c r="C1814" t="s">
        <v>480</v>
      </c>
      <c r="D1814" t="s">
        <v>191</v>
      </c>
      <c r="E1814" t="s">
        <v>1792</v>
      </c>
    </row>
    <row r="1815" spans="2:5">
      <c r="B1815" s="31" t="s">
        <v>191</v>
      </c>
      <c r="C1815" t="s">
        <v>1755</v>
      </c>
    </row>
    <row r="1817" spans="2:5">
      <c r="B1817" s="31" t="s">
        <v>1795</v>
      </c>
    </row>
    <row r="1818" spans="2:5">
      <c r="B1818" s="31" t="s">
        <v>51</v>
      </c>
    </row>
    <row r="1819" spans="2:5">
      <c r="B1819" s="31" t="s">
        <v>3</v>
      </c>
      <c r="D1819" t="s">
        <v>4</v>
      </c>
    </row>
    <row r="1820" spans="2:5">
      <c r="B1820" s="31" t="s">
        <v>1766</v>
      </c>
      <c r="C1820" t="s">
        <v>1661</v>
      </c>
      <c r="D1820" t="s">
        <v>1798</v>
      </c>
      <c r="E1820" t="s">
        <v>1799</v>
      </c>
    </row>
    <row r="1821" spans="2:5">
      <c r="B1821" s="31" t="s">
        <v>1732</v>
      </c>
      <c r="C1821" t="s">
        <v>1796</v>
      </c>
      <c r="D1821" t="s">
        <v>1802</v>
      </c>
      <c r="E1821" t="s">
        <v>1803</v>
      </c>
    </row>
    <row r="1822" spans="2:5">
      <c r="B1822" s="31" t="s">
        <v>1797</v>
      </c>
      <c r="C1822" t="s">
        <v>1691</v>
      </c>
    </row>
    <row r="1823" spans="2:5">
      <c r="B1823" s="31" t="s">
        <v>5</v>
      </c>
      <c r="D1823" t="s">
        <v>7</v>
      </c>
    </row>
    <row r="1824" spans="2:5">
      <c r="B1824" s="31" t="s">
        <v>1800</v>
      </c>
      <c r="D1824" t="s">
        <v>1732</v>
      </c>
      <c r="E1824" t="s">
        <v>480</v>
      </c>
    </row>
    <row r="1825" spans="1:6">
      <c r="D1825" t="s">
        <v>1801</v>
      </c>
      <c r="E1825" t="s">
        <v>1755</v>
      </c>
    </row>
    <row r="1827" spans="1:6">
      <c r="B1827" s="31" t="s">
        <v>1804</v>
      </c>
    </row>
    <row r="1828" spans="1:6">
      <c r="A1828">
        <v>1</v>
      </c>
      <c r="B1828" s="31" t="s">
        <v>652</v>
      </c>
    </row>
    <row r="1829" spans="1:6">
      <c r="B1829" s="31" t="s">
        <v>3</v>
      </c>
      <c r="C1829">
        <v>7819</v>
      </c>
      <c r="E1829" t="s">
        <v>7</v>
      </c>
      <c r="F1829">
        <v>4015</v>
      </c>
    </row>
    <row r="1830" spans="1:6">
      <c r="B1830" s="31" t="s">
        <v>4</v>
      </c>
      <c r="C1830">
        <v>1785</v>
      </c>
      <c r="E1830" t="s">
        <v>10</v>
      </c>
      <c r="F1830">
        <v>1369</v>
      </c>
    </row>
    <row r="1831" spans="1:6">
      <c r="B1831" s="31" t="s">
        <v>5</v>
      </c>
      <c r="C1831">
        <v>348</v>
      </c>
      <c r="E1831" t="s">
        <v>12</v>
      </c>
      <c r="F1831">
        <v>1219</v>
      </c>
    </row>
    <row r="1832" spans="1:6">
      <c r="B1832" s="31" t="s">
        <v>1604</v>
      </c>
      <c r="C1832">
        <v>0</v>
      </c>
    </row>
    <row r="1833" spans="1:6">
      <c r="B1833" s="31" t="s">
        <v>459</v>
      </c>
      <c r="C1833">
        <v>162</v>
      </c>
    </row>
    <row r="1834" spans="1:6">
      <c r="B1834" s="31" t="s">
        <v>1805</v>
      </c>
    </row>
    <row r="1835" spans="1:6">
      <c r="A1835">
        <v>2</v>
      </c>
      <c r="B1835" s="31" t="s">
        <v>51</v>
      </c>
    </row>
    <row r="1836" spans="1:6">
      <c r="B1836" s="31" t="s">
        <v>3</v>
      </c>
      <c r="E1836" s="109" t="s">
        <v>7</v>
      </c>
    </row>
    <row r="1837" spans="1:6">
      <c r="B1837" s="108" t="s">
        <v>1806</v>
      </c>
      <c r="C1837" s="108"/>
      <c r="E1837" s="109" t="s">
        <v>191</v>
      </c>
      <c r="F1837" s="109" t="s">
        <v>1755</v>
      </c>
    </row>
    <row r="1838" spans="1:6">
      <c r="B1838" s="109" t="s">
        <v>1807</v>
      </c>
      <c r="F1838" s="109" t="s">
        <v>1810</v>
      </c>
    </row>
    <row r="1839" spans="1:6">
      <c r="B1839" s="109" t="s">
        <v>1797</v>
      </c>
      <c r="C1839" s="109" t="s">
        <v>1691</v>
      </c>
      <c r="E1839" s="109" t="s">
        <v>1811</v>
      </c>
      <c r="F1839" s="109" t="s">
        <v>1812</v>
      </c>
    </row>
    <row r="1840" spans="1:6">
      <c r="B1840" s="109" t="s">
        <v>4</v>
      </c>
      <c r="F1840" s="109" t="s">
        <v>1815</v>
      </c>
    </row>
    <row r="1841" spans="1:12">
      <c r="B1841" s="109" t="s">
        <v>1808</v>
      </c>
      <c r="C1841" s="109" t="s">
        <v>1799</v>
      </c>
      <c r="E1841" s="109" t="s">
        <v>10</v>
      </c>
    </row>
    <row r="1842" spans="1:12">
      <c r="B1842" s="109" t="s">
        <v>1758</v>
      </c>
      <c r="C1842" s="109" t="s">
        <v>1809</v>
      </c>
      <c r="E1842" s="109" t="s">
        <v>191</v>
      </c>
      <c r="F1842" s="109" t="s">
        <v>1813</v>
      </c>
    </row>
    <row r="1843" spans="1:12">
      <c r="B1843" s="109" t="s">
        <v>5</v>
      </c>
      <c r="E1843" s="109" t="s">
        <v>1814</v>
      </c>
      <c r="F1843" s="109" t="s">
        <v>418</v>
      </c>
    </row>
    <row r="1844" spans="1:12">
      <c r="B1844" s="109" t="s">
        <v>1758</v>
      </c>
      <c r="C1844" s="109" t="s">
        <v>1789</v>
      </c>
    </row>
    <row r="1846" spans="1:12">
      <c r="A1846">
        <v>3</v>
      </c>
      <c r="B1846" s="109" t="s">
        <v>246</v>
      </c>
    </row>
    <row r="1847" spans="1:12">
      <c r="B1847" s="109" t="s">
        <v>1217</v>
      </c>
      <c r="E1847" s="109" t="s">
        <v>1817</v>
      </c>
      <c r="H1847" s="109" t="s">
        <v>1509</v>
      </c>
      <c r="J1847" s="109" t="s">
        <v>1818</v>
      </c>
      <c r="L1847" s="109" t="s">
        <v>1819</v>
      </c>
    </row>
    <row r="1848" spans="1:12">
      <c r="B1848" s="109" t="s">
        <v>5</v>
      </c>
      <c r="C1848">
        <v>1</v>
      </c>
      <c r="E1848">
        <v>0</v>
      </c>
      <c r="H1848">
        <v>2</v>
      </c>
      <c r="K1848">
        <v>2</v>
      </c>
    </row>
    <row r="1849" spans="1:12">
      <c r="B1849" s="109" t="s">
        <v>4</v>
      </c>
      <c r="C1849">
        <v>1</v>
      </c>
      <c r="E1849">
        <v>0</v>
      </c>
      <c r="H1849">
        <v>3</v>
      </c>
      <c r="K1849">
        <v>3</v>
      </c>
    </row>
    <row r="1850" spans="1:12">
      <c r="B1850" s="109" t="s">
        <v>1816</v>
      </c>
      <c r="C1850">
        <v>1</v>
      </c>
      <c r="E1850">
        <v>1</v>
      </c>
      <c r="H1850">
        <v>0</v>
      </c>
      <c r="K1850">
        <v>2</v>
      </c>
    </row>
    <row r="1851" spans="1:12">
      <c r="B1851" s="109" t="s">
        <v>7</v>
      </c>
      <c r="C1851">
        <v>1</v>
      </c>
      <c r="E1851">
        <v>6</v>
      </c>
      <c r="H1851">
        <v>4</v>
      </c>
      <c r="K1851">
        <v>3</v>
      </c>
    </row>
    <row r="1852" spans="1:12">
      <c r="B1852" s="109" t="s">
        <v>10</v>
      </c>
      <c r="C1852">
        <v>2</v>
      </c>
      <c r="E1852">
        <v>5</v>
      </c>
      <c r="H1852">
        <v>5</v>
      </c>
      <c r="K1852">
        <v>2</v>
      </c>
    </row>
    <row r="1853" spans="1:12">
      <c r="B1853" s="109" t="s">
        <v>3</v>
      </c>
      <c r="C1853">
        <v>1</v>
      </c>
      <c r="E1853">
        <v>0</v>
      </c>
      <c r="H1853">
        <v>2</v>
      </c>
      <c r="K1853">
        <v>0</v>
      </c>
    </row>
    <row r="1855" spans="1:12">
      <c r="A1855" s="31"/>
      <c r="B1855" s="31" t="s">
        <v>1820</v>
      </c>
      <c r="C1855" s="31"/>
      <c r="D1855" s="31"/>
      <c r="E1855" s="31"/>
    </row>
    <row r="1856" spans="1:12">
      <c r="A1856" s="31">
        <v>1</v>
      </c>
      <c r="B1856" s="31" t="s">
        <v>652</v>
      </c>
      <c r="C1856" s="31"/>
    </row>
    <row r="1857" spans="1:12">
      <c r="B1857" s="110" t="s">
        <v>3</v>
      </c>
      <c r="C1857">
        <v>3468</v>
      </c>
      <c r="D1857" t="s">
        <v>7</v>
      </c>
      <c r="E1857">
        <v>4616</v>
      </c>
    </row>
    <row r="1858" spans="1:12">
      <c r="B1858" s="110" t="s">
        <v>4</v>
      </c>
      <c r="C1858">
        <v>3169</v>
      </c>
      <c r="D1858" t="s">
        <v>10</v>
      </c>
      <c r="E1858">
        <v>1435</v>
      </c>
    </row>
    <row r="1859" spans="1:12">
      <c r="B1859" s="110" t="s">
        <v>5</v>
      </c>
      <c r="C1859">
        <v>369</v>
      </c>
      <c r="D1859" t="s">
        <v>12</v>
      </c>
      <c r="E1859">
        <v>1051</v>
      </c>
    </row>
    <row r="1860" spans="1:12">
      <c r="B1860" s="110" t="s">
        <v>1604</v>
      </c>
      <c r="C1860">
        <v>0</v>
      </c>
    </row>
    <row r="1861" spans="1:12">
      <c r="B1861" s="110" t="s">
        <v>459</v>
      </c>
      <c r="C1861">
        <v>160</v>
      </c>
    </row>
    <row r="1862" spans="1:12">
      <c r="B1862" s="110" t="s">
        <v>1639</v>
      </c>
    </row>
    <row r="1863" spans="1:12">
      <c r="A1863" s="31">
        <v>2</v>
      </c>
      <c r="B1863" s="31" t="s">
        <v>51</v>
      </c>
      <c r="C1863" s="31"/>
      <c r="D1863" s="31"/>
      <c r="E1863" s="31"/>
      <c r="F1863" s="31"/>
      <c r="G1863" s="31"/>
      <c r="H1863" s="31"/>
      <c r="I1863" s="31"/>
      <c r="J1863" s="31"/>
      <c r="K1863" s="31"/>
    </row>
    <row r="1864" spans="1:12">
      <c r="A1864" s="31"/>
      <c r="B1864" s="31" t="s">
        <v>3</v>
      </c>
      <c r="C1864" s="31" t="s">
        <v>1822</v>
      </c>
      <c r="D1864" s="31"/>
      <c r="E1864" s="31" t="s">
        <v>7</v>
      </c>
      <c r="F1864" s="31"/>
      <c r="G1864" s="31" t="s">
        <v>1822</v>
      </c>
      <c r="H1864" s="31"/>
      <c r="I1864" s="31" t="s">
        <v>10</v>
      </c>
      <c r="J1864" s="31"/>
      <c r="K1864" s="31" t="s">
        <v>1823</v>
      </c>
    </row>
    <row r="1865" spans="1:12">
      <c r="B1865" s="110" t="s">
        <v>1665</v>
      </c>
      <c r="C1865" t="s">
        <v>1769</v>
      </c>
      <c r="E1865" t="s">
        <v>191</v>
      </c>
      <c r="F1865" t="s">
        <v>308</v>
      </c>
      <c r="G1865" t="s">
        <v>6</v>
      </c>
      <c r="I1865" t="s">
        <v>191</v>
      </c>
      <c r="K1865" t="s">
        <v>1824</v>
      </c>
    </row>
    <row r="1866" spans="1:12">
      <c r="B1866" s="110" t="s">
        <v>1761</v>
      </c>
      <c r="C1866" t="s">
        <v>1691</v>
      </c>
      <c r="E1866" t="s">
        <v>191</v>
      </c>
      <c r="F1866" t="s">
        <v>121</v>
      </c>
      <c r="G1866" t="s">
        <v>1812</v>
      </c>
      <c r="I1866" t="s">
        <v>191</v>
      </c>
      <c r="K1866" t="s">
        <v>1813</v>
      </c>
    </row>
    <row r="1867" spans="1:12">
      <c r="B1867" s="110" t="s">
        <v>1821</v>
      </c>
      <c r="C1867" t="s">
        <v>1691</v>
      </c>
      <c r="E1867" t="s">
        <v>1533</v>
      </c>
      <c r="G1867" t="s">
        <v>1812</v>
      </c>
    </row>
    <row r="1868" spans="1:12">
      <c r="B1868" s="110" t="s">
        <v>4</v>
      </c>
      <c r="E1868" t="s">
        <v>1533</v>
      </c>
      <c r="G1868" t="s">
        <v>895</v>
      </c>
      <c r="I1868" t="s">
        <v>1825</v>
      </c>
    </row>
    <row r="1869" spans="1:12">
      <c r="B1869" s="110" t="s">
        <v>1758</v>
      </c>
      <c r="C1869" t="s">
        <v>1796</v>
      </c>
      <c r="E1869" t="s">
        <v>1827</v>
      </c>
      <c r="I1869" t="s">
        <v>1826</v>
      </c>
    </row>
    <row r="1870" spans="1:12">
      <c r="A1870" s="31"/>
      <c r="B1870" s="31"/>
      <c r="C1870" s="31"/>
      <c r="D1870" s="31"/>
      <c r="E1870" s="31"/>
      <c r="F1870" s="31"/>
      <c r="G1870" s="31"/>
      <c r="H1870" s="31"/>
      <c r="I1870" s="31"/>
      <c r="J1870" s="31"/>
      <c r="K1870" s="31"/>
      <c r="L1870" s="31"/>
    </row>
    <row r="1871" spans="1:12">
      <c r="A1871" s="31">
        <v>3</v>
      </c>
      <c r="B1871" s="31" t="s">
        <v>246</v>
      </c>
      <c r="C1871" s="31"/>
      <c r="D1871" s="31"/>
      <c r="E1871" s="31"/>
      <c r="F1871" s="31"/>
      <c r="G1871" s="31"/>
      <c r="H1871" s="31"/>
      <c r="I1871" s="31"/>
      <c r="J1871" s="31"/>
      <c r="K1871" s="31"/>
      <c r="L1871" s="31"/>
    </row>
    <row r="1872" spans="1:12">
      <c r="A1872" s="31"/>
      <c r="B1872" s="31" t="s">
        <v>1217</v>
      </c>
      <c r="C1872" s="31"/>
      <c r="D1872" s="31" t="s">
        <v>1507</v>
      </c>
      <c r="E1872" s="31"/>
      <c r="F1872" s="31"/>
      <c r="G1872" s="31" t="s">
        <v>1509</v>
      </c>
      <c r="H1872" s="31"/>
      <c r="I1872" s="31"/>
      <c r="J1872" s="31" t="s">
        <v>1828</v>
      </c>
      <c r="K1872" s="31"/>
      <c r="L1872" s="31"/>
    </row>
    <row r="1873" spans="1:10">
      <c r="B1873" s="110" t="s">
        <v>3</v>
      </c>
      <c r="C1873">
        <v>0</v>
      </c>
      <c r="E1873">
        <v>1</v>
      </c>
      <c r="G1873">
        <v>4</v>
      </c>
      <c r="J1873">
        <v>0</v>
      </c>
    </row>
    <row r="1874" spans="1:10">
      <c r="B1874" s="110" t="s">
        <v>4</v>
      </c>
      <c r="C1874">
        <v>4</v>
      </c>
      <c r="E1874">
        <v>0</v>
      </c>
      <c r="G1874">
        <v>3</v>
      </c>
      <c r="J1874">
        <v>6</v>
      </c>
    </row>
    <row r="1875" spans="1:10">
      <c r="B1875" s="110" t="s">
        <v>5</v>
      </c>
      <c r="C1875">
        <v>0</v>
      </c>
      <c r="E1875">
        <v>0</v>
      </c>
      <c r="G1875">
        <v>0</v>
      </c>
      <c r="J1875">
        <v>0</v>
      </c>
    </row>
    <row r="1876" spans="1:10">
      <c r="B1876" s="110" t="s">
        <v>7</v>
      </c>
      <c r="C1876">
        <v>0</v>
      </c>
      <c r="E1876">
        <v>2</v>
      </c>
      <c r="G1876">
        <v>2</v>
      </c>
      <c r="J1876">
        <v>3</v>
      </c>
    </row>
    <row r="1877" spans="1:10">
      <c r="B1877" s="110" t="s">
        <v>10</v>
      </c>
      <c r="C1877">
        <v>2</v>
      </c>
      <c r="E1877">
        <v>5</v>
      </c>
      <c r="G1877">
        <v>4</v>
      </c>
      <c r="J1877">
        <v>2</v>
      </c>
    </row>
    <row r="1878" spans="1:10">
      <c r="B1878" s="110" t="s">
        <v>1829</v>
      </c>
      <c r="C1878">
        <v>1</v>
      </c>
      <c r="E1878">
        <v>0</v>
      </c>
      <c r="G1878">
        <v>0</v>
      </c>
      <c r="J1878">
        <v>2</v>
      </c>
    </row>
    <row r="1879" spans="1:10">
      <c r="B1879" s="110" t="s">
        <v>1816</v>
      </c>
      <c r="C1879">
        <v>0</v>
      </c>
      <c r="E1879">
        <v>1</v>
      </c>
      <c r="G1879">
        <v>0</v>
      </c>
      <c r="J1879">
        <v>0</v>
      </c>
    </row>
    <row r="1881" spans="1:10">
      <c r="A1881" s="32"/>
      <c r="B1881" s="32" t="s">
        <v>1830</v>
      </c>
      <c r="C1881" s="32"/>
      <c r="D1881" s="32"/>
      <c r="E1881" s="32"/>
    </row>
    <row r="1882" spans="1:10">
      <c r="A1882" s="31">
        <v>1</v>
      </c>
      <c r="B1882" s="31" t="s">
        <v>652</v>
      </c>
      <c r="C1882" s="31"/>
    </row>
    <row r="1883" spans="1:10">
      <c r="B1883" s="111" t="s">
        <v>3</v>
      </c>
      <c r="C1883">
        <v>6378</v>
      </c>
      <c r="D1883" t="s">
        <v>7</v>
      </c>
      <c r="E1883">
        <v>3580</v>
      </c>
    </row>
    <row r="1884" spans="1:10">
      <c r="B1884" s="111" t="s">
        <v>4</v>
      </c>
      <c r="C1884">
        <v>2168</v>
      </c>
      <c r="D1884" t="s">
        <v>10</v>
      </c>
      <c r="E1884">
        <v>1536</v>
      </c>
    </row>
    <row r="1885" spans="1:10">
      <c r="B1885" s="111" t="s">
        <v>5</v>
      </c>
      <c r="C1885">
        <v>388</v>
      </c>
      <c r="D1885" t="s">
        <v>12</v>
      </c>
      <c r="E1885">
        <v>2372</v>
      </c>
    </row>
    <row r="1886" spans="1:10">
      <c r="B1886" s="111" t="s">
        <v>459</v>
      </c>
      <c r="C1886">
        <v>152</v>
      </c>
    </row>
    <row r="1887" spans="1:10">
      <c r="B1887" s="111" t="s">
        <v>1604</v>
      </c>
      <c r="C1887">
        <v>0</v>
      </c>
    </row>
    <row r="1888" spans="1:10">
      <c r="A1888" s="31">
        <v>2</v>
      </c>
      <c r="B1888" s="31" t="s">
        <v>51</v>
      </c>
      <c r="C1888" s="31"/>
    </row>
    <row r="1889" spans="1:10">
      <c r="A1889" s="31"/>
      <c r="B1889" s="31" t="s">
        <v>3</v>
      </c>
      <c r="C1889" s="31" t="s">
        <v>1822</v>
      </c>
      <c r="D1889" s="31" t="s">
        <v>1835</v>
      </c>
      <c r="E1889" s="31"/>
      <c r="F1889" s="31" t="s">
        <v>7</v>
      </c>
      <c r="G1889" s="31" t="s">
        <v>1822</v>
      </c>
      <c r="H1889" s="31"/>
      <c r="I1889" s="31" t="s">
        <v>10</v>
      </c>
      <c r="J1889" s="31" t="s">
        <v>1822</v>
      </c>
    </row>
    <row r="1890" spans="1:10">
      <c r="B1890" s="111" t="s">
        <v>1831</v>
      </c>
      <c r="C1890" t="s">
        <v>1832</v>
      </c>
      <c r="D1890" t="s">
        <v>1836</v>
      </c>
      <c r="F1890" t="s">
        <v>191</v>
      </c>
      <c r="G1890" t="s">
        <v>1812</v>
      </c>
      <c r="I1890" t="s">
        <v>1837</v>
      </c>
    </row>
    <row r="1891" spans="1:10">
      <c r="B1891" s="111" t="s">
        <v>1665</v>
      </c>
      <c r="C1891" t="s">
        <v>1833</v>
      </c>
      <c r="D1891" t="s">
        <v>1836</v>
      </c>
      <c r="F1891" t="s">
        <v>191</v>
      </c>
      <c r="G1891" t="s">
        <v>1755</v>
      </c>
      <c r="I1891" t="s">
        <v>1838</v>
      </c>
    </row>
    <row r="1892" spans="1:10">
      <c r="A1892" s="31"/>
      <c r="B1892" s="31" t="s">
        <v>4</v>
      </c>
      <c r="C1892" s="31" t="s">
        <v>1822</v>
      </c>
      <c r="F1892" t="s">
        <v>1533</v>
      </c>
      <c r="G1892" t="s">
        <v>1778</v>
      </c>
      <c r="I1892" t="s">
        <v>1732</v>
      </c>
      <c r="J1892" t="s">
        <v>1840</v>
      </c>
    </row>
    <row r="1893" spans="1:10">
      <c r="B1893" s="111" t="s">
        <v>1802</v>
      </c>
      <c r="C1893" t="s">
        <v>1796</v>
      </c>
      <c r="D1893" t="s">
        <v>1836</v>
      </c>
      <c r="F1893" s="31"/>
      <c r="I1893" t="s">
        <v>1841</v>
      </c>
    </row>
    <row r="1894" spans="1:10">
      <c r="B1894" s="111" t="s">
        <v>1802</v>
      </c>
      <c r="C1894" t="s">
        <v>1799</v>
      </c>
      <c r="D1894" t="s">
        <v>1836</v>
      </c>
    </row>
    <row r="1895" spans="1:10">
      <c r="B1895" s="111" t="s">
        <v>1802</v>
      </c>
      <c r="C1895" t="s">
        <v>1834</v>
      </c>
      <c r="D1895" t="s">
        <v>1836</v>
      </c>
    </row>
    <row r="1896" spans="1:10">
      <c r="A1896" s="31">
        <v>3</v>
      </c>
      <c r="B1896" s="31" t="s">
        <v>246</v>
      </c>
      <c r="C1896" s="31"/>
      <c r="D1896" s="31"/>
      <c r="E1896" s="31"/>
      <c r="F1896" s="31"/>
      <c r="G1896" s="31"/>
      <c r="H1896" s="31"/>
      <c r="I1896" s="31"/>
      <c r="J1896" s="31"/>
    </row>
    <row r="1897" spans="1:10">
      <c r="A1897" s="31"/>
      <c r="B1897" s="31" t="s">
        <v>1217</v>
      </c>
      <c r="C1897" s="31"/>
      <c r="D1897" s="31" t="s">
        <v>1507</v>
      </c>
      <c r="E1897" s="31"/>
      <c r="F1897" s="31" t="s">
        <v>1509</v>
      </c>
      <c r="G1897" s="31"/>
      <c r="H1897" s="31" t="s">
        <v>1839</v>
      </c>
      <c r="I1897" s="31"/>
      <c r="J1897" s="31"/>
    </row>
    <row r="1898" spans="1:10">
      <c r="B1898" s="111" t="s">
        <v>3</v>
      </c>
      <c r="C1898">
        <v>0</v>
      </c>
      <c r="D1898">
        <v>0</v>
      </c>
      <c r="F1898">
        <v>3</v>
      </c>
      <c r="H1898">
        <v>0</v>
      </c>
    </row>
    <row r="1899" spans="1:10">
      <c r="B1899" s="111" t="s">
        <v>4</v>
      </c>
      <c r="C1899">
        <v>8</v>
      </c>
      <c r="D1899">
        <v>0</v>
      </c>
      <c r="F1899">
        <v>2</v>
      </c>
      <c r="H1899">
        <v>8</v>
      </c>
    </row>
    <row r="1900" spans="1:10">
      <c r="B1900" s="111" t="s">
        <v>5</v>
      </c>
      <c r="C1900">
        <v>0</v>
      </c>
      <c r="D1900">
        <v>0</v>
      </c>
      <c r="F1900">
        <v>0</v>
      </c>
      <c r="H1900">
        <v>0</v>
      </c>
    </row>
    <row r="1901" spans="1:10">
      <c r="B1901" s="111" t="s">
        <v>7</v>
      </c>
      <c r="C1901">
        <v>0</v>
      </c>
      <c r="D1901">
        <v>0</v>
      </c>
      <c r="F1901">
        <v>3</v>
      </c>
      <c r="H1901">
        <v>0</v>
      </c>
    </row>
    <row r="1902" spans="1:10">
      <c r="B1902" s="111" t="s">
        <v>10</v>
      </c>
      <c r="C1902">
        <v>0</v>
      </c>
      <c r="D1902">
        <v>4</v>
      </c>
      <c r="F1902">
        <v>0</v>
      </c>
      <c r="H1902">
        <v>2</v>
      </c>
    </row>
    <row r="1903" spans="1:10">
      <c r="B1903" s="111" t="s">
        <v>1829</v>
      </c>
      <c r="C1903">
        <v>3</v>
      </c>
      <c r="D1903">
        <v>0</v>
      </c>
      <c r="F1903">
        <v>0</v>
      </c>
      <c r="H1903">
        <v>2</v>
      </c>
    </row>
    <row r="1904" spans="1:10">
      <c r="B1904" s="111" t="s">
        <v>1816</v>
      </c>
      <c r="C1904">
        <v>0</v>
      </c>
      <c r="D1904">
        <v>1</v>
      </c>
      <c r="F1904">
        <v>1</v>
      </c>
      <c r="H1904">
        <v>0</v>
      </c>
    </row>
    <row r="1906" spans="1:5">
      <c r="A1906" s="31"/>
      <c r="B1906" s="31" t="s">
        <v>1842</v>
      </c>
      <c r="C1906" s="31"/>
      <c r="D1906" s="31"/>
      <c r="E1906" s="31"/>
    </row>
    <row r="1907" spans="1:5">
      <c r="A1907" s="31">
        <v>1</v>
      </c>
      <c r="B1907" s="31" t="s">
        <v>652</v>
      </c>
      <c r="C1907" s="31"/>
      <c r="D1907" s="31"/>
      <c r="E1907" s="31"/>
    </row>
    <row r="1908" spans="1:5">
      <c r="B1908" s="31" t="s">
        <v>3</v>
      </c>
      <c r="C1908">
        <v>6895</v>
      </c>
      <c r="D1908" s="31" t="s">
        <v>7</v>
      </c>
      <c r="E1908">
        <v>4666</v>
      </c>
    </row>
    <row r="1909" spans="1:5">
      <c r="B1909" s="31" t="s">
        <v>4</v>
      </c>
      <c r="C1909">
        <v>3412</v>
      </c>
      <c r="D1909" s="31" t="s">
        <v>10</v>
      </c>
      <c r="E1909">
        <v>3136</v>
      </c>
    </row>
    <row r="1910" spans="1:5">
      <c r="B1910" s="31" t="s">
        <v>5</v>
      </c>
      <c r="C1910">
        <v>372</v>
      </c>
      <c r="D1910" s="31" t="s">
        <v>12</v>
      </c>
      <c r="E1910">
        <v>1433</v>
      </c>
    </row>
    <row r="1911" spans="1:5">
      <c r="B1911" s="31" t="s">
        <v>459</v>
      </c>
      <c r="C1911">
        <v>152</v>
      </c>
    </row>
    <row r="1912" spans="1:5">
      <c r="B1912" s="31" t="s">
        <v>1604</v>
      </c>
      <c r="C1912">
        <v>0</v>
      </c>
    </row>
    <row r="1913" spans="1:5">
      <c r="A1913" s="31">
        <v>2</v>
      </c>
      <c r="B1913" s="31" t="s">
        <v>51</v>
      </c>
      <c r="C1913" s="31"/>
    </row>
    <row r="1914" spans="1:5">
      <c r="B1914" s="112" t="s">
        <v>3</v>
      </c>
      <c r="D1914" t="s">
        <v>7</v>
      </c>
    </row>
    <row r="1915" spans="1:5">
      <c r="B1915" s="112" t="s">
        <v>1766</v>
      </c>
      <c r="C1915" t="s">
        <v>1844</v>
      </c>
      <c r="D1915" t="s">
        <v>191</v>
      </c>
      <c r="E1915" t="s">
        <v>480</v>
      </c>
    </row>
    <row r="1916" spans="1:5">
      <c r="B1916" s="112" t="s">
        <v>1843</v>
      </c>
      <c r="C1916" t="s">
        <v>1753</v>
      </c>
      <c r="D1916" t="s">
        <v>191</v>
      </c>
      <c r="E1916" t="s">
        <v>895</v>
      </c>
    </row>
    <row r="1917" spans="1:5">
      <c r="B1917" s="112" t="s">
        <v>4</v>
      </c>
      <c r="D1917" t="s">
        <v>1732</v>
      </c>
      <c r="E1917" t="s">
        <v>895</v>
      </c>
    </row>
    <row r="1918" spans="1:5">
      <c r="B1918" s="112" t="s">
        <v>191</v>
      </c>
      <c r="C1918" t="s">
        <v>1809</v>
      </c>
      <c r="D1918" t="s">
        <v>10</v>
      </c>
    </row>
    <row r="1919" spans="1:5">
      <c r="B1919" s="112" t="s">
        <v>1845</v>
      </c>
      <c r="D1919" t="s">
        <v>1665</v>
      </c>
      <c r="E1919" t="s">
        <v>1733</v>
      </c>
    </row>
    <row r="1920" spans="1:5">
      <c r="B1920" s="112" t="s">
        <v>1802</v>
      </c>
      <c r="C1920" t="s">
        <v>1803</v>
      </c>
      <c r="D1920" t="s">
        <v>191</v>
      </c>
      <c r="E1920" t="s">
        <v>418</v>
      </c>
    </row>
    <row r="1922" spans="1:6">
      <c r="A1922" s="31"/>
      <c r="B1922" s="31" t="s">
        <v>1846</v>
      </c>
      <c r="C1922" s="31"/>
      <c r="D1922" s="31"/>
      <c r="E1922" s="31"/>
    </row>
    <row r="1923" spans="1:6">
      <c r="A1923" s="31">
        <v>1</v>
      </c>
      <c r="B1923" s="31" t="s">
        <v>652</v>
      </c>
      <c r="C1923" s="31"/>
      <c r="D1923" s="31"/>
      <c r="E1923" s="31"/>
    </row>
    <row r="1924" spans="1:6">
      <c r="B1924" s="31" t="s">
        <v>3</v>
      </c>
      <c r="C1924">
        <v>4134</v>
      </c>
      <c r="D1924" s="31" t="s">
        <v>7</v>
      </c>
      <c r="E1924">
        <v>3826</v>
      </c>
    </row>
    <row r="1925" spans="1:6">
      <c r="B1925" s="31" t="s">
        <v>4</v>
      </c>
      <c r="C1925">
        <v>1361</v>
      </c>
      <c r="D1925" s="31" t="s">
        <v>10</v>
      </c>
      <c r="E1925">
        <v>3112</v>
      </c>
    </row>
    <row r="1926" spans="1:6">
      <c r="B1926" s="31" t="s">
        <v>5</v>
      </c>
      <c r="C1926">
        <v>390</v>
      </c>
      <c r="D1926" s="31" t="s">
        <v>12</v>
      </c>
      <c r="E1926">
        <v>2114</v>
      </c>
    </row>
    <row r="1927" spans="1:6">
      <c r="B1927" s="31" t="s">
        <v>1604</v>
      </c>
      <c r="C1927">
        <v>0</v>
      </c>
    </row>
    <row r="1928" spans="1:6">
      <c r="B1928" s="31" t="s">
        <v>459</v>
      </c>
      <c r="C1928">
        <v>160</v>
      </c>
    </row>
    <row r="1929" spans="1:6">
      <c r="B1929" s="113" t="s">
        <v>1847</v>
      </c>
      <c r="D1929">
        <v>15110</v>
      </c>
    </row>
    <row r="1930" spans="1:6">
      <c r="A1930" s="31">
        <v>2</v>
      </c>
      <c r="B1930" s="31" t="s">
        <v>51</v>
      </c>
      <c r="C1930" s="31"/>
      <c r="D1930" s="31"/>
      <c r="E1930" s="31"/>
      <c r="F1930" s="31"/>
    </row>
    <row r="1931" spans="1:6">
      <c r="A1931" s="31"/>
      <c r="B1931" s="31" t="s">
        <v>3</v>
      </c>
      <c r="C1931" s="31" t="s">
        <v>1822</v>
      </c>
      <c r="D1931" s="31"/>
      <c r="E1931" s="31" t="s">
        <v>7</v>
      </c>
      <c r="F1931" s="31" t="s">
        <v>1823</v>
      </c>
    </row>
    <row r="1932" spans="1:6">
      <c r="B1932" s="113" t="s">
        <v>1659</v>
      </c>
      <c r="C1932" s="113" t="s">
        <v>1769</v>
      </c>
      <c r="E1932" s="113" t="s">
        <v>191</v>
      </c>
      <c r="F1932" s="113" t="s">
        <v>1755</v>
      </c>
    </row>
    <row r="1933" spans="1:6">
      <c r="B1933" s="113" t="s">
        <v>1665</v>
      </c>
      <c r="C1933" s="114" t="s">
        <v>1848</v>
      </c>
      <c r="E1933" s="113" t="s">
        <v>191</v>
      </c>
      <c r="F1933" s="113" t="s">
        <v>480</v>
      </c>
    </row>
    <row r="1934" spans="1:6">
      <c r="B1934" s="113" t="s">
        <v>4</v>
      </c>
      <c r="E1934" s="113" t="s">
        <v>10</v>
      </c>
      <c r="F1934" s="113" t="s">
        <v>1822</v>
      </c>
    </row>
    <row r="1935" spans="1:6">
      <c r="B1935" s="113" t="s">
        <v>191</v>
      </c>
      <c r="C1935" s="113" t="s">
        <v>1849</v>
      </c>
      <c r="E1935" s="113" t="s">
        <v>191</v>
      </c>
      <c r="F1935" s="113" t="s">
        <v>1850</v>
      </c>
    </row>
    <row r="1937" spans="1:6">
      <c r="A1937" s="23"/>
      <c r="B1937" s="23" t="s">
        <v>1851</v>
      </c>
      <c r="C1937" s="23"/>
      <c r="D1937" s="23"/>
    </row>
    <row r="1938" spans="1:6">
      <c r="A1938" s="23"/>
      <c r="B1938" s="23" t="s">
        <v>652</v>
      </c>
      <c r="C1938" s="23"/>
      <c r="D1938" s="23"/>
    </row>
    <row r="1939" spans="1:6">
      <c r="B1939" s="115" t="s">
        <v>3</v>
      </c>
      <c r="C1939">
        <v>4418</v>
      </c>
      <c r="D1939" t="s">
        <v>7</v>
      </c>
      <c r="E1939">
        <v>3804</v>
      </c>
    </row>
    <row r="1940" spans="1:6">
      <c r="B1940" s="115" t="s">
        <v>4</v>
      </c>
      <c r="C1940">
        <v>175</v>
      </c>
      <c r="D1940" t="s">
        <v>10</v>
      </c>
      <c r="E1940">
        <v>2836</v>
      </c>
    </row>
    <row r="1941" spans="1:6">
      <c r="B1941" s="115" t="s">
        <v>5</v>
      </c>
      <c r="C1941">
        <v>277</v>
      </c>
      <c r="D1941" t="s">
        <v>12</v>
      </c>
      <c r="E1941">
        <v>0</v>
      </c>
    </row>
    <row r="1942" spans="1:6">
      <c r="B1942" s="115" t="s">
        <v>459</v>
      </c>
      <c r="C1942">
        <v>0</v>
      </c>
    </row>
    <row r="1943" spans="1:6">
      <c r="B1943" s="115" t="s">
        <v>1604</v>
      </c>
      <c r="C1943">
        <v>189</v>
      </c>
    </row>
    <row r="1944" spans="1:6">
      <c r="B1944" s="115" t="s">
        <v>1852</v>
      </c>
    </row>
    <row r="1946" spans="1:6">
      <c r="A1946" s="31"/>
      <c r="B1946" s="31" t="s">
        <v>1853</v>
      </c>
      <c r="C1946" s="31"/>
      <c r="D1946" s="31"/>
    </row>
    <row r="1947" spans="1:6">
      <c r="A1947" s="31">
        <v>1</v>
      </c>
      <c r="B1947" s="31" t="s">
        <v>652</v>
      </c>
      <c r="C1947" s="31"/>
      <c r="D1947" s="31"/>
      <c r="E1947" s="31"/>
    </row>
    <row r="1948" spans="1:6">
      <c r="B1948" s="31" t="s">
        <v>3</v>
      </c>
      <c r="C1948">
        <v>7169</v>
      </c>
      <c r="E1948" s="31" t="s">
        <v>7</v>
      </c>
      <c r="F1948">
        <v>3907</v>
      </c>
    </row>
    <row r="1949" spans="1:6">
      <c r="B1949" s="31" t="s">
        <v>4</v>
      </c>
      <c r="C1949">
        <v>1601</v>
      </c>
      <c r="E1949" s="31" t="s">
        <v>10</v>
      </c>
      <c r="F1949">
        <v>1335</v>
      </c>
    </row>
    <row r="1950" spans="1:6">
      <c r="B1950" s="31" t="s">
        <v>5</v>
      </c>
      <c r="C1950">
        <v>503</v>
      </c>
      <c r="E1950" s="31" t="s">
        <v>12</v>
      </c>
      <c r="F1950">
        <v>297</v>
      </c>
    </row>
    <row r="1951" spans="1:6">
      <c r="B1951" s="31" t="s">
        <v>459</v>
      </c>
      <c r="C1951">
        <v>190</v>
      </c>
    </row>
    <row r="1952" spans="1:6">
      <c r="B1952" s="31" t="s">
        <v>1604</v>
      </c>
      <c r="C1952">
        <v>0</v>
      </c>
    </row>
    <row r="1953" spans="1:8">
      <c r="B1953" s="116" t="s">
        <v>425</v>
      </c>
      <c r="C1953">
        <v>15002</v>
      </c>
    </row>
    <row r="1954" spans="1:8">
      <c r="B1954" s="116" t="s">
        <v>1854</v>
      </c>
    </row>
    <row r="1955" spans="1:8">
      <c r="A1955" s="31">
        <v>2</v>
      </c>
      <c r="B1955" s="31" t="s">
        <v>51</v>
      </c>
      <c r="C1955" s="31"/>
    </row>
    <row r="1956" spans="1:8">
      <c r="B1956" s="31" t="s">
        <v>3</v>
      </c>
      <c r="C1956" s="116" t="s">
        <v>1863</v>
      </c>
      <c r="E1956" s="31" t="s">
        <v>7</v>
      </c>
      <c r="F1956" t="s">
        <v>1860</v>
      </c>
      <c r="G1956" t="s">
        <v>1755</v>
      </c>
    </row>
    <row r="1957" spans="1:8">
      <c r="B1957" s="31" t="s">
        <v>4</v>
      </c>
      <c r="E1957" s="31"/>
      <c r="F1957" t="s">
        <v>1861</v>
      </c>
      <c r="G1957" t="s">
        <v>1812</v>
      </c>
    </row>
    <row r="1958" spans="1:8">
      <c r="B1958" s="31" t="s">
        <v>1855</v>
      </c>
      <c r="C1958" t="s">
        <v>1802</v>
      </c>
      <c r="E1958" s="31"/>
      <c r="F1958" t="s">
        <v>1862</v>
      </c>
      <c r="G1958" t="s">
        <v>895</v>
      </c>
    </row>
    <row r="1959" spans="1:8">
      <c r="B1959" s="31" t="s">
        <v>1856</v>
      </c>
      <c r="C1959" t="s">
        <v>1802</v>
      </c>
      <c r="E1959" s="31" t="s">
        <v>10</v>
      </c>
      <c r="F1959" s="116" t="s">
        <v>1863</v>
      </c>
    </row>
    <row r="1960" spans="1:8">
      <c r="B1960" s="31" t="s">
        <v>5</v>
      </c>
      <c r="C1960" t="s">
        <v>1857</v>
      </c>
    </row>
    <row r="1962" spans="1:8">
      <c r="A1962" s="31">
        <v>3</v>
      </c>
      <c r="B1962" s="31" t="s">
        <v>246</v>
      </c>
      <c r="C1962" s="31"/>
      <c r="D1962" s="31"/>
      <c r="E1962" s="31"/>
      <c r="F1962" s="31"/>
      <c r="G1962" s="31"/>
      <c r="H1962" s="31"/>
    </row>
    <row r="1963" spans="1:8">
      <c r="A1963" s="31"/>
      <c r="B1963" s="31" t="s">
        <v>1858</v>
      </c>
      <c r="C1963" s="31"/>
      <c r="D1963" s="31" t="s">
        <v>1507</v>
      </c>
      <c r="E1963" s="31"/>
      <c r="F1963" s="31" t="s">
        <v>1859</v>
      </c>
      <c r="G1963" s="31"/>
      <c r="H1963" s="31"/>
    </row>
    <row r="1964" spans="1:8">
      <c r="B1964" s="31" t="s">
        <v>3</v>
      </c>
      <c r="C1964">
        <v>0</v>
      </c>
      <c r="E1964">
        <v>3</v>
      </c>
      <c r="G1964">
        <v>15</v>
      </c>
    </row>
    <row r="1965" spans="1:8">
      <c r="B1965" s="31" t="s">
        <v>4</v>
      </c>
      <c r="C1965">
        <v>6</v>
      </c>
      <c r="E1965">
        <v>4</v>
      </c>
      <c r="G1965">
        <v>0</v>
      </c>
    </row>
    <row r="1966" spans="1:8">
      <c r="B1966" s="31" t="s">
        <v>5</v>
      </c>
      <c r="C1966">
        <v>1</v>
      </c>
      <c r="E1966">
        <v>0</v>
      </c>
      <c r="G1966">
        <v>0</v>
      </c>
    </row>
    <row r="1967" spans="1:8">
      <c r="B1967" s="31" t="s">
        <v>7</v>
      </c>
      <c r="C1967">
        <v>0</v>
      </c>
      <c r="E1967">
        <v>0</v>
      </c>
      <c r="G1967">
        <v>0</v>
      </c>
    </row>
    <row r="1968" spans="1:8">
      <c r="B1968" s="31" t="s">
        <v>10</v>
      </c>
      <c r="C1968">
        <v>0</v>
      </c>
      <c r="E1968">
        <v>6</v>
      </c>
      <c r="G1968">
        <v>0</v>
      </c>
    </row>
    <row r="1969" spans="2:7">
      <c r="B1969" s="31" t="s">
        <v>1816</v>
      </c>
      <c r="C1969">
        <v>1</v>
      </c>
      <c r="E1969">
        <v>0</v>
      </c>
      <c r="G1969">
        <v>15</v>
      </c>
    </row>
    <row r="1971" spans="2:7">
      <c r="B1971" s="31" t="s">
        <v>1864</v>
      </c>
    </row>
    <row r="1972" spans="2:7">
      <c r="B1972" s="31" t="s">
        <v>652</v>
      </c>
    </row>
    <row r="1973" spans="2:7">
      <c r="B1973" s="31" t="s">
        <v>3</v>
      </c>
      <c r="C1973">
        <v>5947</v>
      </c>
      <c r="D1973" t="s">
        <v>7</v>
      </c>
      <c r="E1973">
        <v>5260</v>
      </c>
    </row>
    <row r="1974" spans="2:7">
      <c r="B1974" s="31" t="s">
        <v>4</v>
      </c>
      <c r="C1974">
        <v>560</v>
      </c>
      <c r="D1974" t="s">
        <v>10</v>
      </c>
      <c r="E1974">
        <v>1465</v>
      </c>
    </row>
    <row r="1975" spans="2:7">
      <c r="B1975" s="31" t="s">
        <v>5</v>
      </c>
      <c r="C1975">
        <v>356</v>
      </c>
      <c r="D1975" t="s">
        <v>12</v>
      </c>
      <c r="E1975">
        <v>0</v>
      </c>
    </row>
    <row r="1976" spans="2:7">
      <c r="B1976" s="31" t="s">
        <v>459</v>
      </c>
      <c r="C1976">
        <v>173</v>
      </c>
    </row>
    <row r="1977" spans="2:7">
      <c r="B1977" s="31" t="s">
        <v>1604</v>
      </c>
      <c r="C1977">
        <v>0</v>
      </c>
    </row>
    <row r="1978" spans="2:7">
      <c r="B1978" s="31" t="s">
        <v>460</v>
      </c>
      <c r="C1978">
        <v>13761</v>
      </c>
    </row>
    <row r="1979" spans="2:7">
      <c r="B1979" s="31" t="s">
        <v>51</v>
      </c>
    </row>
    <row r="1980" spans="2:7">
      <c r="B1980" s="31" t="s">
        <v>4</v>
      </c>
      <c r="D1980" t="s">
        <v>7</v>
      </c>
    </row>
    <row r="1981" spans="2:7">
      <c r="B1981" s="31" t="s">
        <v>1865</v>
      </c>
      <c r="D1981" t="s">
        <v>1867</v>
      </c>
    </row>
    <row r="1982" spans="2:7">
      <c r="B1982" s="31" t="s">
        <v>10</v>
      </c>
      <c r="D1982" t="s">
        <v>1862</v>
      </c>
    </row>
    <row r="1983" spans="2:7">
      <c r="B1983" s="31" t="s">
        <v>1865</v>
      </c>
    </row>
    <row r="1984" spans="2:7">
      <c r="B1984" s="31" t="s">
        <v>1866</v>
      </c>
    </row>
    <row r="1985" spans="2:6">
      <c r="B1985" s="31" t="s">
        <v>246</v>
      </c>
    </row>
    <row r="1986" spans="2:6">
      <c r="B1986" s="31" t="s">
        <v>1868</v>
      </c>
      <c r="C1986" t="s">
        <v>1858</v>
      </c>
      <c r="D1986" t="s">
        <v>1507</v>
      </c>
      <c r="F1986" t="s">
        <v>1828</v>
      </c>
    </row>
    <row r="1987" spans="2:6">
      <c r="B1987" s="31" t="s">
        <v>3</v>
      </c>
      <c r="C1987">
        <v>0</v>
      </c>
      <c r="D1987">
        <v>3</v>
      </c>
      <c r="F1987">
        <v>15</v>
      </c>
    </row>
    <row r="1988" spans="2:6">
      <c r="B1988" s="31" t="s">
        <v>4</v>
      </c>
      <c r="C1988">
        <v>6</v>
      </c>
      <c r="D1988">
        <v>3</v>
      </c>
      <c r="F1988">
        <v>12</v>
      </c>
    </row>
    <row r="1989" spans="2:6">
      <c r="B1989" s="31" t="s">
        <v>5</v>
      </c>
      <c r="C1989">
        <v>1</v>
      </c>
      <c r="D1989">
        <v>0</v>
      </c>
      <c r="F1989">
        <v>1</v>
      </c>
    </row>
    <row r="1990" spans="2:6">
      <c r="B1990" s="31" t="s">
        <v>1816</v>
      </c>
      <c r="C1990">
        <v>1</v>
      </c>
      <c r="D1990">
        <v>0</v>
      </c>
      <c r="F1990">
        <v>7</v>
      </c>
    </row>
    <row r="1991" spans="2:6">
      <c r="B1991" s="31" t="s">
        <v>10</v>
      </c>
      <c r="C1991">
        <v>1</v>
      </c>
      <c r="D1991">
        <v>1</v>
      </c>
      <c r="F1991">
        <v>2</v>
      </c>
    </row>
    <row r="1992" spans="2:6">
      <c r="B1992" s="31" t="s">
        <v>1829</v>
      </c>
      <c r="C1992">
        <v>0</v>
      </c>
      <c r="D1992">
        <v>0</v>
      </c>
      <c r="F1992">
        <v>18</v>
      </c>
    </row>
    <row r="1994" spans="2:6">
      <c r="B1994" s="31" t="s">
        <v>1869</v>
      </c>
    </row>
    <row r="1995" spans="2:6">
      <c r="B1995" s="31" t="s">
        <v>652</v>
      </c>
    </row>
    <row r="1996" spans="2:6">
      <c r="B1996" s="31" t="s">
        <v>1868</v>
      </c>
      <c r="D1996" s="31" t="s">
        <v>7</v>
      </c>
      <c r="E1996">
        <v>3780</v>
      </c>
    </row>
    <row r="1997" spans="2:6">
      <c r="B1997" s="31" t="s">
        <v>3</v>
      </c>
      <c r="C1997">
        <v>6709</v>
      </c>
      <c r="D1997" s="31" t="s">
        <v>10</v>
      </c>
      <c r="E1997">
        <v>2841</v>
      </c>
    </row>
    <row r="1998" spans="2:6">
      <c r="B1998" s="31" t="s">
        <v>4</v>
      </c>
      <c r="C1998">
        <v>3104</v>
      </c>
      <c r="D1998" s="31" t="s">
        <v>12</v>
      </c>
      <c r="E1998">
        <v>1580</v>
      </c>
    </row>
    <row r="1999" spans="2:6">
      <c r="B1999" s="31" t="s">
        <v>5</v>
      </c>
      <c r="C1999">
        <v>506</v>
      </c>
    </row>
    <row r="2000" spans="2:6">
      <c r="B2000" s="31" t="s">
        <v>459</v>
      </c>
      <c r="C2000">
        <v>203</v>
      </c>
    </row>
    <row r="2001" spans="1:6">
      <c r="B2001" s="31" t="s">
        <v>1639</v>
      </c>
      <c r="C2001">
        <v>18723</v>
      </c>
    </row>
    <row r="2003" spans="1:6">
      <c r="B2003" s="31"/>
    </row>
    <row r="2004" spans="1:6">
      <c r="B2004" s="31" t="s">
        <v>652</v>
      </c>
    </row>
    <row r="2005" spans="1:6">
      <c r="B2005" s="31" t="s">
        <v>3</v>
      </c>
      <c r="C2005">
        <v>3440</v>
      </c>
      <c r="D2005" s="31" t="s">
        <v>7</v>
      </c>
      <c r="E2005">
        <v>3871</v>
      </c>
    </row>
    <row r="2006" spans="1:6">
      <c r="B2006" s="31" t="s">
        <v>4</v>
      </c>
      <c r="C2006">
        <v>2171</v>
      </c>
      <c r="D2006" s="31" t="s">
        <v>10</v>
      </c>
      <c r="E2006">
        <v>2468</v>
      </c>
    </row>
    <row r="2007" spans="1:6">
      <c r="B2007" s="31" t="s">
        <v>5</v>
      </c>
      <c r="C2007">
        <v>400</v>
      </c>
      <c r="D2007" s="31" t="s">
        <v>12</v>
      </c>
      <c r="E2007">
        <v>1420</v>
      </c>
    </row>
    <row r="2008" spans="1:6">
      <c r="B2008" s="31" t="s">
        <v>459</v>
      </c>
      <c r="C2008">
        <v>199</v>
      </c>
    </row>
    <row r="2009" spans="1:6">
      <c r="B2009" s="31" t="s">
        <v>1604</v>
      </c>
      <c r="C2009">
        <v>0</v>
      </c>
    </row>
    <row r="2010" spans="1:6">
      <c r="B2010" s="117" t="s">
        <v>1016</v>
      </c>
      <c r="D2010">
        <v>13969</v>
      </c>
    </row>
    <row r="2012" spans="1:6">
      <c r="A2012" s="31"/>
      <c r="B2012" s="31" t="s">
        <v>51</v>
      </c>
      <c r="C2012" s="31"/>
      <c r="D2012" s="31"/>
      <c r="E2012" s="31"/>
      <c r="F2012" s="31"/>
    </row>
    <row r="2013" spans="1:6">
      <c r="A2013" s="31"/>
      <c r="B2013" s="31" t="s">
        <v>311</v>
      </c>
      <c r="C2013" s="31"/>
      <c r="D2013" s="31"/>
      <c r="E2013" s="31" t="s">
        <v>301</v>
      </c>
      <c r="F2013" s="31"/>
    </row>
    <row r="2014" spans="1:6">
      <c r="B2014" s="117" t="s">
        <v>1659</v>
      </c>
      <c r="C2014" s="117" t="s">
        <v>3</v>
      </c>
      <c r="E2014" s="117" t="s">
        <v>1873</v>
      </c>
      <c r="F2014" s="117" t="s">
        <v>1733</v>
      </c>
    </row>
    <row r="2015" spans="1:6">
      <c r="B2015" s="117" t="s">
        <v>1870</v>
      </c>
      <c r="C2015" s="117" t="s">
        <v>1871</v>
      </c>
      <c r="E2015" s="117" t="s">
        <v>1861</v>
      </c>
      <c r="F2015" s="117" t="s">
        <v>418</v>
      </c>
    </row>
    <row r="2016" spans="1:6">
      <c r="B2016" s="117" t="s">
        <v>1872</v>
      </c>
      <c r="C2016" s="117" t="s">
        <v>400</v>
      </c>
    </row>
    <row r="2017" spans="2:6">
      <c r="B2017" s="117"/>
    </row>
    <row r="2018" spans="2:6">
      <c r="B2018" s="118" t="s">
        <v>1874</v>
      </c>
    </row>
    <row r="2019" spans="2:6">
      <c r="B2019" s="31" t="s">
        <v>652</v>
      </c>
    </row>
    <row r="2020" spans="2:6">
      <c r="B2020" s="31" t="s">
        <v>3</v>
      </c>
      <c r="C2020">
        <v>2805</v>
      </c>
      <c r="D2020" s="31" t="s">
        <v>7</v>
      </c>
      <c r="E2020">
        <v>3916</v>
      </c>
    </row>
    <row r="2021" spans="2:6">
      <c r="B2021" s="31" t="s">
        <v>4</v>
      </c>
      <c r="C2021">
        <v>3272</v>
      </c>
      <c r="D2021" s="31" t="s">
        <v>10</v>
      </c>
      <c r="E2021">
        <v>1387</v>
      </c>
    </row>
    <row r="2022" spans="2:6">
      <c r="B2022" s="31" t="s">
        <v>5</v>
      </c>
      <c r="C2022">
        <v>271</v>
      </c>
      <c r="D2022" s="31" t="s">
        <v>12</v>
      </c>
      <c r="E2022">
        <v>2049</v>
      </c>
    </row>
    <row r="2023" spans="2:6">
      <c r="B2023" s="31" t="s">
        <v>459</v>
      </c>
      <c r="C2023">
        <v>124</v>
      </c>
    </row>
    <row r="2024" spans="2:6">
      <c r="B2024" s="31" t="s">
        <v>1604</v>
      </c>
      <c r="C2024">
        <v>0</v>
      </c>
    </row>
    <row r="2025" spans="2:6">
      <c r="B2025" s="117" t="s">
        <v>1016</v>
      </c>
      <c r="D2025">
        <v>14824</v>
      </c>
    </row>
    <row r="2027" spans="2:6">
      <c r="B2027" s="31" t="s">
        <v>51</v>
      </c>
      <c r="C2027" s="31"/>
      <c r="D2027" s="31"/>
      <c r="E2027" s="31"/>
      <c r="F2027" s="31"/>
    </row>
    <row r="2028" spans="2:6">
      <c r="B2028" s="31" t="s">
        <v>311</v>
      </c>
      <c r="C2028" s="31"/>
      <c r="D2028" s="31"/>
      <c r="E2028" s="31" t="s">
        <v>301</v>
      </c>
      <c r="F2028" s="31"/>
    </row>
    <row r="2029" spans="2:6">
      <c r="B2029" s="118" t="s">
        <v>1875</v>
      </c>
      <c r="C2029" s="117" t="s">
        <v>3</v>
      </c>
      <c r="E2029" s="117" t="s">
        <v>1873</v>
      </c>
      <c r="F2029" s="117" t="s">
        <v>1733</v>
      </c>
    </row>
    <row r="2030" spans="2:6">
      <c r="B2030" s="118" t="s">
        <v>1876</v>
      </c>
      <c r="C2030" s="118" t="s">
        <v>3</v>
      </c>
      <c r="E2030" s="117" t="s">
        <v>1861</v>
      </c>
      <c r="F2030" s="117" t="s">
        <v>418</v>
      </c>
    </row>
    <row r="2031" spans="2:6">
      <c r="B2031" s="118" t="s">
        <v>1877</v>
      </c>
      <c r="C2031" s="117" t="s">
        <v>400</v>
      </c>
    </row>
    <row r="2032" spans="2:6">
      <c r="B2032" s="117"/>
    </row>
    <row r="2034" spans="1:11">
      <c r="B2034" s="19" t="s">
        <v>1884</v>
      </c>
      <c r="C2034" s="19" t="s">
        <v>1885</v>
      </c>
      <c r="D2034" s="120">
        <v>45401</v>
      </c>
      <c r="E2034" s="19" t="s">
        <v>1886</v>
      </c>
      <c r="F2034" s="120">
        <v>45407</v>
      </c>
    </row>
    <row r="2036" spans="1:11">
      <c r="B2036" s="19" t="s">
        <v>1878</v>
      </c>
      <c r="C2036" s="19" t="s">
        <v>1879</v>
      </c>
      <c r="D2036" s="19" t="s">
        <v>1728</v>
      </c>
      <c r="E2036" s="19" t="s">
        <v>1880</v>
      </c>
      <c r="F2036" s="19" t="s">
        <v>1881</v>
      </c>
      <c r="K2036" s="19" t="s">
        <v>1883</v>
      </c>
    </row>
    <row r="2037" spans="1:11">
      <c r="B2037" s="19" t="s">
        <v>3</v>
      </c>
      <c r="C2037">
        <v>5600</v>
      </c>
      <c r="F2037">
        <v>7</v>
      </c>
      <c r="J2037" t="s">
        <v>1890</v>
      </c>
      <c r="K2037" t="s">
        <v>1887</v>
      </c>
    </row>
    <row r="2038" spans="1:11">
      <c r="B2038" s="19" t="s">
        <v>4</v>
      </c>
      <c r="C2038">
        <v>4200</v>
      </c>
      <c r="F2038">
        <v>7</v>
      </c>
      <c r="J2038" t="s">
        <v>1891</v>
      </c>
      <c r="K2038" t="s">
        <v>1888</v>
      </c>
    </row>
    <row r="2039" spans="1:11">
      <c r="B2039" s="19" t="s">
        <v>7</v>
      </c>
      <c r="C2039">
        <v>4900</v>
      </c>
      <c r="F2039">
        <v>7</v>
      </c>
      <c r="J2039" t="s">
        <v>1892</v>
      </c>
      <c r="K2039" t="s">
        <v>1889</v>
      </c>
    </row>
    <row r="2040" spans="1:11">
      <c r="B2040" s="19" t="s">
        <v>1354</v>
      </c>
      <c r="C2040">
        <v>3500</v>
      </c>
      <c r="F2040">
        <v>7</v>
      </c>
      <c r="J2040" t="s">
        <v>1893</v>
      </c>
    </row>
    <row r="2041" spans="1:11">
      <c r="B2041" s="19" t="s">
        <v>5</v>
      </c>
      <c r="C2041">
        <v>700</v>
      </c>
      <c r="F2041">
        <v>7</v>
      </c>
      <c r="J2041" t="s">
        <v>1894</v>
      </c>
    </row>
    <row r="2042" spans="1:11">
      <c r="B2042" s="19" t="s">
        <v>1882</v>
      </c>
      <c r="C2042">
        <v>350</v>
      </c>
      <c r="F2042">
        <v>7</v>
      </c>
      <c r="J2042" t="s">
        <v>1895</v>
      </c>
    </row>
    <row r="2043" spans="1:11">
      <c r="B2043" s="19" t="s">
        <v>12</v>
      </c>
      <c r="F2043">
        <v>7</v>
      </c>
    </row>
    <row r="2044" spans="1:11">
      <c r="B2044" s="19" t="s">
        <v>460</v>
      </c>
      <c r="C2044">
        <v>19250</v>
      </c>
      <c r="F2044">
        <v>7</v>
      </c>
    </row>
    <row r="2045" spans="1:11">
      <c r="B2045" s="19"/>
    </row>
    <row r="2047" spans="1:11">
      <c r="A2047" s="119"/>
      <c r="B2047" s="19" t="s">
        <v>1884</v>
      </c>
      <c r="C2047" s="19" t="s">
        <v>1885</v>
      </c>
      <c r="D2047" s="120">
        <v>45408</v>
      </c>
      <c r="E2047" s="19" t="s">
        <v>1886</v>
      </c>
      <c r="F2047" s="120">
        <v>45414</v>
      </c>
    </row>
    <row r="2049" spans="2:11">
      <c r="B2049" s="19" t="s">
        <v>1878</v>
      </c>
      <c r="C2049" s="19" t="s">
        <v>1879</v>
      </c>
      <c r="D2049" s="19" t="s">
        <v>1728</v>
      </c>
      <c r="E2049" s="19" t="s">
        <v>1880</v>
      </c>
      <c r="F2049" s="19" t="s">
        <v>1881</v>
      </c>
      <c r="K2049" s="19" t="s">
        <v>1883</v>
      </c>
    </row>
    <row r="2050" spans="2:11">
      <c r="B2050" s="19" t="s">
        <v>3</v>
      </c>
      <c r="C2050">
        <v>5600</v>
      </c>
      <c r="D2050">
        <v>3278</v>
      </c>
      <c r="E2050">
        <f>C2050-D2050</f>
        <v>2322</v>
      </c>
      <c r="F2050">
        <v>7</v>
      </c>
      <c r="J2050" t="s">
        <v>1896</v>
      </c>
      <c r="K2050" t="s">
        <v>1898</v>
      </c>
    </row>
    <row r="2051" spans="2:11">
      <c r="B2051" s="19" t="s">
        <v>4</v>
      </c>
      <c r="C2051">
        <v>4200</v>
      </c>
      <c r="D2051">
        <v>2177</v>
      </c>
      <c r="E2051">
        <f t="shared" ref="E2051:E2056" si="0">C2051-D2051</f>
        <v>2023</v>
      </c>
      <c r="F2051">
        <v>7</v>
      </c>
      <c r="J2051" t="s">
        <v>1897</v>
      </c>
      <c r="K2051" t="s">
        <v>1899</v>
      </c>
    </row>
    <row r="2052" spans="2:11">
      <c r="B2052" s="19" t="s">
        <v>7</v>
      </c>
      <c r="C2052">
        <v>4900</v>
      </c>
      <c r="D2052">
        <v>3278</v>
      </c>
      <c r="E2052">
        <f t="shared" si="0"/>
        <v>1622</v>
      </c>
      <c r="F2052">
        <v>7</v>
      </c>
      <c r="J2052" t="s">
        <v>1892</v>
      </c>
      <c r="K2052" t="s">
        <v>1900</v>
      </c>
    </row>
    <row r="2053" spans="2:11">
      <c r="B2053" s="19" t="s">
        <v>1354</v>
      </c>
      <c r="C2053">
        <v>3500</v>
      </c>
      <c r="D2053">
        <v>621</v>
      </c>
      <c r="E2053">
        <f t="shared" si="0"/>
        <v>2879</v>
      </c>
      <c r="F2053">
        <v>7</v>
      </c>
      <c r="J2053" t="s">
        <v>1905</v>
      </c>
      <c r="K2053" t="s">
        <v>1901</v>
      </c>
    </row>
    <row r="2054" spans="2:11">
      <c r="B2054" s="19" t="s">
        <v>5</v>
      </c>
      <c r="C2054">
        <v>700</v>
      </c>
      <c r="D2054">
        <v>296</v>
      </c>
      <c r="E2054">
        <f t="shared" si="0"/>
        <v>404</v>
      </c>
      <c r="F2054">
        <v>7</v>
      </c>
      <c r="J2054" t="s">
        <v>1906</v>
      </c>
      <c r="K2054" t="s">
        <v>1902</v>
      </c>
    </row>
    <row r="2055" spans="2:11">
      <c r="B2055" s="19" t="s">
        <v>1882</v>
      </c>
      <c r="C2055">
        <v>350</v>
      </c>
      <c r="D2055">
        <v>109</v>
      </c>
      <c r="E2055">
        <f t="shared" si="0"/>
        <v>241</v>
      </c>
      <c r="F2055">
        <v>7</v>
      </c>
      <c r="J2055" t="s">
        <v>1907</v>
      </c>
      <c r="K2055" t="s">
        <v>1903</v>
      </c>
    </row>
    <row r="2056" spans="2:11">
      <c r="B2056" s="19" t="s">
        <v>12</v>
      </c>
      <c r="C2056">
        <v>0</v>
      </c>
      <c r="D2056">
        <v>0</v>
      </c>
      <c r="E2056">
        <f t="shared" si="0"/>
        <v>0</v>
      </c>
      <c r="F2056">
        <v>7</v>
      </c>
      <c r="J2056" t="s">
        <v>1908</v>
      </c>
      <c r="K2056" t="s">
        <v>1904</v>
      </c>
    </row>
    <row r="2057" spans="2:11">
      <c r="B2057" s="19" t="s">
        <v>460</v>
      </c>
      <c r="C2057">
        <v>19250</v>
      </c>
      <c r="D2057">
        <f>D2050+D2051+D2052+D2053+D2054+D2055+D2056</f>
        <v>9759</v>
      </c>
      <c r="E2057">
        <f>E2050+E2051+E2052+E2053+E2054+E2055+E2056</f>
        <v>9491</v>
      </c>
      <c r="F2057">
        <v>7</v>
      </c>
      <c r="J2057" t="s">
        <v>1909</v>
      </c>
      <c r="K2057" t="s">
        <v>1910</v>
      </c>
    </row>
    <row r="2061" spans="2:11">
      <c r="B2061" s="19" t="s">
        <v>1884</v>
      </c>
      <c r="C2061" s="19" t="s">
        <v>1885</v>
      </c>
      <c r="D2061" s="120">
        <v>45415</v>
      </c>
      <c r="E2061" s="19" t="s">
        <v>1886</v>
      </c>
      <c r="F2061" s="120">
        <v>45421</v>
      </c>
    </row>
    <row r="2063" spans="2:11">
      <c r="B2063" s="19" t="s">
        <v>1878</v>
      </c>
      <c r="C2063" s="19" t="s">
        <v>1879</v>
      </c>
      <c r="D2063" s="19" t="s">
        <v>1728</v>
      </c>
      <c r="E2063" s="19" t="s">
        <v>1880</v>
      </c>
      <c r="F2063" s="19" t="s">
        <v>1881</v>
      </c>
      <c r="K2063" s="19" t="s">
        <v>1883</v>
      </c>
    </row>
    <row r="2064" spans="2:11">
      <c r="B2064" s="19" t="s">
        <v>3</v>
      </c>
      <c r="C2064">
        <v>5600</v>
      </c>
      <c r="D2064">
        <v>4423</v>
      </c>
      <c r="E2064">
        <f>C2064-D2064</f>
        <v>1177</v>
      </c>
      <c r="F2064">
        <v>7</v>
      </c>
      <c r="J2064" t="s">
        <v>1911</v>
      </c>
      <c r="K2064" t="s">
        <v>1913</v>
      </c>
    </row>
    <row r="2065" spans="2:11">
      <c r="B2065" s="19" t="s">
        <v>4</v>
      </c>
      <c r="C2065">
        <v>4200</v>
      </c>
      <c r="D2065">
        <v>2594</v>
      </c>
      <c r="E2065">
        <f t="shared" ref="E2065:E2071" si="1">C2065-D2065</f>
        <v>1606</v>
      </c>
      <c r="F2065">
        <v>7</v>
      </c>
      <c r="J2065" t="s">
        <v>1912</v>
      </c>
      <c r="K2065" t="s">
        <v>1914</v>
      </c>
    </row>
    <row r="2066" spans="2:11">
      <c r="B2066" s="19" t="s">
        <v>7</v>
      </c>
      <c r="C2066">
        <v>4900</v>
      </c>
      <c r="D2066">
        <v>3747</v>
      </c>
      <c r="E2066">
        <f t="shared" si="1"/>
        <v>1153</v>
      </c>
      <c r="F2066">
        <v>7</v>
      </c>
      <c r="J2066" t="s">
        <v>1915</v>
      </c>
      <c r="K2066" t="s">
        <v>1916</v>
      </c>
    </row>
    <row r="2067" spans="2:11">
      <c r="B2067" s="19" t="s">
        <v>1354</v>
      </c>
      <c r="C2067">
        <v>3500</v>
      </c>
      <c r="D2067">
        <v>2410</v>
      </c>
      <c r="E2067">
        <f t="shared" si="1"/>
        <v>1090</v>
      </c>
      <c r="F2067">
        <v>7</v>
      </c>
      <c r="J2067" t="s">
        <v>1917</v>
      </c>
      <c r="K2067" t="s">
        <v>1926</v>
      </c>
    </row>
    <row r="2068" spans="2:11">
      <c r="B2068" s="19" t="s">
        <v>5</v>
      </c>
      <c r="C2068">
        <v>700</v>
      </c>
      <c r="D2068">
        <v>314</v>
      </c>
      <c r="E2068">
        <f t="shared" si="1"/>
        <v>386</v>
      </c>
      <c r="F2068">
        <v>7</v>
      </c>
      <c r="J2068" t="s">
        <v>1918</v>
      </c>
      <c r="K2068" t="s">
        <v>1919</v>
      </c>
    </row>
    <row r="2069" spans="2:11">
      <c r="B2069" s="19" t="s">
        <v>1882</v>
      </c>
      <c r="C2069">
        <v>350</v>
      </c>
      <c r="D2069">
        <v>98</v>
      </c>
      <c r="E2069">
        <f t="shared" si="1"/>
        <v>252</v>
      </c>
      <c r="F2069">
        <v>7</v>
      </c>
      <c r="J2069" t="s">
        <v>1920</v>
      </c>
      <c r="K2069" t="s">
        <v>1921</v>
      </c>
    </row>
    <row r="2070" spans="2:11">
      <c r="B2070" s="19" t="s">
        <v>12</v>
      </c>
      <c r="C2070">
        <v>0</v>
      </c>
      <c r="D2070">
        <v>0</v>
      </c>
      <c r="E2070">
        <f t="shared" si="1"/>
        <v>0</v>
      </c>
      <c r="F2070">
        <v>7</v>
      </c>
      <c r="J2070" t="s">
        <v>1922</v>
      </c>
      <c r="K2070" t="s">
        <v>1923</v>
      </c>
    </row>
    <row r="2071" spans="2:11">
      <c r="B2071" s="19" t="s">
        <v>460</v>
      </c>
      <c r="C2071">
        <v>19250</v>
      </c>
      <c r="D2071">
        <f>D2064+D2065+D2066+D2067+D2068+D2069+D2070</f>
        <v>13586</v>
      </c>
      <c r="E2071">
        <f t="shared" si="1"/>
        <v>5664</v>
      </c>
      <c r="F2071">
        <v>7</v>
      </c>
      <c r="J2071" t="s">
        <v>1924</v>
      </c>
      <c r="K2071" t="s">
        <v>1925</v>
      </c>
    </row>
    <row r="2072" spans="2:11">
      <c r="J2072" t="s">
        <v>1927</v>
      </c>
      <c r="K2072" t="s">
        <v>1928</v>
      </c>
    </row>
    <row r="2074" spans="2:11" s="19" customFormat="1">
      <c r="B2074" s="19" t="s">
        <v>1884</v>
      </c>
      <c r="C2074" s="19" t="s">
        <v>1885</v>
      </c>
      <c r="D2074" s="120">
        <v>45429</v>
      </c>
      <c r="E2074" s="19" t="s">
        <v>1886</v>
      </c>
      <c r="F2074" s="120">
        <v>45435</v>
      </c>
    </row>
    <row r="2075" spans="2:11">
      <c r="K2075" s="19" t="s">
        <v>1883</v>
      </c>
    </row>
    <row r="2076" spans="2:11" s="19" customFormat="1">
      <c r="B2076" s="19" t="s">
        <v>1878</v>
      </c>
      <c r="C2076" s="19" t="s">
        <v>1879</v>
      </c>
      <c r="D2076" s="19" t="s">
        <v>1728</v>
      </c>
      <c r="E2076" s="19" t="s">
        <v>1880</v>
      </c>
      <c r="F2076" s="19" t="s">
        <v>1881</v>
      </c>
      <c r="J2076" t="s">
        <v>1911</v>
      </c>
      <c r="K2076" s="121" t="s">
        <v>1929</v>
      </c>
    </row>
    <row r="2077" spans="2:11">
      <c r="B2077" s="19" t="s">
        <v>3</v>
      </c>
      <c r="C2077">
        <v>5600</v>
      </c>
      <c r="D2077">
        <v>7663</v>
      </c>
      <c r="E2077">
        <f>C2077-D2077</f>
        <v>-2063</v>
      </c>
      <c r="F2077">
        <v>7</v>
      </c>
      <c r="J2077" t="s">
        <v>1912</v>
      </c>
      <c r="K2077" s="121" t="s">
        <v>1930</v>
      </c>
    </row>
    <row r="2078" spans="2:11">
      <c r="B2078" s="19" t="s">
        <v>4</v>
      </c>
      <c r="C2078">
        <v>4200</v>
      </c>
      <c r="D2078">
        <v>3232</v>
      </c>
      <c r="E2078">
        <f t="shared" ref="E2078:E2084" si="2">C2078-D2078</f>
        <v>968</v>
      </c>
      <c r="F2078">
        <v>7</v>
      </c>
      <c r="J2078" t="s">
        <v>1915</v>
      </c>
      <c r="K2078" s="121" t="s">
        <v>1931</v>
      </c>
    </row>
    <row r="2079" spans="2:11">
      <c r="B2079" s="19" t="s">
        <v>7</v>
      </c>
      <c r="C2079">
        <v>4900</v>
      </c>
      <c r="D2079">
        <v>3343</v>
      </c>
      <c r="E2079">
        <f t="shared" si="2"/>
        <v>1557</v>
      </c>
      <c r="F2079">
        <v>7</v>
      </c>
      <c r="J2079" t="s">
        <v>1917</v>
      </c>
      <c r="K2079" s="121" t="s">
        <v>1932</v>
      </c>
    </row>
    <row r="2080" spans="2:11">
      <c r="B2080" s="19" t="s">
        <v>10</v>
      </c>
      <c r="C2080">
        <v>3500</v>
      </c>
      <c r="D2080">
        <v>2802</v>
      </c>
      <c r="E2080">
        <f t="shared" si="2"/>
        <v>698</v>
      </c>
      <c r="F2080">
        <v>7</v>
      </c>
      <c r="J2080" t="s">
        <v>1918</v>
      </c>
      <c r="K2080" s="121" t="s">
        <v>1933</v>
      </c>
    </row>
    <row r="2081" spans="2:11">
      <c r="B2081" s="19" t="s">
        <v>5</v>
      </c>
      <c r="C2081">
        <v>700</v>
      </c>
      <c r="D2081">
        <v>298</v>
      </c>
      <c r="E2081">
        <f t="shared" si="2"/>
        <v>402</v>
      </c>
      <c r="F2081">
        <v>7</v>
      </c>
      <c r="J2081" t="s">
        <v>1920</v>
      </c>
      <c r="K2081" s="121" t="s">
        <v>1934</v>
      </c>
    </row>
    <row r="2082" spans="2:11">
      <c r="B2082" s="19" t="s">
        <v>899</v>
      </c>
      <c r="C2082">
        <v>350</v>
      </c>
      <c r="D2082">
        <v>160</v>
      </c>
      <c r="E2082">
        <f t="shared" si="2"/>
        <v>190</v>
      </c>
      <c r="F2082">
        <v>7</v>
      </c>
      <c r="J2082" t="s">
        <v>1922</v>
      </c>
      <c r="K2082" t="s">
        <v>1923</v>
      </c>
    </row>
    <row r="2083" spans="2:11">
      <c r="B2083" s="19" t="s">
        <v>12</v>
      </c>
      <c r="C2083">
        <v>0</v>
      </c>
      <c r="D2083">
        <v>0</v>
      </c>
      <c r="E2083">
        <f t="shared" si="2"/>
        <v>0</v>
      </c>
      <c r="F2083">
        <v>7</v>
      </c>
      <c r="J2083" t="s">
        <v>1924</v>
      </c>
      <c r="K2083" s="121" t="s">
        <v>1935</v>
      </c>
    </row>
    <row r="2084" spans="2:11">
      <c r="B2084" s="19" t="s">
        <v>460</v>
      </c>
      <c r="C2084">
        <v>19250</v>
      </c>
      <c r="D2084">
        <f>D2077+D2078+D2079+D2080+D2081+D2082+D2083</f>
        <v>17498</v>
      </c>
      <c r="E2084">
        <f t="shared" si="2"/>
        <v>1752</v>
      </c>
      <c r="F2084">
        <v>7</v>
      </c>
      <c r="J2084" t="s">
        <v>1927</v>
      </c>
      <c r="K2084" s="121" t="s">
        <v>1936</v>
      </c>
    </row>
    <row r="2087" spans="2:11" s="19" customFormat="1">
      <c r="B2087" s="19" t="s">
        <v>1884</v>
      </c>
      <c r="C2087" s="19" t="s">
        <v>1885</v>
      </c>
      <c r="D2087" s="120">
        <v>45436</v>
      </c>
      <c r="E2087" s="19" t="s">
        <v>1886</v>
      </c>
      <c r="F2087" s="120">
        <v>45442</v>
      </c>
    </row>
    <row r="2088" spans="2:11">
      <c r="K2088" s="19" t="s">
        <v>1883</v>
      </c>
    </row>
    <row r="2089" spans="2:11" s="19" customFormat="1">
      <c r="B2089" s="19" t="s">
        <v>1878</v>
      </c>
      <c r="C2089" s="19" t="s">
        <v>1879</v>
      </c>
      <c r="D2089" s="19" t="s">
        <v>1728</v>
      </c>
      <c r="E2089" s="19" t="s">
        <v>1880</v>
      </c>
      <c r="F2089" s="19" t="s">
        <v>1881</v>
      </c>
      <c r="J2089" t="s">
        <v>1911</v>
      </c>
      <c r="K2089" s="122" t="s">
        <v>1937</v>
      </c>
    </row>
    <row r="2090" spans="2:11">
      <c r="B2090" s="19" t="s">
        <v>3</v>
      </c>
      <c r="C2090">
        <v>5600</v>
      </c>
      <c r="D2090">
        <v>3065</v>
      </c>
      <c r="E2090">
        <f>C2090-D2090</f>
        <v>2535</v>
      </c>
      <c r="F2090">
        <v>7</v>
      </c>
      <c r="J2090" t="s">
        <v>1912</v>
      </c>
      <c r="K2090" s="122" t="s">
        <v>1938</v>
      </c>
    </row>
    <row r="2091" spans="2:11">
      <c r="B2091" s="19" t="s">
        <v>4</v>
      </c>
      <c r="C2091">
        <v>4200</v>
      </c>
      <c r="D2091">
        <v>3764</v>
      </c>
      <c r="E2091">
        <f t="shared" ref="E2091:E2097" si="3">C2091-D2091</f>
        <v>436</v>
      </c>
      <c r="F2091">
        <v>7</v>
      </c>
      <c r="J2091" t="s">
        <v>1915</v>
      </c>
      <c r="K2091" s="121" t="s">
        <v>1931</v>
      </c>
    </row>
    <row r="2092" spans="2:11">
      <c r="B2092" s="19" t="s">
        <v>7</v>
      </c>
      <c r="C2092">
        <v>4900</v>
      </c>
      <c r="D2092">
        <v>3609</v>
      </c>
      <c r="E2092">
        <f t="shared" si="3"/>
        <v>1291</v>
      </c>
      <c r="F2092">
        <v>7</v>
      </c>
      <c r="J2092" t="s">
        <v>1917</v>
      </c>
      <c r="K2092" s="122" t="s">
        <v>1939</v>
      </c>
    </row>
    <row r="2093" spans="2:11">
      <c r="B2093" s="19" t="s">
        <v>10</v>
      </c>
      <c r="C2093">
        <v>3500</v>
      </c>
      <c r="D2093">
        <v>2749</v>
      </c>
      <c r="E2093">
        <f t="shared" si="3"/>
        <v>751</v>
      </c>
      <c r="F2093">
        <v>7</v>
      </c>
      <c r="J2093" t="s">
        <v>1918</v>
      </c>
      <c r="K2093" s="127" t="s">
        <v>1940</v>
      </c>
    </row>
    <row r="2094" spans="2:11">
      <c r="B2094" s="19" t="s">
        <v>5</v>
      </c>
      <c r="C2094">
        <v>700</v>
      </c>
      <c r="D2094">
        <v>350</v>
      </c>
      <c r="E2094">
        <f t="shared" si="3"/>
        <v>350</v>
      </c>
      <c r="F2094">
        <v>7</v>
      </c>
      <c r="J2094" t="s">
        <v>1920</v>
      </c>
      <c r="K2094" s="121" t="s">
        <v>1934</v>
      </c>
    </row>
    <row r="2095" spans="2:11">
      <c r="B2095" s="19" t="s">
        <v>899</v>
      </c>
      <c r="C2095">
        <v>350</v>
      </c>
      <c r="D2095">
        <v>95</v>
      </c>
      <c r="E2095">
        <f t="shared" si="3"/>
        <v>255</v>
      </c>
      <c r="F2095">
        <v>7</v>
      </c>
      <c r="J2095" t="s">
        <v>1922</v>
      </c>
      <c r="K2095" t="s">
        <v>1923</v>
      </c>
    </row>
    <row r="2096" spans="2:11">
      <c r="B2096" s="19" t="s">
        <v>12</v>
      </c>
      <c r="C2096">
        <v>2272</v>
      </c>
      <c r="D2096">
        <v>2272</v>
      </c>
      <c r="E2096">
        <f t="shared" si="3"/>
        <v>0</v>
      </c>
      <c r="F2096">
        <v>7</v>
      </c>
      <c r="J2096" t="s">
        <v>1924</v>
      </c>
      <c r="K2096" s="121" t="s">
        <v>1935</v>
      </c>
    </row>
    <row r="2097" spans="2:11">
      <c r="B2097" s="19" t="s">
        <v>460</v>
      </c>
      <c r="C2097">
        <v>19250</v>
      </c>
      <c r="D2097">
        <f>D2090+D2091+D2092+D2093+D2094+D2095+D2096</f>
        <v>15904</v>
      </c>
      <c r="E2097">
        <f t="shared" si="3"/>
        <v>3346</v>
      </c>
      <c r="F2097">
        <v>7</v>
      </c>
      <c r="J2097" t="s">
        <v>1927</v>
      </c>
      <c r="K2097" s="122" t="s">
        <v>1943</v>
      </c>
    </row>
    <row r="2098" spans="2:11">
      <c r="J2098" t="s">
        <v>1941</v>
      </c>
      <c r="K2098" s="122" t="s">
        <v>1942</v>
      </c>
    </row>
    <row r="2101" spans="2:11" s="19" customFormat="1">
      <c r="B2101" s="19" t="s">
        <v>1884</v>
      </c>
      <c r="C2101" s="19" t="s">
        <v>1885</v>
      </c>
      <c r="D2101" s="120">
        <v>45443</v>
      </c>
      <c r="E2101" s="19" t="s">
        <v>1886</v>
      </c>
      <c r="F2101" s="120">
        <v>45449</v>
      </c>
    </row>
    <row r="2102" spans="2:11">
      <c r="K2102" s="19" t="s">
        <v>1883</v>
      </c>
    </row>
    <row r="2103" spans="2:11" s="19" customFormat="1">
      <c r="B2103" s="19" t="s">
        <v>1878</v>
      </c>
      <c r="C2103" s="19" t="s">
        <v>1879</v>
      </c>
      <c r="D2103" s="19" t="s">
        <v>1728</v>
      </c>
      <c r="E2103" s="19" t="s">
        <v>1880</v>
      </c>
      <c r="F2103" s="19" t="s">
        <v>1881</v>
      </c>
      <c r="J2103" t="s">
        <v>1911</v>
      </c>
      <c r="K2103" s="123" t="s">
        <v>1944</v>
      </c>
    </row>
    <row r="2104" spans="2:11">
      <c r="B2104" s="19" t="s">
        <v>3</v>
      </c>
      <c r="C2104">
        <v>5600</v>
      </c>
      <c r="D2104">
        <v>4999</v>
      </c>
      <c r="E2104">
        <f t="shared" ref="E2104:E2111" si="4">C2104-D2104</f>
        <v>601</v>
      </c>
      <c r="F2104">
        <v>7</v>
      </c>
      <c r="J2104" t="s">
        <v>1912</v>
      </c>
      <c r="K2104" s="123" t="s">
        <v>1945</v>
      </c>
    </row>
    <row r="2105" spans="2:11">
      <c r="B2105" s="19" t="s">
        <v>4</v>
      </c>
      <c r="C2105">
        <v>4200</v>
      </c>
      <c r="D2105">
        <v>3219</v>
      </c>
      <c r="E2105">
        <f t="shared" si="4"/>
        <v>981</v>
      </c>
      <c r="F2105">
        <v>7</v>
      </c>
      <c r="J2105" t="s">
        <v>1915</v>
      </c>
      <c r="K2105" s="123" t="s">
        <v>1946</v>
      </c>
    </row>
    <row r="2106" spans="2:11">
      <c r="B2106" s="19" t="s">
        <v>7</v>
      </c>
      <c r="C2106">
        <v>4900</v>
      </c>
      <c r="D2106">
        <v>3609</v>
      </c>
      <c r="E2106">
        <f t="shared" si="4"/>
        <v>1291</v>
      </c>
      <c r="F2106">
        <v>7</v>
      </c>
      <c r="J2106" t="s">
        <v>1917</v>
      </c>
      <c r="K2106" s="122" t="s">
        <v>1939</v>
      </c>
    </row>
    <row r="2107" spans="2:11">
      <c r="B2107" s="19" t="s">
        <v>10</v>
      </c>
      <c r="C2107">
        <v>3500</v>
      </c>
      <c r="D2107">
        <v>2725</v>
      </c>
      <c r="E2107">
        <f t="shared" si="4"/>
        <v>775</v>
      </c>
      <c r="F2107">
        <v>7</v>
      </c>
      <c r="J2107" t="s">
        <v>1918</v>
      </c>
      <c r="K2107" s="123" t="s">
        <v>1947</v>
      </c>
    </row>
    <row r="2108" spans="2:11">
      <c r="B2108" s="19" t="s">
        <v>5</v>
      </c>
      <c r="C2108">
        <v>700</v>
      </c>
      <c r="D2108">
        <v>347</v>
      </c>
      <c r="E2108">
        <f t="shared" si="4"/>
        <v>353</v>
      </c>
      <c r="F2108">
        <v>7</v>
      </c>
      <c r="J2108" t="s">
        <v>1920</v>
      </c>
      <c r="K2108" s="121" t="s">
        <v>1934</v>
      </c>
    </row>
    <row r="2109" spans="2:11">
      <c r="B2109" s="19" t="s">
        <v>899</v>
      </c>
      <c r="C2109">
        <v>350</v>
      </c>
      <c r="D2109">
        <v>139</v>
      </c>
      <c r="E2109">
        <f t="shared" si="4"/>
        <v>211</v>
      </c>
      <c r="F2109">
        <v>7</v>
      </c>
      <c r="J2109" t="s">
        <v>1922</v>
      </c>
      <c r="K2109" t="s">
        <v>1923</v>
      </c>
    </row>
    <row r="2110" spans="2:11">
      <c r="B2110" s="19" t="s">
        <v>12</v>
      </c>
      <c r="C2110">
        <v>2272</v>
      </c>
      <c r="D2110">
        <v>489</v>
      </c>
      <c r="E2110">
        <f t="shared" si="4"/>
        <v>1783</v>
      </c>
      <c r="F2110">
        <v>7</v>
      </c>
      <c r="J2110" t="s">
        <v>1924</v>
      </c>
      <c r="K2110" s="123" t="s">
        <v>1948</v>
      </c>
    </row>
    <row r="2111" spans="2:11">
      <c r="B2111" s="19" t="s">
        <v>460</v>
      </c>
      <c r="C2111">
        <v>19250</v>
      </c>
      <c r="D2111">
        <f>D2104+D2105+D2106+D2107+D2108+D2109+D2110</f>
        <v>15527</v>
      </c>
      <c r="E2111">
        <f t="shared" si="4"/>
        <v>3723</v>
      </c>
      <c r="F2111">
        <v>7</v>
      </c>
      <c r="J2111" t="s">
        <v>1927</v>
      </c>
      <c r="K2111" s="123" t="s">
        <v>1949</v>
      </c>
    </row>
    <row r="2112" spans="2:11" ht="22.5" customHeight="1">
      <c r="C2112" t="s">
        <v>1970</v>
      </c>
      <c r="K2112" s="122"/>
    </row>
    <row r="2113" spans="2:11" ht="15" customHeight="1">
      <c r="B2113" s="124" t="s">
        <v>1878</v>
      </c>
      <c r="C2113" s="124" t="s">
        <v>1728</v>
      </c>
      <c r="D2113" s="124" t="s">
        <v>1879</v>
      </c>
      <c r="E2113" s="124" t="s">
        <v>1880</v>
      </c>
      <c r="F2113" s="124" t="s">
        <v>1881</v>
      </c>
      <c r="K2113" s="19" t="s">
        <v>1883</v>
      </c>
    </row>
    <row r="2114" spans="2:11">
      <c r="B2114" s="125" t="s">
        <v>3</v>
      </c>
      <c r="C2114">
        <v>6586</v>
      </c>
      <c r="D2114">
        <v>5600</v>
      </c>
      <c r="E2114" s="126">
        <f t="shared" ref="E2114:E2119" si="5">D2114-C2114</f>
        <v>-986</v>
      </c>
      <c r="F2114" s="126">
        <v>7</v>
      </c>
      <c r="J2114" t="s">
        <v>1954</v>
      </c>
      <c r="K2114" s="128" t="s">
        <v>1950</v>
      </c>
    </row>
    <row r="2115" spans="2:11">
      <c r="B2115" s="125" t="s">
        <v>4</v>
      </c>
      <c r="C2115">
        <v>3758</v>
      </c>
      <c r="D2115">
        <v>4200</v>
      </c>
      <c r="E2115" s="126">
        <f t="shared" si="5"/>
        <v>442</v>
      </c>
      <c r="F2115" s="126">
        <v>7</v>
      </c>
      <c r="J2115" t="s">
        <v>1955</v>
      </c>
      <c r="K2115" s="128" t="s">
        <v>1951</v>
      </c>
    </row>
    <row r="2116" spans="2:11">
      <c r="B2116" s="125" t="s">
        <v>5</v>
      </c>
      <c r="C2116">
        <v>495</v>
      </c>
      <c r="D2116">
        <v>700</v>
      </c>
      <c r="E2116" s="126">
        <f t="shared" si="5"/>
        <v>205</v>
      </c>
      <c r="F2116" s="126">
        <v>7</v>
      </c>
      <c r="J2116" t="s">
        <v>1956</v>
      </c>
      <c r="K2116" s="128" t="s">
        <v>1952</v>
      </c>
    </row>
    <row r="2117" spans="2:11">
      <c r="B2117" s="125" t="s">
        <v>899</v>
      </c>
      <c r="C2117">
        <v>197</v>
      </c>
      <c r="D2117">
        <v>350</v>
      </c>
      <c r="E2117" s="126">
        <f t="shared" si="5"/>
        <v>153</v>
      </c>
      <c r="F2117" s="126">
        <v>7</v>
      </c>
      <c r="J2117" t="s">
        <v>1957</v>
      </c>
      <c r="K2117" s="128" t="s">
        <v>1953</v>
      </c>
    </row>
    <row r="2118" spans="2:11">
      <c r="B2118" s="125" t="s">
        <v>1816</v>
      </c>
      <c r="C2118">
        <v>1661</v>
      </c>
      <c r="D2118">
        <v>2272</v>
      </c>
      <c r="E2118" s="126">
        <f t="shared" si="5"/>
        <v>611</v>
      </c>
      <c r="F2118" s="126">
        <v>7</v>
      </c>
      <c r="J2118" t="s">
        <v>1958</v>
      </c>
      <c r="K2118" s="128" t="s">
        <v>1962</v>
      </c>
    </row>
    <row r="2119" spans="2:11">
      <c r="B2119" s="125" t="s">
        <v>460</v>
      </c>
      <c r="C2119" s="125">
        <f>C2114+C2115+C2116+C2117+C2118</f>
        <v>12697</v>
      </c>
      <c r="D2119" s="125">
        <f>SUM(D2114:D2118)</f>
        <v>13122</v>
      </c>
      <c r="E2119" s="125">
        <f t="shared" si="5"/>
        <v>425</v>
      </c>
      <c r="F2119" s="125"/>
      <c r="J2119" t="s">
        <v>1959</v>
      </c>
      <c r="K2119" s="128" t="s">
        <v>1963</v>
      </c>
    </row>
    <row r="2120" spans="2:11">
      <c r="J2120" t="s">
        <v>1960</v>
      </c>
      <c r="K2120" s="128" t="s">
        <v>1964</v>
      </c>
    </row>
    <row r="2121" spans="2:11">
      <c r="J2121" t="s">
        <v>1961</v>
      </c>
      <c r="K2121" s="128" t="s">
        <v>1965</v>
      </c>
    </row>
    <row r="2122" spans="2:11">
      <c r="J2122" t="s">
        <v>1966</v>
      </c>
      <c r="K2122" s="128" t="s">
        <v>1967</v>
      </c>
    </row>
    <row r="2123" spans="2:11">
      <c r="J2123" t="s">
        <v>1969</v>
      </c>
      <c r="K2123" s="128" t="s">
        <v>1968</v>
      </c>
    </row>
    <row r="2124" spans="2:11">
      <c r="B2124" t="s">
        <v>1978</v>
      </c>
      <c r="K2124" s="122"/>
    </row>
    <row r="2125" spans="2:11" ht="15.5">
      <c r="B2125" s="124" t="s">
        <v>1878</v>
      </c>
      <c r="C2125" s="124" t="s">
        <v>1728</v>
      </c>
      <c r="D2125" s="124" t="s">
        <v>1879</v>
      </c>
      <c r="E2125" s="124" t="s">
        <v>1880</v>
      </c>
      <c r="F2125" s="124" t="s">
        <v>1881</v>
      </c>
      <c r="J2125" t="s">
        <v>1954</v>
      </c>
      <c r="K2125" s="129" t="s">
        <v>1971</v>
      </c>
    </row>
    <row r="2126" spans="2:11">
      <c r="B2126" s="125" t="s">
        <v>3</v>
      </c>
      <c r="C2126">
        <v>5965</v>
      </c>
      <c r="D2126">
        <v>5600</v>
      </c>
      <c r="E2126" s="126">
        <f t="shared" ref="E2126:E2131" si="6">D2126-C2126</f>
        <v>-365</v>
      </c>
      <c r="F2126" s="126">
        <v>7</v>
      </c>
      <c r="J2126" t="s">
        <v>1954</v>
      </c>
      <c r="K2126" s="129" t="s">
        <v>1972</v>
      </c>
    </row>
    <row r="2127" spans="2:11">
      <c r="B2127" s="125" t="s">
        <v>4</v>
      </c>
      <c r="C2127">
        <v>3324</v>
      </c>
      <c r="D2127">
        <v>4200</v>
      </c>
      <c r="E2127" s="126">
        <f t="shared" si="6"/>
        <v>876</v>
      </c>
      <c r="F2127" s="126">
        <v>7</v>
      </c>
      <c r="J2127" t="s">
        <v>1956</v>
      </c>
      <c r="K2127" s="129" t="s">
        <v>1973</v>
      </c>
    </row>
    <row r="2128" spans="2:11">
      <c r="B2128" s="125" t="s">
        <v>5</v>
      </c>
      <c r="C2128">
        <v>372</v>
      </c>
      <c r="D2128">
        <v>700</v>
      </c>
      <c r="E2128" s="126">
        <f t="shared" si="6"/>
        <v>328</v>
      </c>
      <c r="F2128" s="126">
        <v>7</v>
      </c>
      <c r="J2128" t="s">
        <v>1957</v>
      </c>
      <c r="K2128" s="129" t="s">
        <v>1974</v>
      </c>
    </row>
    <row r="2129" spans="2:11">
      <c r="B2129" s="125" t="s">
        <v>899</v>
      </c>
      <c r="C2129">
        <v>168</v>
      </c>
      <c r="D2129">
        <v>350</v>
      </c>
      <c r="E2129" s="126">
        <f t="shared" si="6"/>
        <v>182</v>
      </c>
      <c r="F2129" s="126">
        <v>7</v>
      </c>
      <c r="J2129" t="s">
        <v>1958</v>
      </c>
      <c r="K2129" s="129" t="s">
        <v>1975</v>
      </c>
    </row>
    <row r="2130" spans="2:11">
      <c r="B2130" s="125" t="s">
        <v>1816</v>
      </c>
      <c r="C2130">
        <v>1608</v>
      </c>
      <c r="D2130">
        <v>2272</v>
      </c>
      <c r="E2130" s="126">
        <f t="shared" si="6"/>
        <v>664</v>
      </c>
      <c r="F2130" s="126">
        <v>7</v>
      </c>
      <c r="J2130" t="s">
        <v>1959</v>
      </c>
      <c r="K2130" s="129" t="s">
        <v>1976</v>
      </c>
    </row>
    <row r="2131" spans="2:11">
      <c r="B2131" s="125" t="s">
        <v>460</v>
      </c>
      <c r="C2131" s="125">
        <f>C2126+C2127+C2128+C2129+C2130</f>
        <v>11437</v>
      </c>
      <c r="D2131" s="125">
        <f>SUM(D2126:D2130)</f>
        <v>13122</v>
      </c>
      <c r="E2131" s="125">
        <f t="shared" si="6"/>
        <v>1685</v>
      </c>
      <c r="F2131" s="125"/>
      <c r="J2131" t="s">
        <v>1960</v>
      </c>
      <c r="K2131" s="129" t="s">
        <v>1977</v>
      </c>
    </row>
    <row r="2132" spans="2:11">
      <c r="J2132" t="s">
        <v>1979</v>
      </c>
      <c r="K2132" s="129" t="s">
        <v>1980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8" sqref="I8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ZONES</vt:lpstr>
      <vt:lpstr>DMA</vt:lpstr>
      <vt:lpstr>WEEKLY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Lakeview</dc:creator>
  <cp:lastModifiedBy>ICT Assistant</cp:lastModifiedBy>
  <cp:lastPrinted>2023-09-26T06:37:42Z</cp:lastPrinted>
  <dcterms:created xsi:type="dcterms:W3CDTF">2021-07-05T07:20:00Z</dcterms:created>
  <dcterms:modified xsi:type="dcterms:W3CDTF">2026-04-15T16:40:39Z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